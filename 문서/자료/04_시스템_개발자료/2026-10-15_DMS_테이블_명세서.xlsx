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자료\04_시스템_개발자료\"/>
    </mc:Choice>
  </mc:AlternateContent>
  <bookViews>
    <workbookView xWindow="0" yWindow="0" windowWidth="28800" windowHeight="16240"/>
  </bookViews>
  <sheets>
    <sheet name="개요" sheetId="1" r:id="rId1"/>
    <sheet name="테이블 목록" sheetId="2" r:id="rId2"/>
    <sheet name="TQD_COLORBYSIZE" sheetId="3" r:id="rId3"/>
    <sheet name="TQD_DATA_MAINT_HIS" sheetId="4" r:id="rId4"/>
    <sheet name="TQD_DEFECT" sheetId="5" r:id="rId5"/>
    <sheet name="TQD_DEFECT_DIE" sheetId="6" r:id="rId6"/>
    <sheet name="TQD_DEFECT_GROUP" sheetId="7" r:id="rId7"/>
    <sheet name="TQD_DEFECT_TYPE" sheetId="8" r:id="rId8"/>
    <sheet name="TQD_IMAGES" sheetId="9" r:id="rId9"/>
    <sheet name="TQD_INSP_INFO" sheetId="10" r:id="rId10"/>
    <sheet name="TQD_INSP_SUM" sheetId="11" r:id="rId11"/>
    <sheet name="TQD_LOT" sheetId="12" r:id="rId12"/>
    <sheet name="TQD_PRODUCT" sheetId="13" r:id="rId13"/>
    <sheet name="TQD_REVIEW_SUM" sheetId="14" r:id="rId14"/>
    <sheet name="TQD_SETUP" sheetId="15" r:id="rId15"/>
    <sheet name="TQD_SETUP_MAP" sheetId="16" r:id="rId16"/>
    <sheet name="TQD_STEP" sheetId="17" r:id="rId17"/>
    <sheet name="TQD_WAFER" sheetId="18" r:id="rId18"/>
    <sheet name="관계(논리)" sheetId="19" r:id="rId19"/>
    <sheet name="시퀀스" sheetId="20" r:id="rId20"/>
  </sheets>
  <calcPr calcId="162913"/>
</workbook>
</file>

<file path=xl/calcChain.xml><?xml version="1.0" encoding="utf-8"?>
<calcChain xmlns="http://schemas.openxmlformats.org/spreadsheetml/2006/main">
  <c r="E5" i="18" l="1"/>
  <c r="E5" i="17"/>
  <c r="E5" i="16"/>
  <c r="E5" i="15"/>
  <c r="E5" i="14"/>
  <c r="E5" i="13"/>
  <c r="E5" i="12"/>
  <c r="E5" i="11"/>
  <c r="E5" i="10"/>
  <c r="E11" i="2" s="1"/>
  <c r="E5" i="9"/>
  <c r="E10" i="2" s="1"/>
  <c r="E5" i="8"/>
  <c r="E9" i="2" s="1"/>
  <c r="E5" i="7"/>
  <c r="E8" i="2" s="1"/>
  <c r="E5" i="6"/>
  <c r="E7" i="2" s="1"/>
  <c r="E5" i="5"/>
  <c r="E6" i="2" s="1"/>
  <c r="E5" i="4"/>
  <c r="E5" i="2" s="1"/>
  <c r="E5" i="3"/>
  <c r="J19" i="2"/>
  <c r="I19" i="2"/>
  <c r="E19" i="2"/>
  <c r="J18" i="2"/>
  <c r="I18" i="2"/>
  <c r="E18" i="2"/>
  <c r="J17" i="2"/>
  <c r="I17" i="2"/>
  <c r="E17" i="2"/>
  <c r="J16" i="2"/>
  <c r="I16" i="2"/>
  <c r="E16" i="2"/>
  <c r="J15" i="2"/>
  <c r="I15" i="2"/>
  <c r="E15" i="2"/>
  <c r="J14" i="2"/>
  <c r="I14" i="2"/>
  <c r="E14" i="2"/>
  <c r="J13" i="2"/>
  <c r="I13" i="2"/>
  <c r="E13" i="2"/>
  <c r="J12" i="2"/>
  <c r="I12" i="2"/>
  <c r="E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E4" i="2"/>
  <c r="C13" i="1"/>
  <c r="J20" i="2" l="1"/>
  <c r="C16" i="1" s="1"/>
  <c r="I20" i="2"/>
  <c r="C15" i="1" s="1"/>
  <c r="E20" i="2"/>
  <c r="C14" i="1" s="1"/>
</calcChain>
</file>

<file path=xl/sharedStrings.xml><?xml version="1.0" encoding="utf-8"?>
<sst xmlns="http://schemas.openxmlformats.org/spreadsheetml/2006/main" count="2473" uniqueCount="730">
  <si>
    <t>SCK 분석시스템 구축 POC - DMS 테이블 명세서</t>
  </si>
  <si>
    <t>대상 시스템</t>
  </si>
  <si>
    <t>DACrux DMS / YMS (SCK 분석시스템 구축 POC)</t>
  </si>
  <si>
    <t>영역</t>
  </si>
  <si>
    <t>DMS - Defect 관리 (검사 Step / Wafer / Setup / Defect / Image / 검사 요약)</t>
  </si>
  <si>
    <t>기준 DB</t>
  </si>
  <si>
    <t>로컬 개발 DB (Oracle 19c, 스키마 DMSMGR, 문자셋 AL32UTF8)</t>
  </si>
  <si>
    <t>조회 일자</t>
  </si>
  <si>
    <t>2026-10-15</t>
  </si>
  <si>
    <t>작성 근거</t>
  </si>
  <si>
    <t>DB 메타데이터 (컬럼 / 주석 / 제약 / 인덱스 / 시퀀스) + Query XML (DMS/08_DBQuery/ORACLE) / C# 소스 + 같은 제품을 쓴 다른 프로젝트의 테이블 정의서 + 이 프로젝트 설계 문서</t>
  </si>
  <si>
    <t>대상 범위</t>
  </si>
  <si>
    <t>테이블 16개 (이름 접두어 TQD_). POC 신규 테이블(TQP_GDS_*)은 POC 테이블 명세서에 따로 있다.</t>
  </si>
  <si>
    <t>제외</t>
  </si>
  <si>
    <t>소스(Query XML / C#)에서 쓰지 않는 테이블: TQD_DEFECT_DIE_SUM</t>
  </si>
  <si>
    <t>집계</t>
  </si>
  <si>
    <t>값</t>
  </si>
  <si>
    <t>테이블 수</t>
  </si>
  <si>
    <t>컬럼 수</t>
  </si>
  <si>
    <t>근거: 소스</t>
  </si>
  <si>
    <t>근거: 이름 추정</t>
  </si>
  <si>
    <t>시트</t>
  </si>
  <si>
    <t>내용</t>
  </si>
  <si>
    <t>테이블 목록</t>
  </si>
  <si>
    <t>테이블 요약 (테이블명을 누르면 해당 시트로 이동, 근거별 행 수)</t>
  </si>
  <si>
    <t>테이블별 시트</t>
  </si>
  <si>
    <t>컬럼 / 제약 조건 / 인덱스</t>
  </si>
  <si>
    <t>관계(논리)</t>
  </si>
  <si>
    <t>Query XML / 소스의 조인으로 확인한 테이블 관계 (DB FK 없음)</t>
  </si>
  <si>
    <t>시퀀스</t>
  </si>
  <si>
    <t>이 영역 테이블이 쓰는 시퀀스</t>
  </si>
  <si>
    <t>표기 기준</t>
  </si>
  <si>
    <t>설명</t>
  </si>
  <si>
    <t>데이터 타입</t>
  </si>
  <si>
    <t>VARCHAR2(n CHAR) = 글자 수 기준, VARCHAR2(n) = byte 기준</t>
  </si>
  <si>
    <t>NULL / PK</t>
  </si>
  <si>
    <t>NULL: N = NOT NULL (필수), Y = NULL 허용. PK: 기본 키 안 순서 (노란 행)</t>
  </si>
  <si>
    <t>반복 컬럼</t>
  </si>
  <si>
    <t>같은 접두어 + 번호가 이어지는 컬럼은 한 줄로 묶었다 (회색 행, 예: BIN001 ~ BIN151). No 는 첫 ~ 끝 컬럼 순번</t>
  </si>
  <si>
    <t>참조 (논리)</t>
  </si>
  <si>
    <t>조인으로 확인한 부모 테이블. DB FK 는 없다</t>
  </si>
  <si>
    <t>근거</t>
  </si>
  <si>
    <t>소스 = Query XML / C# 소스에서 쓰임을 확인 / 이름 추정 = 근거 자료 없이 컬럼 이름과 값으로 추정 - 확인 필요</t>
  </si>
  <si>
    <t>참고</t>
  </si>
  <si>
    <t>참고 1</t>
  </si>
  <si>
    <t>적재 경로가 셋이다: 자동 적재(Inspection DataService) / 옛 경로 KtoD / KLARF 업로드 화면. TQD_STEP.RESULT_ID 는 자동 적재 / 업로드 = LotID, KtoD = KLARF ResultsID 이고, MAIN_EQ / ROUTE / OPER / RETICLE_ID / STEPPER_EQ 는 KtoD 만 MES Lot 이력에서 채운다.</t>
  </si>
  <si>
    <t>참고 2</t>
  </si>
  <si>
    <t>TQD_STEP 의 SCAN_AREA / DEFECTIVE_DIE / DEFECTS / DEFECT_DD 는 자동 적재가 -1 로 넣는다. 실제 값은 TQD_INSP_INFO 에 있다.</t>
  </si>
  <si>
    <t>참고 3</t>
  </si>
  <si>
    <t>TQD_INSP_INFO 의 KILLER / KILL 계열 컬럼은 모든 적재 경로에서 0 고정이다. CLUSTERS 는 Cluster 그룹 수가 아니라 Cluster 에 속한 Defect 수, RANDOM_DEFECT_DD 는 Random Defect 면적 합 / 검사 면적이다.</t>
  </si>
  <si>
    <t>참고 4</t>
  </si>
  <si>
    <t>TQD_INSP_SUM 의 Size 구간은 DSIZE/10 기준이다 (예: TOTAL0_5UM = DSIZE/10 &lt;= 0.5). DSIZE 단위가 um 이라 실제 경계는 컬럼 이름의 10배다.</t>
  </si>
  <si>
    <t>참고 5</t>
  </si>
  <si>
    <t>TQD_REVIEW_SUM 은 Review DataService 가 만들기만 하고 읽는 쿼리가 없다 (로컬 0건).</t>
  </si>
  <si>
    <t>참고 6</t>
  </si>
  <si>
    <t>TQD_WAFER.WAFER_ID 는 KLARF WaferID 원문이 아니라 {LOT_ID}-{Slot 2자리} 다.</t>
  </si>
  <si>
    <t>참고 7</t>
  </si>
  <si>
    <t>TQD_SETUP.SETUP_ID 는 로컬 DB 에서 VARCHAR2(128) 로 늘렸다 (2026-10-07, 고객 KLARF SetupID 46자). 고객 DB 에도 같은 변경이 필요하다.</t>
  </si>
  <si>
    <t>DMS 테이블 목록</t>
  </si>
  <si>
    <t>No</t>
  </si>
  <si>
    <t>테이블명</t>
  </si>
  <si>
    <t>테이블 설명</t>
  </si>
  <si>
    <t>기본 키 (PK)</t>
  </si>
  <si>
    <t>사용 기능</t>
  </si>
  <si>
    <t>관련 테이블 (논리)</t>
  </si>
  <si>
    <t>Query XML</t>
  </si>
  <si>
    <t>TQD_COLORBYSIZE</t>
  </si>
  <si>
    <t>사용자별 Defect Size(DSIZE) 구간 표시 색 설정</t>
  </si>
  <si>
    <t>USER_ID, SIZE_SEQ</t>
  </si>
  <si>
    <t>Defect Coloring 화면 / Defect Map Viewer / Chart Analysis Size 구간</t>
  </si>
  <si>
    <t>TQD_COLORBYSIZE.xml</t>
  </si>
  <si>
    <t>TQD_DATA_MAINT_HIS</t>
  </si>
  <si>
    <t>Defect Data Maint 변경 / 삭제 이력 (처리 1건 = 1행)</t>
  </si>
  <si>
    <t>TRAN_KEY</t>
  </si>
  <si>
    <t>Defect Data Maint 화면 (이력 저장 / 조회)</t>
  </si>
  <si>
    <t>TQD_DATA_MAINT_HIS.xml</t>
  </si>
  <si>
    <t>TQD_DEFECT</t>
  </si>
  <si>
    <t>Defect 1건 (KLARF DefectList 1행) 의 좌표 / 크기 / 분류</t>
  </si>
  <si>
    <t>STEP_SEQ, DEFECTID</t>
  </si>
  <si>
    <t>KLARF 자동 적재 / Review 적재 / KLARF 업로드 / Defect Map Viewer / Gallery / Chart / GDS Correlation</t>
  </si>
  <si>
    <t>TQD_DEFECT_DIE, TQD_DEFECT_TYPE, TQD_IMAGES, TQD_INSP_INFO, TQD_STEP</t>
  </si>
  <si>
    <t>TQD_DEFECT.xml</t>
  </si>
  <si>
    <t>TQD_DEFECT_DIE</t>
  </si>
  <si>
    <t>YMS Test Die 와 같은 위치 Defect 의 매칭 결과 (Die x Defect)</t>
  </si>
  <si>
    <t>TEST_WAFER_SEQ, TEST_DIE_NUM, DM_STEP_SEQ, DM_DEFECTID</t>
  </si>
  <si>
    <t>YMS CP / PCM DataService 매칭 적재 / Killing Rate 리포트</t>
  </si>
  <si>
    <t>TQD_DEFECT, TQD_STEP, TQP_WAFER</t>
  </si>
  <si>
    <t>TQD_DEFECT_DIE.xml</t>
  </si>
  <si>
    <t>TQD_DEFECT_GROUP</t>
  </si>
  <si>
    <t>Defect Class 그룹 기준정보</t>
  </si>
  <si>
    <t>GROUP_ID</t>
  </si>
  <si>
    <t>Defect Group Define 화면 / Defect Type Define 조회</t>
  </si>
  <si>
    <t>TQD_DEFECT_TYPE</t>
  </si>
  <si>
    <t>TQD_DEFECT_GROUP.xml</t>
  </si>
  <si>
    <t>Defect Class 기준정보 (CLASSNUMBER 별 이름 / 색 / 그룹)</t>
  </si>
  <si>
    <t>CLASSNUMBER</t>
  </si>
  <si>
    <t>Defect Type Define 화면 / Map Viewer Class 이름과 색 / Killing Rate / 설비 Defect Trend</t>
  </si>
  <si>
    <t>TQD_DEFECT, TQD_DEFECT_GROUP</t>
  </si>
  <si>
    <t>TQD_DEFECT_TYPE.xml</t>
  </si>
  <si>
    <t>TQD_IMAGES</t>
  </si>
  <si>
    <t>Defect 이미지 파일 1건 (원본 / 썸네일 경로)</t>
  </si>
  <si>
    <t>STEP_SEQ, DEFECTID, IMAGE_ID</t>
  </si>
  <si>
    <t>KLARF / Review 적재 / KLARF 업로드 / Map Viewer 이미지 / Image Gallery / Data Maint 이미지 삭제</t>
  </si>
  <si>
    <t>TQD_IMAGES.xml</t>
  </si>
  <si>
    <t>TQD_INSP_INFO</t>
  </si>
  <si>
    <t>검사 결과 요약 1건 (Step x Test), Lot / Wafer / Step 값을 펼친 형태</t>
  </si>
  <si>
    <t>STEP_SEQ, TEST</t>
  </si>
  <si>
    <t>왼쪽 Wafer 조회 / Map Viewer / Gallery / Chart / DMS 리포트 / Review 매칭 / KLARF 업로드 / GDS Correlation</t>
  </si>
  <si>
    <t>TQD_DEFECT, TQD_SETUP, TQD_STEP, TQP_MAPDEF, TQP_WAFER_SUM</t>
  </si>
  <si>
    <t>TQD_INSP_INFO.xml</t>
  </si>
  <si>
    <t>TQD_INSP_SUM</t>
  </si>
  <si>
    <t>Step 별 Defect 집계 (Random / Cluster / Size 구간 / New Defect)</t>
  </si>
  <si>
    <t>STEP_SEQ</t>
  </si>
  <si>
    <t>KLARF 적재 (Step 12) / KLARF 업로드 / Data Maint / Data Sheet / 설비 Defect Trend</t>
  </si>
  <si>
    <t>TQD_STEP</t>
  </si>
  <si>
    <t>TQD_INSP_SUM.xml</t>
  </si>
  <si>
    <t>TQD_LOT</t>
  </si>
  <si>
    <t>Lot 기준정보 (Product + Lot ID)</t>
  </si>
  <si>
    <t>LOT_SEQ</t>
  </si>
  <si>
    <t>KLARF 적재 / KLARF 업로드 / Data Maint Lot 변경 / 기존 등록 확인</t>
  </si>
  <si>
    <t>TQD_PRODUCT, TQD_WAFER</t>
  </si>
  <si>
    <t>TQD_LOT.xml</t>
  </si>
  <si>
    <t>TQD_PRODUCT</t>
  </si>
  <si>
    <t>Product(Device) 기준정보, 처음 적재된 KLARF 의 Wafer / Die 값</t>
  </si>
  <si>
    <t>PRODUCT</t>
  </si>
  <si>
    <t>KLARF 적재 / KLARF 업로드 (Device 최초 등록) / Data Maint Product 복사</t>
  </si>
  <si>
    <t>TQD_PRODUCT.xml</t>
  </si>
  <si>
    <t>TQD_REVIEW_SUM</t>
  </si>
  <si>
    <t>Step 별 Defect Class(CLASSNUMBER) 개수 집계</t>
  </si>
  <si>
    <t>Review DataService / Data Maint (생성만, 조회 쿼리 없음)</t>
  </si>
  <si>
    <t>TQD_REVIEW_SUM.xml</t>
  </si>
  <si>
    <t>TQD_SETUP</t>
  </si>
  <si>
    <t>검사 Setup(Recipe) 별 Wafer / Die 좌표 기준 (KLARF SetupID 단위)</t>
  </si>
  <si>
    <t>SETUP_SEQ</t>
  </si>
  <si>
    <t>KLARF 적재 / KLARF 업로드 / Map 표시 (Map Viewer, GDS Correlation) / Origin Die Index 조회</t>
  </si>
  <si>
    <t>TQD_INSP_INFO, TQD_SETUP_MAP, TQD_STEP</t>
  </si>
  <si>
    <t>TQD_SETUP.xml</t>
  </si>
  <si>
    <t>TQD_SETUP_MAP</t>
  </si>
  <si>
    <t>Setup + Test 별 검사 Die 목록 (Die Index)</t>
  </si>
  <si>
    <t>SETUP_SEQ, TEST, INDEX_X, INDEX_Y</t>
  </si>
  <si>
    <t>KLARF 적재 / KLARF 업로드 / Map 검사 Die 표시 / Defect Density / GDS Correlation</t>
  </si>
  <si>
    <t>TQD_SETUP_MAP.xml</t>
  </si>
  <si>
    <t>검사 Step 1건 (KLARF 파일 1개 x Wafer 1장 의 헤더)</t>
  </si>
  <si>
    <t>KLARF 적재 / Review 적재 / KLARF 업로드 / Data Maint / Inspection Detail 리포트</t>
  </si>
  <si>
    <t>TQC_EQUIP, TQD_DEFECT, TQD_DEFECT_DIE, TQD_INSP_INFO, TQD_INSP_SUM, TQD_REVIEW_SUM, TQD_SETUP, TQD_WAFER</t>
  </si>
  <si>
    <t>TQD_STEP.xml</t>
  </si>
  <si>
    <t>TQD_WAFER</t>
  </si>
  <si>
    <t>Wafer 기준정보 (Lot + Wafer ID / Slot)</t>
  </si>
  <si>
    <t>WAFER_SEQ</t>
  </si>
  <si>
    <t>KLARF 적재 / KLARF 업로드 / Data Maint (Lot 변경 시 WAFER_ID 갱신)</t>
  </si>
  <si>
    <t>TQD_LOT, TQD_STEP</t>
  </si>
  <si>
    <t>TQD_WAFER.xml</t>
  </si>
  <si>
    <t>합계</t>
  </si>
  <si>
    <t>테이블 명세서</t>
  </si>
  <si>
    <t>&lt;- 테이블 목록</t>
  </si>
  <si>
    <t>DMS</t>
  </si>
  <si>
    <t>스키마</t>
  </si>
  <si>
    <t>DMSMGR</t>
  </si>
  <si>
    <t>PK_TQD_COLORBYSIZE (USER_ID, SIZE_SEQ)</t>
  </si>
  <si>
    <t>컬럼명</t>
  </si>
  <si>
    <t>컬럼 설명</t>
  </si>
  <si>
    <t>NULL</t>
  </si>
  <si>
    <t>PK</t>
  </si>
  <si>
    <t>기본값</t>
  </si>
  <si>
    <t>USER_ID</t>
  </si>
  <si>
    <t>사용자 ID ('ADMIN' 행 = 공통 기본, 조회 시 본인 + ADMIN)</t>
  </si>
  <si>
    <t>VARCHAR2(40)</t>
  </si>
  <si>
    <t>N</t>
  </si>
  <si>
    <t>소스</t>
  </si>
  <si>
    <t>SIZE_SEQ</t>
  </si>
  <si>
    <t>Size 구간 순번 (사용자별)</t>
  </si>
  <si>
    <t>NUMBER(10)</t>
  </si>
  <si>
    <t>SIZE_FROM</t>
  </si>
  <si>
    <t>구간 시작 Defect Size (DSIZE, um, 이상)</t>
  </si>
  <si>
    <t>NUMBER(13,3)</t>
  </si>
  <si>
    <t>SIZE_TO</t>
  </si>
  <si>
    <t>구간 끝 Defect Size (DSIZE, um, 이하)</t>
  </si>
  <si>
    <t>COLOR</t>
  </si>
  <si>
    <t>구간 표시 색 (HTML 색, 예 #FF0080)</t>
  </si>
  <si>
    <t>VARCHAR2(9)</t>
  </si>
  <si>
    <t>제약 조건</t>
  </si>
  <si>
    <t>구분</t>
  </si>
  <si>
    <t>제약 이름</t>
  </si>
  <si>
    <t>컬럼</t>
  </si>
  <si>
    <t>PK_TQD_COLORBYSIZE</t>
  </si>
  <si>
    <t>기본 키</t>
  </si>
  <si>
    <t>인덱스</t>
  </si>
  <si>
    <t>유일</t>
  </si>
  <si>
    <t>인덱스 이름</t>
  </si>
  <si>
    <t>용도</t>
  </si>
  <si>
    <t>UNIQUE</t>
  </si>
  <si>
    <t>TQD_DATA_MAINT_HIS_PK (TRAN_KEY)</t>
  </si>
  <si>
    <t>처리 키 = 처리 시각 (SYSTIMESTAMP 'YYYYMMDDHH24MISSFF')</t>
  </si>
  <si>
    <t>VARCHAR2(20)</t>
  </si>
  <si>
    <t>LOT_ID</t>
  </si>
  <si>
    <t>대상 Lot ID</t>
  </si>
  <si>
    <t>Y</t>
  </si>
  <si>
    <t>대상 Product</t>
  </si>
  <si>
    <t>VARCHAR2(50)</t>
  </si>
  <si>
    <t>STEP_ID</t>
  </si>
  <si>
    <t>대상 Step ID</t>
  </si>
  <si>
    <t>SLOT_ID</t>
  </si>
  <si>
    <t>대상 Slot 번호 (Lot 변경 이력은 빈 값)</t>
  </si>
  <si>
    <t>NUMBER</t>
  </si>
  <si>
    <t>WAFER_ID</t>
  </si>
  <si>
    <t>대상 Wafer ID (Lot 변경 이력은 빈 값)</t>
  </si>
  <si>
    <t>TRAN_USER</t>
  </si>
  <si>
    <t>처리 사용자 ID</t>
  </si>
  <si>
    <t>VARCHAR2(30)</t>
  </si>
  <si>
    <t>TRAN_USER_IP</t>
  </si>
  <si>
    <t>처리 PC IP 주소</t>
  </si>
  <si>
    <t>PREV_VALUE</t>
  </si>
  <si>
    <t>변경 전 값 (예 'Lot, Slot, WaferID, StepID, Product')</t>
  </si>
  <si>
    <t>VARCHAR2(200)</t>
  </si>
  <si>
    <t>CURR_VALUE</t>
  </si>
  <si>
    <t>변경 후 값 또는 작업 이름 (Delete Wafer Base / Delete Lot Base 등)</t>
  </si>
  <si>
    <t>PREV_STEP_SEQ</t>
  </si>
  <si>
    <t>변경 전 STEP_SEQ (여러 개면 쉼표 구분)</t>
  </si>
  <si>
    <t>CURR_STEP_SEQ</t>
  </si>
  <si>
    <t>변경 후 STEP_SEQ (Wafer / Step 변경 시 새 번호)</t>
  </si>
  <si>
    <t>USER_COMMENT</t>
  </si>
  <si>
    <t>사용자 입력 사유 (삭제는 'Data Delete :' + 사유)</t>
  </si>
  <si>
    <t>VARCHAR2(300)</t>
  </si>
  <si>
    <t>TQD_DATA_MAINT_HIS_PK</t>
  </si>
  <si>
    <t>-</t>
  </si>
  <si>
    <t>IDX_TQD_DATA_MAINT_HIS_01</t>
  </si>
  <si>
    <t>PK_TQD_DEFECT (STEP_SEQ, DEFECTID)</t>
  </si>
  <si>
    <t>검사 Step 번호 (TQD_STEP.STEP_SEQ)</t>
  </si>
  <si>
    <t>TQD_STEP, TQD_INSP_INFO</t>
  </si>
  <si>
    <t>DEFECTID</t>
  </si>
  <si>
    <t>Defect ID (KLARF DEFECTID, Step 안에서 고유)</t>
  </si>
  <si>
    <t>Wafer 번호 (TQD_WAFER.WAFER_SEQ)</t>
  </si>
  <si>
    <t>X</t>
  </si>
  <si>
    <t>Wafer 중심 기준 X 좌표 (um, XINDEX*DiePitch+XREL-SampleCenter)</t>
  </si>
  <si>
    <t>NUMBER(20,10)</t>
  </si>
  <si>
    <t>Wafer 중심 기준 Y 좌표 (um, YINDEX*DiePitch+YREL-SampleCenter)</t>
  </si>
  <si>
    <t>XREL</t>
  </si>
  <si>
    <t>Die 안 X 좌표 (um, KLARF XREL, Die 좌하단 기준)</t>
  </si>
  <si>
    <t>YREL</t>
  </si>
  <si>
    <t>Die 안 Y 좌표 (um, KLARF YREL, Die 좌하단 기준)</t>
  </si>
  <si>
    <t>XINDEX</t>
  </si>
  <si>
    <t>Defect Die X Index (좌하단 기준 = KLARF Index + Origin Die Index)</t>
  </si>
  <si>
    <t>YINDEX</t>
  </si>
  <si>
    <t>Defect Die Y Index (좌하단 기준 = KLARF Index + Origin Die Index)</t>
  </si>
  <si>
    <t>XSIZE</t>
  </si>
  <si>
    <t>Defect X 크기 (um, KLARF XSIZE)</t>
  </si>
  <si>
    <t>YSIZE</t>
  </si>
  <si>
    <t>Defect Y 크기 (um, KLARF YSIZE)</t>
  </si>
  <si>
    <t>DEFECTAREA</t>
  </si>
  <si>
    <t>Defect 면적 (um², KLARF DEFECTAREA)</t>
  </si>
  <si>
    <t>NUMBER(28,10)</t>
  </si>
  <si>
    <t>DSIZE</t>
  </si>
  <si>
    <t>Defect 크기 (um, KLARF DSIZE)</t>
  </si>
  <si>
    <t>Defect Class 번호 (KLARF CLASSNUMBER, 0 = 미분류)</t>
  </si>
  <si>
    <t>TEST</t>
  </si>
  <si>
    <t>검사 Test 번호 (KLARF TEST)</t>
  </si>
  <si>
    <t>CLUSTERNUMBER</t>
  </si>
  <si>
    <t>Cluster 번호 (0 = Random, 설비 CMF03='Y' 면 적재 시 재계산)</t>
  </si>
  <si>
    <t>ROUGHBINNUMBER</t>
  </si>
  <si>
    <t>Rough Bin 분류 코드 (KLARF ROUGHBINNUMBER)</t>
  </si>
  <si>
    <t>FINEBINNUMBER</t>
  </si>
  <si>
    <t>Fine Bin 분류 코드 (KLARF FINEBINNUMBER)</t>
  </si>
  <si>
    <t>REVIEWSAMPLE</t>
  </si>
  <si>
    <t>Review 대상 표시 (KLARF REVIEWSAMPLE, Review 적재 시 갱신)</t>
  </si>
  <si>
    <t>IMAGECOUNT</t>
  </si>
  <si>
    <t>Defect 이미지 수 (적재 후 TQD_IMAGES 건수로 갱신)</t>
  </si>
  <si>
    <t>ADDER</t>
  </si>
  <si>
    <t>New Defect 여부 (1 = 같은 Wafer 이전 Step 에 없던 위치, 허용오차 비교)</t>
  </si>
  <si>
    <t>FIRST_STEP</t>
  </si>
  <si>
    <t>처음 발견된 Step (KLARF 같은 이름 항목만 저장, 로컬 값 없음)</t>
  </si>
  <si>
    <t>이름 추정</t>
  </si>
  <si>
    <t>RETICLE_REPEAT_ID</t>
  </si>
  <si>
    <t>Reticle 반복 Defect ID (적재 값 0)</t>
  </si>
  <si>
    <t>0</t>
  </si>
  <si>
    <t>DIE_REPEAT_ID</t>
  </si>
  <si>
    <t>Die 반복 Defect ID (적재 값 0)</t>
  </si>
  <si>
    <t>MAN_OPT_CLASS</t>
  </si>
  <si>
    <t>Optical 수동 분류 Class (적재 값 0)</t>
  </si>
  <si>
    <t>AUTO_OPT_CLASS</t>
  </si>
  <si>
    <t>Optical 자동 분류 Class (적재 값 0)</t>
  </si>
  <si>
    <t>MAN_SEM_CLASS</t>
  </si>
  <si>
    <t>SEM 수동 분류 Class (적재 값 0)</t>
  </si>
  <si>
    <t>AUTO_SEM_CLASS</t>
  </si>
  <si>
    <t>SEM 자동 분류 Class (적재 값 0)</t>
  </si>
  <si>
    <t>OLD_XINDEX</t>
  </si>
  <si>
    <t>변경 전 XINDEX (사용 소스 없음, 로컬 값 없음)</t>
  </si>
  <si>
    <t>OLD_YINDEX</t>
  </si>
  <si>
    <t>변경 전 YINDEX (사용 소스 없음, 로컬 값 없음)</t>
  </si>
  <si>
    <t>TEST_WAFER_SEQ</t>
  </si>
  <si>
    <t>연결 YMS Test Wafer 번호 (사용 소스 없음, 로컬 값 없음)</t>
  </si>
  <si>
    <t>DIE_NUM</t>
  </si>
  <si>
    <t>연결 YMS Die 번호 (사용 소스 없음, 로컬 값 없음)</t>
  </si>
  <si>
    <t>PK_TQD_DEFECT</t>
  </si>
  <si>
    <t>IDX_TQD_DEFECT_01</t>
  </si>
  <si>
    <t>WAFER_SEQ, STEP_SEQ, DEFECTID</t>
  </si>
  <si>
    <t>IDX_TQD_DEFECT_02</t>
  </si>
  <si>
    <t>TEST_WAFER_SEQ, DIE_NUM</t>
  </si>
  <si>
    <t>PK_TQD_DEFECT_DIE (TEST_WAFER_SEQ, TEST_DIE_NUM, DM_STEP_SEQ, DM_DEFECTID)</t>
  </si>
  <si>
    <t>YMS Test Wafer 번호 (TQP_WAFER.WAFER_SEQ)</t>
  </si>
  <si>
    <t>NUMBER(20)</t>
  </si>
  <si>
    <t>TQP_WAFER</t>
  </si>
  <si>
    <t>TEST_DIE_NUM</t>
  </si>
  <si>
    <t>YMS Die 번호 (Program Bin 테이블 DIE_NUM)</t>
  </si>
  <si>
    <t>DM_STEP_SEQ</t>
  </si>
  <si>
    <t>DMS 검사 Step 번호 (TQD_INSP_INFO.STEP_SEQ, TEST 1)</t>
  </si>
  <si>
    <t>TQD_DEFECT, TQD_STEP</t>
  </si>
  <si>
    <t>DM_DEFECTID</t>
  </si>
  <si>
    <t>Defect ID (TQD_DEFECT.DEFECTID)</t>
  </si>
  <si>
    <t>YMS Die X 좌표 (Program Bin 테이블 X)</t>
  </si>
  <si>
    <t>YMS Die Y 좌표 (Program Bin 테이블 Y)</t>
  </si>
  <si>
    <t>BIN</t>
  </si>
  <si>
    <t>해당 Die 의 Test Bin</t>
  </si>
  <si>
    <t>Defect Class 번호 (TQD_DEFECT.CLASSNUMBER)</t>
  </si>
  <si>
    <t>PK_TQD_DEFECT_DIE</t>
  </si>
  <si>
    <t>IDX_TQD_DEFECT_DIE_01</t>
  </si>
  <si>
    <t>SYS_C008139 (GROUP_ID)</t>
  </si>
  <si>
    <t>Defect Group 번호</t>
  </si>
  <si>
    <t>GROUP_NAME</t>
  </si>
  <si>
    <t>Defect Group 이름</t>
  </si>
  <si>
    <t>DELETE_FLAG</t>
  </si>
  <si>
    <t>삭제 표시 (Y / N, 기본 N, Type 조회는 N 만 조인)</t>
  </si>
  <si>
    <t>CHAR(1)</t>
  </si>
  <si>
    <t>'N'</t>
  </si>
  <si>
    <t>CREATE_TIME</t>
  </si>
  <si>
    <t>생성 일시</t>
  </si>
  <si>
    <t>DATE</t>
  </si>
  <si>
    <t>CREATE_USER</t>
  </si>
  <si>
    <t>생성 사용자 ID</t>
  </si>
  <si>
    <t>UPDATE_TIME</t>
  </si>
  <si>
    <t>수정 일시</t>
  </si>
  <si>
    <t>UPDATE_USER</t>
  </si>
  <si>
    <t>수정 사용자 ID</t>
  </si>
  <si>
    <t>SYS_C008139</t>
  </si>
  <si>
    <t>SYS_C008149 (CLASSNUMBER)</t>
  </si>
  <si>
    <t>Defect Class 번호 (KLARF CLASSNUMBER, 0 = Uncategorized)</t>
  </si>
  <si>
    <t>NAME</t>
  </si>
  <si>
    <t>Class 이름 (화면 표시 '이름(번호)')</t>
  </si>
  <si>
    <t>DESCRIPTION</t>
  </si>
  <si>
    <t>Class 설명</t>
  </si>
  <si>
    <t>Defect Group 번호 (TQD_DEFECT_GROUP.GROUP_ID, 기본 0)</t>
  </si>
  <si>
    <t>사용 안 함 표시 (Y / N, 기본 N, Class 목록은 N 만)</t>
  </si>
  <si>
    <t>DEFECT_COLOR</t>
  </si>
  <si>
    <t>Map 표시 색 (#RRGGBB, 없으면 화면은 #FF0000)</t>
  </si>
  <si>
    <t>VARCHAR2(7)</t>
  </si>
  <si>
    <t>SYS_C008149</t>
  </si>
  <si>
    <t>PK_TQD_IMAGES (STEP_SEQ, DEFECTID, IMAGE_ID)</t>
  </si>
  <si>
    <t>검사 Step 번호 (TQD_DEFECT.STEP_SEQ)</t>
  </si>
  <si>
    <t>NUMBER(15)</t>
  </si>
  <si>
    <t>(0)</t>
  </si>
  <si>
    <t>IMAGE_ID</t>
  </si>
  <si>
    <t>Defect 안 이미지 순번 (0부터, 기존 최대값 + 1)</t>
  </si>
  <si>
    <t>검사 Test 번호 (Defect 의 TEST)</t>
  </si>
  <si>
    <t>IMAGE_TYPE</t>
  </si>
  <si>
    <t>이미지 파일 확장자 (예 .jpg)</t>
  </si>
  <si>
    <t>VARCHAR2(10)</t>
  </si>
  <si>
    <t>(' ')</t>
  </si>
  <si>
    <t>IMAGE_PATH</t>
  </si>
  <si>
    <t>이미지 폴더 경로 (FTP 상대 경로, 예 FTP/SCK/20261013/{Lot})</t>
  </si>
  <si>
    <t>IMAGE_FILENAME</t>
  </si>
  <si>
    <t>이미지 파일명 (KLARF TiffFileName)</t>
  </si>
  <si>
    <t>IMAGE_SERVER</t>
  </si>
  <si>
    <t>이미지 서버 (적재 시 ' ' 고정)</t>
  </si>
  <si>
    <t>THUMB_PATH</t>
  </si>
  <si>
    <t>썸네일 폴더 경로 (IMAGE_PATH 와 같음)</t>
  </si>
  <si>
    <t>THUMB_FILENAME</t>
  </si>
  <si>
    <t>썸네일 파일명 ('thumb_' + 이미지 파일명)</t>
  </si>
  <si>
    <t>UPLOAD</t>
  </si>
  <si>
    <t>적재 경로 (INSP 검사 / REVIEW 리뷰 / UPLOAD KLARF 업로드)</t>
  </si>
  <si>
    <t>PK_TQD_IMAGES</t>
  </si>
  <si>
    <t>TQD_INSP_INFO_PK (STEP_SEQ, TEST)</t>
  </si>
  <si>
    <t>RESULTTIMESTAMP</t>
  </si>
  <si>
    <t>검사 시각 (KLARF ResultTimestamp), Wafer 조회 기간 기준</t>
  </si>
  <si>
    <t>TIMESTAMP(6)</t>
  </si>
  <si>
    <t>FILETIMESTAMP</t>
  </si>
  <si>
    <t>KLARF 파일 생성 시각 (KLARF FileTimestamp)</t>
  </si>
  <si>
    <t>FACTORY</t>
  </si>
  <si>
    <t>Factory (적재 서비스 설정 FACTORY / 업로드는 로그인 Factory)</t>
  </si>
  <si>
    <t>TQP_MAPDEF</t>
  </si>
  <si>
    <t>TECHNOLOGY</t>
  </si>
  <si>
    <t>Technology (적재 시 'NONE' 고정)</t>
  </si>
  <si>
    <t>Product = KLARF DeviceID (TQD_PRODUCT.PRODUCT 와 같은 값)</t>
  </si>
  <si>
    <t>Lot ID (TQD_LOT.LOT_ID 와 같은 값)</t>
  </si>
  <si>
    <t>TQP_WAFER_SUM</t>
  </si>
  <si>
    <t>Wafer ID ({LOT_ID}-{Slot 2자리}, TQD_WAFER.WAFER_ID 와 같은 값)</t>
  </si>
  <si>
    <t>검사 Step ID (TQD_STEP.STEP_ID 와 같은 값)</t>
  </si>
  <si>
    <t>검사 Test 번호 (KLARF InspectionTest, Test 마다 1행)</t>
  </si>
  <si>
    <t>Slot 번호 (KLARF Slot)</t>
  </si>
  <si>
    <t>Setup 번호 (TQD_SETUP.SETUP_SEQ)</t>
  </si>
  <si>
    <t>STATUS</t>
  </si>
  <si>
    <t>적재 / 마지막 변경 처리 시각 (yyyyMMddHHmmss 문자열)</t>
  </si>
  <si>
    <t>MAIN_EQ</t>
  </si>
  <si>
    <t>공정 설비 ID (옛 KtoD 는 MES 이력, DataService 는 검사 설비)</t>
  </si>
  <si>
    <t>ROUTE</t>
  </si>
  <si>
    <t>MES Route (옛 KtoD 만 MES 이력에서 채움, DataService 빈 값)</t>
  </si>
  <si>
    <t>OPER</t>
  </si>
  <si>
    <t>MES Operation (옛 KtoD 만 MES MAIN_OPER, DataService 빈 값)</t>
  </si>
  <si>
    <t>INSPECTION_EQ</t>
  </si>
  <si>
    <t>검사 설비 ID (적재 Handler 의 TQC_EQUIP 설비, 업로드는 화면 값)</t>
  </si>
  <si>
    <t>INSPECTION_PARAM</t>
  </si>
  <si>
    <t>KLARF DefectRecordSpec 항목 이름 목록 (쉼표 구분)</t>
  </si>
  <si>
    <t>VARCHAR2(256)</t>
  </si>
  <si>
    <t>DEFECTS</t>
  </si>
  <si>
    <t>해당 Test 의 Defect 수</t>
  </si>
  <si>
    <t>CLASSIFIED_DEFECTS</t>
  </si>
  <si>
    <t>분류된 Defect 수 (CLASSNUMBER &gt; 0, Review 적재 시 재계산)</t>
  </si>
  <si>
    <t>KILLER_DEFECTS</t>
  </si>
  <si>
    <t>Killer Defect 수 (적재 시 0 고정)</t>
  </si>
  <si>
    <t>RANDOM_DEFECTS</t>
  </si>
  <si>
    <t>Random Defect 수 (CLUSTERNUMBER = 0)</t>
  </si>
  <si>
    <t>ADDER_KILLER_DEFECT</t>
  </si>
  <si>
    <t>New Killer Defect 수 (적재 시 0 고정)</t>
  </si>
  <si>
    <t>ADDER_RANDOM_DEFECT</t>
  </si>
  <si>
    <t>New(ADDER &gt; 0) Random Defect 수</t>
  </si>
  <si>
    <t>CLUSTERS</t>
  </si>
  <si>
    <t>Cluster 에 속한 Defect 수 (CLUSTERNUMBER &gt; 0, 그룹 수 아님)</t>
  </si>
  <si>
    <t>ADDER_CLUSTERS</t>
  </si>
  <si>
    <t>New Cluster Defect 수</t>
  </si>
  <si>
    <t>CLUSTER_AREA</t>
  </si>
  <si>
    <t>Cluster Defect 면적 합 (um², DEFECTAREA 합)</t>
  </si>
  <si>
    <t>DEFECT_DD</t>
  </si>
  <si>
    <t>Defect Density (Defect 수 / 검사 면적 cm²)</t>
  </si>
  <si>
    <t>NUMBER(20,5)</t>
  </si>
  <si>
    <t>KILLER_DEFECT_DD</t>
  </si>
  <si>
    <t>Killer Defect Density (적재 시 0 고정)</t>
  </si>
  <si>
    <t>RANDOM_DEFECT_DD</t>
  </si>
  <si>
    <t>Random Defect 면적 합(um²) / 검사 면적(cm²)</t>
  </si>
  <si>
    <t>INSPECTED_DIE</t>
  </si>
  <si>
    <t>검사 Die 수 (KLARF SampleTestPlan Die 개수)</t>
  </si>
  <si>
    <t>DEFECTIVE_DIE</t>
  </si>
  <si>
    <t>Defect 가 있는 Die 수 (XINDEX, YINDEX 고유 개수)</t>
  </si>
  <si>
    <t>ADDER_DEF_DIE</t>
  </si>
  <si>
    <t>New Defect Die 수 (적재 시 0 고정)</t>
  </si>
  <si>
    <t>KILL_DEF_DIE</t>
  </si>
  <si>
    <t>Killer Defect Die 수 (적재 시 0 고정)</t>
  </si>
  <si>
    <t>KILL_ADDER_DEF_DIE</t>
  </si>
  <si>
    <t>New Killer Defect Die 수 (적재 시 0 고정)</t>
  </si>
  <si>
    <t>IMAGES</t>
  </si>
  <si>
    <t>Defect 이미지 수 (자동 적재 0, Review 적재 / 업로드 시 TQD_IMAGES 건수)</t>
  </si>
  <si>
    <t>SCAN_AREA</t>
  </si>
  <si>
    <t>검사 면적 (cm², KLARF AreaPerTest um² / 1e8)</t>
  </si>
  <si>
    <t>ADDER_DEFECTS</t>
  </si>
  <si>
    <t>New Defect 수 (ADDER &gt; 0)</t>
  </si>
  <si>
    <t>KILL_RND_DEFECTS</t>
  </si>
  <si>
    <t>Killer Random Defect 수 (적재 시 0 고정)</t>
  </si>
  <si>
    <t>COMMENT</t>
  </si>
  <si>
    <t>적재 구분 (Parser 자동 적재 / Upload KLARF 업로드 / Maint Update)</t>
  </si>
  <si>
    <t>VARCHAR2(128)</t>
  </si>
  <si>
    <t>RETICLE_ID</t>
  </si>
  <si>
    <t>Reticle ID (옛 KtoD 만 MES 이력에서 채움)</t>
  </si>
  <si>
    <t>INTERLOCK_FLAG</t>
  </si>
  <si>
    <t>설비 Interlock 표시 (옛 KtoD Interlock 검사용, 현재 빈 값)</t>
  </si>
  <si>
    <t>STEPPER_EQ</t>
  </si>
  <si>
    <t>노광(Stepper) 설비 ID (옛 KtoD 만 MES 이력에서 채움)</t>
  </si>
  <si>
    <t>SUMMARY_FLAG</t>
  </si>
  <si>
    <t>요약 처리 표시 (용도 미확인, 업로드는 ' ')</t>
  </si>
  <si>
    <t>TQD_INSP_INFO_PK</t>
  </si>
  <si>
    <t>IDX_INSP_INFO_01</t>
  </si>
  <si>
    <t>WAFER_SEQ, STEP_SEQ</t>
  </si>
  <si>
    <t>IDX_INSP_INFO_02</t>
  </si>
  <si>
    <t>PRODUCT, LOT_ID, WAFER_ID, STEP_ID</t>
  </si>
  <si>
    <t>IDX_INSP_INFO_03</t>
  </si>
  <si>
    <t>IDX_INSP_INFO_04</t>
  </si>
  <si>
    <t>IDX_INSP_INFO_05</t>
  </si>
  <si>
    <t>IDX_INSP_INFO_06</t>
  </si>
  <si>
    <t>TQD_INSP_SUM_PK (STEP_SEQ)</t>
  </si>
  <si>
    <t>TOTALDEFECT</t>
  </si>
  <si>
    <t>Step 전체 Defect 수</t>
  </si>
  <si>
    <t>NUMBER(6)</t>
  </si>
  <si>
    <t>TOTALCLUSTER</t>
  </si>
  <si>
    <t>Cluster 그룹 수 (CLUSTERNUMBER &gt; 0 고유 개수)</t>
  </si>
  <si>
    <t>TOTALRANDOM</t>
  </si>
  <si>
    <t>Random Defect 수 + Cluster 그룹 수 (Cluster 는 1개로 셈)</t>
  </si>
  <si>
    <t>TOTAL0_5UM</t>
  </si>
  <si>
    <t>전체 Defect 중 DSIZE/10 0.5 이하 인 수</t>
  </si>
  <si>
    <t>TOTAL0_7UM</t>
  </si>
  <si>
    <t>전체 Defect 중 DSIZE/10 0.5 초과 0.7 이하 인 수</t>
  </si>
  <si>
    <t>TOTAL1UM</t>
  </si>
  <si>
    <t>전체 Defect 중 DSIZE/10 0.7 초과 1 이하 인 수</t>
  </si>
  <si>
    <t>TOTAL2UM</t>
  </si>
  <si>
    <t>전체 Defect 중 DSIZE/10 1 초과 2 이하 인 수</t>
  </si>
  <si>
    <t>TOTAL3UM</t>
  </si>
  <si>
    <t>전체 Defect 중 DSIZE/10 2 초과 3 이하 인 수</t>
  </si>
  <si>
    <t>TOTAL4UM</t>
  </si>
  <si>
    <t>전체 Defect 중 DSIZE/10 3 초과 4 이하 인 수</t>
  </si>
  <si>
    <t>TOTAL5UM</t>
  </si>
  <si>
    <t>전체 Defect 중 DSIZE/10 4 초과 5 이하 인 수</t>
  </si>
  <si>
    <t>TOTAL6UM</t>
  </si>
  <si>
    <t>전체 Defect 중 DSIZE/10 5 초과 6 이하 인 수</t>
  </si>
  <si>
    <t>TOTAL7UM</t>
  </si>
  <si>
    <t>전체 Defect 중 DSIZE/10 6 초과 7 이하 인 수</t>
  </si>
  <si>
    <t>TOTALOS</t>
  </si>
  <si>
    <t>전체 Defect 중 DSIZE/10 7 초과 (Over Size) 인 수</t>
  </si>
  <si>
    <t>TOTALRANDOM0_5UM</t>
  </si>
  <si>
    <t>전체 Random Defect 중 DSIZE/10 0.5 이하 인 수</t>
  </si>
  <si>
    <t>TOTALRANDOM0_7UM</t>
  </si>
  <si>
    <t>전체 Random Defect 중 DSIZE/10 0.5 초과 0.7 이하 인 수</t>
  </si>
  <si>
    <t>TOTALRANDOM1UM</t>
  </si>
  <si>
    <t>전체 Random Defect 중 DSIZE/10 0.7 초과 1 이하 인 수</t>
  </si>
  <si>
    <t>TOTALRANDOM2UM</t>
  </si>
  <si>
    <t>전체 Random Defect 중 DSIZE/10 1 초과 2 이하 인 수</t>
  </si>
  <si>
    <t>TOTALRANDOM3UM</t>
  </si>
  <si>
    <t>전체 Random Defect 중 DSIZE/10 2 초과 3 이하 인 수</t>
  </si>
  <si>
    <t>TOTALRANDOM4UM</t>
  </si>
  <si>
    <t>전체 Random Defect 중 DSIZE/10 3 초과 4 이하 인 수</t>
  </si>
  <si>
    <t>TOTALRANDOM5UM</t>
  </si>
  <si>
    <t>전체 Random Defect 중 DSIZE/10 4 초과 5 이하 인 수</t>
  </si>
  <si>
    <t>TOTALRANDOM6UM</t>
  </si>
  <si>
    <t>전체 Random Defect 중 DSIZE/10 5 초과 6 이하 인 수</t>
  </si>
  <si>
    <t>TOTALRANDOM7UM</t>
  </si>
  <si>
    <t>전체 Random Defect 중 DSIZE/10 6 초과 7 이하 인 수</t>
  </si>
  <si>
    <t>TOTALRANDOMOS</t>
  </si>
  <si>
    <t>전체 Random Defect 중 DSIZE/10 7 초과 (Over Size) 인 수</t>
  </si>
  <si>
    <t>TOTALRETICLE</t>
  </si>
  <si>
    <t>전체 Reticle Defect 수 (적재 시 NULL)</t>
  </si>
  <si>
    <t>TOTALNONRETICLE</t>
  </si>
  <si>
    <t>전체 Non-Reticle Defect 수 (적재 시 NULL)</t>
  </si>
  <si>
    <t>TOTALRANDOMRETICLE</t>
  </si>
  <si>
    <t>전체 Random Reticle Defect 수 (적재 시 NULL)</t>
  </si>
  <si>
    <t>TOTALDEFECTDIE</t>
  </si>
  <si>
    <t>전체 Defect 가 있는 Die 수</t>
  </si>
  <si>
    <t>TOTALRANDOMDIE</t>
  </si>
  <si>
    <t>전체 Random Defect 가 있는 Die 수</t>
  </si>
  <si>
    <t>TOTALCLUSTERDIE</t>
  </si>
  <si>
    <t>전체 Cluster Defect 가 있는 Die 수</t>
  </si>
  <si>
    <t>NEWDEFECT</t>
  </si>
  <si>
    <t>New(ADDER=1) Defect 수</t>
  </si>
  <si>
    <t>NEWCLUSTER</t>
  </si>
  <si>
    <t>New Defect 의 Cluster 그룹 수</t>
  </si>
  <si>
    <t>NEWRANDOM</t>
  </si>
  <si>
    <t>New Random Defect 수 + New Cluster 그룹 수</t>
  </si>
  <si>
    <t>NEW0_5UM</t>
  </si>
  <si>
    <t>New(ADDER=1) Defect 중 DSIZE/10 0.5 이하 인 수</t>
  </si>
  <si>
    <t>NEW0_7UM</t>
  </si>
  <si>
    <t>New(ADDER=1) Defect 중 DSIZE/10 0.5 초과 0.7 이하 인 수</t>
  </si>
  <si>
    <t>NEW1UM</t>
  </si>
  <si>
    <t>New(ADDER=1) Defect 중 DSIZE/10 0.7 초과 1 이하 인 수</t>
  </si>
  <si>
    <t>NEW2UM</t>
  </si>
  <si>
    <t>New(ADDER=1) Defect 중 DSIZE/10 1 초과 2 이하 인 수</t>
  </si>
  <si>
    <t>NEW3UM</t>
  </si>
  <si>
    <t>New(ADDER=1) Defect 중 DSIZE/10 2 초과 3 이하 인 수</t>
  </si>
  <si>
    <t>NEW4UM</t>
  </si>
  <si>
    <t>New(ADDER=1) Defect 중 DSIZE/10 3 초과 4 이하 인 수</t>
  </si>
  <si>
    <t>NEW5UM</t>
  </si>
  <si>
    <t>New(ADDER=1) Defect 중 DSIZE/10 4 초과 5 이하 인 수</t>
  </si>
  <si>
    <t>NEW6UM</t>
  </si>
  <si>
    <t>New(ADDER=1) Defect 중 DSIZE/10 5 초과 6 이하 인 수</t>
  </si>
  <si>
    <t>NEW7UM</t>
  </si>
  <si>
    <t>New(ADDER=1) Defect 중 DSIZE/10 6 초과 7 이하 인 수</t>
  </si>
  <si>
    <t>NEWOS</t>
  </si>
  <si>
    <t>New(ADDER=1) Defect 중 DSIZE/10 7 초과 (Over Size) 인 수</t>
  </si>
  <si>
    <t>NEWRANDOM0_5UM</t>
  </si>
  <si>
    <t>New(ADDER=1) Random Defect 중 DSIZE/10 0.5 이하 인 수</t>
  </si>
  <si>
    <t>NEWRANDOM0_7UM</t>
  </si>
  <si>
    <t>New(ADDER=1) Random Defect 중 DSIZE/10 0.5 초과 0.7 이하 인 수</t>
  </si>
  <si>
    <t>NEWRANDOM1UM</t>
  </si>
  <si>
    <t>New(ADDER=1) Random Defect 중 DSIZE/10 0.7 초과 1 이하 인 수</t>
  </si>
  <si>
    <t>NEWRANDOM2UM</t>
  </si>
  <si>
    <t>New(ADDER=1) Random Defect 중 DSIZE/10 1 초과 2 이하 인 수</t>
  </si>
  <si>
    <t>NEWRANDOM3UM</t>
  </si>
  <si>
    <t>New(ADDER=1) Random Defect 중 DSIZE/10 2 초과 3 이하 인 수</t>
  </si>
  <si>
    <t>NEWRANDOM4UM</t>
  </si>
  <si>
    <t>New(ADDER=1) Random Defect 중 DSIZE/10 3 초과 4 이하 인 수</t>
  </si>
  <si>
    <t>NEWRANDOM5UM</t>
  </si>
  <si>
    <t>New(ADDER=1) Random Defect 중 DSIZE/10 4 초과 5 이하 인 수</t>
  </si>
  <si>
    <t>NEWRANDOM6UM</t>
  </si>
  <si>
    <t>New(ADDER=1) Random Defect 중 DSIZE/10 5 초과 6 이하 인 수</t>
  </si>
  <si>
    <t>NEWRANDOM7UM</t>
  </si>
  <si>
    <t>New(ADDER=1) Random Defect 중 DSIZE/10 6 초과 7 이하 인 수</t>
  </si>
  <si>
    <t>NEWRANDOMOS</t>
  </si>
  <si>
    <t>New(ADDER=1) Random Defect 중 DSIZE/10 7 초과 (Over Size) 인 수</t>
  </si>
  <si>
    <t>NEWRETICLE</t>
  </si>
  <si>
    <t>New(ADDER=1) Reticle Defect 수 (적재 시 NULL)</t>
  </si>
  <si>
    <t>NEWNONRETICLE</t>
  </si>
  <si>
    <t>New(ADDER=1) Non-Reticle Defect 수 (적재 시 NULL)</t>
  </si>
  <si>
    <t>NEWRANDOMRETICLE</t>
  </si>
  <si>
    <t>New(ADDER=1) Random Reticle Defect 수 (적재 시 NULL)</t>
  </si>
  <si>
    <t>NEWDEFECTDIE</t>
  </si>
  <si>
    <t>New(ADDER=1) Defect 가 있는 Die 수</t>
  </si>
  <si>
    <t>NEWRANDOMDIE</t>
  </si>
  <si>
    <t>New(ADDER=1) Random Defect 가 있는 Die 수</t>
  </si>
  <si>
    <t>NEWCLUSTERDIE</t>
  </si>
  <si>
    <t>New(ADDER=1) Cluster Defect 가 있는 Die 수</t>
  </si>
  <si>
    <t>TQD_INSP_SUM_PK</t>
  </si>
  <si>
    <t>SYS_C0010417 (LOT_SEQ)</t>
  </si>
  <si>
    <t>Lot 번호 (LOT_SEQ 시퀀스)</t>
  </si>
  <si>
    <t>Lot ID (KLARF LotID 대문자, 자동 적재는 앞 'A' 제거)</t>
  </si>
  <si>
    <t>Product (TQD_PRODUCT.PRODUCT)</t>
  </si>
  <si>
    <t>생성 경로 (Parser / Upload / Maint Update)</t>
  </si>
  <si>
    <t>SYS_C0010417</t>
  </si>
  <si>
    <t>SYS_C0055302 (PRODUCT)</t>
  </si>
  <si>
    <t>Product = KLARF DeviceID (업로드는 화면 Product)</t>
  </si>
  <si>
    <t>NETDIE</t>
  </si>
  <si>
    <t>Net Die 수 (첫 KLARF 검사 Die 수, 업로드는 Map 사용 Die 수)</t>
  </si>
  <si>
    <t>WAFER_SIZE</t>
  </si>
  <si>
    <t>Wafer 크기 (um, KLARF SampleSize mm x 1000)</t>
  </si>
  <si>
    <t>ANGLE</t>
  </si>
  <si>
    <t>Orientation Mark 각도 (DOWN 0 / LEFT 90 / TOP 180 / RIGHT 270)</t>
  </si>
  <si>
    <t>NOTCH_TYPE</t>
  </si>
  <si>
    <t>Orientation Mark 형태 (적재 시 'N' 고정, 'F' = Flat)</t>
  </si>
  <si>
    <t>DIE_PITCH_X</t>
  </si>
  <si>
    <t>Die Pitch X (um, KLARF DiePitch)</t>
  </si>
  <si>
    <t>DIE_PITCH_Y</t>
  </si>
  <si>
    <t>Die Pitch Y (um, KLARF DiePitch)</t>
  </si>
  <si>
    <t>DIE_ORIGIN_X</t>
  </si>
  <si>
    <t>Origin Die Index X (KLARF 원점 Die 의 좌하단 기준 번호)</t>
  </si>
  <si>
    <t>DIE_ORIGIN_Y</t>
  </si>
  <si>
    <t>Origin Die Index Y (KLARF 원점 Die 의 좌하단 기준 번호)</t>
  </si>
  <si>
    <t>ORIGIN_X</t>
  </si>
  <si>
    <t>Wafer 중심 위치 X (um, KLARF SampleCenterLocation)</t>
  </si>
  <si>
    <t>ORIGIN_Y</t>
  </si>
  <si>
    <t>Wafer 중심 위치 Y (um, KLARF SampleCenterLocation)</t>
  </si>
  <si>
    <t>SYS_C0055302</t>
  </si>
  <si>
    <t>PK_TQD_REVIEW_SUM (STEP_SEQ)</t>
  </si>
  <si>
    <t>2 ~ 257</t>
  </si>
  <si>
    <t>CAT0 ~ CAT255 (256개)</t>
  </si>
  <si>
    <t>CLASSNUMBER n 인 Defect 수 (CATn, Cluster 는 1개, CAT0 은 0 고정)</t>
  </si>
  <si>
    <t>PK_TQD_REVIEW_SUM</t>
  </si>
  <si>
    <t>PK_SETUP (SETUP_SEQ)</t>
  </si>
  <si>
    <t>Setup 번호 (SETUP_SEQ 시퀀스)</t>
  </si>
  <si>
    <t>SETUP_ID</t>
  </si>
  <si>
    <t>KLARF SetupID (검사 Recipe 이름, 로컬 DB 128자로 확대)</t>
  </si>
  <si>
    <t>KLARF StepID 원문 (8자리 변환 없음)</t>
  </si>
  <si>
    <t>SETUP_TIME</t>
  </si>
  <si>
    <t>KLARF SetupID 의 일시 (MM-DD-YY HH:MI:SS)</t>
  </si>
  <si>
    <t>Wafer 크기 (um, KLARF SampleSize mm x 1000, 업로드는 Map Setup)</t>
  </si>
  <si>
    <t>200000</t>
  </si>
  <si>
    <t>'F'</t>
  </si>
  <si>
    <t>Die Pitch X (um, KLARF DiePitch, 업로드는 Map Setup)</t>
  </si>
  <si>
    <t>Die Pitch Y (um, KLARF DiePitch, 업로드는 Map Setup)</t>
  </si>
  <si>
    <t>Origin Die Index X (좌하단 기준, Index 변환에 사용)</t>
  </si>
  <si>
    <t>Origin Die Index Y (좌하단 기준, Index 변환에 사용)</t>
  </si>
  <si>
    <t>STREET_X</t>
  </si>
  <si>
    <t>Street(Scribe Line) 폭 X (적재 값 0, 갱신 호출 소스 없음)</t>
  </si>
  <si>
    <t>STREET_Y</t>
  </si>
  <si>
    <t>Street(Scribe Line) 폭 Y (적재 값 0, 갱신 호출 소스 없음)</t>
  </si>
  <si>
    <t>PK_SETUP</t>
  </si>
  <si>
    <t>IDX_TQD_SETUP_01</t>
  </si>
  <si>
    <t>SETUP_ID, STEP_ID, SETUP_TIME</t>
  </si>
  <si>
    <t>PK_TQD_SETUP</t>
  </si>
  <si>
    <t>PK_SETUP_MAP (SETUP_SEQ, TEST, INDEX_X, INDEX_Y)</t>
  </si>
  <si>
    <t>검사 Test 번호 (KLARF InspectionTest)</t>
  </si>
  <si>
    <t>INDEX_X</t>
  </si>
  <si>
    <t>검사 Die X Index (좌하단 기준, KLARF SampleTestPlan)</t>
  </si>
  <si>
    <t>INDEX_Y</t>
  </si>
  <si>
    <t>검사 Die Y Index (좌하단 기준, KLARF SampleTestPlan)</t>
  </si>
  <si>
    <t>PK_SETUP_MAP</t>
  </si>
  <si>
    <t>IDX_TQD_SETUP_MAP_01</t>
  </si>
  <si>
    <t>PK_TQD_SETUP_MAP</t>
  </si>
  <si>
    <t>SYS_C0010156 (STEP_SEQ)</t>
  </si>
  <si>
    <t>검사 Step 번호 (STEP_SEQ 시퀀스), Defect 조회의 기준 키</t>
  </si>
  <si>
    <t>Test 번호 (자동 적재 1 고정, 옛 KtoD 는 KLARF InspectionTest)</t>
  </si>
  <si>
    <t>검사 Step ID (KLARF StepID, 자동 적재는 8자리 아니면 SetupID '_' 뒤 값)</t>
  </si>
  <si>
    <t>RESULT_ID</t>
  </si>
  <si>
    <t>결과 ID (자동 적재 / 업로드 = LotID, 옛 KtoD = KLARF ResultsID)</t>
  </si>
  <si>
    <t>TQC_EQUIP</t>
  </si>
  <si>
    <t>REVIEW_EQ</t>
  </si>
  <si>
    <t>Review 설비 ID (Review KLARF 적재 시 기록, 기본 ' ')</t>
  </si>
  <si>
    <t>검사 시각 (KLARF ResultTimestamp), 기존 등록 판정 키 일부</t>
  </si>
  <si>
    <t>공정 설비 ID (자동 적재는 검사 설비, 없으면 'UNKNOWN')</t>
  </si>
  <si>
    <t>MES Route (자동 적재 ' ')</t>
  </si>
  <si>
    <t>MES Operation (자동 적재 ' ')</t>
  </si>
  <si>
    <t>검사 면적 (옛 KtoD 만 값, 자동 적재 -1, 실제 값은 INSP_INFO)</t>
  </si>
  <si>
    <t>Defect Die 수 (옛 KtoD 만 값, 자동 적재 -1)</t>
  </si>
  <si>
    <t>Defect 수 (옛 KtoD 만 값, 자동 적재 -1)</t>
  </si>
  <si>
    <t>이미지 수 (Review 적재 / 업로드 시 갱신, 기본 0)</t>
  </si>
  <si>
    <t>Defect Density (옛 KtoD 만 값, 자동 적재 -1)</t>
  </si>
  <si>
    <t>INSP_FILENAME</t>
  </si>
  <si>
    <t>검사 KLARF 파일명</t>
  </si>
  <si>
    <t>INSP_FILEPATH</t>
  </si>
  <si>
    <t>KLARF 백업 폴더 FTP 상대 경로 (예 FTP/SCK/20261013/{Lot})</t>
  </si>
  <si>
    <t>적재 구분 (Parser / UPLOAD;USER=..;FILE=..;RAW_WAFER_ID=.. 등)</t>
  </si>
  <si>
    <t>VARCHAR2(500)</t>
  </si>
  <si>
    <t>TEST_ORDER</t>
  </si>
  <si>
    <t>같은 Wafer + Step ID 재검사 순번 (최신 1, 이전일수록 증가)</t>
  </si>
  <si>
    <t>REVIEW_FILENAME</t>
  </si>
  <si>
    <t>Review KLARF 파일명</t>
  </si>
  <si>
    <t>REVIEW_FILEPATH</t>
  </si>
  <si>
    <t>Review KLARF 백업 폴더 FTP 상대 경로</t>
  </si>
  <si>
    <t>SYS_C0010156</t>
  </si>
  <si>
    <t>IDX_TQD_STEP_01</t>
  </si>
  <si>
    <t>SYS_C0010161 (WAFER_SEQ)</t>
  </si>
  <si>
    <t>Wafer 번호 (WAFER_SEQ 시퀀스)</t>
  </si>
  <si>
    <t>Lot 번호 (TQD_LOT.LOT_SEQ)</t>
  </si>
  <si>
    <t>DMS Wafer ID = {LOT_ID}-{Slot 2자리} (KLARF WaferID 원문 아님)</t>
  </si>
  <si>
    <t>NUMBER(2)</t>
  </si>
  <si>
    <t>비고 (CREATE_WAFER 가 빈 값 고정)</t>
  </si>
  <si>
    <t>SYS_C0010161</t>
  </si>
  <si>
    <t>IDX_TQD_WAFER_01</t>
  </si>
  <si>
    <t>테이블 관계 (논리)</t>
  </si>
  <si>
    <t>이 영역의 테이블에는 DB FK 가 없다. Query XML / 소스의 조인 조건으로 확인한 관계만 적는다. [다른 영역] = 부모 또는 자식이 이 명세서 밖의 테이블.</t>
  </si>
  <si>
    <t>자식 테이블</t>
  </si>
  <si>
    <t>자식 컬럼</t>
  </si>
  <si>
    <t>부모 테이블</t>
  </si>
  <si>
    <t>부모 컬럼</t>
  </si>
  <si>
    <t>근거 / 비고</t>
  </si>
  <si>
    <t>Lot 의 Product (TQD_STEP.xml CHECK_EXIST_WAFERID)</t>
  </si>
  <si>
    <t>Lot 의 Wafer (CHECK_EXIST_WAFERID / TQD_WAFER.xml SELECT_WAFER_INFO_02)</t>
  </si>
  <si>
    <t>Wafer 의 검사 Step (CHECK_EXIST_WAFERID / TQD_STEP_SUM.xml SELECT_STEP_INFO)</t>
  </si>
  <si>
    <t>Step 의 Setup (InspectionDataService Step 1 / 6 이 같은 SETUP_SEQ 저장)</t>
  </si>
  <si>
    <t>EQUIP_ID</t>
  </si>
  <si>
    <t>[다른 영역] 검사 설비 (TQD_INSP_INFO.xml SELECT_INSP_DETAIL, UPPER(INSPECTION_EQ) 조인)</t>
  </si>
  <si>
    <t>STEP_SEQ, WAFER_SEQ</t>
  </si>
  <si>
    <t>Step 의 Test 별 요약 (TQD_INSP_INFO.xml SELECT_INSP_DETAIL / SELECT_LOT_INSP_INFO)</t>
  </si>
  <si>
    <t>Map 좌표 기준 (SELECT_DMS_WAFER_INFO / TQD_SETUP.xml SELECT_SETUP_DUPLE)</t>
  </si>
  <si>
    <t>FACTORY, PRODUCT</t>
  </si>
  <si>
    <t>FACTORY, MAPID</t>
  </si>
  <si>
    <t>[다른 영역] Map Setup 정보, 외부 조인 (GET_INSP_INFO_MULTI_SEQ, SELECT_DMS_WAFER_INFO 는 PRODUCT 만)</t>
  </si>
  <si>
    <t>LOT_ID, WAFER_ID</t>
  </si>
  <si>
    <t>[다른 영역] YMS Wafer 수율 연결 (TQD_DEFECT_DIE.xml SELECT_DEFECT_DIE, Data Sheet 는 LOT_ID + SLOT_ID 외부 조인)</t>
  </si>
  <si>
    <t>Setup 의 검사 Die. Map 은 INSP_INFO 의 SETUP_SEQ + TEST 로 조회 (SELECT_X_Y / GET_DENSITY)</t>
  </si>
  <si>
    <t>Step 의 Defect 목록 (TQD_DEFECT.xml SELECT_LAST_WAFER_DEFECT)</t>
  </si>
  <si>
    <t>STEP_SEQ, WAFER_SEQ, TEST</t>
  </si>
  <si>
    <t>Test 별 Defect (UPDATE_INSP_INFO[REVIEW_PARSER] / TQD_IMAGES.xml GET_DEFECT_IMAGE_ALL)</t>
  </si>
  <si>
    <t>Class 이름 / 색, 외부 조인 (TQD_DEFECT.xml SELECT_DEFECT_MULTI)</t>
  </si>
  <si>
    <t>Class 의 그룹, 외부 조인 (TQD_DEFECT_TYPE.xml SELECT_DEFECT_BY_TYPE)</t>
  </si>
  <si>
    <t>Defect 의 이미지 (TQD_IMAGES.xml SELECT_DEFECT_INFO / TQD_DEFECT.xml UPDATE_IMAGECOUNT)</t>
  </si>
  <si>
    <t>TQD_DEFECT 를 STEP_SEQ 로 집계 (INSERT_DATA), 조회는 TQD_INSP_INFO 와 STEP_SEQ 조인 (GET_DATASHEET_01)</t>
  </si>
  <si>
    <t>TQD_DEFECT 를 STEP_SEQ 로 Class 별 집계 (TQD_REVIEW_SUM.XML INSERT_DATA)</t>
  </si>
  <si>
    <t>DM_STEP_SEQ, DM_DEFECTID</t>
  </si>
  <si>
    <t>매칭된 Defect (TQD_DEFECT_DIE.xml INSERT_DATA)</t>
  </si>
  <si>
    <t>검사 Step (TQD_STEP.xml SELECT_TST_BIN_INFO, SELECT_DEFECT_DIE 는 TQD_INSP_INFO 와 조인)</t>
  </si>
  <si>
    <t>[다른 영역] YMS Test Wafer (INSERT_DATA, SELECT_TST_BIN_INFO 는 TQP_WAFER_SUM.WAFER_SEQ 와 조인)</t>
  </si>
  <si>
    <t>사용 Query XML</t>
  </si>
  <si>
    <t>시작</t>
  </si>
  <si>
    <t>증가</t>
  </si>
  <si>
    <t>CACHE</t>
  </si>
  <si>
    <t>비고</t>
  </si>
  <si>
    <t>TQD_LOT.xml, TQP_LOT.xml, TQP_WAFER_SUM.xml, T_AVI_TABLE.xml</t>
  </si>
  <si>
    <t>DMS / YMS 가 같은 시퀀스를 쓴다 (번호가 서로 겹치지 않음)</t>
  </si>
  <si>
    <t>TQD_WAFER.xml, TQP_WAFER.xml, TQP_WAFER_SUM.xml, T_AVI_TABLE.xml, T_PRB.xml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</si>
</sst>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&quot;개&quot;"/>
    <numFmt numFmtId="177" formatCode="0&quot;행  - Query XML / C# 소스에서 쓰임을 확인&quot;"/>
    <numFmt numFmtId="178" formatCode="0&quot;행  - 근거 자료 없이 컬럼 이름과 값으로 추정 - 확인 필요&quot;"/>
  </numFmts>
  <fonts count="9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8"/>
  <sheetViews>
    <sheetView showGridLines="0" tabSelected="1" workbookViewId="0"/>
  </sheetViews>
  <sheetFormatPr defaultRowHeight="17" x14ac:dyDescent="0.45"/>
  <cols>
    <col min="1" max="1" width="4" customWidth="1"/>
    <col min="2" max="2" width="22" customWidth="1"/>
    <col min="3" max="3" width="90" customWidth="1"/>
  </cols>
  <sheetData>
    <row r="2" spans="2:3" ht="32" customHeight="1" x14ac:dyDescent="0.45">
      <c r="B2" s="17" t="s">
        <v>0</v>
      </c>
      <c r="C2" s="18"/>
    </row>
    <row r="4" spans="2:3" x14ac:dyDescent="0.45">
      <c r="B4" s="1" t="s">
        <v>1</v>
      </c>
      <c r="C4" s="2" t="s">
        <v>2</v>
      </c>
    </row>
    <row r="5" spans="2:3" x14ac:dyDescent="0.45">
      <c r="B5" s="1" t="s">
        <v>3</v>
      </c>
      <c r="C5" s="2" t="s">
        <v>4</v>
      </c>
    </row>
    <row r="6" spans="2:3" x14ac:dyDescent="0.45">
      <c r="B6" s="1" t="s">
        <v>5</v>
      </c>
      <c r="C6" s="2" t="s">
        <v>6</v>
      </c>
    </row>
    <row r="7" spans="2:3" x14ac:dyDescent="0.45">
      <c r="B7" s="1" t="s">
        <v>7</v>
      </c>
      <c r="C7" s="2" t="s">
        <v>8</v>
      </c>
    </row>
    <row r="8" spans="2:3" ht="32" x14ac:dyDescent="0.45">
      <c r="B8" s="1" t="s">
        <v>9</v>
      </c>
      <c r="C8" s="2" t="s">
        <v>10</v>
      </c>
    </row>
    <row r="9" spans="2:3" x14ac:dyDescent="0.45">
      <c r="B9" s="1" t="s">
        <v>11</v>
      </c>
      <c r="C9" s="2" t="s">
        <v>12</v>
      </c>
    </row>
    <row r="10" spans="2:3" x14ac:dyDescent="0.45">
      <c r="B10" s="1" t="s">
        <v>13</v>
      </c>
      <c r="C10" s="2" t="s">
        <v>14</v>
      </c>
    </row>
    <row r="12" spans="2:3" x14ac:dyDescent="0.45">
      <c r="B12" s="3" t="s">
        <v>15</v>
      </c>
      <c r="C12" s="3" t="s">
        <v>16</v>
      </c>
    </row>
    <row r="13" spans="2:3" x14ac:dyDescent="0.45">
      <c r="B13" s="4" t="s">
        <v>17</v>
      </c>
      <c r="C13" s="5">
        <f>COUNTA('테이블 목록'!B4:B19)</f>
        <v>16</v>
      </c>
    </row>
    <row r="14" spans="2:3" x14ac:dyDescent="0.45">
      <c r="B14" s="4" t="s">
        <v>18</v>
      </c>
      <c r="C14" s="5">
        <f>'테이블 목록'!E20</f>
        <v>515</v>
      </c>
    </row>
    <row r="15" spans="2:3" x14ac:dyDescent="0.45">
      <c r="B15" s="4" t="s">
        <v>19</v>
      </c>
      <c r="C15" s="6">
        <f>'테이블 목록'!I20</f>
        <v>233</v>
      </c>
    </row>
    <row r="16" spans="2:3" x14ac:dyDescent="0.45">
      <c r="B16" s="4" t="s">
        <v>20</v>
      </c>
      <c r="C16" s="7">
        <f>'테이블 목록'!J20</f>
        <v>27</v>
      </c>
    </row>
    <row r="18" spans="2:3" x14ac:dyDescent="0.45">
      <c r="B18" s="3" t="s">
        <v>21</v>
      </c>
      <c r="C18" s="3" t="s">
        <v>22</v>
      </c>
    </row>
    <row r="19" spans="2:3" x14ac:dyDescent="0.45">
      <c r="B19" s="8" t="s">
        <v>23</v>
      </c>
      <c r="C19" s="2" t="s">
        <v>24</v>
      </c>
    </row>
    <row r="20" spans="2:3" x14ac:dyDescent="0.45">
      <c r="B20" s="4" t="s">
        <v>25</v>
      </c>
      <c r="C20" s="2" t="s">
        <v>26</v>
      </c>
    </row>
    <row r="21" spans="2:3" x14ac:dyDescent="0.45">
      <c r="B21" s="8" t="s">
        <v>27</v>
      </c>
      <c r="C21" s="2" t="s">
        <v>28</v>
      </c>
    </row>
    <row r="22" spans="2:3" x14ac:dyDescent="0.45">
      <c r="B22" s="8" t="s">
        <v>29</v>
      </c>
      <c r="C22" s="2" t="s">
        <v>30</v>
      </c>
    </row>
    <row r="24" spans="2:3" x14ac:dyDescent="0.45">
      <c r="B24" s="3" t="s">
        <v>31</v>
      </c>
      <c r="C24" s="3" t="s">
        <v>32</v>
      </c>
    </row>
    <row r="25" spans="2:3" x14ac:dyDescent="0.45">
      <c r="B25" s="4" t="s">
        <v>33</v>
      </c>
      <c r="C25" s="2" t="s">
        <v>34</v>
      </c>
    </row>
    <row r="26" spans="2:3" x14ac:dyDescent="0.45">
      <c r="B26" s="4" t="s">
        <v>35</v>
      </c>
      <c r="C26" s="2" t="s">
        <v>36</v>
      </c>
    </row>
    <row r="27" spans="2:3" x14ac:dyDescent="0.45">
      <c r="B27" s="4" t="s">
        <v>37</v>
      </c>
      <c r="C27" s="2" t="s">
        <v>38</v>
      </c>
    </row>
    <row r="28" spans="2:3" x14ac:dyDescent="0.45">
      <c r="B28" s="4" t="s">
        <v>39</v>
      </c>
      <c r="C28" s="2" t="s">
        <v>40</v>
      </c>
    </row>
    <row r="29" spans="2:3" x14ac:dyDescent="0.45">
      <c r="B29" s="4" t="s">
        <v>41</v>
      </c>
      <c r="C29" s="2" t="s">
        <v>42</v>
      </c>
    </row>
    <row r="31" spans="2:3" x14ac:dyDescent="0.45">
      <c r="B31" s="3" t="s">
        <v>43</v>
      </c>
      <c r="C31" s="3" t="s">
        <v>22</v>
      </c>
    </row>
    <row r="32" spans="2:3" ht="48" x14ac:dyDescent="0.45">
      <c r="B32" s="4" t="s">
        <v>44</v>
      </c>
      <c r="C32" s="2" t="s">
        <v>45</v>
      </c>
    </row>
    <row r="33" spans="2:3" ht="32" x14ac:dyDescent="0.45">
      <c r="B33" s="4" t="s">
        <v>46</v>
      </c>
      <c r="C33" s="2" t="s">
        <v>47</v>
      </c>
    </row>
    <row r="34" spans="2:3" ht="32" x14ac:dyDescent="0.45">
      <c r="B34" s="4" t="s">
        <v>48</v>
      </c>
      <c r="C34" s="2" t="s">
        <v>49</v>
      </c>
    </row>
    <row r="35" spans="2:3" ht="32" x14ac:dyDescent="0.45">
      <c r="B35" s="4" t="s">
        <v>50</v>
      </c>
      <c r="C35" s="2" t="s">
        <v>51</v>
      </c>
    </row>
    <row r="36" spans="2:3" x14ac:dyDescent="0.45">
      <c r="B36" s="4" t="s">
        <v>52</v>
      </c>
      <c r="C36" s="2" t="s">
        <v>53</v>
      </c>
    </row>
    <row r="37" spans="2:3" x14ac:dyDescent="0.45">
      <c r="B37" s="4" t="s">
        <v>54</v>
      </c>
      <c r="C37" s="2" t="s">
        <v>55</v>
      </c>
    </row>
    <row r="38" spans="2:3" ht="32" x14ac:dyDescent="0.45">
      <c r="B38" s="4" t="s">
        <v>56</v>
      </c>
      <c r="C38" s="2" t="s">
        <v>57</v>
      </c>
    </row>
  </sheetData>
  <mergeCells count="1">
    <mergeCell ref="B2:C2"/>
  </mergeCells>
  <phoneticPr fontId="8" type="noConversion"/>
  <hyperlinks>
    <hyperlink ref="B19" location="'테이블 목록'!A1" display="테이블 목록"/>
    <hyperlink ref="B21" location="'관계(논리)'!A1" display="관계(논리)"/>
    <hyperlink ref="B22" location="'시퀀스'!A1" display="시퀀스"/>
  </hyperlinks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5" customWidth="1"/>
    <col min="2" max="2" width="24" customWidth="1"/>
    <col min="3" max="3" width="50" customWidth="1"/>
    <col min="4" max="4" width="30" customWidth="1"/>
    <col min="5" max="5" width="8" customWidth="1"/>
    <col min="6" max="6" width="36" customWidth="1"/>
    <col min="7" max="7" width="30" customWidth="1"/>
    <col min="8" max="8" width="24" customWidth="1"/>
    <col min="9" max="10" width="9" customWidth="1"/>
  </cols>
  <sheetData>
    <row r="1" spans="1:10" ht="26" customHeight="1" x14ac:dyDescent="0.45">
      <c r="A1" s="19" t="s">
        <v>58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ht="32" x14ac:dyDescent="0.45">
      <c r="A3" s="3" t="s">
        <v>59</v>
      </c>
      <c r="B3" s="3" t="s">
        <v>60</v>
      </c>
      <c r="C3" s="3" t="s">
        <v>61</v>
      </c>
      <c r="D3" s="3" t="s">
        <v>62</v>
      </c>
      <c r="E3" s="3" t="s">
        <v>18</v>
      </c>
      <c r="F3" s="3" t="s">
        <v>63</v>
      </c>
      <c r="G3" s="3" t="s">
        <v>64</v>
      </c>
      <c r="H3" s="3" t="s">
        <v>65</v>
      </c>
      <c r="I3" s="3" t="s">
        <v>19</v>
      </c>
      <c r="J3" s="3" t="s">
        <v>20</v>
      </c>
    </row>
    <row r="4" spans="1:10" ht="32" x14ac:dyDescent="0.45">
      <c r="A4" s="9">
        <v>1</v>
      </c>
      <c r="B4" s="10" t="s">
        <v>66</v>
      </c>
      <c r="C4" s="2" t="s">
        <v>67</v>
      </c>
      <c r="D4" s="2" t="s">
        <v>68</v>
      </c>
      <c r="E4" s="9">
        <f>TQD_COLORBYSIZE!E5</f>
        <v>5</v>
      </c>
      <c r="F4" s="2" t="s">
        <v>69</v>
      </c>
      <c r="G4" s="2"/>
      <c r="H4" s="2" t="s">
        <v>70</v>
      </c>
      <c r="I4" s="9">
        <f>COUNTIF(TQD_COLORBYSIZE!I9:I13,"소스")</f>
        <v>5</v>
      </c>
      <c r="J4" s="9">
        <f>COUNTIF(TQD_COLORBYSIZE!I9:I13,"이름 추정")</f>
        <v>0</v>
      </c>
    </row>
    <row r="5" spans="1:10" x14ac:dyDescent="0.45">
      <c r="A5" s="9">
        <v>2</v>
      </c>
      <c r="B5" s="10" t="s">
        <v>71</v>
      </c>
      <c r="C5" s="2" t="s">
        <v>72</v>
      </c>
      <c r="D5" s="2" t="s">
        <v>73</v>
      </c>
      <c r="E5" s="9">
        <f>TQD_DATA_MAINT_HIS!E5</f>
        <v>13</v>
      </c>
      <c r="F5" s="2" t="s">
        <v>74</v>
      </c>
      <c r="G5" s="2"/>
      <c r="H5" s="2" t="s">
        <v>75</v>
      </c>
      <c r="I5" s="9">
        <f>COUNTIF(TQD_DATA_MAINT_HIS!I9:I21,"소스")</f>
        <v>13</v>
      </c>
      <c r="J5" s="9">
        <f>COUNTIF(TQD_DATA_MAINT_HIS!I9:I21,"이름 추정")</f>
        <v>0</v>
      </c>
    </row>
    <row r="6" spans="1:10" ht="48" x14ac:dyDescent="0.45">
      <c r="A6" s="9">
        <v>3</v>
      </c>
      <c r="B6" s="10" t="s">
        <v>76</v>
      </c>
      <c r="C6" s="2" t="s">
        <v>77</v>
      </c>
      <c r="D6" s="2" t="s">
        <v>78</v>
      </c>
      <c r="E6" s="9">
        <f>TQD_DEFECT!E5</f>
        <v>32</v>
      </c>
      <c r="F6" s="2" t="s">
        <v>79</v>
      </c>
      <c r="G6" s="2" t="s">
        <v>80</v>
      </c>
      <c r="H6" s="2" t="s">
        <v>81</v>
      </c>
      <c r="I6" s="9">
        <f>COUNTIF(TQD_DEFECT!I9:I40,"소스")</f>
        <v>21</v>
      </c>
      <c r="J6" s="9">
        <f>COUNTIF(TQD_DEFECT!I9:I40,"이름 추정")</f>
        <v>11</v>
      </c>
    </row>
    <row r="7" spans="1:10" ht="32" x14ac:dyDescent="0.45">
      <c r="A7" s="9">
        <v>4</v>
      </c>
      <c r="B7" s="10" t="s">
        <v>82</v>
      </c>
      <c r="C7" s="2" t="s">
        <v>83</v>
      </c>
      <c r="D7" s="2" t="s">
        <v>84</v>
      </c>
      <c r="E7" s="9">
        <f>TQD_DEFECT_DIE!E5</f>
        <v>8</v>
      </c>
      <c r="F7" s="2" t="s">
        <v>85</v>
      </c>
      <c r="G7" s="2" t="s">
        <v>86</v>
      </c>
      <c r="H7" s="2" t="s">
        <v>87</v>
      </c>
      <c r="I7" s="9">
        <f>COUNTIF(TQD_DEFECT_DIE!I9:I16,"소스")</f>
        <v>8</v>
      </c>
      <c r="J7" s="9">
        <f>COUNTIF(TQD_DEFECT_DIE!I9:I16,"이름 추정")</f>
        <v>0</v>
      </c>
    </row>
    <row r="8" spans="1:10" ht="32" x14ac:dyDescent="0.45">
      <c r="A8" s="9">
        <v>5</v>
      </c>
      <c r="B8" s="10" t="s">
        <v>88</v>
      </c>
      <c r="C8" s="2" t="s">
        <v>89</v>
      </c>
      <c r="D8" s="2" t="s">
        <v>90</v>
      </c>
      <c r="E8" s="9">
        <f>TQD_DEFECT_GROUP!E5</f>
        <v>7</v>
      </c>
      <c r="F8" s="2" t="s">
        <v>91</v>
      </c>
      <c r="G8" s="2" t="s">
        <v>92</v>
      </c>
      <c r="H8" s="2" t="s">
        <v>93</v>
      </c>
      <c r="I8" s="9">
        <f>COUNTIF(TQD_DEFECT_GROUP!I9:I15,"소스")</f>
        <v>7</v>
      </c>
      <c r="J8" s="9">
        <f>COUNTIF(TQD_DEFECT_GROUP!I9:I15,"이름 추정")</f>
        <v>0</v>
      </c>
    </row>
    <row r="9" spans="1:10" ht="32" x14ac:dyDescent="0.45">
      <c r="A9" s="9">
        <v>6</v>
      </c>
      <c r="B9" s="10" t="s">
        <v>92</v>
      </c>
      <c r="C9" s="2" t="s">
        <v>94</v>
      </c>
      <c r="D9" s="2" t="s">
        <v>95</v>
      </c>
      <c r="E9" s="9">
        <f>TQD_DEFECT_TYPE!E5</f>
        <v>10</v>
      </c>
      <c r="F9" s="2" t="s">
        <v>96</v>
      </c>
      <c r="G9" s="2" t="s">
        <v>97</v>
      </c>
      <c r="H9" s="2" t="s">
        <v>98</v>
      </c>
      <c r="I9" s="9">
        <f>COUNTIF(TQD_DEFECT_TYPE!I9:I18,"소스")</f>
        <v>10</v>
      </c>
      <c r="J9" s="9">
        <f>COUNTIF(TQD_DEFECT_TYPE!I9:I18,"이름 추정")</f>
        <v>0</v>
      </c>
    </row>
    <row r="10" spans="1:10" ht="48" x14ac:dyDescent="0.45">
      <c r="A10" s="9">
        <v>7</v>
      </c>
      <c r="B10" s="10" t="s">
        <v>99</v>
      </c>
      <c r="C10" s="2" t="s">
        <v>100</v>
      </c>
      <c r="D10" s="2" t="s">
        <v>101</v>
      </c>
      <c r="E10" s="9">
        <f>TQD_IMAGES!E5</f>
        <v>12</v>
      </c>
      <c r="F10" s="2" t="s">
        <v>102</v>
      </c>
      <c r="G10" s="2" t="s">
        <v>76</v>
      </c>
      <c r="H10" s="2" t="s">
        <v>103</v>
      </c>
      <c r="I10" s="9">
        <f>COUNTIF(TQD_IMAGES!I9:I20,"소스")</f>
        <v>12</v>
      </c>
      <c r="J10" s="9">
        <f>COUNTIF(TQD_IMAGES!I9:I20,"이름 추정")</f>
        <v>0</v>
      </c>
    </row>
    <row r="11" spans="1:10" ht="48" x14ac:dyDescent="0.45">
      <c r="A11" s="9">
        <v>8</v>
      </c>
      <c r="B11" s="10" t="s">
        <v>104</v>
      </c>
      <c r="C11" s="2" t="s">
        <v>105</v>
      </c>
      <c r="D11" s="2" t="s">
        <v>106</v>
      </c>
      <c r="E11" s="9">
        <f>TQD_INSP_INFO!E5</f>
        <v>45</v>
      </c>
      <c r="F11" s="2" t="s">
        <v>107</v>
      </c>
      <c r="G11" s="2" t="s">
        <v>108</v>
      </c>
      <c r="H11" s="2" t="s">
        <v>109</v>
      </c>
      <c r="I11" s="9">
        <f>COUNTIF(TQD_INSP_INFO!I9:I53,"소스")</f>
        <v>37</v>
      </c>
      <c r="J11" s="9">
        <f>COUNTIF(TQD_INSP_INFO!I9:I53,"이름 추정")</f>
        <v>8</v>
      </c>
    </row>
    <row r="12" spans="1:10" ht="32" x14ac:dyDescent="0.45">
      <c r="A12" s="9">
        <v>9</v>
      </c>
      <c r="B12" s="10" t="s">
        <v>110</v>
      </c>
      <c r="C12" s="2" t="s">
        <v>111</v>
      </c>
      <c r="D12" s="2" t="s">
        <v>112</v>
      </c>
      <c r="E12" s="9">
        <f>TQD_INSP_SUM!E5</f>
        <v>59</v>
      </c>
      <c r="F12" s="2" t="s">
        <v>113</v>
      </c>
      <c r="G12" s="2" t="s">
        <v>114</v>
      </c>
      <c r="H12" s="2" t="s">
        <v>115</v>
      </c>
      <c r="I12" s="9">
        <f>COUNTIF(TQD_INSP_SUM!I9:I67,"소스")</f>
        <v>53</v>
      </c>
      <c r="J12" s="9">
        <f>COUNTIF(TQD_INSP_SUM!I9:I67,"이름 추정")</f>
        <v>6</v>
      </c>
    </row>
    <row r="13" spans="1:10" ht="32" x14ac:dyDescent="0.45">
      <c r="A13" s="9">
        <v>10</v>
      </c>
      <c r="B13" s="10" t="s">
        <v>116</v>
      </c>
      <c r="C13" s="2" t="s">
        <v>117</v>
      </c>
      <c r="D13" s="2" t="s">
        <v>118</v>
      </c>
      <c r="E13" s="9">
        <f>TQD_LOT!E5</f>
        <v>4</v>
      </c>
      <c r="F13" s="2" t="s">
        <v>119</v>
      </c>
      <c r="G13" s="2" t="s">
        <v>120</v>
      </c>
      <c r="H13" s="2" t="s">
        <v>121</v>
      </c>
      <c r="I13" s="9">
        <f>COUNTIF(TQD_LOT!I9:I12,"소스")</f>
        <v>4</v>
      </c>
      <c r="J13" s="9">
        <f>COUNTIF(TQD_LOT!I9:I12,"이름 추정")</f>
        <v>0</v>
      </c>
    </row>
    <row r="14" spans="1:10" ht="32" x14ac:dyDescent="0.45">
      <c r="A14" s="9">
        <v>11</v>
      </c>
      <c r="B14" s="10" t="s">
        <v>122</v>
      </c>
      <c r="C14" s="2" t="s">
        <v>123</v>
      </c>
      <c r="D14" s="2" t="s">
        <v>124</v>
      </c>
      <c r="E14" s="9">
        <f>TQD_PRODUCT!E5</f>
        <v>14</v>
      </c>
      <c r="F14" s="2" t="s">
        <v>125</v>
      </c>
      <c r="G14" s="2" t="s">
        <v>116</v>
      </c>
      <c r="H14" s="2" t="s">
        <v>126</v>
      </c>
      <c r="I14" s="9">
        <f>COUNTIF(TQD_PRODUCT!I9:I22,"소스")</f>
        <v>14</v>
      </c>
      <c r="J14" s="9">
        <f>COUNTIF(TQD_PRODUCT!I9:I22,"이름 추정")</f>
        <v>0</v>
      </c>
    </row>
    <row r="15" spans="1:10" ht="32" x14ac:dyDescent="0.45">
      <c r="A15" s="9">
        <v>12</v>
      </c>
      <c r="B15" s="10" t="s">
        <v>127</v>
      </c>
      <c r="C15" s="2" t="s">
        <v>128</v>
      </c>
      <c r="D15" s="2" t="s">
        <v>112</v>
      </c>
      <c r="E15" s="9">
        <f>TQD_REVIEW_SUM!E5</f>
        <v>257</v>
      </c>
      <c r="F15" s="2" t="s">
        <v>129</v>
      </c>
      <c r="G15" s="2" t="s">
        <v>114</v>
      </c>
      <c r="H15" s="2" t="s">
        <v>130</v>
      </c>
      <c r="I15" s="9">
        <f>COUNTIF(TQD_REVIEW_SUM!I9:I10,"소스")</f>
        <v>2</v>
      </c>
      <c r="J15" s="9">
        <f>COUNTIF(TQD_REVIEW_SUM!I9:I10,"이름 추정")</f>
        <v>0</v>
      </c>
    </row>
    <row r="16" spans="1:10" ht="48" x14ac:dyDescent="0.45">
      <c r="A16" s="9">
        <v>13</v>
      </c>
      <c r="B16" s="10" t="s">
        <v>131</v>
      </c>
      <c r="C16" s="2" t="s">
        <v>132</v>
      </c>
      <c r="D16" s="2" t="s">
        <v>133</v>
      </c>
      <c r="E16" s="9">
        <f>TQD_SETUP!E5</f>
        <v>15</v>
      </c>
      <c r="F16" s="2" t="s">
        <v>134</v>
      </c>
      <c r="G16" s="2" t="s">
        <v>135</v>
      </c>
      <c r="H16" s="2" t="s">
        <v>136</v>
      </c>
      <c r="I16" s="9">
        <f>COUNTIF(TQD_SETUP!I9:I23,"소스")</f>
        <v>13</v>
      </c>
      <c r="J16" s="9">
        <f>COUNTIF(TQD_SETUP!I9:I23,"이름 추정")</f>
        <v>2</v>
      </c>
    </row>
    <row r="17" spans="1:10" ht="32" x14ac:dyDescent="0.45">
      <c r="A17" s="9">
        <v>14</v>
      </c>
      <c r="B17" s="10" t="s">
        <v>137</v>
      </c>
      <c r="C17" s="2" t="s">
        <v>138</v>
      </c>
      <c r="D17" s="2" t="s">
        <v>139</v>
      </c>
      <c r="E17" s="9">
        <f>TQD_SETUP_MAP!E5</f>
        <v>4</v>
      </c>
      <c r="F17" s="2" t="s">
        <v>140</v>
      </c>
      <c r="G17" s="2" t="s">
        <v>131</v>
      </c>
      <c r="H17" s="2" t="s">
        <v>141</v>
      </c>
      <c r="I17" s="9">
        <f>COUNTIF(TQD_SETUP_MAP!I9:I12,"소스")</f>
        <v>4</v>
      </c>
      <c r="J17" s="9">
        <f>COUNTIF(TQD_SETUP_MAP!I9:I12,"이름 추정")</f>
        <v>0</v>
      </c>
    </row>
    <row r="18" spans="1:10" ht="64" x14ac:dyDescent="0.45">
      <c r="A18" s="9">
        <v>15</v>
      </c>
      <c r="B18" s="10" t="s">
        <v>114</v>
      </c>
      <c r="C18" s="2" t="s">
        <v>142</v>
      </c>
      <c r="D18" s="2" t="s">
        <v>112</v>
      </c>
      <c r="E18" s="9">
        <f>TQD_STEP!E5</f>
        <v>25</v>
      </c>
      <c r="F18" s="2" t="s">
        <v>143</v>
      </c>
      <c r="G18" s="2" t="s">
        <v>144</v>
      </c>
      <c r="H18" s="2" t="s">
        <v>145</v>
      </c>
      <c r="I18" s="9">
        <f>COUNTIF(TQD_STEP!I9:I33,"소스")</f>
        <v>25</v>
      </c>
      <c r="J18" s="9">
        <f>COUNTIF(TQD_STEP!I9:I33,"이름 추정")</f>
        <v>0</v>
      </c>
    </row>
    <row r="19" spans="1:10" ht="32" x14ac:dyDescent="0.45">
      <c r="A19" s="9">
        <v>16</v>
      </c>
      <c r="B19" s="10" t="s">
        <v>146</v>
      </c>
      <c r="C19" s="2" t="s">
        <v>147</v>
      </c>
      <c r="D19" s="2" t="s">
        <v>148</v>
      </c>
      <c r="E19" s="9">
        <f>TQD_WAFER!E5</f>
        <v>5</v>
      </c>
      <c r="F19" s="2" t="s">
        <v>149</v>
      </c>
      <c r="G19" s="2" t="s">
        <v>150</v>
      </c>
      <c r="H19" s="2" t="s">
        <v>151</v>
      </c>
      <c r="I19" s="9">
        <f>COUNTIF(TQD_WAFER!I9:I13,"소스")</f>
        <v>5</v>
      </c>
      <c r="J19" s="9">
        <f>COUNTIF(TQD_WAFER!I9:I13,"이름 추정")</f>
        <v>0</v>
      </c>
    </row>
    <row r="20" spans="1:10" x14ac:dyDescent="0.45">
      <c r="D20" s="11" t="s">
        <v>152</v>
      </c>
      <c r="E20" s="11">
        <f>SUM(E4:E19)</f>
        <v>515</v>
      </c>
      <c r="I20" s="11">
        <f>SUM(I4:I19)</f>
        <v>233</v>
      </c>
      <c r="J20" s="11">
        <f>SUM(J4:J19)</f>
        <v>27</v>
      </c>
    </row>
  </sheetData>
  <mergeCells count="1">
    <mergeCell ref="A1:J1"/>
  </mergeCells>
  <phoneticPr fontId="8" type="noConversion"/>
  <hyperlinks>
    <hyperlink ref="B4" location="'TQD_COLORBYSIZE'!A1" display="TQD_COLORBYSIZE"/>
    <hyperlink ref="B5" location="'TQD_DATA_MAINT_HIS'!A1" display="TQD_DATA_MAINT_HIS"/>
    <hyperlink ref="B6" location="'TQD_DEFECT'!A1" display="TQD_DEFECT"/>
    <hyperlink ref="B7" location="'TQD_DEFECT_DIE'!A1" display="TQD_DEFECT_DIE"/>
    <hyperlink ref="B8" location="'TQD_DEFECT_GROUP'!A1" display="TQD_DEFECT_GROUP"/>
    <hyperlink ref="B9" location="'TQD_DEFECT_TYPE'!A1" display="TQD_DEFECT_TYPE"/>
    <hyperlink ref="B10" location="'TQD_IMAGES'!A1" display="TQD_IMAGES"/>
    <hyperlink ref="B11" location="'TQD_INSP_INFO'!A1" display="TQD_INSP_INFO"/>
    <hyperlink ref="B12" location="'TQD_INSP_SUM'!A1" display="TQD_INSP_SUM"/>
    <hyperlink ref="B13" location="'TQD_LOT'!A1" display="TQD_LOT"/>
    <hyperlink ref="B14" location="'TQD_PRODUCT'!A1" display="TQD_PRODUCT"/>
    <hyperlink ref="B15" location="'TQD_REVIEW_SUM'!A1" display="TQD_REVIEW_SUM"/>
    <hyperlink ref="B16" location="'TQD_SETUP'!A1" display="TQD_SETUP"/>
    <hyperlink ref="B17" location="'TQD_SETUP_MAP'!A1" display="TQD_SETUP_MAP"/>
    <hyperlink ref="B18" location="'TQD_STEP'!A1" display="TQD_STEP"/>
    <hyperlink ref="B19" location="'TQD_WAFER'!A1" display="TQD_WAFER"/>
  </hyperlinks>
  <printOptions horizontalCentered="1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66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67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158</v>
      </c>
      <c r="D5" s="1" t="s">
        <v>18</v>
      </c>
      <c r="E5" s="20">
        <f>SUM(J9:J13)</f>
        <v>5</v>
      </c>
      <c r="F5" s="21"/>
      <c r="G5" s="1" t="s">
        <v>65</v>
      </c>
      <c r="H5" s="22" t="s">
        <v>70</v>
      </c>
      <c r="I5" s="21"/>
    </row>
    <row r="6" spans="1:10" ht="18" customHeight="1" x14ac:dyDescent="0.45">
      <c r="A6" s="26" t="s">
        <v>63</v>
      </c>
      <c r="B6" s="21"/>
      <c r="C6" s="22" t="s">
        <v>69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164</v>
      </c>
      <c r="C9" s="14" t="s">
        <v>165</v>
      </c>
      <c r="D9" s="14" t="s">
        <v>166</v>
      </c>
      <c r="E9" s="13" t="s">
        <v>167</v>
      </c>
      <c r="F9" s="13">
        <v>1</v>
      </c>
      <c r="G9" s="14"/>
      <c r="H9" s="14"/>
      <c r="I9" s="13" t="s">
        <v>168</v>
      </c>
      <c r="J9" s="14">
        <v>1</v>
      </c>
    </row>
    <row r="10" spans="1:10" x14ac:dyDescent="0.45">
      <c r="A10" s="13">
        <v>2</v>
      </c>
      <c r="B10" s="14" t="s">
        <v>169</v>
      </c>
      <c r="C10" s="14" t="s">
        <v>170</v>
      </c>
      <c r="D10" s="14" t="s">
        <v>171</v>
      </c>
      <c r="E10" s="13" t="s">
        <v>167</v>
      </c>
      <c r="F10" s="13">
        <v>2</v>
      </c>
      <c r="G10" s="14"/>
      <c r="H10" s="14"/>
      <c r="I10" s="13" t="s">
        <v>168</v>
      </c>
      <c r="J10" s="14">
        <v>1</v>
      </c>
    </row>
    <row r="11" spans="1:10" x14ac:dyDescent="0.45">
      <c r="A11" s="9">
        <v>3</v>
      </c>
      <c r="B11" s="2" t="s">
        <v>172</v>
      </c>
      <c r="C11" s="2" t="s">
        <v>173</v>
      </c>
      <c r="D11" s="2" t="s">
        <v>174</v>
      </c>
      <c r="E11" s="9" t="s">
        <v>167</v>
      </c>
      <c r="F11" s="9"/>
      <c r="G11" s="2"/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175</v>
      </c>
      <c r="C12" s="2" t="s">
        <v>176</v>
      </c>
      <c r="D12" s="2" t="s">
        <v>174</v>
      </c>
      <c r="E12" s="9" t="s">
        <v>167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177</v>
      </c>
      <c r="C13" s="2" t="s">
        <v>178</v>
      </c>
      <c r="D13" s="2" t="s">
        <v>179</v>
      </c>
      <c r="E13" s="9" t="s">
        <v>167</v>
      </c>
      <c r="F13" s="9"/>
      <c r="G13" s="2"/>
      <c r="H13" s="2"/>
      <c r="I13" s="9" t="s">
        <v>168</v>
      </c>
      <c r="J13" s="2">
        <v>1</v>
      </c>
    </row>
    <row r="15" spans="1:10" x14ac:dyDescent="0.45">
      <c r="A15" s="27" t="s">
        <v>180</v>
      </c>
      <c r="B15" s="21"/>
      <c r="C15" s="21"/>
      <c r="D15" s="21"/>
      <c r="E15" s="21"/>
      <c r="F15" s="21"/>
      <c r="G15" s="21"/>
      <c r="H15" s="21"/>
      <c r="I15" s="21"/>
    </row>
    <row r="16" spans="1:10" x14ac:dyDescent="0.45">
      <c r="A16" s="3" t="s">
        <v>59</v>
      </c>
      <c r="B16" s="3" t="s">
        <v>181</v>
      </c>
      <c r="C16" s="3" t="s">
        <v>182</v>
      </c>
      <c r="D16" s="25" t="s">
        <v>183</v>
      </c>
      <c r="E16" s="23"/>
      <c r="F16" s="24"/>
      <c r="G16" s="25" t="s">
        <v>22</v>
      </c>
      <c r="H16" s="23"/>
      <c r="I16" s="24"/>
    </row>
    <row r="17" spans="1:9" ht="18" customHeight="1" x14ac:dyDescent="0.45">
      <c r="A17" s="9">
        <v>1</v>
      </c>
      <c r="B17" s="9" t="s">
        <v>162</v>
      </c>
      <c r="C17" s="2" t="s">
        <v>184</v>
      </c>
      <c r="D17" s="22" t="s">
        <v>68</v>
      </c>
      <c r="E17" s="23"/>
      <c r="F17" s="24"/>
      <c r="G17" s="22" t="s">
        <v>185</v>
      </c>
      <c r="H17" s="23"/>
      <c r="I17" s="24"/>
    </row>
    <row r="19" spans="1:9" x14ac:dyDescent="0.45">
      <c r="A19" s="27" t="s">
        <v>186</v>
      </c>
      <c r="B19" s="21"/>
      <c r="C19" s="21"/>
      <c r="D19" s="21"/>
      <c r="E19" s="21"/>
      <c r="F19" s="21"/>
      <c r="G19" s="21"/>
      <c r="H19" s="21"/>
      <c r="I19" s="21"/>
    </row>
    <row r="20" spans="1:9" x14ac:dyDescent="0.45">
      <c r="A20" s="3" t="s">
        <v>59</v>
      </c>
      <c r="B20" s="3" t="s">
        <v>187</v>
      </c>
      <c r="C20" s="3" t="s">
        <v>188</v>
      </c>
      <c r="D20" s="25" t="s">
        <v>183</v>
      </c>
      <c r="E20" s="23"/>
      <c r="F20" s="24"/>
      <c r="G20" s="25" t="s">
        <v>189</v>
      </c>
      <c r="H20" s="23"/>
      <c r="I20" s="24"/>
    </row>
    <row r="21" spans="1:9" ht="18" customHeight="1" x14ac:dyDescent="0.45">
      <c r="A21" s="9">
        <v>1</v>
      </c>
      <c r="B21" s="9" t="s">
        <v>190</v>
      </c>
      <c r="C21" s="2" t="s">
        <v>184</v>
      </c>
      <c r="D21" s="22" t="s">
        <v>68</v>
      </c>
      <c r="E21" s="23"/>
      <c r="F21" s="24"/>
      <c r="G21" s="22" t="s">
        <v>185</v>
      </c>
      <c r="H21" s="23"/>
      <c r="I21" s="24"/>
    </row>
  </sheetData>
  <mergeCells count="21">
    <mergeCell ref="G21:I21"/>
    <mergeCell ref="H3:I3"/>
    <mergeCell ref="A4:B4"/>
    <mergeCell ref="A15:I15"/>
    <mergeCell ref="A1:I1"/>
    <mergeCell ref="H5:I5"/>
    <mergeCell ref="G17:I17"/>
    <mergeCell ref="D21:F21"/>
    <mergeCell ref="E3:F3"/>
    <mergeCell ref="G20:I20"/>
    <mergeCell ref="A3:B3"/>
    <mergeCell ref="G16:I16"/>
    <mergeCell ref="A19:I19"/>
    <mergeCell ref="C4:I4"/>
    <mergeCell ref="A5:B5"/>
    <mergeCell ref="D20:F20"/>
    <mergeCell ref="E5:F5"/>
    <mergeCell ref="D17:F17"/>
    <mergeCell ref="D16:F16"/>
    <mergeCell ref="A6:B6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71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72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191</v>
      </c>
      <c r="D5" s="1" t="s">
        <v>18</v>
      </c>
      <c r="E5" s="20">
        <f>SUM(J9:J21)</f>
        <v>13</v>
      </c>
      <c r="F5" s="21"/>
      <c r="G5" s="1" t="s">
        <v>65</v>
      </c>
      <c r="H5" s="22" t="s">
        <v>75</v>
      </c>
      <c r="I5" s="21"/>
    </row>
    <row r="6" spans="1:10" ht="18" customHeight="1" x14ac:dyDescent="0.45">
      <c r="A6" s="26" t="s">
        <v>63</v>
      </c>
      <c r="B6" s="21"/>
      <c r="C6" s="22" t="s">
        <v>74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73</v>
      </c>
      <c r="C9" s="14" t="s">
        <v>192</v>
      </c>
      <c r="D9" s="14" t="s">
        <v>193</v>
      </c>
      <c r="E9" s="13" t="s">
        <v>167</v>
      </c>
      <c r="F9" s="13">
        <v>1</v>
      </c>
      <c r="G9" s="14"/>
      <c r="H9" s="14"/>
      <c r="I9" s="13" t="s">
        <v>168</v>
      </c>
      <c r="J9" s="14">
        <v>1</v>
      </c>
    </row>
    <row r="10" spans="1:10" x14ac:dyDescent="0.45">
      <c r="A10" s="9">
        <v>2</v>
      </c>
      <c r="B10" s="2" t="s">
        <v>194</v>
      </c>
      <c r="C10" s="2" t="s">
        <v>195</v>
      </c>
      <c r="D10" s="2" t="s">
        <v>166</v>
      </c>
      <c r="E10" s="9" t="s">
        <v>196</v>
      </c>
      <c r="F10" s="9"/>
      <c r="G10" s="2"/>
      <c r="H10" s="2"/>
      <c r="I10" s="9" t="s">
        <v>168</v>
      </c>
      <c r="J10" s="2">
        <v>1</v>
      </c>
    </row>
    <row r="11" spans="1:10" x14ac:dyDescent="0.45">
      <c r="A11" s="9">
        <v>3</v>
      </c>
      <c r="B11" s="2" t="s">
        <v>124</v>
      </c>
      <c r="C11" s="2" t="s">
        <v>197</v>
      </c>
      <c r="D11" s="2" t="s">
        <v>198</v>
      </c>
      <c r="E11" s="9" t="s">
        <v>196</v>
      </c>
      <c r="F11" s="9"/>
      <c r="G11" s="2"/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199</v>
      </c>
      <c r="C12" s="2" t="s">
        <v>200</v>
      </c>
      <c r="D12" s="2" t="s">
        <v>198</v>
      </c>
      <c r="E12" s="9" t="s">
        <v>196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201</v>
      </c>
      <c r="C13" s="2" t="s">
        <v>202</v>
      </c>
      <c r="D13" s="2" t="s">
        <v>203</v>
      </c>
      <c r="E13" s="9" t="s">
        <v>196</v>
      </c>
      <c r="F13" s="9"/>
      <c r="G13" s="2"/>
      <c r="H13" s="2"/>
      <c r="I13" s="9" t="s">
        <v>168</v>
      </c>
      <c r="J13" s="2">
        <v>1</v>
      </c>
    </row>
    <row r="14" spans="1:10" x14ac:dyDescent="0.45">
      <c r="A14" s="9">
        <v>6</v>
      </c>
      <c r="B14" s="2" t="s">
        <v>204</v>
      </c>
      <c r="C14" s="2" t="s">
        <v>205</v>
      </c>
      <c r="D14" s="2" t="s">
        <v>198</v>
      </c>
      <c r="E14" s="9" t="s">
        <v>196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206</v>
      </c>
      <c r="C15" s="2" t="s">
        <v>207</v>
      </c>
      <c r="D15" s="2" t="s">
        <v>208</v>
      </c>
      <c r="E15" s="9" t="s">
        <v>196</v>
      </c>
      <c r="F15" s="9"/>
      <c r="G15" s="2"/>
      <c r="H15" s="2"/>
      <c r="I15" s="9" t="s">
        <v>168</v>
      </c>
      <c r="J15" s="2">
        <v>1</v>
      </c>
    </row>
    <row r="16" spans="1:10" x14ac:dyDescent="0.45">
      <c r="A16" s="9">
        <v>8</v>
      </c>
      <c r="B16" s="2" t="s">
        <v>209</v>
      </c>
      <c r="C16" s="2" t="s">
        <v>210</v>
      </c>
      <c r="D16" s="2" t="s">
        <v>208</v>
      </c>
      <c r="E16" s="9" t="s">
        <v>196</v>
      </c>
      <c r="F16" s="9"/>
      <c r="G16" s="2"/>
      <c r="H16" s="2"/>
      <c r="I16" s="9" t="s">
        <v>168</v>
      </c>
      <c r="J16" s="2">
        <v>1</v>
      </c>
    </row>
    <row r="17" spans="1:10" x14ac:dyDescent="0.45">
      <c r="A17" s="9">
        <v>9</v>
      </c>
      <c r="B17" s="2" t="s">
        <v>211</v>
      </c>
      <c r="C17" s="2" t="s">
        <v>212</v>
      </c>
      <c r="D17" s="2" t="s">
        <v>213</v>
      </c>
      <c r="E17" s="9" t="s">
        <v>196</v>
      </c>
      <c r="F17" s="9"/>
      <c r="G17" s="2"/>
      <c r="H17" s="2"/>
      <c r="I17" s="9" t="s">
        <v>168</v>
      </c>
      <c r="J17" s="2">
        <v>1</v>
      </c>
    </row>
    <row r="18" spans="1:10" x14ac:dyDescent="0.45">
      <c r="A18" s="9">
        <v>10</v>
      </c>
      <c r="B18" s="2" t="s">
        <v>214</v>
      </c>
      <c r="C18" s="2" t="s">
        <v>215</v>
      </c>
      <c r="D18" s="2" t="s">
        <v>213</v>
      </c>
      <c r="E18" s="9" t="s">
        <v>196</v>
      </c>
      <c r="F18" s="9"/>
      <c r="G18" s="2"/>
      <c r="H18" s="2"/>
      <c r="I18" s="9" t="s">
        <v>168</v>
      </c>
      <c r="J18" s="2">
        <v>1</v>
      </c>
    </row>
    <row r="19" spans="1:10" x14ac:dyDescent="0.45">
      <c r="A19" s="9">
        <v>11</v>
      </c>
      <c r="B19" s="2" t="s">
        <v>216</v>
      </c>
      <c r="C19" s="2" t="s">
        <v>217</v>
      </c>
      <c r="D19" s="2" t="s">
        <v>193</v>
      </c>
      <c r="E19" s="9" t="s">
        <v>196</v>
      </c>
      <c r="F19" s="9"/>
      <c r="G19" s="2"/>
      <c r="H19" s="2"/>
      <c r="I19" s="9" t="s">
        <v>168</v>
      </c>
      <c r="J19" s="2">
        <v>1</v>
      </c>
    </row>
    <row r="20" spans="1:10" x14ac:dyDescent="0.45">
      <c r="A20" s="9">
        <v>12</v>
      </c>
      <c r="B20" s="2" t="s">
        <v>218</v>
      </c>
      <c r="C20" s="2" t="s">
        <v>219</v>
      </c>
      <c r="D20" s="2" t="s">
        <v>193</v>
      </c>
      <c r="E20" s="9" t="s">
        <v>196</v>
      </c>
      <c r="F20" s="9"/>
      <c r="G20" s="2"/>
      <c r="H20" s="2"/>
      <c r="I20" s="9" t="s">
        <v>168</v>
      </c>
      <c r="J20" s="2">
        <v>1</v>
      </c>
    </row>
    <row r="21" spans="1:10" x14ac:dyDescent="0.45">
      <c r="A21" s="9">
        <v>13</v>
      </c>
      <c r="B21" s="2" t="s">
        <v>220</v>
      </c>
      <c r="C21" s="2" t="s">
        <v>221</v>
      </c>
      <c r="D21" s="2" t="s">
        <v>222</v>
      </c>
      <c r="E21" s="9" t="s">
        <v>196</v>
      </c>
      <c r="F21" s="9"/>
      <c r="G21" s="2"/>
      <c r="H21" s="2"/>
      <c r="I21" s="9" t="s">
        <v>168</v>
      </c>
      <c r="J21" s="2">
        <v>1</v>
      </c>
    </row>
    <row r="23" spans="1:10" x14ac:dyDescent="0.45">
      <c r="A23" s="27" t="s">
        <v>180</v>
      </c>
      <c r="B23" s="21"/>
      <c r="C23" s="21"/>
      <c r="D23" s="21"/>
      <c r="E23" s="21"/>
      <c r="F23" s="21"/>
      <c r="G23" s="21"/>
      <c r="H23" s="21"/>
      <c r="I23" s="21"/>
    </row>
    <row r="24" spans="1:10" x14ac:dyDescent="0.45">
      <c r="A24" s="3" t="s">
        <v>59</v>
      </c>
      <c r="B24" s="3" t="s">
        <v>181</v>
      </c>
      <c r="C24" s="3" t="s">
        <v>182</v>
      </c>
      <c r="D24" s="25" t="s">
        <v>183</v>
      </c>
      <c r="E24" s="23"/>
      <c r="F24" s="24"/>
      <c r="G24" s="25" t="s">
        <v>22</v>
      </c>
      <c r="H24" s="23"/>
      <c r="I24" s="24"/>
    </row>
    <row r="25" spans="1:10" ht="18" customHeight="1" x14ac:dyDescent="0.45">
      <c r="A25" s="9">
        <v>1</v>
      </c>
      <c r="B25" s="9" t="s">
        <v>162</v>
      </c>
      <c r="C25" s="2" t="s">
        <v>223</v>
      </c>
      <c r="D25" s="22" t="s">
        <v>73</v>
      </c>
      <c r="E25" s="23"/>
      <c r="F25" s="24"/>
      <c r="G25" s="22" t="s">
        <v>185</v>
      </c>
      <c r="H25" s="23"/>
      <c r="I25" s="24"/>
    </row>
    <row r="27" spans="1:10" x14ac:dyDescent="0.45">
      <c r="A27" s="27" t="s">
        <v>186</v>
      </c>
      <c r="B27" s="21"/>
      <c r="C27" s="21"/>
      <c r="D27" s="21"/>
      <c r="E27" s="21"/>
      <c r="F27" s="21"/>
      <c r="G27" s="21"/>
      <c r="H27" s="21"/>
      <c r="I27" s="21"/>
    </row>
    <row r="28" spans="1:10" x14ac:dyDescent="0.45">
      <c r="A28" s="3" t="s">
        <v>59</v>
      </c>
      <c r="B28" s="3" t="s">
        <v>187</v>
      </c>
      <c r="C28" s="3" t="s">
        <v>188</v>
      </c>
      <c r="D28" s="25" t="s">
        <v>183</v>
      </c>
      <c r="E28" s="23"/>
      <c r="F28" s="24"/>
      <c r="G28" s="25" t="s">
        <v>189</v>
      </c>
      <c r="H28" s="23"/>
      <c r="I28" s="24"/>
    </row>
    <row r="29" spans="1:10" ht="18" customHeight="1" x14ac:dyDescent="0.45">
      <c r="A29" s="9">
        <v>1</v>
      </c>
      <c r="B29" s="9" t="s">
        <v>224</v>
      </c>
      <c r="C29" s="2" t="s">
        <v>225</v>
      </c>
      <c r="D29" s="22" t="s">
        <v>194</v>
      </c>
      <c r="E29" s="23"/>
      <c r="F29" s="24"/>
      <c r="G29" s="22"/>
      <c r="H29" s="23"/>
      <c r="I29" s="24"/>
    </row>
    <row r="30" spans="1:10" ht="18" customHeight="1" x14ac:dyDescent="0.45">
      <c r="A30" s="9">
        <v>2</v>
      </c>
      <c r="B30" s="9" t="s">
        <v>190</v>
      </c>
      <c r="C30" s="2" t="s">
        <v>223</v>
      </c>
      <c r="D30" s="22" t="s">
        <v>73</v>
      </c>
      <c r="E30" s="23"/>
      <c r="F30" s="24"/>
      <c r="G30" s="22" t="s">
        <v>185</v>
      </c>
      <c r="H30" s="23"/>
      <c r="I30" s="24"/>
    </row>
  </sheetData>
  <mergeCells count="23">
    <mergeCell ref="A1:I1"/>
    <mergeCell ref="H5:I5"/>
    <mergeCell ref="E3:F3"/>
    <mergeCell ref="A3:B3"/>
    <mergeCell ref="D24:F24"/>
    <mergeCell ref="G25:I25"/>
    <mergeCell ref="D29:F29"/>
    <mergeCell ref="C4:I4"/>
    <mergeCell ref="A5:B5"/>
    <mergeCell ref="H3:I3"/>
    <mergeCell ref="A4:B4"/>
    <mergeCell ref="G28:I28"/>
    <mergeCell ref="E5:F5"/>
    <mergeCell ref="A27:I27"/>
    <mergeCell ref="G30:I30"/>
    <mergeCell ref="A6:B6"/>
    <mergeCell ref="G24:I24"/>
    <mergeCell ref="D28:F28"/>
    <mergeCell ref="A23:I23"/>
    <mergeCell ref="C6:I6"/>
    <mergeCell ref="D30:F30"/>
    <mergeCell ref="D25:F25"/>
    <mergeCell ref="G29:I29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76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77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226</v>
      </c>
      <c r="D5" s="1" t="s">
        <v>18</v>
      </c>
      <c r="E5" s="20">
        <f>SUM(J9:J40)</f>
        <v>32</v>
      </c>
      <c r="F5" s="21"/>
      <c r="G5" s="1" t="s">
        <v>65</v>
      </c>
      <c r="H5" s="22" t="s">
        <v>81</v>
      </c>
      <c r="I5" s="21"/>
    </row>
    <row r="6" spans="1:10" ht="18" customHeight="1" x14ac:dyDescent="0.45">
      <c r="A6" s="26" t="s">
        <v>63</v>
      </c>
      <c r="B6" s="21"/>
      <c r="C6" s="22" t="s">
        <v>79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112</v>
      </c>
      <c r="C9" s="14" t="s">
        <v>227</v>
      </c>
      <c r="D9" s="14" t="s">
        <v>203</v>
      </c>
      <c r="E9" s="13" t="s">
        <v>167</v>
      </c>
      <c r="F9" s="13">
        <v>1</v>
      </c>
      <c r="G9" s="14" t="s">
        <v>228</v>
      </c>
      <c r="H9" s="14"/>
      <c r="I9" s="13" t="s">
        <v>168</v>
      </c>
      <c r="J9" s="14">
        <v>1</v>
      </c>
    </row>
    <row r="10" spans="1:10" x14ac:dyDescent="0.45">
      <c r="A10" s="13">
        <v>2</v>
      </c>
      <c r="B10" s="14" t="s">
        <v>229</v>
      </c>
      <c r="C10" s="14" t="s">
        <v>230</v>
      </c>
      <c r="D10" s="14" t="s">
        <v>171</v>
      </c>
      <c r="E10" s="13" t="s">
        <v>167</v>
      </c>
      <c r="F10" s="13">
        <v>2</v>
      </c>
      <c r="G10" s="14"/>
      <c r="H10" s="14"/>
      <c r="I10" s="13" t="s">
        <v>168</v>
      </c>
      <c r="J10" s="14">
        <v>1</v>
      </c>
    </row>
    <row r="11" spans="1:10" x14ac:dyDescent="0.45">
      <c r="A11" s="9">
        <v>3</v>
      </c>
      <c r="B11" s="2" t="s">
        <v>148</v>
      </c>
      <c r="C11" s="2" t="s">
        <v>231</v>
      </c>
      <c r="D11" s="2" t="s">
        <v>203</v>
      </c>
      <c r="E11" s="9" t="s">
        <v>196</v>
      </c>
      <c r="F11" s="9"/>
      <c r="G11" s="2" t="s">
        <v>104</v>
      </c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232</v>
      </c>
      <c r="C12" s="2" t="s">
        <v>233</v>
      </c>
      <c r="D12" s="2" t="s">
        <v>234</v>
      </c>
      <c r="E12" s="9" t="s">
        <v>167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196</v>
      </c>
      <c r="C13" s="2" t="s">
        <v>235</v>
      </c>
      <c r="D13" s="2" t="s">
        <v>234</v>
      </c>
      <c r="E13" s="9" t="s">
        <v>167</v>
      </c>
      <c r="F13" s="9"/>
      <c r="G13" s="2"/>
      <c r="H13" s="2"/>
      <c r="I13" s="9" t="s">
        <v>168</v>
      </c>
      <c r="J13" s="2">
        <v>1</v>
      </c>
    </row>
    <row r="14" spans="1:10" x14ac:dyDescent="0.45">
      <c r="A14" s="9">
        <v>6</v>
      </c>
      <c r="B14" s="2" t="s">
        <v>236</v>
      </c>
      <c r="C14" s="2" t="s">
        <v>237</v>
      </c>
      <c r="D14" s="2" t="s">
        <v>234</v>
      </c>
      <c r="E14" s="9" t="s">
        <v>167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238</v>
      </c>
      <c r="C15" s="2" t="s">
        <v>239</v>
      </c>
      <c r="D15" s="2" t="s">
        <v>234</v>
      </c>
      <c r="E15" s="9" t="s">
        <v>167</v>
      </c>
      <c r="F15" s="9"/>
      <c r="G15" s="2"/>
      <c r="H15" s="2"/>
      <c r="I15" s="9" t="s">
        <v>168</v>
      </c>
      <c r="J15" s="2">
        <v>1</v>
      </c>
    </row>
    <row r="16" spans="1:10" x14ac:dyDescent="0.45">
      <c r="A16" s="9">
        <v>8</v>
      </c>
      <c r="B16" s="2" t="s">
        <v>240</v>
      </c>
      <c r="C16" s="2" t="s">
        <v>241</v>
      </c>
      <c r="D16" s="2" t="s">
        <v>171</v>
      </c>
      <c r="E16" s="9" t="s">
        <v>167</v>
      </c>
      <c r="F16" s="9"/>
      <c r="G16" s="2"/>
      <c r="H16" s="2"/>
      <c r="I16" s="9" t="s">
        <v>168</v>
      </c>
      <c r="J16" s="2">
        <v>1</v>
      </c>
    </row>
    <row r="17" spans="1:10" x14ac:dyDescent="0.45">
      <c r="A17" s="9">
        <v>9</v>
      </c>
      <c r="B17" s="2" t="s">
        <v>242</v>
      </c>
      <c r="C17" s="2" t="s">
        <v>243</v>
      </c>
      <c r="D17" s="2" t="s">
        <v>171</v>
      </c>
      <c r="E17" s="9" t="s">
        <v>167</v>
      </c>
      <c r="F17" s="9"/>
      <c r="G17" s="2"/>
      <c r="H17" s="2"/>
      <c r="I17" s="9" t="s">
        <v>168</v>
      </c>
      <c r="J17" s="2">
        <v>1</v>
      </c>
    </row>
    <row r="18" spans="1:10" x14ac:dyDescent="0.45">
      <c r="A18" s="9">
        <v>10</v>
      </c>
      <c r="B18" s="2" t="s">
        <v>244</v>
      </c>
      <c r="C18" s="2" t="s">
        <v>245</v>
      </c>
      <c r="D18" s="2" t="s">
        <v>234</v>
      </c>
      <c r="E18" s="9" t="s">
        <v>167</v>
      </c>
      <c r="F18" s="9"/>
      <c r="G18" s="2"/>
      <c r="H18" s="2"/>
      <c r="I18" s="9" t="s">
        <v>168</v>
      </c>
      <c r="J18" s="2">
        <v>1</v>
      </c>
    </row>
    <row r="19" spans="1:10" x14ac:dyDescent="0.45">
      <c r="A19" s="9">
        <v>11</v>
      </c>
      <c r="B19" s="2" t="s">
        <v>246</v>
      </c>
      <c r="C19" s="2" t="s">
        <v>247</v>
      </c>
      <c r="D19" s="2" t="s">
        <v>234</v>
      </c>
      <c r="E19" s="9" t="s">
        <v>167</v>
      </c>
      <c r="F19" s="9"/>
      <c r="G19" s="2"/>
      <c r="H19" s="2"/>
      <c r="I19" s="9" t="s">
        <v>168</v>
      </c>
      <c r="J19" s="2">
        <v>1</v>
      </c>
    </row>
    <row r="20" spans="1:10" x14ac:dyDescent="0.45">
      <c r="A20" s="9">
        <v>12</v>
      </c>
      <c r="B20" s="2" t="s">
        <v>248</v>
      </c>
      <c r="C20" s="2" t="s">
        <v>249</v>
      </c>
      <c r="D20" s="2" t="s">
        <v>250</v>
      </c>
      <c r="E20" s="9" t="s">
        <v>167</v>
      </c>
      <c r="F20" s="9"/>
      <c r="G20" s="2"/>
      <c r="H20" s="2"/>
      <c r="I20" s="9" t="s">
        <v>168</v>
      </c>
      <c r="J20" s="2">
        <v>1</v>
      </c>
    </row>
    <row r="21" spans="1:10" x14ac:dyDescent="0.45">
      <c r="A21" s="9">
        <v>13</v>
      </c>
      <c r="B21" s="2" t="s">
        <v>251</v>
      </c>
      <c r="C21" s="2" t="s">
        <v>252</v>
      </c>
      <c r="D21" s="2" t="s">
        <v>234</v>
      </c>
      <c r="E21" s="9" t="s">
        <v>167</v>
      </c>
      <c r="F21" s="9"/>
      <c r="G21" s="2"/>
      <c r="H21" s="2"/>
      <c r="I21" s="9" t="s">
        <v>168</v>
      </c>
      <c r="J21" s="2">
        <v>1</v>
      </c>
    </row>
    <row r="22" spans="1:10" x14ac:dyDescent="0.45">
      <c r="A22" s="9">
        <v>14</v>
      </c>
      <c r="B22" s="2" t="s">
        <v>95</v>
      </c>
      <c r="C22" s="2" t="s">
        <v>253</v>
      </c>
      <c r="D22" s="2" t="s">
        <v>171</v>
      </c>
      <c r="E22" s="9" t="s">
        <v>167</v>
      </c>
      <c r="F22" s="9"/>
      <c r="G22" s="2" t="s">
        <v>92</v>
      </c>
      <c r="H22" s="2"/>
      <c r="I22" s="9" t="s">
        <v>168</v>
      </c>
      <c r="J22" s="2">
        <v>1</v>
      </c>
    </row>
    <row r="23" spans="1:10" x14ac:dyDescent="0.45">
      <c r="A23" s="9">
        <v>15</v>
      </c>
      <c r="B23" s="2" t="s">
        <v>254</v>
      </c>
      <c r="C23" s="2" t="s">
        <v>255</v>
      </c>
      <c r="D23" s="2" t="s">
        <v>171</v>
      </c>
      <c r="E23" s="9" t="s">
        <v>167</v>
      </c>
      <c r="F23" s="9"/>
      <c r="G23" s="2" t="s">
        <v>104</v>
      </c>
      <c r="H23" s="2"/>
      <c r="I23" s="9" t="s">
        <v>168</v>
      </c>
      <c r="J23" s="2">
        <v>1</v>
      </c>
    </row>
    <row r="24" spans="1:10" x14ac:dyDescent="0.45">
      <c r="A24" s="9">
        <v>16</v>
      </c>
      <c r="B24" s="2" t="s">
        <v>256</v>
      </c>
      <c r="C24" s="2" t="s">
        <v>257</v>
      </c>
      <c r="D24" s="2" t="s">
        <v>171</v>
      </c>
      <c r="E24" s="9" t="s">
        <v>167</v>
      </c>
      <c r="F24" s="9"/>
      <c r="G24" s="2"/>
      <c r="H24" s="2"/>
      <c r="I24" s="9" t="s">
        <v>168</v>
      </c>
      <c r="J24" s="2">
        <v>1</v>
      </c>
    </row>
    <row r="25" spans="1:10" x14ac:dyDescent="0.45">
      <c r="A25" s="9">
        <v>17</v>
      </c>
      <c r="B25" s="2" t="s">
        <v>258</v>
      </c>
      <c r="C25" s="2" t="s">
        <v>259</v>
      </c>
      <c r="D25" s="2" t="s">
        <v>171</v>
      </c>
      <c r="E25" s="9" t="s">
        <v>167</v>
      </c>
      <c r="F25" s="9"/>
      <c r="G25" s="2"/>
      <c r="H25" s="2"/>
      <c r="I25" s="9" t="s">
        <v>168</v>
      </c>
      <c r="J25" s="2">
        <v>1</v>
      </c>
    </row>
    <row r="26" spans="1:10" x14ac:dyDescent="0.45">
      <c r="A26" s="9">
        <v>18</v>
      </c>
      <c r="B26" s="2" t="s">
        <v>260</v>
      </c>
      <c r="C26" s="2" t="s">
        <v>261</v>
      </c>
      <c r="D26" s="2" t="s">
        <v>171</v>
      </c>
      <c r="E26" s="9" t="s">
        <v>167</v>
      </c>
      <c r="F26" s="9"/>
      <c r="G26" s="2"/>
      <c r="H26" s="2"/>
      <c r="I26" s="9" t="s">
        <v>168</v>
      </c>
      <c r="J26" s="2">
        <v>1</v>
      </c>
    </row>
    <row r="27" spans="1:10" x14ac:dyDescent="0.45">
      <c r="A27" s="9">
        <v>19</v>
      </c>
      <c r="B27" s="2" t="s">
        <v>262</v>
      </c>
      <c r="C27" s="2" t="s">
        <v>263</v>
      </c>
      <c r="D27" s="2" t="s">
        <v>171</v>
      </c>
      <c r="E27" s="9" t="s">
        <v>167</v>
      </c>
      <c r="F27" s="9"/>
      <c r="G27" s="2"/>
      <c r="H27" s="2"/>
      <c r="I27" s="9" t="s">
        <v>168</v>
      </c>
      <c r="J27" s="2">
        <v>1</v>
      </c>
    </row>
    <row r="28" spans="1:10" x14ac:dyDescent="0.45">
      <c r="A28" s="9">
        <v>20</v>
      </c>
      <c r="B28" s="2" t="s">
        <v>264</v>
      </c>
      <c r="C28" s="2" t="s">
        <v>265</v>
      </c>
      <c r="D28" s="2" t="s">
        <v>171</v>
      </c>
      <c r="E28" s="9" t="s">
        <v>167</v>
      </c>
      <c r="F28" s="9"/>
      <c r="G28" s="2"/>
      <c r="H28" s="2"/>
      <c r="I28" s="9" t="s">
        <v>168</v>
      </c>
      <c r="J28" s="2">
        <v>1</v>
      </c>
    </row>
    <row r="29" spans="1:10" x14ac:dyDescent="0.45">
      <c r="A29" s="9">
        <v>21</v>
      </c>
      <c r="B29" s="2" t="s">
        <v>266</v>
      </c>
      <c r="C29" s="2" t="s">
        <v>267</v>
      </c>
      <c r="D29" s="2" t="s">
        <v>171</v>
      </c>
      <c r="E29" s="9" t="s">
        <v>196</v>
      </c>
      <c r="F29" s="9"/>
      <c r="G29" s="2"/>
      <c r="H29" s="2"/>
      <c r="I29" s="9" t="s">
        <v>168</v>
      </c>
      <c r="J29" s="2">
        <v>1</v>
      </c>
    </row>
    <row r="30" spans="1:10" x14ac:dyDescent="0.45">
      <c r="A30" s="9">
        <v>22</v>
      </c>
      <c r="B30" s="2" t="s">
        <v>268</v>
      </c>
      <c r="C30" s="2" t="s">
        <v>269</v>
      </c>
      <c r="D30" s="2" t="s">
        <v>166</v>
      </c>
      <c r="E30" s="9" t="s">
        <v>196</v>
      </c>
      <c r="F30" s="9"/>
      <c r="G30" s="2"/>
      <c r="H30" s="2"/>
      <c r="I30" s="9" t="s">
        <v>270</v>
      </c>
      <c r="J30" s="2">
        <v>1</v>
      </c>
    </row>
    <row r="31" spans="1:10" x14ac:dyDescent="0.45">
      <c r="A31" s="9">
        <v>23</v>
      </c>
      <c r="B31" s="2" t="s">
        <v>271</v>
      </c>
      <c r="C31" s="2" t="s">
        <v>272</v>
      </c>
      <c r="D31" s="2" t="s">
        <v>171</v>
      </c>
      <c r="E31" s="9" t="s">
        <v>167</v>
      </c>
      <c r="F31" s="9"/>
      <c r="G31" s="2"/>
      <c r="H31" s="2" t="s">
        <v>273</v>
      </c>
      <c r="I31" s="9" t="s">
        <v>270</v>
      </c>
      <c r="J31" s="2">
        <v>1</v>
      </c>
    </row>
    <row r="32" spans="1:10" x14ac:dyDescent="0.45">
      <c r="A32" s="9">
        <v>24</v>
      </c>
      <c r="B32" s="2" t="s">
        <v>274</v>
      </c>
      <c r="C32" s="2" t="s">
        <v>275</v>
      </c>
      <c r="D32" s="2" t="s">
        <v>171</v>
      </c>
      <c r="E32" s="9" t="s">
        <v>167</v>
      </c>
      <c r="F32" s="9"/>
      <c r="G32" s="2"/>
      <c r="H32" s="2" t="s">
        <v>273</v>
      </c>
      <c r="I32" s="9" t="s">
        <v>270</v>
      </c>
      <c r="J32" s="2">
        <v>1</v>
      </c>
    </row>
    <row r="33" spans="1:10" x14ac:dyDescent="0.45">
      <c r="A33" s="9">
        <v>25</v>
      </c>
      <c r="B33" s="2" t="s">
        <v>276</v>
      </c>
      <c r="C33" s="2" t="s">
        <v>277</v>
      </c>
      <c r="D33" s="2" t="s">
        <v>171</v>
      </c>
      <c r="E33" s="9" t="s">
        <v>167</v>
      </c>
      <c r="F33" s="9"/>
      <c r="G33" s="2"/>
      <c r="H33" s="2" t="s">
        <v>273</v>
      </c>
      <c r="I33" s="9" t="s">
        <v>270</v>
      </c>
      <c r="J33" s="2">
        <v>1</v>
      </c>
    </row>
    <row r="34" spans="1:10" x14ac:dyDescent="0.45">
      <c r="A34" s="9">
        <v>26</v>
      </c>
      <c r="B34" s="2" t="s">
        <v>278</v>
      </c>
      <c r="C34" s="2" t="s">
        <v>279</v>
      </c>
      <c r="D34" s="2" t="s">
        <v>171</v>
      </c>
      <c r="E34" s="9" t="s">
        <v>167</v>
      </c>
      <c r="F34" s="9"/>
      <c r="G34" s="2"/>
      <c r="H34" s="2" t="s">
        <v>273</v>
      </c>
      <c r="I34" s="9" t="s">
        <v>270</v>
      </c>
      <c r="J34" s="2">
        <v>1</v>
      </c>
    </row>
    <row r="35" spans="1:10" x14ac:dyDescent="0.45">
      <c r="A35" s="9">
        <v>27</v>
      </c>
      <c r="B35" s="2" t="s">
        <v>280</v>
      </c>
      <c r="C35" s="2" t="s">
        <v>281</v>
      </c>
      <c r="D35" s="2" t="s">
        <v>171</v>
      </c>
      <c r="E35" s="9" t="s">
        <v>167</v>
      </c>
      <c r="F35" s="9"/>
      <c r="G35" s="2"/>
      <c r="H35" s="2" t="s">
        <v>273</v>
      </c>
      <c r="I35" s="9" t="s">
        <v>270</v>
      </c>
      <c r="J35" s="2">
        <v>1</v>
      </c>
    </row>
    <row r="36" spans="1:10" x14ac:dyDescent="0.45">
      <c r="A36" s="9">
        <v>28</v>
      </c>
      <c r="B36" s="2" t="s">
        <v>282</v>
      </c>
      <c r="C36" s="2" t="s">
        <v>283</v>
      </c>
      <c r="D36" s="2" t="s">
        <v>171</v>
      </c>
      <c r="E36" s="9" t="s">
        <v>167</v>
      </c>
      <c r="F36" s="9"/>
      <c r="G36" s="2"/>
      <c r="H36" s="2" t="s">
        <v>273</v>
      </c>
      <c r="I36" s="9" t="s">
        <v>270</v>
      </c>
      <c r="J36" s="2">
        <v>1</v>
      </c>
    </row>
    <row r="37" spans="1:10" x14ac:dyDescent="0.45">
      <c r="A37" s="9">
        <v>29</v>
      </c>
      <c r="B37" s="2" t="s">
        <v>284</v>
      </c>
      <c r="C37" s="2" t="s">
        <v>285</v>
      </c>
      <c r="D37" s="2" t="s">
        <v>171</v>
      </c>
      <c r="E37" s="9" t="s">
        <v>196</v>
      </c>
      <c r="F37" s="9"/>
      <c r="G37" s="2"/>
      <c r="H37" s="2"/>
      <c r="I37" s="9" t="s">
        <v>270</v>
      </c>
      <c r="J37" s="2">
        <v>1</v>
      </c>
    </row>
    <row r="38" spans="1:10" x14ac:dyDescent="0.45">
      <c r="A38" s="9">
        <v>30</v>
      </c>
      <c r="B38" s="2" t="s">
        <v>286</v>
      </c>
      <c r="C38" s="2" t="s">
        <v>287</v>
      </c>
      <c r="D38" s="2" t="s">
        <v>171</v>
      </c>
      <c r="E38" s="9" t="s">
        <v>196</v>
      </c>
      <c r="F38" s="9"/>
      <c r="G38" s="2"/>
      <c r="H38" s="2"/>
      <c r="I38" s="9" t="s">
        <v>270</v>
      </c>
      <c r="J38" s="2">
        <v>1</v>
      </c>
    </row>
    <row r="39" spans="1:10" x14ac:dyDescent="0.45">
      <c r="A39" s="9">
        <v>31</v>
      </c>
      <c r="B39" s="2" t="s">
        <v>288</v>
      </c>
      <c r="C39" s="2" t="s">
        <v>289</v>
      </c>
      <c r="D39" s="2" t="s">
        <v>203</v>
      </c>
      <c r="E39" s="9" t="s">
        <v>196</v>
      </c>
      <c r="F39" s="9"/>
      <c r="G39" s="2"/>
      <c r="H39" s="2"/>
      <c r="I39" s="9" t="s">
        <v>270</v>
      </c>
      <c r="J39" s="2">
        <v>1</v>
      </c>
    </row>
    <row r="40" spans="1:10" x14ac:dyDescent="0.45">
      <c r="A40" s="9">
        <v>32</v>
      </c>
      <c r="B40" s="2" t="s">
        <v>290</v>
      </c>
      <c r="C40" s="2" t="s">
        <v>291</v>
      </c>
      <c r="D40" s="2" t="s">
        <v>203</v>
      </c>
      <c r="E40" s="9" t="s">
        <v>196</v>
      </c>
      <c r="F40" s="9"/>
      <c r="G40" s="2"/>
      <c r="H40" s="2"/>
      <c r="I40" s="9" t="s">
        <v>270</v>
      </c>
      <c r="J40" s="2">
        <v>1</v>
      </c>
    </row>
    <row r="42" spans="1:10" x14ac:dyDescent="0.45">
      <c r="A42" s="27" t="s">
        <v>180</v>
      </c>
      <c r="B42" s="21"/>
      <c r="C42" s="21"/>
      <c r="D42" s="21"/>
      <c r="E42" s="21"/>
      <c r="F42" s="21"/>
      <c r="G42" s="21"/>
      <c r="H42" s="21"/>
      <c r="I42" s="21"/>
    </row>
    <row r="43" spans="1:10" x14ac:dyDescent="0.45">
      <c r="A43" s="3" t="s">
        <v>59</v>
      </c>
      <c r="B43" s="3" t="s">
        <v>181</v>
      </c>
      <c r="C43" s="3" t="s">
        <v>182</v>
      </c>
      <c r="D43" s="25" t="s">
        <v>183</v>
      </c>
      <c r="E43" s="23"/>
      <c r="F43" s="24"/>
      <c r="G43" s="25" t="s">
        <v>22</v>
      </c>
      <c r="H43" s="23"/>
      <c r="I43" s="24"/>
    </row>
    <row r="44" spans="1:10" ht="18" customHeight="1" x14ac:dyDescent="0.45">
      <c r="A44" s="9">
        <v>1</v>
      </c>
      <c r="B44" s="9" t="s">
        <v>162</v>
      </c>
      <c r="C44" s="2" t="s">
        <v>292</v>
      </c>
      <c r="D44" s="22" t="s">
        <v>78</v>
      </c>
      <c r="E44" s="23"/>
      <c r="F44" s="24"/>
      <c r="G44" s="22" t="s">
        <v>185</v>
      </c>
      <c r="H44" s="23"/>
      <c r="I44" s="24"/>
    </row>
    <row r="46" spans="1:10" x14ac:dyDescent="0.45">
      <c r="A46" s="27" t="s">
        <v>186</v>
      </c>
      <c r="B46" s="21"/>
      <c r="C46" s="21"/>
      <c r="D46" s="21"/>
      <c r="E46" s="21"/>
      <c r="F46" s="21"/>
      <c r="G46" s="21"/>
      <c r="H46" s="21"/>
      <c r="I46" s="21"/>
    </row>
    <row r="47" spans="1:10" x14ac:dyDescent="0.45">
      <c r="A47" s="3" t="s">
        <v>59</v>
      </c>
      <c r="B47" s="3" t="s">
        <v>187</v>
      </c>
      <c r="C47" s="3" t="s">
        <v>188</v>
      </c>
      <c r="D47" s="25" t="s">
        <v>183</v>
      </c>
      <c r="E47" s="23"/>
      <c r="F47" s="24"/>
      <c r="G47" s="25" t="s">
        <v>189</v>
      </c>
      <c r="H47" s="23"/>
      <c r="I47" s="24"/>
    </row>
    <row r="48" spans="1:10" ht="18" customHeight="1" x14ac:dyDescent="0.45">
      <c r="A48" s="9">
        <v>1</v>
      </c>
      <c r="B48" s="9" t="s">
        <v>224</v>
      </c>
      <c r="C48" s="2" t="s">
        <v>293</v>
      </c>
      <c r="D48" s="22" t="s">
        <v>294</v>
      </c>
      <c r="E48" s="23"/>
      <c r="F48" s="24"/>
      <c r="G48" s="22"/>
      <c r="H48" s="23"/>
      <c r="I48" s="24"/>
    </row>
    <row r="49" spans="1:9" ht="18" customHeight="1" x14ac:dyDescent="0.45">
      <c r="A49" s="9">
        <v>2</v>
      </c>
      <c r="B49" s="9" t="s">
        <v>224</v>
      </c>
      <c r="C49" s="2" t="s">
        <v>295</v>
      </c>
      <c r="D49" s="22" t="s">
        <v>296</v>
      </c>
      <c r="E49" s="23"/>
      <c r="F49" s="24"/>
      <c r="G49" s="22"/>
      <c r="H49" s="23"/>
      <c r="I49" s="24"/>
    </row>
    <row r="50" spans="1:9" ht="18" customHeight="1" x14ac:dyDescent="0.45">
      <c r="A50" s="9">
        <v>3</v>
      </c>
      <c r="B50" s="9" t="s">
        <v>190</v>
      </c>
      <c r="C50" s="2" t="s">
        <v>292</v>
      </c>
      <c r="D50" s="22" t="s">
        <v>78</v>
      </c>
      <c r="E50" s="23"/>
      <c r="F50" s="24"/>
      <c r="G50" s="22" t="s">
        <v>185</v>
      </c>
      <c r="H50" s="23"/>
      <c r="I50" s="24"/>
    </row>
  </sheetData>
  <mergeCells count="25">
    <mergeCell ref="A1:I1"/>
    <mergeCell ref="H5:I5"/>
    <mergeCell ref="G48:I48"/>
    <mergeCell ref="E3:F3"/>
    <mergeCell ref="A3:B3"/>
    <mergeCell ref="G47:I47"/>
    <mergeCell ref="G50:I50"/>
    <mergeCell ref="G44:I44"/>
    <mergeCell ref="C4:I4"/>
    <mergeCell ref="A5:B5"/>
    <mergeCell ref="D49:F49"/>
    <mergeCell ref="D50:F50"/>
    <mergeCell ref="D44:F44"/>
    <mergeCell ref="G43:I43"/>
    <mergeCell ref="H3:I3"/>
    <mergeCell ref="A4:B4"/>
    <mergeCell ref="A46:I46"/>
    <mergeCell ref="E5:F5"/>
    <mergeCell ref="D48:F48"/>
    <mergeCell ref="G49:I49"/>
    <mergeCell ref="D47:F47"/>
    <mergeCell ref="A6:B6"/>
    <mergeCell ref="D43:F43"/>
    <mergeCell ref="A42:I42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82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83</v>
      </c>
      <c r="D4" s="21"/>
      <c r="E4" s="21"/>
      <c r="F4" s="21"/>
      <c r="G4" s="21"/>
      <c r="H4" s="21"/>
      <c r="I4" s="21"/>
    </row>
    <row r="5" spans="1:10" ht="32" x14ac:dyDescent="0.45">
      <c r="A5" s="26" t="s">
        <v>62</v>
      </c>
      <c r="B5" s="21"/>
      <c r="C5" s="2" t="s">
        <v>297</v>
      </c>
      <c r="D5" s="1" t="s">
        <v>18</v>
      </c>
      <c r="E5" s="20">
        <f>SUM(J9:J16)</f>
        <v>8</v>
      </c>
      <c r="F5" s="21"/>
      <c r="G5" s="1" t="s">
        <v>65</v>
      </c>
      <c r="H5" s="22" t="s">
        <v>87</v>
      </c>
      <c r="I5" s="21"/>
    </row>
    <row r="6" spans="1:10" ht="18" customHeight="1" x14ac:dyDescent="0.45">
      <c r="A6" s="26" t="s">
        <v>63</v>
      </c>
      <c r="B6" s="21"/>
      <c r="C6" s="22" t="s">
        <v>85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288</v>
      </c>
      <c r="C9" s="14" t="s">
        <v>298</v>
      </c>
      <c r="D9" s="14" t="s">
        <v>299</v>
      </c>
      <c r="E9" s="13" t="s">
        <v>167</v>
      </c>
      <c r="F9" s="13">
        <v>1</v>
      </c>
      <c r="G9" s="14" t="s">
        <v>300</v>
      </c>
      <c r="H9" s="14"/>
      <c r="I9" s="13" t="s">
        <v>168</v>
      </c>
      <c r="J9" s="14">
        <v>1</v>
      </c>
    </row>
    <row r="10" spans="1:10" x14ac:dyDescent="0.45">
      <c r="A10" s="13">
        <v>2</v>
      </c>
      <c r="B10" s="14" t="s">
        <v>301</v>
      </c>
      <c r="C10" s="14" t="s">
        <v>302</v>
      </c>
      <c r="D10" s="14" t="s">
        <v>171</v>
      </c>
      <c r="E10" s="13" t="s">
        <v>167</v>
      </c>
      <c r="F10" s="13">
        <v>2</v>
      </c>
      <c r="G10" s="14"/>
      <c r="H10" s="14"/>
      <c r="I10" s="13" t="s">
        <v>168</v>
      </c>
      <c r="J10" s="14">
        <v>1</v>
      </c>
    </row>
    <row r="11" spans="1:10" x14ac:dyDescent="0.45">
      <c r="A11" s="13">
        <v>3</v>
      </c>
      <c r="B11" s="14" t="s">
        <v>303</v>
      </c>
      <c r="C11" s="14" t="s">
        <v>304</v>
      </c>
      <c r="D11" s="14" t="s">
        <v>299</v>
      </c>
      <c r="E11" s="13" t="s">
        <v>167</v>
      </c>
      <c r="F11" s="13">
        <v>3</v>
      </c>
      <c r="G11" s="14" t="s">
        <v>305</v>
      </c>
      <c r="H11" s="14"/>
      <c r="I11" s="13" t="s">
        <v>168</v>
      </c>
      <c r="J11" s="14">
        <v>1</v>
      </c>
    </row>
    <row r="12" spans="1:10" x14ac:dyDescent="0.45">
      <c r="A12" s="13">
        <v>4</v>
      </c>
      <c r="B12" s="14" t="s">
        <v>306</v>
      </c>
      <c r="C12" s="14" t="s">
        <v>307</v>
      </c>
      <c r="D12" s="14" t="s">
        <v>171</v>
      </c>
      <c r="E12" s="13" t="s">
        <v>167</v>
      </c>
      <c r="F12" s="13">
        <v>4</v>
      </c>
      <c r="G12" s="14" t="s">
        <v>76</v>
      </c>
      <c r="H12" s="14"/>
      <c r="I12" s="13" t="s">
        <v>168</v>
      </c>
      <c r="J12" s="14">
        <v>1</v>
      </c>
    </row>
    <row r="13" spans="1:10" x14ac:dyDescent="0.45">
      <c r="A13" s="9">
        <v>5</v>
      </c>
      <c r="B13" s="2" t="s">
        <v>232</v>
      </c>
      <c r="C13" s="2" t="s">
        <v>308</v>
      </c>
      <c r="D13" s="2" t="s">
        <v>171</v>
      </c>
      <c r="E13" s="9" t="s">
        <v>196</v>
      </c>
      <c r="F13" s="9"/>
      <c r="G13" s="2"/>
      <c r="H13" s="2"/>
      <c r="I13" s="9" t="s">
        <v>168</v>
      </c>
      <c r="J13" s="2">
        <v>1</v>
      </c>
    </row>
    <row r="14" spans="1:10" x14ac:dyDescent="0.45">
      <c r="A14" s="9">
        <v>6</v>
      </c>
      <c r="B14" s="2" t="s">
        <v>196</v>
      </c>
      <c r="C14" s="2" t="s">
        <v>309</v>
      </c>
      <c r="D14" s="2" t="s">
        <v>171</v>
      </c>
      <c r="E14" s="9" t="s">
        <v>196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310</v>
      </c>
      <c r="C15" s="2" t="s">
        <v>311</v>
      </c>
      <c r="D15" s="2" t="s">
        <v>171</v>
      </c>
      <c r="E15" s="9" t="s">
        <v>196</v>
      </c>
      <c r="F15" s="9"/>
      <c r="G15" s="2"/>
      <c r="H15" s="2"/>
      <c r="I15" s="9" t="s">
        <v>168</v>
      </c>
      <c r="J15" s="2">
        <v>1</v>
      </c>
    </row>
    <row r="16" spans="1:10" x14ac:dyDescent="0.45">
      <c r="A16" s="9">
        <v>8</v>
      </c>
      <c r="B16" s="2" t="s">
        <v>95</v>
      </c>
      <c r="C16" s="2" t="s">
        <v>312</v>
      </c>
      <c r="D16" s="2" t="s">
        <v>171</v>
      </c>
      <c r="E16" s="9" t="s">
        <v>196</v>
      </c>
      <c r="F16" s="9"/>
      <c r="G16" s="2"/>
      <c r="H16" s="2"/>
      <c r="I16" s="9" t="s">
        <v>168</v>
      </c>
      <c r="J16" s="2">
        <v>1</v>
      </c>
    </row>
    <row r="18" spans="1:9" x14ac:dyDescent="0.45">
      <c r="A18" s="27" t="s">
        <v>180</v>
      </c>
      <c r="B18" s="21"/>
      <c r="C18" s="21"/>
      <c r="D18" s="21"/>
      <c r="E18" s="21"/>
      <c r="F18" s="21"/>
      <c r="G18" s="21"/>
      <c r="H18" s="21"/>
      <c r="I18" s="21"/>
    </row>
    <row r="19" spans="1:9" x14ac:dyDescent="0.45">
      <c r="A19" s="3" t="s">
        <v>59</v>
      </c>
      <c r="B19" s="3" t="s">
        <v>181</v>
      </c>
      <c r="C19" s="3" t="s">
        <v>182</v>
      </c>
      <c r="D19" s="25" t="s">
        <v>183</v>
      </c>
      <c r="E19" s="23"/>
      <c r="F19" s="24"/>
      <c r="G19" s="25" t="s">
        <v>22</v>
      </c>
      <c r="H19" s="23"/>
      <c r="I19" s="24"/>
    </row>
    <row r="20" spans="1:9" ht="32" customHeight="1" x14ac:dyDescent="0.45">
      <c r="A20" s="9">
        <v>1</v>
      </c>
      <c r="B20" s="9" t="s">
        <v>162</v>
      </c>
      <c r="C20" s="2" t="s">
        <v>313</v>
      </c>
      <c r="D20" s="22" t="s">
        <v>84</v>
      </c>
      <c r="E20" s="23"/>
      <c r="F20" s="24"/>
      <c r="G20" s="22" t="s">
        <v>185</v>
      </c>
      <c r="H20" s="23"/>
      <c r="I20" s="24"/>
    </row>
    <row r="22" spans="1:9" x14ac:dyDescent="0.45">
      <c r="A22" s="27" t="s">
        <v>186</v>
      </c>
      <c r="B22" s="21"/>
      <c r="C22" s="21"/>
      <c r="D22" s="21"/>
      <c r="E22" s="21"/>
      <c r="F22" s="21"/>
      <c r="G22" s="21"/>
      <c r="H22" s="21"/>
      <c r="I22" s="21"/>
    </row>
    <row r="23" spans="1:9" x14ac:dyDescent="0.45">
      <c r="A23" s="3" t="s">
        <v>59</v>
      </c>
      <c r="B23" s="3" t="s">
        <v>187</v>
      </c>
      <c r="C23" s="3" t="s">
        <v>188</v>
      </c>
      <c r="D23" s="25" t="s">
        <v>183</v>
      </c>
      <c r="E23" s="23"/>
      <c r="F23" s="24"/>
      <c r="G23" s="25" t="s">
        <v>189</v>
      </c>
      <c r="H23" s="23"/>
      <c r="I23" s="24"/>
    </row>
    <row r="24" spans="1:9" ht="18" customHeight="1" x14ac:dyDescent="0.45">
      <c r="A24" s="9">
        <v>1</v>
      </c>
      <c r="B24" s="9" t="s">
        <v>224</v>
      </c>
      <c r="C24" s="2" t="s">
        <v>314</v>
      </c>
      <c r="D24" s="22" t="s">
        <v>288</v>
      </c>
      <c r="E24" s="23"/>
      <c r="F24" s="24"/>
      <c r="G24" s="22"/>
      <c r="H24" s="23"/>
      <c r="I24" s="24"/>
    </row>
    <row r="25" spans="1:9" ht="32" customHeight="1" x14ac:dyDescent="0.45">
      <c r="A25" s="9">
        <v>2</v>
      </c>
      <c r="B25" s="9" t="s">
        <v>190</v>
      </c>
      <c r="C25" s="2" t="s">
        <v>313</v>
      </c>
      <c r="D25" s="22" t="s">
        <v>84</v>
      </c>
      <c r="E25" s="23"/>
      <c r="F25" s="24"/>
      <c r="G25" s="22" t="s">
        <v>185</v>
      </c>
      <c r="H25" s="23"/>
      <c r="I25" s="24"/>
    </row>
  </sheetData>
  <mergeCells count="23">
    <mergeCell ref="A1:I1"/>
    <mergeCell ref="H5:I5"/>
    <mergeCell ref="E3:F3"/>
    <mergeCell ref="D25:F25"/>
    <mergeCell ref="A3:B3"/>
    <mergeCell ref="D24:F24"/>
    <mergeCell ref="G25:I25"/>
    <mergeCell ref="D23:F23"/>
    <mergeCell ref="C4:I4"/>
    <mergeCell ref="A5:B5"/>
    <mergeCell ref="D20:F20"/>
    <mergeCell ref="H3:I3"/>
    <mergeCell ref="A4:B4"/>
    <mergeCell ref="D19:F19"/>
    <mergeCell ref="G23:I23"/>
    <mergeCell ref="G19:I19"/>
    <mergeCell ref="E5:F5"/>
    <mergeCell ref="A18:I18"/>
    <mergeCell ref="A6:B6"/>
    <mergeCell ref="G24:I24"/>
    <mergeCell ref="C6:I6"/>
    <mergeCell ref="G20:I20"/>
    <mergeCell ref="A22:I22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88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89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315</v>
      </c>
      <c r="D5" s="1" t="s">
        <v>18</v>
      </c>
      <c r="E5" s="20">
        <f>SUM(J9:J15)</f>
        <v>7</v>
      </c>
      <c r="F5" s="21"/>
      <c r="G5" s="1" t="s">
        <v>65</v>
      </c>
      <c r="H5" s="22" t="s">
        <v>93</v>
      </c>
      <c r="I5" s="21"/>
    </row>
    <row r="6" spans="1:10" ht="18" customHeight="1" x14ac:dyDescent="0.45">
      <c r="A6" s="26" t="s">
        <v>63</v>
      </c>
      <c r="B6" s="21"/>
      <c r="C6" s="22" t="s">
        <v>91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90</v>
      </c>
      <c r="C9" s="14" t="s">
        <v>316</v>
      </c>
      <c r="D9" s="14" t="s">
        <v>171</v>
      </c>
      <c r="E9" s="13" t="s">
        <v>167</v>
      </c>
      <c r="F9" s="13">
        <v>1</v>
      </c>
      <c r="G9" s="14"/>
      <c r="H9" s="14"/>
      <c r="I9" s="13" t="s">
        <v>168</v>
      </c>
      <c r="J9" s="14">
        <v>1</v>
      </c>
    </row>
    <row r="10" spans="1:10" x14ac:dyDescent="0.45">
      <c r="A10" s="9">
        <v>2</v>
      </c>
      <c r="B10" s="2" t="s">
        <v>317</v>
      </c>
      <c r="C10" s="2" t="s">
        <v>318</v>
      </c>
      <c r="D10" s="2" t="s">
        <v>166</v>
      </c>
      <c r="E10" s="9" t="s">
        <v>167</v>
      </c>
      <c r="F10" s="9"/>
      <c r="G10" s="2"/>
      <c r="H10" s="2"/>
      <c r="I10" s="9" t="s">
        <v>168</v>
      </c>
      <c r="J10" s="2">
        <v>1</v>
      </c>
    </row>
    <row r="11" spans="1:10" x14ac:dyDescent="0.45">
      <c r="A11" s="9">
        <v>3</v>
      </c>
      <c r="B11" s="2" t="s">
        <v>319</v>
      </c>
      <c r="C11" s="2" t="s">
        <v>320</v>
      </c>
      <c r="D11" s="2" t="s">
        <v>321</v>
      </c>
      <c r="E11" s="9" t="s">
        <v>167</v>
      </c>
      <c r="F11" s="9"/>
      <c r="G11" s="2"/>
      <c r="H11" s="2" t="s">
        <v>322</v>
      </c>
      <c r="I11" s="9" t="s">
        <v>168</v>
      </c>
      <c r="J11" s="2">
        <v>1</v>
      </c>
    </row>
    <row r="12" spans="1:10" x14ac:dyDescent="0.45">
      <c r="A12" s="9">
        <v>4</v>
      </c>
      <c r="B12" s="2" t="s">
        <v>323</v>
      </c>
      <c r="C12" s="2" t="s">
        <v>324</v>
      </c>
      <c r="D12" s="2" t="s">
        <v>325</v>
      </c>
      <c r="E12" s="9" t="s">
        <v>196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326</v>
      </c>
      <c r="C13" s="2" t="s">
        <v>327</v>
      </c>
      <c r="D13" s="2" t="s">
        <v>208</v>
      </c>
      <c r="E13" s="9" t="s">
        <v>196</v>
      </c>
      <c r="F13" s="9"/>
      <c r="G13" s="2"/>
      <c r="H13" s="2"/>
      <c r="I13" s="9" t="s">
        <v>168</v>
      </c>
      <c r="J13" s="2">
        <v>1</v>
      </c>
    </row>
    <row r="14" spans="1:10" x14ac:dyDescent="0.45">
      <c r="A14" s="9">
        <v>6</v>
      </c>
      <c r="B14" s="2" t="s">
        <v>328</v>
      </c>
      <c r="C14" s="2" t="s">
        <v>329</v>
      </c>
      <c r="D14" s="2" t="s">
        <v>325</v>
      </c>
      <c r="E14" s="9" t="s">
        <v>196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330</v>
      </c>
      <c r="C15" s="2" t="s">
        <v>331</v>
      </c>
      <c r="D15" s="2" t="s">
        <v>208</v>
      </c>
      <c r="E15" s="9" t="s">
        <v>196</v>
      </c>
      <c r="F15" s="9"/>
      <c r="G15" s="2"/>
      <c r="H15" s="2"/>
      <c r="I15" s="9" t="s">
        <v>168</v>
      </c>
      <c r="J15" s="2">
        <v>1</v>
      </c>
    </row>
    <row r="17" spans="1:9" x14ac:dyDescent="0.45">
      <c r="A17" s="27" t="s">
        <v>180</v>
      </c>
      <c r="B17" s="21"/>
      <c r="C17" s="21"/>
      <c r="D17" s="21"/>
      <c r="E17" s="21"/>
      <c r="F17" s="21"/>
      <c r="G17" s="21"/>
      <c r="H17" s="21"/>
      <c r="I17" s="21"/>
    </row>
    <row r="18" spans="1:9" x14ac:dyDescent="0.45">
      <c r="A18" s="3" t="s">
        <v>59</v>
      </c>
      <c r="B18" s="3" t="s">
        <v>181</v>
      </c>
      <c r="C18" s="3" t="s">
        <v>182</v>
      </c>
      <c r="D18" s="25" t="s">
        <v>183</v>
      </c>
      <c r="E18" s="23"/>
      <c r="F18" s="24"/>
      <c r="G18" s="25" t="s">
        <v>22</v>
      </c>
      <c r="H18" s="23"/>
      <c r="I18" s="24"/>
    </row>
    <row r="19" spans="1:9" ht="18" customHeight="1" x14ac:dyDescent="0.45">
      <c r="A19" s="9">
        <v>1</v>
      </c>
      <c r="B19" s="9" t="s">
        <v>162</v>
      </c>
      <c r="C19" s="2" t="s">
        <v>332</v>
      </c>
      <c r="D19" s="22" t="s">
        <v>90</v>
      </c>
      <c r="E19" s="23"/>
      <c r="F19" s="24"/>
      <c r="G19" s="22" t="s">
        <v>185</v>
      </c>
      <c r="H19" s="23"/>
      <c r="I19" s="24"/>
    </row>
    <row r="21" spans="1:9" x14ac:dyDescent="0.45">
      <c r="A21" s="27" t="s">
        <v>186</v>
      </c>
      <c r="B21" s="21"/>
      <c r="C21" s="21"/>
      <c r="D21" s="21"/>
      <c r="E21" s="21"/>
      <c r="F21" s="21"/>
      <c r="G21" s="21"/>
      <c r="H21" s="21"/>
      <c r="I21" s="21"/>
    </row>
    <row r="22" spans="1:9" x14ac:dyDescent="0.45">
      <c r="A22" s="3" t="s">
        <v>59</v>
      </c>
      <c r="B22" s="3" t="s">
        <v>187</v>
      </c>
      <c r="C22" s="3" t="s">
        <v>188</v>
      </c>
      <c r="D22" s="25" t="s">
        <v>183</v>
      </c>
      <c r="E22" s="23"/>
      <c r="F22" s="24"/>
      <c r="G22" s="25" t="s">
        <v>189</v>
      </c>
      <c r="H22" s="23"/>
      <c r="I22" s="24"/>
    </row>
    <row r="23" spans="1:9" ht="18" customHeight="1" x14ac:dyDescent="0.45">
      <c r="A23" s="9">
        <v>1</v>
      </c>
      <c r="B23" s="9" t="s">
        <v>190</v>
      </c>
      <c r="C23" s="2" t="s">
        <v>332</v>
      </c>
      <c r="D23" s="22" t="s">
        <v>90</v>
      </c>
      <c r="E23" s="23"/>
      <c r="F23" s="24"/>
      <c r="G23" s="22" t="s">
        <v>185</v>
      </c>
      <c r="H23" s="23"/>
      <c r="I23" s="24"/>
    </row>
  </sheetData>
  <mergeCells count="21">
    <mergeCell ref="A1:I1"/>
    <mergeCell ref="H5:I5"/>
    <mergeCell ref="E3:F3"/>
    <mergeCell ref="A3:B3"/>
    <mergeCell ref="D23:F23"/>
    <mergeCell ref="G22:I22"/>
    <mergeCell ref="C4:I4"/>
    <mergeCell ref="A5:B5"/>
    <mergeCell ref="H3:I3"/>
    <mergeCell ref="A4:B4"/>
    <mergeCell ref="D19:F19"/>
    <mergeCell ref="D22:F22"/>
    <mergeCell ref="G23:I23"/>
    <mergeCell ref="G19:I19"/>
    <mergeCell ref="E5:F5"/>
    <mergeCell ref="G18:I18"/>
    <mergeCell ref="A6:B6"/>
    <mergeCell ref="A21:I21"/>
    <mergeCell ref="D18:F18"/>
    <mergeCell ref="A17:I17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92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94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333</v>
      </c>
      <c r="D5" s="1" t="s">
        <v>18</v>
      </c>
      <c r="E5" s="20">
        <f>SUM(J9:J18)</f>
        <v>10</v>
      </c>
      <c r="F5" s="21"/>
      <c r="G5" s="1" t="s">
        <v>65</v>
      </c>
      <c r="H5" s="22" t="s">
        <v>98</v>
      </c>
      <c r="I5" s="21"/>
    </row>
    <row r="6" spans="1:10" ht="18" customHeight="1" x14ac:dyDescent="0.45">
      <c r="A6" s="26" t="s">
        <v>63</v>
      </c>
      <c r="B6" s="21"/>
      <c r="C6" s="22" t="s">
        <v>96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95</v>
      </c>
      <c r="C9" s="14" t="s">
        <v>334</v>
      </c>
      <c r="D9" s="14" t="s">
        <v>171</v>
      </c>
      <c r="E9" s="13" t="s">
        <v>167</v>
      </c>
      <c r="F9" s="13">
        <v>1</v>
      </c>
      <c r="G9" s="14"/>
      <c r="H9" s="14"/>
      <c r="I9" s="13" t="s">
        <v>168</v>
      </c>
      <c r="J9" s="14">
        <v>1</v>
      </c>
    </row>
    <row r="10" spans="1:10" x14ac:dyDescent="0.45">
      <c r="A10" s="9">
        <v>2</v>
      </c>
      <c r="B10" s="2" t="s">
        <v>335</v>
      </c>
      <c r="C10" s="2" t="s">
        <v>336</v>
      </c>
      <c r="D10" s="2" t="s">
        <v>166</v>
      </c>
      <c r="E10" s="9" t="s">
        <v>167</v>
      </c>
      <c r="F10" s="9"/>
      <c r="G10" s="2"/>
      <c r="H10" s="2"/>
      <c r="I10" s="9" t="s">
        <v>168</v>
      </c>
      <c r="J10" s="2">
        <v>1</v>
      </c>
    </row>
    <row r="11" spans="1:10" x14ac:dyDescent="0.45">
      <c r="A11" s="9">
        <v>3</v>
      </c>
      <c r="B11" s="2" t="s">
        <v>337</v>
      </c>
      <c r="C11" s="2" t="s">
        <v>338</v>
      </c>
      <c r="D11" s="2" t="s">
        <v>213</v>
      </c>
      <c r="E11" s="9" t="s">
        <v>196</v>
      </c>
      <c r="F11" s="9"/>
      <c r="G11" s="2"/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90</v>
      </c>
      <c r="C12" s="2" t="s">
        <v>339</v>
      </c>
      <c r="D12" s="2" t="s">
        <v>171</v>
      </c>
      <c r="E12" s="9" t="s">
        <v>167</v>
      </c>
      <c r="F12" s="9"/>
      <c r="G12" s="2" t="s">
        <v>88</v>
      </c>
      <c r="H12" s="2" t="s">
        <v>273</v>
      </c>
      <c r="I12" s="9" t="s">
        <v>168</v>
      </c>
      <c r="J12" s="2">
        <v>1</v>
      </c>
    </row>
    <row r="13" spans="1:10" x14ac:dyDescent="0.45">
      <c r="A13" s="9">
        <v>5</v>
      </c>
      <c r="B13" s="2" t="s">
        <v>319</v>
      </c>
      <c r="C13" s="2" t="s">
        <v>340</v>
      </c>
      <c r="D13" s="2" t="s">
        <v>321</v>
      </c>
      <c r="E13" s="9" t="s">
        <v>167</v>
      </c>
      <c r="F13" s="9"/>
      <c r="G13" s="2"/>
      <c r="H13" s="2" t="s">
        <v>322</v>
      </c>
      <c r="I13" s="9" t="s">
        <v>168</v>
      </c>
      <c r="J13" s="2">
        <v>1</v>
      </c>
    </row>
    <row r="14" spans="1:10" x14ac:dyDescent="0.45">
      <c r="A14" s="9">
        <v>6</v>
      </c>
      <c r="B14" s="2" t="s">
        <v>341</v>
      </c>
      <c r="C14" s="2" t="s">
        <v>342</v>
      </c>
      <c r="D14" s="2" t="s">
        <v>343</v>
      </c>
      <c r="E14" s="9" t="s">
        <v>167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323</v>
      </c>
      <c r="C15" s="2" t="s">
        <v>324</v>
      </c>
      <c r="D15" s="2" t="s">
        <v>325</v>
      </c>
      <c r="E15" s="9" t="s">
        <v>196</v>
      </c>
      <c r="F15" s="9"/>
      <c r="G15" s="2"/>
      <c r="H15" s="2"/>
      <c r="I15" s="9" t="s">
        <v>168</v>
      </c>
      <c r="J15" s="2">
        <v>1</v>
      </c>
    </row>
    <row r="16" spans="1:10" x14ac:dyDescent="0.45">
      <c r="A16" s="9">
        <v>8</v>
      </c>
      <c r="B16" s="2" t="s">
        <v>326</v>
      </c>
      <c r="C16" s="2" t="s">
        <v>327</v>
      </c>
      <c r="D16" s="2" t="s">
        <v>208</v>
      </c>
      <c r="E16" s="9" t="s">
        <v>196</v>
      </c>
      <c r="F16" s="9"/>
      <c r="G16" s="2"/>
      <c r="H16" s="2"/>
      <c r="I16" s="9" t="s">
        <v>168</v>
      </c>
      <c r="J16" s="2">
        <v>1</v>
      </c>
    </row>
    <row r="17" spans="1:10" x14ac:dyDescent="0.45">
      <c r="A17" s="9">
        <v>9</v>
      </c>
      <c r="B17" s="2" t="s">
        <v>328</v>
      </c>
      <c r="C17" s="2" t="s">
        <v>329</v>
      </c>
      <c r="D17" s="2" t="s">
        <v>325</v>
      </c>
      <c r="E17" s="9" t="s">
        <v>196</v>
      </c>
      <c r="F17" s="9"/>
      <c r="G17" s="2"/>
      <c r="H17" s="2"/>
      <c r="I17" s="9" t="s">
        <v>168</v>
      </c>
      <c r="J17" s="2">
        <v>1</v>
      </c>
    </row>
    <row r="18" spans="1:10" x14ac:dyDescent="0.45">
      <c r="A18" s="9">
        <v>10</v>
      </c>
      <c r="B18" s="2" t="s">
        <v>330</v>
      </c>
      <c r="C18" s="2" t="s">
        <v>331</v>
      </c>
      <c r="D18" s="2" t="s">
        <v>208</v>
      </c>
      <c r="E18" s="9" t="s">
        <v>196</v>
      </c>
      <c r="F18" s="9"/>
      <c r="G18" s="2"/>
      <c r="H18" s="2"/>
      <c r="I18" s="9" t="s">
        <v>168</v>
      </c>
      <c r="J18" s="2">
        <v>1</v>
      </c>
    </row>
    <row r="20" spans="1:10" x14ac:dyDescent="0.45">
      <c r="A20" s="27" t="s">
        <v>180</v>
      </c>
      <c r="B20" s="21"/>
      <c r="C20" s="21"/>
      <c r="D20" s="21"/>
      <c r="E20" s="21"/>
      <c r="F20" s="21"/>
      <c r="G20" s="21"/>
      <c r="H20" s="21"/>
      <c r="I20" s="21"/>
    </row>
    <row r="21" spans="1:10" x14ac:dyDescent="0.45">
      <c r="A21" s="3" t="s">
        <v>59</v>
      </c>
      <c r="B21" s="3" t="s">
        <v>181</v>
      </c>
      <c r="C21" s="3" t="s">
        <v>182</v>
      </c>
      <c r="D21" s="25" t="s">
        <v>183</v>
      </c>
      <c r="E21" s="23"/>
      <c r="F21" s="24"/>
      <c r="G21" s="25" t="s">
        <v>22</v>
      </c>
      <c r="H21" s="23"/>
      <c r="I21" s="24"/>
    </row>
    <row r="22" spans="1:10" ht="18" customHeight="1" x14ac:dyDescent="0.45">
      <c r="A22" s="9">
        <v>1</v>
      </c>
      <c r="B22" s="9" t="s">
        <v>162</v>
      </c>
      <c r="C22" s="2" t="s">
        <v>344</v>
      </c>
      <c r="D22" s="22" t="s">
        <v>95</v>
      </c>
      <c r="E22" s="23"/>
      <c r="F22" s="24"/>
      <c r="G22" s="22" t="s">
        <v>185</v>
      </c>
      <c r="H22" s="23"/>
      <c r="I22" s="24"/>
    </row>
    <row r="24" spans="1:10" x14ac:dyDescent="0.45">
      <c r="A24" s="27" t="s">
        <v>186</v>
      </c>
      <c r="B24" s="21"/>
      <c r="C24" s="21"/>
      <c r="D24" s="21"/>
      <c r="E24" s="21"/>
      <c r="F24" s="21"/>
      <c r="G24" s="21"/>
      <c r="H24" s="21"/>
      <c r="I24" s="21"/>
    </row>
    <row r="25" spans="1:10" x14ac:dyDescent="0.45">
      <c r="A25" s="3" t="s">
        <v>59</v>
      </c>
      <c r="B25" s="3" t="s">
        <v>187</v>
      </c>
      <c r="C25" s="3" t="s">
        <v>188</v>
      </c>
      <c r="D25" s="25" t="s">
        <v>183</v>
      </c>
      <c r="E25" s="23"/>
      <c r="F25" s="24"/>
      <c r="G25" s="25" t="s">
        <v>189</v>
      </c>
      <c r="H25" s="23"/>
      <c r="I25" s="24"/>
    </row>
    <row r="26" spans="1:10" ht="18" customHeight="1" x14ac:dyDescent="0.45">
      <c r="A26" s="9">
        <v>1</v>
      </c>
      <c r="B26" s="9" t="s">
        <v>190</v>
      </c>
      <c r="C26" s="2" t="s">
        <v>344</v>
      </c>
      <c r="D26" s="22" t="s">
        <v>95</v>
      </c>
      <c r="E26" s="23"/>
      <c r="F26" s="24"/>
      <c r="G26" s="22" t="s">
        <v>185</v>
      </c>
      <c r="H26" s="23"/>
      <c r="I26" s="24"/>
    </row>
  </sheetData>
  <mergeCells count="21">
    <mergeCell ref="A1:I1"/>
    <mergeCell ref="H5:I5"/>
    <mergeCell ref="D21:F21"/>
    <mergeCell ref="E3:F3"/>
    <mergeCell ref="A3:B3"/>
    <mergeCell ref="A20:I20"/>
    <mergeCell ref="G25:I25"/>
    <mergeCell ref="G22:I22"/>
    <mergeCell ref="C4:I4"/>
    <mergeCell ref="A5:B5"/>
    <mergeCell ref="G21:I21"/>
    <mergeCell ref="A24:I24"/>
    <mergeCell ref="H3:I3"/>
    <mergeCell ref="A4:B4"/>
    <mergeCell ref="D22:F22"/>
    <mergeCell ref="E5:F5"/>
    <mergeCell ref="A6:B6"/>
    <mergeCell ref="C6:I6"/>
    <mergeCell ref="G26:I26"/>
    <mergeCell ref="D25:F25"/>
    <mergeCell ref="D26:F2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99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100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345</v>
      </c>
      <c r="D5" s="1" t="s">
        <v>18</v>
      </c>
      <c r="E5" s="20">
        <f>SUM(J9:J20)</f>
        <v>12</v>
      </c>
      <c r="F5" s="21"/>
      <c r="G5" s="1" t="s">
        <v>65</v>
      </c>
      <c r="H5" s="22" t="s">
        <v>103</v>
      </c>
      <c r="I5" s="21"/>
    </row>
    <row r="6" spans="1:10" ht="18" customHeight="1" x14ac:dyDescent="0.45">
      <c r="A6" s="26" t="s">
        <v>63</v>
      </c>
      <c r="B6" s="21"/>
      <c r="C6" s="22" t="s">
        <v>102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112</v>
      </c>
      <c r="C9" s="14" t="s">
        <v>346</v>
      </c>
      <c r="D9" s="14" t="s">
        <v>347</v>
      </c>
      <c r="E9" s="13" t="s">
        <v>167</v>
      </c>
      <c r="F9" s="13">
        <v>1</v>
      </c>
      <c r="G9" s="14" t="s">
        <v>76</v>
      </c>
      <c r="H9" s="14" t="s">
        <v>348</v>
      </c>
      <c r="I9" s="13" t="s">
        <v>168</v>
      </c>
      <c r="J9" s="14">
        <v>1</v>
      </c>
    </row>
    <row r="10" spans="1:10" x14ac:dyDescent="0.45">
      <c r="A10" s="13">
        <v>2</v>
      </c>
      <c r="B10" s="14" t="s">
        <v>229</v>
      </c>
      <c r="C10" s="14" t="s">
        <v>307</v>
      </c>
      <c r="D10" s="14" t="s">
        <v>203</v>
      </c>
      <c r="E10" s="13" t="s">
        <v>167</v>
      </c>
      <c r="F10" s="13">
        <v>2</v>
      </c>
      <c r="G10" s="14" t="s">
        <v>76</v>
      </c>
      <c r="H10" s="14" t="s">
        <v>348</v>
      </c>
      <c r="I10" s="13" t="s">
        <v>168</v>
      </c>
      <c r="J10" s="14">
        <v>1</v>
      </c>
    </row>
    <row r="11" spans="1:10" x14ac:dyDescent="0.45">
      <c r="A11" s="13">
        <v>3</v>
      </c>
      <c r="B11" s="14" t="s">
        <v>349</v>
      </c>
      <c r="C11" s="14" t="s">
        <v>350</v>
      </c>
      <c r="D11" s="14" t="s">
        <v>203</v>
      </c>
      <c r="E11" s="13" t="s">
        <v>167</v>
      </c>
      <c r="F11" s="13">
        <v>3</v>
      </c>
      <c r="G11" s="14"/>
      <c r="H11" s="14" t="s">
        <v>348</v>
      </c>
      <c r="I11" s="13" t="s">
        <v>168</v>
      </c>
      <c r="J11" s="14">
        <v>1</v>
      </c>
    </row>
    <row r="12" spans="1:10" x14ac:dyDescent="0.45">
      <c r="A12" s="9">
        <v>4</v>
      </c>
      <c r="B12" s="2" t="s">
        <v>148</v>
      </c>
      <c r="C12" s="2" t="s">
        <v>231</v>
      </c>
      <c r="D12" s="2" t="s">
        <v>347</v>
      </c>
      <c r="E12" s="9" t="s">
        <v>167</v>
      </c>
      <c r="F12" s="9"/>
      <c r="G12" s="2"/>
      <c r="H12" s="2" t="s">
        <v>348</v>
      </c>
      <c r="I12" s="9" t="s">
        <v>168</v>
      </c>
      <c r="J12" s="2">
        <v>1</v>
      </c>
    </row>
    <row r="13" spans="1:10" x14ac:dyDescent="0.45">
      <c r="A13" s="9">
        <v>5</v>
      </c>
      <c r="B13" s="2" t="s">
        <v>254</v>
      </c>
      <c r="C13" s="2" t="s">
        <v>351</v>
      </c>
      <c r="D13" s="2" t="s">
        <v>203</v>
      </c>
      <c r="E13" s="9" t="s">
        <v>167</v>
      </c>
      <c r="F13" s="9"/>
      <c r="G13" s="2"/>
      <c r="H13" s="2" t="s">
        <v>348</v>
      </c>
      <c r="I13" s="9" t="s">
        <v>168</v>
      </c>
      <c r="J13" s="2">
        <v>1</v>
      </c>
    </row>
    <row r="14" spans="1:10" x14ac:dyDescent="0.45">
      <c r="A14" s="9">
        <v>6</v>
      </c>
      <c r="B14" s="2" t="s">
        <v>352</v>
      </c>
      <c r="C14" s="2" t="s">
        <v>353</v>
      </c>
      <c r="D14" s="2" t="s">
        <v>354</v>
      </c>
      <c r="E14" s="9" t="s">
        <v>167</v>
      </c>
      <c r="F14" s="9"/>
      <c r="G14" s="2"/>
      <c r="H14" s="2" t="s">
        <v>355</v>
      </c>
      <c r="I14" s="9" t="s">
        <v>168</v>
      </c>
      <c r="J14" s="2">
        <v>1</v>
      </c>
    </row>
    <row r="15" spans="1:10" x14ac:dyDescent="0.45">
      <c r="A15" s="9">
        <v>7</v>
      </c>
      <c r="B15" s="2" t="s">
        <v>356</v>
      </c>
      <c r="C15" s="2" t="s">
        <v>357</v>
      </c>
      <c r="D15" s="2" t="s">
        <v>213</v>
      </c>
      <c r="E15" s="9" t="s">
        <v>167</v>
      </c>
      <c r="F15" s="9"/>
      <c r="G15" s="2"/>
      <c r="H15" s="2" t="s">
        <v>355</v>
      </c>
      <c r="I15" s="9" t="s">
        <v>168</v>
      </c>
      <c r="J15" s="2">
        <v>1</v>
      </c>
    </row>
    <row r="16" spans="1:10" x14ac:dyDescent="0.45">
      <c r="A16" s="9">
        <v>8</v>
      </c>
      <c r="B16" s="2" t="s">
        <v>358</v>
      </c>
      <c r="C16" s="2" t="s">
        <v>359</v>
      </c>
      <c r="D16" s="2" t="s">
        <v>213</v>
      </c>
      <c r="E16" s="9" t="s">
        <v>167</v>
      </c>
      <c r="F16" s="9"/>
      <c r="G16" s="2"/>
      <c r="H16" s="2" t="s">
        <v>355</v>
      </c>
      <c r="I16" s="9" t="s">
        <v>168</v>
      </c>
      <c r="J16" s="2">
        <v>1</v>
      </c>
    </row>
    <row r="17" spans="1:10" x14ac:dyDescent="0.45">
      <c r="A17" s="9">
        <v>9</v>
      </c>
      <c r="B17" s="2" t="s">
        <v>360</v>
      </c>
      <c r="C17" s="2" t="s">
        <v>361</v>
      </c>
      <c r="D17" s="2" t="s">
        <v>166</v>
      </c>
      <c r="E17" s="9" t="s">
        <v>167</v>
      </c>
      <c r="F17" s="9"/>
      <c r="G17" s="2"/>
      <c r="H17" s="2" t="s">
        <v>355</v>
      </c>
      <c r="I17" s="9" t="s">
        <v>168</v>
      </c>
      <c r="J17" s="2">
        <v>1</v>
      </c>
    </row>
    <row r="18" spans="1:10" x14ac:dyDescent="0.45">
      <c r="A18" s="9">
        <v>10</v>
      </c>
      <c r="B18" s="2" t="s">
        <v>362</v>
      </c>
      <c r="C18" s="2" t="s">
        <v>363</v>
      </c>
      <c r="D18" s="2" t="s">
        <v>213</v>
      </c>
      <c r="E18" s="9" t="s">
        <v>167</v>
      </c>
      <c r="F18" s="9"/>
      <c r="G18" s="2"/>
      <c r="H18" s="2" t="s">
        <v>355</v>
      </c>
      <c r="I18" s="9" t="s">
        <v>168</v>
      </c>
      <c r="J18" s="2">
        <v>1</v>
      </c>
    </row>
    <row r="19" spans="1:10" x14ac:dyDescent="0.45">
      <c r="A19" s="9">
        <v>11</v>
      </c>
      <c r="B19" s="2" t="s">
        <v>364</v>
      </c>
      <c r="C19" s="2" t="s">
        <v>365</v>
      </c>
      <c r="D19" s="2" t="s">
        <v>213</v>
      </c>
      <c r="E19" s="9" t="s">
        <v>167</v>
      </c>
      <c r="F19" s="9"/>
      <c r="G19" s="2"/>
      <c r="H19" s="2" t="s">
        <v>355</v>
      </c>
      <c r="I19" s="9" t="s">
        <v>168</v>
      </c>
      <c r="J19" s="2">
        <v>1</v>
      </c>
    </row>
    <row r="20" spans="1:10" x14ac:dyDescent="0.45">
      <c r="A20" s="9">
        <v>12</v>
      </c>
      <c r="B20" s="2" t="s">
        <v>366</v>
      </c>
      <c r="C20" s="2" t="s">
        <v>367</v>
      </c>
      <c r="D20" s="2" t="s">
        <v>213</v>
      </c>
      <c r="E20" s="9" t="s">
        <v>167</v>
      </c>
      <c r="F20" s="9"/>
      <c r="G20" s="2"/>
      <c r="H20" s="2" t="s">
        <v>355</v>
      </c>
      <c r="I20" s="9" t="s">
        <v>168</v>
      </c>
      <c r="J20" s="2">
        <v>1</v>
      </c>
    </row>
    <row r="22" spans="1:10" x14ac:dyDescent="0.45">
      <c r="A22" s="27" t="s">
        <v>180</v>
      </c>
      <c r="B22" s="21"/>
      <c r="C22" s="21"/>
      <c r="D22" s="21"/>
      <c r="E22" s="21"/>
      <c r="F22" s="21"/>
      <c r="G22" s="21"/>
      <c r="H22" s="21"/>
      <c r="I22" s="21"/>
    </row>
    <row r="23" spans="1:10" x14ac:dyDescent="0.45">
      <c r="A23" s="3" t="s">
        <v>59</v>
      </c>
      <c r="B23" s="3" t="s">
        <v>181</v>
      </c>
      <c r="C23" s="3" t="s">
        <v>182</v>
      </c>
      <c r="D23" s="25" t="s">
        <v>183</v>
      </c>
      <c r="E23" s="23"/>
      <c r="F23" s="24"/>
      <c r="G23" s="25" t="s">
        <v>22</v>
      </c>
      <c r="H23" s="23"/>
      <c r="I23" s="24"/>
    </row>
    <row r="24" spans="1:10" ht="18" customHeight="1" x14ac:dyDescent="0.45">
      <c r="A24" s="9">
        <v>1</v>
      </c>
      <c r="B24" s="9" t="s">
        <v>162</v>
      </c>
      <c r="C24" s="2" t="s">
        <v>368</v>
      </c>
      <c r="D24" s="22" t="s">
        <v>101</v>
      </c>
      <c r="E24" s="23"/>
      <c r="F24" s="24"/>
      <c r="G24" s="22" t="s">
        <v>185</v>
      </c>
      <c r="H24" s="23"/>
      <c r="I24" s="24"/>
    </row>
    <row r="26" spans="1:10" x14ac:dyDescent="0.45">
      <c r="A26" s="27" t="s">
        <v>186</v>
      </c>
      <c r="B26" s="21"/>
      <c r="C26" s="21"/>
      <c r="D26" s="21"/>
      <c r="E26" s="21"/>
      <c r="F26" s="21"/>
      <c r="G26" s="21"/>
      <c r="H26" s="21"/>
      <c r="I26" s="21"/>
    </row>
    <row r="27" spans="1:10" x14ac:dyDescent="0.45">
      <c r="A27" s="3" t="s">
        <v>59</v>
      </c>
      <c r="B27" s="3" t="s">
        <v>187</v>
      </c>
      <c r="C27" s="3" t="s">
        <v>188</v>
      </c>
      <c r="D27" s="25" t="s">
        <v>183</v>
      </c>
      <c r="E27" s="23"/>
      <c r="F27" s="24"/>
      <c r="G27" s="25" t="s">
        <v>189</v>
      </c>
      <c r="H27" s="23"/>
      <c r="I27" s="24"/>
    </row>
    <row r="28" spans="1:10" ht="18" customHeight="1" x14ac:dyDescent="0.45">
      <c r="A28" s="9">
        <v>1</v>
      </c>
      <c r="B28" s="9" t="s">
        <v>190</v>
      </c>
      <c r="C28" s="2" t="s">
        <v>368</v>
      </c>
      <c r="D28" s="22" t="s">
        <v>101</v>
      </c>
      <c r="E28" s="23"/>
      <c r="F28" s="24"/>
      <c r="G28" s="22" t="s">
        <v>185</v>
      </c>
      <c r="H28" s="23"/>
      <c r="I28" s="24"/>
    </row>
  </sheetData>
  <mergeCells count="21">
    <mergeCell ref="A1:I1"/>
    <mergeCell ref="H5:I5"/>
    <mergeCell ref="E3:F3"/>
    <mergeCell ref="A3:B3"/>
    <mergeCell ref="D24:F24"/>
    <mergeCell ref="D23:F23"/>
    <mergeCell ref="C4:I4"/>
    <mergeCell ref="A5:B5"/>
    <mergeCell ref="H3:I3"/>
    <mergeCell ref="A4:B4"/>
    <mergeCell ref="G23:I23"/>
    <mergeCell ref="D27:F27"/>
    <mergeCell ref="G28:I28"/>
    <mergeCell ref="E5:F5"/>
    <mergeCell ref="A26:I26"/>
    <mergeCell ref="A6:B6"/>
    <mergeCell ref="G24:I24"/>
    <mergeCell ref="D28:F28"/>
    <mergeCell ref="C6:I6"/>
    <mergeCell ref="A22:I22"/>
    <mergeCell ref="G27:I27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104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105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369</v>
      </c>
      <c r="D5" s="1" t="s">
        <v>18</v>
      </c>
      <c r="E5" s="20">
        <f>SUM(J9:J53)</f>
        <v>45</v>
      </c>
      <c r="F5" s="21"/>
      <c r="G5" s="1" t="s">
        <v>65</v>
      </c>
      <c r="H5" s="22" t="s">
        <v>109</v>
      </c>
      <c r="I5" s="21"/>
    </row>
    <row r="6" spans="1:10" ht="18" customHeight="1" x14ac:dyDescent="0.45">
      <c r="A6" s="26" t="s">
        <v>63</v>
      </c>
      <c r="B6" s="21"/>
      <c r="C6" s="22" t="s">
        <v>107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112</v>
      </c>
      <c r="C9" s="14" t="s">
        <v>227</v>
      </c>
      <c r="D9" s="14" t="s">
        <v>203</v>
      </c>
      <c r="E9" s="13" t="s">
        <v>167</v>
      </c>
      <c r="F9" s="13">
        <v>1</v>
      </c>
      <c r="G9" s="14" t="s">
        <v>114</v>
      </c>
      <c r="H9" s="14"/>
      <c r="I9" s="13" t="s">
        <v>168</v>
      </c>
      <c r="J9" s="14">
        <v>1</v>
      </c>
    </row>
    <row r="10" spans="1:10" x14ac:dyDescent="0.45">
      <c r="A10" s="9">
        <v>2</v>
      </c>
      <c r="B10" s="2" t="s">
        <v>148</v>
      </c>
      <c r="C10" s="2" t="s">
        <v>231</v>
      </c>
      <c r="D10" s="2" t="s">
        <v>203</v>
      </c>
      <c r="E10" s="9" t="s">
        <v>167</v>
      </c>
      <c r="F10" s="9"/>
      <c r="G10" s="2" t="s">
        <v>114</v>
      </c>
      <c r="H10" s="2"/>
      <c r="I10" s="9" t="s">
        <v>168</v>
      </c>
      <c r="J10" s="2">
        <v>1</v>
      </c>
    </row>
    <row r="11" spans="1:10" x14ac:dyDescent="0.45">
      <c r="A11" s="9">
        <v>3</v>
      </c>
      <c r="B11" s="2" t="s">
        <v>370</v>
      </c>
      <c r="C11" s="2" t="s">
        <v>371</v>
      </c>
      <c r="D11" s="2" t="s">
        <v>372</v>
      </c>
      <c r="E11" s="9" t="s">
        <v>167</v>
      </c>
      <c r="F11" s="9"/>
      <c r="G11" s="2"/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373</v>
      </c>
      <c r="C12" s="2" t="s">
        <v>374</v>
      </c>
      <c r="D12" s="2" t="s">
        <v>372</v>
      </c>
      <c r="E12" s="9" t="s">
        <v>167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375</v>
      </c>
      <c r="C13" s="2" t="s">
        <v>376</v>
      </c>
      <c r="D13" s="2" t="s">
        <v>166</v>
      </c>
      <c r="E13" s="9" t="s">
        <v>196</v>
      </c>
      <c r="F13" s="9"/>
      <c r="G13" s="2" t="s">
        <v>377</v>
      </c>
      <c r="H13" s="2"/>
      <c r="I13" s="9" t="s">
        <v>168</v>
      </c>
      <c r="J13" s="2">
        <v>1</v>
      </c>
    </row>
    <row r="14" spans="1:10" x14ac:dyDescent="0.45">
      <c r="A14" s="9">
        <v>6</v>
      </c>
      <c r="B14" s="2" t="s">
        <v>378</v>
      </c>
      <c r="C14" s="2" t="s">
        <v>379</v>
      </c>
      <c r="D14" s="2" t="s">
        <v>166</v>
      </c>
      <c r="E14" s="9" t="s">
        <v>196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124</v>
      </c>
      <c r="C15" s="2" t="s">
        <v>380</v>
      </c>
      <c r="D15" s="2" t="s">
        <v>166</v>
      </c>
      <c r="E15" s="9" t="s">
        <v>167</v>
      </c>
      <c r="F15" s="9"/>
      <c r="G15" s="2" t="s">
        <v>377</v>
      </c>
      <c r="H15" s="2"/>
      <c r="I15" s="9" t="s">
        <v>168</v>
      </c>
      <c r="J15" s="2">
        <v>1</v>
      </c>
    </row>
    <row r="16" spans="1:10" x14ac:dyDescent="0.45">
      <c r="A16" s="9">
        <v>8</v>
      </c>
      <c r="B16" s="2" t="s">
        <v>194</v>
      </c>
      <c r="C16" s="2" t="s">
        <v>381</v>
      </c>
      <c r="D16" s="2" t="s">
        <v>166</v>
      </c>
      <c r="E16" s="9" t="s">
        <v>167</v>
      </c>
      <c r="F16" s="9"/>
      <c r="G16" s="2" t="s">
        <v>382</v>
      </c>
      <c r="H16" s="2"/>
      <c r="I16" s="9" t="s">
        <v>168</v>
      </c>
      <c r="J16" s="2">
        <v>1</v>
      </c>
    </row>
    <row r="17" spans="1:10" x14ac:dyDescent="0.45">
      <c r="A17" s="9">
        <v>9</v>
      </c>
      <c r="B17" s="2" t="s">
        <v>204</v>
      </c>
      <c r="C17" s="2" t="s">
        <v>383</v>
      </c>
      <c r="D17" s="2" t="s">
        <v>166</v>
      </c>
      <c r="E17" s="9" t="s">
        <v>167</v>
      </c>
      <c r="F17" s="9"/>
      <c r="G17" s="2" t="s">
        <v>382</v>
      </c>
      <c r="H17" s="2"/>
      <c r="I17" s="9" t="s">
        <v>168</v>
      </c>
      <c r="J17" s="2">
        <v>1</v>
      </c>
    </row>
    <row r="18" spans="1:10" x14ac:dyDescent="0.45">
      <c r="A18" s="9">
        <v>10</v>
      </c>
      <c r="B18" s="2" t="s">
        <v>199</v>
      </c>
      <c r="C18" s="2" t="s">
        <v>384</v>
      </c>
      <c r="D18" s="2" t="s">
        <v>166</v>
      </c>
      <c r="E18" s="9" t="s">
        <v>167</v>
      </c>
      <c r="F18" s="9"/>
      <c r="G18" s="2"/>
      <c r="H18" s="2"/>
      <c r="I18" s="9" t="s">
        <v>168</v>
      </c>
      <c r="J18" s="2">
        <v>1</v>
      </c>
    </row>
    <row r="19" spans="1:10" x14ac:dyDescent="0.45">
      <c r="A19" s="13">
        <v>11</v>
      </c>
      <c r="B19" s="14" t="s">
        <v>254</v>
      </c>
      <c r="C19" s="14" t="s">
        <v>385</v>
      </c>
      <c r="D19" s="14" t="s">
        <v>171</v>
      </c>
      <c r="E19" s="13" t="s">
        <v>167</v>
      </c>
      <c r="F19" s="13">
        <v>2</v>
      </c>
      <c r="G19" s="14"/>
      <c r="H19" s="14"/>
      <c r="I19" s="13" t="s">
        <v>168</v>
      </c>
      <c r="J19" s="14">
        <v>1</v>
      </c>
    </row>
    <row r="20" spans="1:10" x14ac:dyDescent="0.45">
      <c r="A20" s="9">
        <v>12</v>
      </c>
      <c r="B20" s="2" t="s">
        <v>201</v>
      </c>
      <c r="C20" s="2" t="s">
        <v>386</v>
      </c>
      <c r="D20" s="2" t="s">
        <v>171</v>
      </c>
      <c r="E20" s="9" t="s">
        <v>167</v>
      </c>
      <c r="F20" s="9"/>
      <c r="G20" s="2"/>
      <c r="H20" s="2"/>
      <c r="I20" s="9" t="s">
        <v>168</v>
      </c>
      <c r="J20" s="2">
        <v>1</v>
      </c>
    </row>
    <row r="21" spans="1:10" x14ac:dyDescent="0.45">
      <c r="A21" s="9">
        <v>13</v>
      </c>
      <c r="B21" s="2" t="s">
        <v>133</v>
      </c>
      <c r="C21" s="2" t="s">
        <v>387</v>
      </c>
      <c r="D21" s="2" t="s">
        <v>203</v>
      </c>
      <c r="E21" s="9" t="s">
        <v>167</v>
      </c>
      <c r="F21" s="9"/>
      <c r="G21" s="2" t="s">
        <v>131</v>
      </c>
      <c r="H21" s="2"/>
      <c r="I21" s="9" t="s">
        <v>168</v>
      </c>
      <c r="J21" s="2">
        <v>1</v>
      </c>
    </row>
    <row r="22" spans="1:10" x14ac:dyDescent="0.45">
      <c r="A22" s="9">
        <v>14</v>
      </c>
      <c r="B22" s="2" t="s">
        <v>388</v>
      </c>
      <c r="C22" s="2" t="s">
        <v>389</v>
      </c>
      <c r="D22" s="2" t="s">
        <v>166</v>
      </c>
      <c r="E22" s="9" t="s">
        <v>196</v>
      </c>
      <c r="F22" s="9"/>
      <c r="G22" s="2"/>
      <c r="H22" s="2"/>
      <c r="I22" s="9" t="s">
        <v>168</v>
      </c>
      <c r="J22" s="2">
        <v>1</v>
      </c>
    </row>
    <row r="23" spans="1:10" x14ac:dyDescent="0.45">
      <c r="A23" s="9">
        <v>15</v>
      </c>
      <c r="B23" s="2" t="s">
        <v>390</v>
      </c>
      <c r="C23" s="2" t="s">
        <v>391</v>
      </c>
      <c r="D23" s="2" t="s">
        <v>166</v>
      </c>
      <c r="E23" s="9" t="s">
        <v>196</v>
      </c>
      <c r="F23" s="9"/>
      <c r="G23" s="2"/>
      <c r="H23" s="2"/>
      <c r="I23" s="9" t="s">
        <v>168</v>
      </c>
      <c r="J23" s="2">
        <v>1</v>
      </c>
    </row>
    <row r="24" spans="1:10" x14ac:dyDescent="0.45">
      <c r="A24" s="9">
        <v>16</v>
      </c>
      <c r="B24" s="2" t="s">
        <v>392</v>
      </c>
      <c r="C24" s="2" t="s">
        <v>393</v>
      </c>
      <c r="D24" s="2" t="s">
        <v>166</v>
      </c>
      <c r="E24" s="9" t="s">
        <v>196</v>
      </c>
      <c r="F24" s="9"/>
      <c r="G24" s="2"/>
      <c r="H24" s="2"/>
      <c r="I24" s="9" t="s">
        <v>168</v>
      </c>
      <c r="J24" s="2">
        <v>1</v>
      </c>
    </row>
    <row r="25" spans="1:10" x14ac:dyDescent="0.45">
      <c r="A25" s="9">
        <v>17</v>
      </c>
      <c r="B25" s="2" t="s">
        <v>394</v>
      </c>
      <c r="C25" s="2" t="s">
        <v>395</v>
      </c>
      <c r="D25" s="2" t="s">
        <v>166</v>
      </c>
      <c r="E25" s="9" t="s">
        <v>196</v>
      </c>
      <c r="F25" s="9"/>
      <c r="G25" s="2"/>
      <c r="H25" s="2"/>
      <c r="I25" s="9" t="s">
        <v>168</v>
      </c>
      <c r="J25" s="2">
        <v>1</v>
      </c>
    </row>
    <row r="26" spans="1:10" x14ac:dyDescent="0.45">
      <c r="A26" s="9">
        <v>18</v>
      </c>
      <c r="B26" s="2" t="s">
        <v>396</v>
      </c>
      <c r="C26" s="2" t="s">
        <v>397</v>
      </c>
      <c r="D26" s="2" t="s">
        <v>166</v>
      </c>
      <c r="E26" s="9" t="s">
        <v>196</v>
      </c>
      <c r="F26" s="9"/>
      <c r="G26" s="2"/>
      <c r="H26" s="2"/>
      <c r="I26" s="9" t="s">
        <v>168</v>
      </c>
      <c r="J26" s="2">
        <v>1</v>
      </c>
    </row>
    <row r="27" spans="1:10" x14ac:dyDescent="0.45">
      <c r="A27" s="9">
        <v>19</v>
      </c>
      <c r="B27" s="2" t="s">
        <v>398</v>
      </c>
      <c r="C27" s="2" t="s">
        <v>399</v>
      </c>
      <c r="D27" s="2" t="s">
        <v>400</v>
      </c>
      <c r="E27" s="9" t="s">
        <v>196</v>
      </c>
      <c r="F27" s="9"/>
      <c r="G27" s="2"/>
      <c r="H27" s="2"/>
      <c r="I27" s="9" t="s">
        <v>168</v>
      </c>
      <c r="J27" s="2">
        <v>1</v>
      </c>
    </row>
    <row r="28" spans="1:10" x14ac:dyDescent="0.45">
      <c r="A28" s="9">
        <v>20</v>
      </c>
      <c r="B28" s="2" t="s">
        <v>401</v>
      </c>
      <c r="C28" s="2" t="s">
        <v>402</v>
      </c>
      <c r="D28" s="2" t="s">
        <v>171</v>
      </c>
      <c r="E28" s="9" t="s">
        <v>167</v>
      </c>
      <c r="F28" s="9"/>
      <c r="G28" s="2"/>
      <c r="H28" s="2"/>
      <c r="I28" s="9" t="s">
        <v>168</v>
      </c>
      <c r="J28" s="2">
        <v>1</v>
      </c>
    </row>
    <row r="29" spans="1:10" x14ac:dyDescent="0.45">
      <c r="A29" s="9">
        <v>21</v>
      </c>
      <c r="B29" s="2" t="s">
        <v>403</v>
      </c>
      <c r="C29" s="2" t="s">
        <v>404</v>
      </c>
      <c r="D29" s="2" t="s">
        <v>171</v>
      </c>
      <c r="E29" s="9" t="s">
        <v>167</v>
      </c>
      <c r="F29" s="9"/>
      <c r="G29" s="2"/>
      <c r="H29" s="2"/>
      <c r="I29" s="9" t="s">
        <v>168</v>
      </c>
      <c r="J29" s="2">
        <v>1</v>
      </c>
    </row>
    <row r="30" spans="1:10" x14ac:dyDescent="0.45">
      <c r="A30" s="9">
        <v>22</v>
      </c>
      <c r="B30" s="2" t="s">
        <v>405</v>
      </c>
      <c r="C30" s="2" t="s">
        <v>406</v>
      </c>
      <c r="D30" s="2" t="s">
        <v>171</v>
      </c>
      <c r="E30" s="9" t="s">
        <v>167</v>
      </c>
      <c r="F30" s="9"/>
      <c r="G30" s="2"/>
      <c r="H30" s="2"/>
      <c r="I30" s="9" t="s">
        <v>270</v>
      </c>
      <c r="J30" s="2">
        <v>1</v>
      </c>
    </row>
    <row r="31" spans="1:10" x14ac:dyDescent="0.45">
      <c r="A31" s="9">
        <v>23</v>
      </c>
      <c r="B31" s="2" t="s">
        <v>407</v>
      </c>
      <c r="C31" s="2" t="s">
        <v>408</v>
      </c>
      <c r="D31" s="2" t="s">
        <v>171</v>
      </c>
      <c r="E31" s="9" t="s">
        <v>167</v>
      </c>
      <c r="F31" s="9"/>
      <c r="G31" s="2"/>
      <c r="H31" s="2"/>
      <c r="I31" s="9" t="s">
        <v>168</v>
      </c>
      <c r="J31" s="2">
        <v>1</v>
      </c>
    </row>
    <row r="32" spans="1:10" x14ac:dyDescent="0.45">
      <c r="A32" s="9">
        <v>24</v>
      </c>
      <c r="B32" s="2" t="s">
        <v>409</v>
      </c>
      <c r="C32" s="2" t="s">
        <v>410</v>
      </c>
      <c r="D32" s="2" t="s">
        <v>171</v>
      </c>
      <c r="E32" s="9" t="s">
        <v>167</v>
      </c>
      <c r="F32" s="9"/>
      <c r="G32" s="2"/>
      <c r="H32" s="2"/>
      <c r="I32" s="9" t="s">
        <v>270</v>
      </c>
      <c r="J32" s="2">
        <v>1</v>
      </c>
    </row>
    <row r="33" spans="1:10" x14ac:dyDescent="0.45">
      <c r="A33" s="9">
        <v>25</v>
      </c>
      <c r="B33" s="2" t="s">
        <v>411</v>
      </c>
      <c r="C33" s="2" t="s">
        <v>412</v>
      </c>
      <c r="D33" s="2" t="s">
        <v>171</v>
      </c>
      <c r="E33" s="9" t="s">
        <v>167</v>
      </c>
      <c r="F33" s="9"/>
      <c r="G33" s="2"/>
      <c r="H33" s="2"/>
      <c r="I33" s="9" t="s">
        <v>168</v>
      </c>
      <c r="J33" s="2">
        <v>1</v>
      </c>
    </row>
    <row r="34" spans="1:10" x14ac:dyDescent="0.45">
      <c r="A34" s="9">
        <v>26</v>
      </c>
      <c r="B34" s="2" t="s">
        <v>413</v>
      </c>
      <c r="C34" s="2" t="s">
        <v>414</v>
      </c>
      <c r="D34" s="2" t="s">
        <v>171</v>
      </c>
      <c r="E34" s="9" t="s">
        <v>167</v>
      </c>
      <c r="F34" s="9"/>
      <c r="G34" s="2"/>
      <c r="H34" s="2"/>
      <c r="I34" s="9" t="s">
        <v>168</v>
      </c>
      <c r="J34" s="2">
        <v>1</v>
      </c>
    </row>
    <row r="35" spans="1:10" x14ac:dyDescent="0.45">
      <c r="A35" s="9">
        <v>27</v>
      </c>
      <c r="B35" s="2" t="s">
        <v>415</v>
      </c>
      <c r="C35" s="2" t="s">
        <v>416</v>
      </c>
      <c r="D35" s="2" t="s">
        <v>171</v>
      </c>
      <c r="E35" s="9" t="s">
        <v>167</v>
      </c>
      <c r="F35" s="9"/>
      <c r="G35" s="2"/>
      <c r="H35" s="2"/>
      <c r="I35" s="9" t="s">
        <v>168</v>
      </c>
      <c r="J35" s="2">
        <v>1</v>
      </c>
    </row>
    <row r="36" spans="1:10" x14ac:dyDescent="0.45">
      <c r="A36" s="9">
        <v>28</v>
      </c>
      <c r="B36" s="2" t="s">
        <v>417</v>
      </c>
      <c r="C36" s="2" t="s">
        <v>418</v>
      </c>
      <c r="D36" s="2" t="s">
        <v>171</v>
      </c>
      <c r="E36" s="9" t="s">
        <v>196</v>
      </c>
      <c r="F36" s="9"/>
      <c r="G36" s="2"/>
      <c r="H36" s="2"/>
      <c r="I36" s="9" t="s">
        <v>168</v>
      </c>
      <c r="J36" s="2">
        <v>1</v>
      </c>
    </row>
    <row r="37" spans="1:10" x14ac:dyDescent="0.45">
      <c r="A37" s="9">
        <v>29</v>
      </c>
      <c r="B37" s="2" t="s">
        <v>419</v>
      </c>
      <c r="C37" s="2" t="s">
        <v>420</v>
      </c>
      <c r="D37" s="2" t="s">
        <v>421</v>
      </c>
      <c r="E37" s="9" t="s">
        <v>196</v>
      </c>
      <c r="F37" s="9"/>
      <c r="G37" s="2"/>
      <c r="H37" s="2"/>
      <c r="I37" s="9" t="s">
        <v>168</v>
      </c>
      <c r="J37" s="2">
        <v>1</v>
      </c>
    </row>
    <row r="38" spans="1:10" x14ac:dyDescent="0.45">
      <c r="A38" s="9">
        <v>30</v>
      </c>
      <c r="B38" s="2" t="s">
        <v>422</v>
      </c>
      <c r="C38" s="2" t="s">
        <v>423</v>
      </c>
      <c r="D38" s="2" t="s">
        <v>421</v>
      </c>
      <c r="E38" s="9" t="s">
        <v>196</v>
      </c>
      <c r="F38" s="9"/>
      <c r="G38" s="2"/>
      <c r="H38" s="2"/>
      <c r="I38" s="9" t="s">
        <v>270</v>
      </c>
      <c r="J38" s="2">
        <v>1</v>
      </c>
    </row>
    <row r="39" spans="1:10" x14ac:dyDescent="0.45">
      <c r="A39" s="9">
        <v>31</v>
      </c>
      <c r="B39" s="2" t="s">
        <v>424</v>
      </c>
      <c r="C39" s="2" t="s">
        <v>425</v>
      </c>
      <c r="D39" s="2" t="s">
        <v>421</v>
      </c>
      <c r="E39" s="9" t="s">
        <v>196</v>
      </c>
      <c r="F39" s="9"/>
      <c r="G39" s="2"/>
      <c r="H39" s="2"/>
      <c r="I39" s="9" t="s">
        <v>168</v>
      </c>
      <c r="J39" s="2">
        <v>1</v>
      </c>
    </row>
    <row r="40" spans="1:10" x14ac:dyDescent="0.45">
      <c r="A40" s="9">
        <v>32</v>
      </c>
      <c r="B40" s="2" t="s">
        <v>426</v>
      </c>
      <c r="C40" s="2" t="s">
        <v>427</v>
      </c>
      <c r="D40" s="2" t="s">
        <v>171</v>
      </c>
      <c r="E40" s="9" t="s">
        <v>167</v>
      </c>
      <c r="F40" s="9"/>
      <c r="G40" s="2"/>
      <c r="H40" s="2"/>
      <c r="I40" s="9" t="s">
        <v>168</v>
      </c>
      <c r="J40" s="2">
        <v>1</v>
      </c>
    </row>
    <row r="41" spans="1:10" x14ac:dyDescent="0.45">
      <c r="A41" s="9">
        <v>33</v>
      </c>
      <c r="B41" s="2" t="s">
        <v>428</v>
      </c>
      <c r="C41" s="2" t="s">
        <v>429</v>
      </c>
      <c r="D41" s="2" t="s">
        <v>171</v>
      </c>
      <c r="E41" s="9" t="s">
        <v>167</v>
      </c>
      <c r="F41" s="9"/>
      <c r="G41" s="2"/>
      <c r="H41" s="2"/>
      <c r="I41" s="9" t="s">
        <v>168</v>
      </c>
      <c r="J41" s="2">
        <v>1</v>
      </c>
    </row>
    <row r="42" spans="1:10" x14ac:dyDescent="0.45">
      <c r="A42" s="9">
        <v>34</v>
      </c>
      <c r="B42" s="2" t="s">
        <v>430</v>
      </c>
      <c r="C42" s="2" t="s">
        <v>431</v>
      </c>
      <c r="D42" s="2" t="s">
        <v>171</v>
      </c>
      <c r="E42" s="9" t="s">
        <v>167</v>
      </c>
      <c r="F42" s="9"/>
      <c r="G42" s="2"/>
      <c r="H42" s="2"/>
      <c r="I42" s="9" t="s">
        <v>270</v>
      </c>
      <c r="J42" s="2">
        <v>1</v>
      </c>
    </row>
    <row r="43" spans="1:10" x14ac:dyDescent="0.45">
      <c r="A43" s="9">
        <v>35</v>
      </c>
      <c r="B43" s="2" t="s">
        <v>432</v>
      </c>
      <c r="C43" s="2" t="s">
        <v>433</v>
      </c>
      <c r="D43" s="2" t="s">
        <v>171</v>
      </c>
      <c r="E43" s="9" t="s">
        <v>167</v>
      </c>
      <c r="F43" s="9"/>
      <c r="G43" s="2"/>
      <c r="H43" s="2"/>
      <c r="I43" s="9" t="s">
        <v>270</v>
      </c>
      <c r="J43" s="2">
        <v>1</v>
      </c>
    </row>
    <row r="44" spans="1:10" x14ac:dyDescent="0.45">
      <c r="A44" s="9">
        <v>36</v>
      </c>
      <c r="B44" s="2" t="s">
        <v>434</v>
      </c>
      <c r="C44" s="2" t="s">
        <v>435</v>
      </c>
      <c r="D44" s="2" t="s">
        <v>171</v>
      </c>
      <c r="E44" s="9" t="s">
        <v>167</v>
      </c>
      <c r="F44" s="9"/>
      <c r="G44" s="2"/>
      <c r="H44" s="2"/>
      <c r="I44" s="9" t="s">
        <v>270</v>
      </c>
      <c r="J44" s="2">
        <v>1</v>
      </c>
    </row>
    <row r="45" spans="1:10" x14ac:dyDescent="0.45">
      <c r="A45" s="9">
        <v>37</v>
      </c>
      <c r="B45" s="2" t="s">
        <v>436</v>
      </c>
      <c r="C45" s="2" t="s">
        <v>437</v>
      </c>
      <c r="D45" s="2" t="s">
        <v>171</v>
      </c>
      <c r="E45" s="9" t="s">
        <v>167</v>
      </c>
      <c r="F45" s="9"/>
      <c r="G45" s="2"/>
      <c r="H45" s="2"/>
      <c r="I45" s="9" t="s">
        <v>168</v>
      </c>
      <c r="J45" s="2">
        <v>1</v>
      </c>
    </row>
    <row r="46" spans="1:10" x14ac:dyDescent="0.45">
      <c r="A46" s="9">
        <v>38</v>
      </c>
      <c r="B46" s="2" t="s">
        <v>438</v>
      </c>
      <c r="C46" s="2" t="s">
        <v>439</v>
      </c>
      <c r="D46" s="2" t="s">
        <v>203</v>
      </c>
      <c r="E46" s="9" t="s">
        <v>196</v>
      </c>
      <c r="F46" s="9"/>
      <c r="G46" s="2"/>
      <c r="H46" s="2"/>
      <c r="I46" s="9" t="s">
        <v>168</v>
      </c>
      <c r="J46" s="2">
        <v>1</v>
      </c>
    </row>
    <row r="47" spans="1:10" x14ac:dyDescent="0.45">
      <c r="A47" s="9">
        <v>39</v>
      </c>
      <c r="B47" s="2" t="s">
        <v>440</v>
      </c>
      <c r="C47" s="2" t="s">
        <v>441</v>
      </c>
      <c r="D47" s="2" t="s">
        <v>171</v>
      </c>
      <c r="E47" s="9" t="s">
        <v>167</v>
      </c>
      <c r="F47" s="9"/>
      <c r="G47" s="2"/>
      <c r="H47" s="2"/>
      <c r="I47" s="9" t="s">
        <v>168</v>
      </c>
      <c r="J47" s="2">
        <v>1</v>
      </c>
    </row>
    <row r="48" spans="1:10" x14ac:dyDescent="0.45">
      <c r="A48" s="9">
        <v>40</v>
      </c>
      <c r="B48" s="2" t="s">
        <v>442</v>
      </c>
      <c r="C48" s="2" t="s">
        <v>443</v>
      </c>
      <c r="D48" s="2" t="s">
        <v>171</v>
      </c>
      <c r="E48" s="9" t="s">
        <v>167</v>
      </c>
      <c r="F48" s="9"/>
      <c r="G48" s="2"/>
      <c r="H48" s="2"/>
      <c r="I48" s="9" t="s">
        <v>270</v>
      </c>
      <c r="J48" s="2">
        <v>1</v>
      </c>
    </row>
    <row r="49" spans="1:10" x14ac:dyDescent="0.45">
      <c r="A49" s="9">
        <v>41</v>
      </c>
      <c r="B49" s="2" t="s">
        <v>444</v>
      </c>
      <c r="C49" s="2" t="s">
        <v>445</v>
      </c>
      <c r="D49" s="2" t="s">
        <v>446</v>
      </c>
      <c r="E49" s="9" t="s">
        <v>196</v>
      </c>
      <c r="F49" s="9"/>
      <c r="G49" s="2"/>
      <c r="H49" s="2"/>
      <c r="I49" s="9" t="s">
        <v>168</v>
      </c>
      <c r="J49" s="2">
        <v>1</v>
      </c>
    </row>
    <row r="50" spans="1:10" x14ac:dyDescent="0.45">
      <c r="A50" s="9">
        <v>42</v>
      </c>
      <c r="B50" s="2" t="s">
        <v>447</v>
      </c>
      <c r="C50" s="2" t="s">
        <v>448</v>
      </c>
      <c r="D50" s="2" t="s">
        <v>166</v>
      </c>
      <c r="E50" s="9" t="s">
        <v>196</v>
      </c>
      <c r="F50" s="9"/>
      <c r="G50" s="2"/>
      <c r="H50" s="2"/>
      <c r="I50" s="9" t="s">
        <v>168</v>
      </c>
      <c r="J50" s="2">
        <v>1</v>
      </c>
    </row>
    <row r="51" spans="1:10" x14ac:dyDescent="0.45">
      <c r="A51" s="9">
        <v>43</v>
      </c>
      <c r="B51" s="2" t="s">
        <v>449</v>
      </c>
      <c r="C51" s="2" t="s">
        <v>450</v>
      </c>
      <c r="D51" s="2" t="s">
        <v>166</v>
      </c>
      <c r="E51" s="9" t="s">
        <v>196</v>
      </c>
      <c r="F51" s="9"/>
      <c r="G51" s="2"/>
      <c r="H51" s="2"/>
      <c r="I51" s="9" t="s">
        <v>168</v>
      </c>
      <c r="J51" s="2">
        <v>1</v>
      </c>
    </row>
    <row r="52" spans="1:10" x14ac:dyDescent="0.45">
      <c r="A52" s="9">
        <v>44</v>
      </c>
      <c r="B52" s="2" t="s">
        <v>451</v>
      </c>
      <c r="C52" s="2" t="s">
        <v>452</v>
      </c>
      <c r="D52" s="2" t="s">
        <v>166</v>
      </c>
      <c r="E52" s="9" t="s">
        <v>196</v>
      </c>
      <c r="F52" s="9"/>
      <c r="G52" s="2"/>
      <c r="H52" s="2"/>
      <c r="I52" s="9" t="s">
        <v>168</v>
      </c>
      <c r="J52" s="2">
        <v>1</v>
      </c>
    </row>
    <row r="53" spans="1:10" x14ac:dyDescent="0.45">
      <c r="A53" s="9">
        <v>45</v>
      </c>
      <c r="B53" s="2" t="s">
        <v>453</v>
      </c>
      <c r="C53" s="2" t="s">
        <v>454</v>
      </c>
      <c r="D53" s="2" t="s">
        <v>321</v>
      </c>
      <c r="E53" s="9" t="s">
        <v>167</v>
      </c>
      <c r="F53" s="9"/>
      <c r="G53" s="2"/>
      <c r="H53" s="2"/>
      <c r="I53" s="9" t="s">
        <v>270</v>
      </c>
      <c r="J53" s="2">
        <v>1</v>
      </c>
    </row>
    <row r="55" spans="1:10" x14ac:dyDescent="0.45">
      <c r="A55" s="27" t="s">
        <v>180</v>
      </c>
      <c r="B55" s="21"/>
      <c r="C55" s="21"/>
      <c r="D55" s="21"/>
      <c r="E55" s="21"/>
      <c r="F55" s="21"/>
      <c r="G55" s="21"/>
      <c r="H55" s="21"/>
      <c r="I55" s="21"/>
    </row>
    <row r="56" spans="1:10" x14ac:dyDescent="0.45">
      <c r="A56" s="3" t="s">
        <v>59</v>
      </c>
      <c r="B56" s="3" t="s">
        <v>181</v>
      </c>
      <c r="C56" s="3" t="s">
        <v>182</v>
      </c>
      <c r="D56" s="25" t="s">
        <v>183</v>
      </c>
      <c r="E56" s="23"/>
      <c r="F56" s="24"/>
      <c r="G56" s="25" t="s">
        <v>22</v>
      </c>
      <c r="H56" s="23"/>
      <c r="I56" s="24"/>
    </row>
    <row r="57" spans="1:10" ht="18" customHeight="1" x14ac:dyDescent="0.45">
      <c r="A57" s="9">
        <v>1</v>
      </c>
      <c r="B57" s="9" t="s">
        <v>162</v>
      </c>
      <c r="C57" s="2" t="s">
        <v>455</v>
      </c>
      <c r="D57" s="22" t="s">
        <v>106</v>
      </c>
      <c r="E57" s="23"/>
      <c r="F57" s="24"/>
      <c r="G57" s="22" t="s">
        <v>185</v>
      </c>
      <c r="H57" s="23"/>
      <c r="I57" s="24"/>
    </row>
    <row r="59" spans="1:10" x14ac:dyDescent="0.45">
      <c r="A59" s="27" t="s">
        <v>186</v>
      </c>
      <c r="B59" s="21"/>
      <c r="C59" s="21"/>
      <c r="D59" s="21"/>
      <c r="E59" s="21"/>
      <c r="F59" s="21"/>
      <c r="G59" s="21"/>
      <c r="H59" s="21"/>
      <c r="I59" s="21"/>
    </row>
    <row r="60" spans="1:10" x14ac:dyDescent="0.45">
      <c r="A60" s="3" t="s">
        <v>59</v>
      </c>
      <c r="B60" s="3" t="s">
        <v>187</v>
      </c>
      <c r="C60" s="3" t="s">
        <v>188</v>
      </c>
      <c r="D60" s="25" t="s">
        <v>183</v>
      </c>
      <c r="E60" s="23"/>
      <c r="F60" s="24"/>
      <c r="G60" s="25" t="s">
        <v>189</v>
      </c>
      <c r="H60" s="23"/>
      <c r="I60" s="24"/>
    </row>
    <row r="61" spans="1:10" ht="18" customHeight="1" x14ac:dyDescent="0.45">
      <c r="A61" s="9">
        <v>1</v>
      </c>
      <c r="B61" s="9" t="s">
        <v>224</v>
      </c>
      <c r="C61" s="2" t="s">
        <v>456</v>
      </c>
      <c r="D61" s="22" t="s">
        <v>457</v>
      </c>
      <c r="E61" s="23"/>
      <c r="F61" s="24"/>
      <c r="G61" s="22"/>
      <c r="H61" s="23"/>
      <c r="I61" s="24"/>
    </row>
    <row r="62" spans="1:10" ht="18" customHeight="1" x14ac:dyDescent="0.45">
      <c r="A62" s="9">
        <v>2</v>
      </c>
      <c r="B62" s="9" t="s">
        <v>224</v>
      </c>
      <c r="C62" s="2" t="s">
        <v>458</v>
      </c>
      <c r="D62" s="22" t="s">
        <v>459</v>
      </c>
      <c r="E62" s="23"/>
      <c r="F62" s="24"/>
      <c r="G62" s="22"/>
      <c r="H62" s="23"/>
      <c r="I62" s="24"/>
    </row>
    <row r="63" spans="1:10" ht="18" customHeight="1" x14ac:dyDescent="0.45">
      <c r="A63" s="9">
        <v>3</v>
      </c>
      <c r="B63" s="9" t="s">
        <v>224</v>
      </c>
      <c r="C63" s="2" t="s">
        <v>460</v>
      </c>
      <c r="D63" s="22" t="s">
        <v>370</v>
      </c>
      <c r="E63" s="23"/>
      <c r="F63" s="24"/>
      <c r="G63" s="22"/>
      <c r="H63" s="23"/>
      <c r="I63" s="24"/>
    </row>
    <row r="64" spans="1:10" ht="18" customHeight="1" x14ac:dyDescent="0.45">
      <c r="A64" s="9">
        <v>4</v>
      </c>
      <c r="B64" s="9" t="s">
        <v>224</v>
      </c>
      <c r="C64" s="2" t="s">
        <v>461</v>
      </c>
      <c r="D64" s="22" t="s">
        <v>194</v>
      </c>
      <c r="E64" s="23"/>
      <c r="F64" s="24"/>
      <c r="G64" s="22"/>
      <c r="H64" s="23"/>
      <c r="I64" s="24"/>
    </row>
    <row r="65" spans="1:9" ht="18" customHeight="1" x14ac:dyDescent="0.45">
      <c r="A65" s="9">
        <v>5</v>
      </c>
      <c r="B65" s="9" t="s">
        <v>224</v>
      </c>
      <c r="C65" s="2" t="s">
        <v>462</v>
      </c>
      <c r="D65" s="22" t="s">
        <v>204</v>
      </c>
      <c r="E65" s="23"/>
      <c r="F65" s="24"/>
      <c r="G65" s="22"/>
      <c r="H65" s="23"/>
      <c r="I65" s="24"/>
    </row>
    <row r="66" spans="1:9" ht="18" customHeight="1" x14ac:dyDescent="0.45">
      <c r="A66" s="9">
        <v>6</v>
      </c>
      <c r="B66" s="9" t="s">
        <v>224</v>
      </c>
      <c r="C66" s="2" t="s">
        <v>463</v>
      </c>
      <c r="D66" s="22" t="s">
        <v>112</v>
      </c>
      <c r="E66" s="23"/>
      <c r="F66" s="24"/>
      <c r="G66" s="22"/>
      <c r="H66" s="23"/>
      <c r="I66" s="24"/>
    </row>
    <row r="67" spans="1:9" ht="18" customHeight="1" x14ac:dyDescent="0.45">
      <c r="A67" s="9">
        <v>7</v>
      </c>
      <c r="B67" s="9" t="s">
        <v>190</v>
      </c>
      <c r="C67" s="2" t="s">
        <v>455</v>
      </c>
      <c r="D67" s="22" t="s">
        <v>106</v>
      </c>
      <c r="E67" s="23"/>
      <c r="F67" s="24"/>
      <c r="G67" s="22" t="s">
        <v>185</v>
      </c>
      <c r="H67" s="23"/>
      <c r="I67" s="24"/>
    </row>
  </sheetData>
  <mergeCells count="33">
    <mergeCell ref="A1:I1"/>
    <mergeCell ref="H5:I5"/>
    <mergeCell ref="E3:F3"/>
    <mergeCell ref="D57:F57"/>
    <mergeCell ref="A3:B3"/>
    <mergeCell ref="G63:I63"/>
    <mergeCell ref="D64:F64"/>
    <mergeCell ref="D67:F67"/>
    <mergeCell ref="G60:I60"/>
    <mergeCell ref="C4:I4"/>
    <mergeCell ref="A5:B5"/>
    <mergeCell ref="D60:F60"/>
    <mergeCell ref="G56:I56"/>
    <mergeCell ref="D63:F63"/>
    <mergeCell ref="H3:I3"/>
    <mergeCell ref="A4:B4"/>
    <mergeCell ref="A59:I59"/>
    <mergeCell ref="G67:I67"/>
    <mergeCell ref="D65:F65"/>
    <mergeCell ref="G61:I61"/>
    <mergeCell ref="G66:I66"/>
    <mergeCell ref="G57:I57"/>
    <mergeCell ref="D61:F61"/>
    <mergeCell ref="G62:I62"/>
    <mergeCell ref="E5:F5"/>
    <mergeCell ref="D66:F66"/>
    <mergeCell ref="A55:I55"/>
    <mergeCell ref="A6:B6"/>
    <mergeCell ref="G65:I65"/>
    <mergeCell ref="D62:F62"/>
    <mergeCell ref="D56:F56"/>
    <mergeCell ref="C6:I6"/>
    <mergeCell ref="G64:I64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110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111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464</v>
      </c>
      <c r="D5" s="1" t="s">
        <v>18</v>
      </c>
      <c r="E5" s="20">
        <f>SUM(J9:J67)</f>
        <v>59</v>
      </c>
      <c r="F5" s="21"/>
      <c r="G5" s="1" t="s">
        <v>65</v>
      </c>
      <c r="H5" s="22" t="s">
        <v>115</v>
      </c>
      <c r="I5" s="21"/>
    </row>
    <row r="6" spans="1:10" ht="18" customHeight="1" x14ac:dyDescent="0.45">
      <c r="A6" s="26" t="s">
        <v>63</v>
      </c>
      <c r="B6" s="21"/>
      <c r="C6" s="22" t="s">
        <v>113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112</v>
      </c>
      <c r="C9" s="14" t="s">
        <v>227</v>
      </c>
      <c r="D9" s="14" t="s">
        <v>203</v>
      </c>
      <c r="E9" s="13" t="s">
        <v>167</v>
      </c>
      <c r="F9" s="13">
        <v>1</v>
      </c>
      <c r="G9" s="14" t="s">
        <v>114</v>
      </c>
      <c r="H9" s="14"/>
      <c r="I9" s="13" t="s">
        <v>168</v>
      </c>
      <c r="J9" s="14">
        <v>1</v>
      </c>
    </row>
    <row r="10" spans="1:10" x14ac:dyDescent="0.45">
      <c r="A10" s="9">
        <v>2</v>
      </c>
      <c r="B10" s="2" t="s">
        <v>465</v>
      </c>
      <c r="C10" s="2" t="s">
        <v>466</v>
      </c>
      <c r="D10" s="2" t="s">
        <v>467</v>
      </c>
      <c r="E10" s="9" t="s">
        <v>196</v>
      </c>
      <c r="F10" s="9"/>
      <c r="G10" s="2"/>
      <c r="H10" s="2"/>
      <c r="I10" s="9" t="s">
        <v>168</v>
      </c>
      <c r="J10" s="2">
        <v>1</v>
      </c>
    </row>
    <row r="11" spans="1:10" x14ac:dyDescent="0.45">
      <c r="A11" s="9">
        <v>3</v>
      </c>
      <c r="B11" s="2" t="s">
        <v>468</v>
      </c>
      <c r="C11" s="2" t="s">
        <v>469</v>
      </c>
      <c r="D11" s="2" t="s">
        <v>467</v>
      </c>
      <c r="E11" s="9" t="s">
        <v>196</v>
      </c>
      <c r="F11" s="9"/>
      <c r="G11" s="2"/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470</v>
      </c>
      <c r="C12" s="2" t="s">
        <v>471</v>
      </c>
      <c r="D12" s="2" t="s">
        <v>467</v>
      </c>
      <c r="E12" s="9" t="s">
        <v>196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472</v>
      </c>
      <c r="C13" s="2" t="s">
        <v>473</v>
      </c>
      <c r="D13" s="2" t="s">
        <v>467</v>
      </c>
      <c r="E13" s="9" t="s">
        <v>196</v>
      </c>
      <c r="F13" s="9"/>
      <c r="G13" s="2"/>
      <c r="H13" s="2"/>
      <c r="I13" s="9" t="s">
        <v>168</v>
      </c>
      <c r="J13" s="2">
        <v>1</v>
      </c>
    </row>
    <row r="14" spans="1:10" x14ac:dyDescent="0.45">
      <c r="A14" s="9">
        <v>6</v>
      </c>
      <c r="B14" s="2" t="s">
        <v>474</v>
      </c>
      <c r="C14" s="2" t="s">
        <v>475</v>
      </c>
      <c r="D14" s="2" t="s">
        <v>467</v>
      </c>
      <c r="E14" s="9" t="s">
        <v>196</v>
      </c>
      <c r="F14" s="9"/>
      <c r="G14" s="2"/>
      <c r="H14" s="2"/>
      <c r="I14" s="9" t="s">
        <v>168</v>
      </c>
      <c r="J14" s="2">
        <v>1</v>
      </c>
    </row>
    <row r="15" spans="1:10" x14ac:dyDescent="0.45">
      <c r="A15" s="9">
        <v>7</v>
      </c>
      <c r="B15" s="2" t="s">
        <v>476</v>
      </c>
      <c r="C15" s="2" t="s">
        <v>477</v>
      </c>
      <c r="D15" s="2" t="s">
        <v>467</v>
      </c>
      <c r="E15" s="9" t="s">
        <v>196</v>
      </c>
      <c r="F15" s="9"/>
      <c r="G15" s="2"/>
      <c r="H15" s="2"/>
      <c r="I15" s="9" t="s">
        <v>168</v>
      </c>
      <c r="J15" s="2">
        <v>1</v>
      </c>
    </row>
    <row r="16" spans="1:10" x14ac:dyDescent="0.45">
      <c r="A16" s="9">
        <v>8</v>
      </c>
      <c r="B16" s="2" t="s">
        <v>478</v>
      </c>
      <c r="C16" s="2" t="s">
        <v>479</v>
      </c>
      <c r="D16" s="2" t="s">
        <v>467</v>
      </c>
      <c r="E16" s="9" t="s">
        <v>196</v>
      </c>
      <c r="F16" s="9"/>
      <c r="G16" s="2"/>
      <c r="H16" s="2"/>
      <c r="I16" s="9" t="s">
        <v>168</v>
      </c>
      <c r="J16" s="2">
        <v>1</v>
      </c>
    </row>
    <row r="17" spans="1:10" x14ac:dyDescent="0.45">
      <c r="A17" s="9">
        <v>9</v>
      </c>
      <c r="B17" s="2" t="s">
        <v>480</v>
      </c>
      <c r="C17" s="2" t="s">
        <v>481</v>
      </c>
      <c r="D17" s="2" t="s">
        <v>467</v>
      </c>
      <c r="E17" s="9" t="s">
        <v>196</v>
      </c>
      <c r="F17" s="9"/>
      <c r="G17" s="2"/>
      <c r="H17" s="2"/>
      <c r="I17" s="9" t="s">
        <v>168</v>
      </c>
      <c r="J17" s="2">
        <v>1</v>
      </c>
    </row>
    <row r="18" spans="1:10" x14ac:dyDescent="0.45">
      <c r="A18" s="9">
        <v>10</v>
      </c>
      <c r="B18" s="2" t="s">
        <v>482</v>
      </c>
      <c r="C18" s="2" t="s">
        <v>483</v>
      </c>
      <c r="D18" s="2" t="s">
        <v>467</v>
      </c>
      <c r="E18" s="9" t="s">
        <v>196</v>
      </c>
      <c r="F18" s="9"/>
      <c r="G18" s="2"/>
      <c r="H18" s="2"/>
      <c r="I18" s="9" t="s">
        <v>168</v>
      </c>
      <c r="J18" s="2">
        <v>1</v>
      </c>
    </row>
    <row r="19" spans="1:10" x14ac:dyDescent="0.45">
      <c r="A19" s="9">
        <v>11</v>
      </c>
      <c r="B19" s="2" t="s">
        <v>484</v>
      </c>
      <c r="C19" s="2" t="s">
        <v>485</v>
      </c>
      <c r="D19" s="2" t="s">
        <v>467</v>
      </c>
      <c r="E19" s="9" t="s">
        <v>196</v>
      </c>
      <c r="F19" s="9"/>
      <c r="G19" s="2"/>
      <c r="H19" s="2"/>
      <c r="I19" s="9" t="s">
        <v>168</v>
      </c>
      <c r="J19" s="2">
        <v>1</v>
      </c>
    </row>
    <row r="20" spans="1:10" x14ac:dyDescent="0.45">
      <c r="A20" s="9">
        <v>12</v>
      </c>
      <c r="B20" s="2" t="s">
        <v>486</v>
      </c>
      <c r="C20" s="2" t="s">
        <v>487</v>
      </c>
      <c r="D20" s="2" t="s">
        <v>467</v>
      </c>
      <c r="E20" s="9" t="s">
        <v>196</v>
      </c>
      <c r="F20" s="9"/>
      <c r="G20" s="2"/>
      <c r="H20" s="2"/>
      <c r="I20" s="9" t="s">
        <v>168</v>
      </c>
      <c r="J20" s="2">
        <v>1</v>
      </c>
    </row>
    <row r="21" spans="1:10" x14ac:dyDescent="0.45">
      <c r="A21" s="9">
        <v>13</v>
      </c>
      <c r="B21" s="2" t="s">
        <v>488</v>
      </c>
      <c r="C21" s="2" t="s">
        <v>489</v>
      </c>
      <c r="D21" s="2" t="s">
        <v>467</v>
      </c>
      <c r="E21" s="9" t="s">
        <v>196</v>
      </c>
      <c r="F21" s="9"/>
      <c r="G21" s="2"/>
      <c r="H21" s="2"/>
      <c r="I21" s="9" t="s">
        <v>168</v>
      </c>
      <c r="J21" s="2">
        <v>1</v>
      </c>
    </row>
    <row r="22" spans="1:10" x14ac:dyDescent="0.45">
      <c r="A22" s="9">
        <v>14</v>
      </c>
      <c r="B22" s="2" t="s">
        <v>490</v>
      </c>
      <c r="C22" s="2" t="s">
        <v>491</v>
      </c>
      <c r="D22" s="2" t="s">
        <v>467</v>
      </c>
      <c r="E22" s="9" t="s">
        <v>196</v>
      </c>
      <c r="F22" s="9"/>
      <c r="G22" s="2"/>
      <c r="H22" s="2"/>
      <c r="I22" s="9" t="s">
        <v>168</v>
      </c>
      <c r="J22" s="2">
        <v>1</v>
      </c>
    </row>
    <row r="23" spans="1:10" x14ac:dyDescent="0.45">
      <c r="A23" s="9">
        <v>15</v>
      </c>
      <c r="B23" s="2" t="s">
        <v>492</v>
      </c>
      <c r="C23" s="2" t="s">
        <v>493</v>
      </c>
      <c r="D23" s="2" t="s">
        <v>467</v>
      </c>
      <c r="E23" s="9" t="s">
        <v>196</v>
      </c>
      <c r="F23" s="9"/>
      <c r="G23" s="2"/>
      <c r="H23" s="2"/>
      <c r="I23" s="9" t="s">
        <v>168</v>
      </c>
      <c r="J23" s="2">
        <v>1</v>
      </c>
    </row>
    <row r="24" spans="1:10" x14ac:dyDescent="0.45">
      <c r="A24" s="9">
        <v>16</v>
      </c>
      <c r="B24" s="2" t="s">
        <v>494</v>
      </c>
      <c r="C24" s="2" t="s">
        <v>495</v>
      </c>
      <c r="D24" s="2" t="s">
        <v>467</v>
      </c>
      <c r="E24" s="9" t="s">
        <v>196</v>
      </c>
      <c r="F24" s="9"/>
      <c r="G24" s="2"/>
      <c r="H24" s="2"/>
      <c r="I24" s="9" t="s">
        <v>168</v>
      </c>
      <c r="J24" s="2">
        <v>1</v>
      </c>
    </row>
    <row r="25" spans="1:10" x14ac:dyDescent="0.45">
      <c r="A25" s="9">
        <v>17</v>
      </c>
      <c r="B25" s="2" t="s">
        <v>496</v>
      </c>
      <c r="C25" s="2" t="s">
        <v>497</v>
      </c>
      <c r="D25" s="2" t="s">
        <v>467</v>
      </c>
      <c r="E25" s="9" t="s">
        <v>196</v>
      </c>
      <c r="F25" s="9"/>
      <c r="G25" s="2"/>
      <c r="H25" s="2"/>
      <c r="I25" s="9" t="s">
        <v>168</v>
      </c>
      <c r="J25" s="2">
        <v>1</v>
      </c>
    </row>
    <row r="26" spans="1:10" x14ac:dyDescent="0.45">
      <c r="A26" s="9">
        <v>18</v>
      </c>
      <c r="B26" s="2" t="s">
        <v>498</v>
      </c>
      <c r="C26" s="2" t="s">
        <v>499</v>
      </c>
      <c r="D26" s="2" t="s">
        <v>467</v>
      </c>
      <c r="E26" s="9" t="s">
        <v>196</v>
      </c>
      <c r="F26" s="9"/>
      <c r="G26" s="2"/>
      <c r="H26" s="2"/>
      <c r="I26" s="9" t="s">
        <v>168</v>
      </c>
      <c r="J26" s="2">
        <v>1</v>
      </c>
    </row>
    <row r="27" spans="1:10" x14ac:dyDescent="0.45">
      <c r="A27" s="9">
        <v>19</v>
      </c>
      <c r="B27" s="2" t="s">
        <v>500</v>
      </c>
      <c r="C27" s="2" t="s">
        <v>501</v>
      </c>
      <c r="D27" s="2" t="s">
        <v>467</v>
      </c>
      <c r="E27" s="9" t="s">
        <v>196</v>
      </c>
      <c r="F27" s="9"/>
      <c r="G27" s="2"/>
      <c r="H27" s="2"/>
      <c r="I27" s="9" t="s">
        <v>168</v>
      </c>
      <c r="J27" s="2">
        <v>1</v>
      </c>
    </row>
    <row r="28" spans="1:10" x14ac:dyDescent="0.45">
      <c r="A28" s="9">
        <v>20</v>
      </c>
      <c r="B28" s="2" t="s">
        <v>502</v>
      </c>
      <c r="C28" s="2" t="s">
        <v>503</v>
      </c>
      <c r="D28" s="2" t="s">
        <v>467</v>
      </c>
      <c r="E28" s="9" t="s">
        <v>196</v>
      </c>
      <c r="F28" s="9"/>
      <c r="G28" s="2"/>
      <c r="H28" s="2"/>
      <c r="I28" s="9" t="s">
        <v>168</v>
      </c>
      <c r="J28" s="2">
        <v>1</v>
      </c>
    </row>
    <row r="29" spans="1:10" x14ac:dyDescent="0.45">
      <c r="A29" s="9">
        <v>21</v>
      </c>
      <c r="B29" s="2" t="s">
        <v>504</v>
      </c>
      <c r="C29" s="2" t="s">
        <v>505</v>
      </c>
      <c r="D29" s="2" t="s">
        <v>467</v>
      </c>
      <c r="E29" s="9" t="s">
        <v>196</v>
      </c>
      <c r="F29" s="9"/>
      <c r="G29" s="2"/>
      <c r="H29" s="2"/>
      <c r="I29" s="9" t="s">
        <v>168</v>
      </c>
      <c r="J29" s="2">
        <v>1</v>
      </c>
    </row>
    <row r="30" spans="1:10" x14ac:dyDescent="0.45">
      <c r="A30" s="9">
        <v>22</v>
      </c>
      <c r="B30" s="2" t="s">
        <v>506</v>
      </c>
      <c r="C30" s="2" t="s">
        <v>507</v>
      </c>
      <c r="D30" s="2" t="s">
        <v>467</v>
      </c>
      <c r="E30" s="9" t="s">
        <v>196</v>
      </c>
      <c r="F30" s="9"/>
      <c r="G30" s="2"/>
      <c r="H30" s="2"/>
      <c r="I30" s="9" t="s">
        <v>168</v>
      </c>
      <c r="J30" s="2">
        <v>1</v>
      </c>
    </row>
    <row r="31" spans="1:10" x14ac:dyDescent="0.45">
      <c r="A31" s="9">
        <v>23</v>
      </c>
      <c r="B31" s="2" t="s">
        <v>508</v>
      </c>
      <c r="C31" s="2" t="s">
        <v>509</v>
      </c>
      <c r="D31" s="2" t="s">
        <v>467</v>
      </c>
      <c r="E31" s="9" t="s">
        <v>196</v>
      </c>
      <c r="F31" s="9"/>
      <c r="G31" s="2"/>
      <c r="H31" s="2"/>
      <c r="I31" s="9" t="s">
        <v>168</v>
      </c>
      <c r="J31" s="2">
        <v>1</v>
      </c>
    </row>
    <row r="32" spans="1:10" x14ac:dyDescent="0.45">
      <c r="A32" s="9">
        <v>24</v>
      </c>
      <c r="B32" s="2" t="s">
        <v>510</v>
      </c>
      <c r="C32" s="2" t="s">
        <v>511</v>
      </c>
      <c r="D32" s="2" t="s">
        <v>467</v>
      </c>
      <c r="E32" s="9" t="s">
        <v>196</v>
      </c>
      <c r="F32" s="9"/>
      <c r="G32" s="2"/>
      <c r="H32" s="2"/>
      <c r="I32" s="9" t="s">
        <v>168</v>
      </c>
      <c r="J32" s="2">
        <v>1</v>
      </c>
    </row>
    <row r="33" spans="1:10" x14ac:dyDescent="0.45">
      <c r="A33" s="9">
        <v>25</v>
      </c>
      <c r="B33" s="2" t="s">
        <v>512</v>
      </c>
      <c r="C33" s="2" t="s">
        <v>513</v>
      </c>
      <c r="D33" s="2" t="s">
        <v>467</v>
      </c>
      <c r="E33" s="9" t="s">
        <v>196</v>
      </c>
      <c r="F33" s="9"/>
      <c r="G33" s="2"/>
      <c r="H33" s="2"/>
      <c r="I33" s="9" t="s">
        <v>270</v>
      </c>
      <c r="J33" s="2">
        <v>1</v>
      </c>
    </row>
    <row r="34" spans="1:10" x14ac:dyDescent="0.45">
      <c r="A34" s="9">
        <v>26</v>
      </c>
      <c r="B34" s="2" t="s">
        <v>514</v>
      </c>
      <c r="C34" s="2" t="s">
        <v>515</v>
      </c>
      <c r="D34" s="2" t="s">
        <v>467</v>
      </c>
      <c r="E34" s="9" t="s">
        <v>196</v>
      </c>
      <c r="F34" s="9"/>
      <c r="G34" s="2"/>
      <c r="H34" s="2"/>
      <c r="I34" s="9" t="s">
        <v>270</v>
      </c>
      <c r="J34" s="2">
        <v>1</v>
      </c>
    </row>
    <row r="35" spans="1:10" x14ac:dyDescent="0.45">
      <c r="A35" s="9">
        <v>27</v>
      </c>
      <c r="B35" s="2" t="s">
        <v>516</v>
      </c>
      <c r="C35" s="2" t="s">
        <v>517</v>
      </c>
      <c r="D35" s="2" t="s">
        <v>467</v>
      </c>
      <c r="E35" s="9" t="s">
        <v>196</v>
      </c>
      <c r="F35" s="9"/>
      <c r="G35" s="2"/>
      <c r="H35" s="2"/>
      <c r="I35" s="9" t="s">
        <v>270</v>
      </c>
      <c r="J35" s="2">
        <v>1</v>
      </c>
    </row>
    <row r="36" spans="1:10" x14ac:dyDescent="0.45">
      <c r="A36" s="9">
        <v>28</v>
      </c>
      <c r="B36" s="2" t="s">
        <v>518</v>
      </c>
      <c r="C36" s="2" t="s">
        <v>519</v>
      </c>
      <c r="D36" s="2" t="s">
        <v>467</v>
      </c>
      <c r="E36" s="9" t="s">
        <v>196</v>
      </c>
      <c r="F36" s="9"/>
      <c r="G36" s="2"/>
      <c r="H36" s="2"/>
      <c r="I36" s="9" t="s">
        <v>168</v>
      </c>
      <c r="J36" s="2">
        <v>1</v>
      </c>
    </row>
    <row r="37" spans="1:10" x14ac:dyDescent="0.45">
      <c r="A37" s="9">
        <v>29</v>
      </c>
      <c r="B37" s="2" t="s">
        <v>520</v>
      </c>
      <c r="C37" s="2" t="s">
        <v>521</v>
      </c>
      <c r="D37" s="2" t="s">
        <v>467</v>
      </c>
      <c r="E37" s="9" t="s">
        <v>196</v>
      </c>
      <c r="F37" s="9"/>
      <c r="G37" s="2"/>
      <c r="H37" s="2"/>
      <c r="I37" s="9" t="s">
        <v>168</v>
      </c>
      <c r="J37" s="2">
        <v>1</v>
      </c>
    </row>
    <row r="38" spans="1:10" x14ac:dyDescent="0.45">
      <c r="A38" s="9">
        <v>30</v>
      </c>
      <c r="B38" s="2" t="s">
        <v>522</v>
      </c>
      <c r="C38" s="2" t="s">
        <v>523</v>
      </c>
      <c r="D38" s="2" t="s">
        <v>467</v>
      </c>
      <c r="E38" s="9" t="s">
        <v>196</v>
      </c>
      <c r="F38" s="9"/>
      <c r="G38" s="2"/>
      <c r="H38" s="2"/>
      <c r="I38" s="9" t="s">
        <v>168</v>
      </c>
      <c r="J38" s="2">
        <v>1</v>
      </c>
    </row>
    <row r="39" spans="1:10" x14ac:dyDescent="0.45">
      <c r="A39" s="9">
        <v>31</v>
      </c>
      <c r="B39" s="2" t="s">
        <v>524</v>
      </c>
      <c r="C39" s="2" t="s">
        <v>525</v>
      </c>
      <c r="D39" s="2" t="s">
        <v>467</v>
      </c>
      <c r="E39" s="9" t="s">
        <v>196</v>
      </c>
      <c r="F39" s="9"/>
      <c r="G39" s="2"/>
      <c r="H39" s="2"/>
      <c r="I39" s="9" t="s">
        <v>168</v>
      </c>
      <c r="J39" s="2">
        <v>1</v>
      </c>
    </row>
    <row r="40" spans="1:10" x14ac:dyDescent="0.45">
      <c r="A40" s="9">
        <v>32</v>
      </c>
      <c r="B40" s="2" t="s">
        <v>526</v>
      </c>
      <c r="C40" s="2" t="s">
        <v>527</v>
      </c>
      <c r="D40" s="2" t="s">
        <v>467</v>
      </c>
      <c r="E40" s="9" t="s">
        <v>196</v>
      </c>
      <c r="F40" s="9"/>
      <c r="G40" s="2"/>
      <c r="H40" s="2"/>
      <c r="I40" s="9" t="s">
        <v>168</v>
      </c>
      <c r="J40" s="2">
        <v>1</v>
      </c>
    </row>
    <row r="41" spans="1:10" x14ac:dyDescent="0.45">
      <c r="A41" s="9">
        <v>33</v>
      </c>
      <c r="B41" s="2" t="s">
        <v>528</v>
      </c>
      <c r="C41" s="2" t="s">
        <v>529</v>
      </c>
      <c r="D41" s="2" t="s">
        <v>467</v>
      </c>
      <c r="E41" s="9" t="s">
        <v>196</v>
      </c>
      <c r="F41" s="9"/>
      <c r="G41" s="2"/>
      <c r="H41" s="2"/>
      <c r="I41" s="9" t="s">
        <v>168</v>
      </c>
      <c r="J41" s="2">
        <v>1</v>
      </c>
    </row>
    <row r="42" spans="1:10" x14ac:dyDescent="0.45">
      <c r="A42" s="9">
        <v>34</v>
      </c>
      <c r="B42" s="2" t="s">
        <v>530</v>
      </c>
      <c r="C42" s="2" t="s">
        <v>531</v>
      </c>
      <c r="D42" s="2" t="s">
        <v>467</v>
      </c>
      <c r="E42" s="9" t="s">
        <v>196</v>
      </c>
      <c r="F42" s="9"/>
      <c r="G42" s="2"/>
      <c r="H42" s="2"/>
      <c r="I42" s="9" t="s">
        <v>168</v>
      </c>
      <c r="J42" s="2">
        <v>1</v>
      </c>
    </row>
    <row r="43" spans="1:10" x14ac:dyDescent="0.45">
      <c r="A43" s="9">
        <v>35</v>
      </c>
      <c r="B43" s="2" t="s">
        <v>532</v>
      </c>
      <c r="C43" s="2" t="s">
        <v>533</v>
      </c>
      <c r="D43" s="2" t="s">
        <v>467</v>
      </c>
      <c r="E43" s="9" t="s">
        <v>196</v>
      </c>
      <c r="F43" s="9"/>
      <c r="G43" s="2"/>
      <c r="H43" s="2"/>
      <c r="I43" s="9" t="s">
        <v>168</v>
      </c>
      <c r="J43" s="2">
        <v>1</v>
      </c>
    </row>
    <row r="44" spans="1:10" x14ac:dyDescent="0.45">
      <c r="A44" s="9">
        <v>36</v>
      </c>
      <c r="B44" s="2" t="s">
        <v>534</v>
      </c>
      <c r="C44" s="2" t="s">
        <v>535</v>
      </c>
      <c r="D44" s="2" t="s">
        <v>467</v>
      </c>
      <c r="E44" s="9" t="s">
        <v>196</v>
      </c>
      <c r="F44" s="9"/>
      <c r="G44" s="2"/>
      <c r="H44" s="2"/>
      <c r="I44" s="9" t="s">
        <v>168</v>
      </c>
      <c r="J44" s="2">
        <v>1</v>
      </c>
    </row>
    <row r="45" spans="1:10" x14ac:dyDescent="0.45">
      <c r="A45" s="9">
        <v>37</v>
      </c>
      <c r="B45" s="2" t="s">
        <v>536</v>
      </c>
      <c r="C45" s="2" t="s">
        <v>537</v>
      </c>
      <c r="D45" s="2" t="s">
        <v>467</v>
      </c>
      <c r="E45" s="9" t="s">
        <v>196</v>
      </c>
      <c r="F45" s="9"/>
      <c r="G45" s="2"/>
      <c r="H45" s="2"/>
      <c r="I45" s="9" t="s">
        <v>168</v>
      </c>
      <c r="J45" s="2">
        <v>1</v>
      </c>
    </row>
    <row r="46" spans="1:10" x14ac:dyDescent="0.45">
      <c r="A46" s="9">
        <v>38</v>
      </c>
      <c r="B46" s="2" t="s">
        <v>538</v>
      </c>
      <c r="C46" s="2" t="s">
        <v>539</v>
      </c>
      <c r="D46" s="2" t="s">
        <v>467</v>
      </c>
      <c r="E46" s="9" t="s">
        <v>196</v>
      </c>
      <c r="F46" s="9"/>
      <c r="G46" s="2"/>
      <c r="H46" s="2"/>
      <c r="I46" s="9" t="s">
        <v>168</v>
      </c>
      <c r="J46" s="2">
        <v>1</v>
      </c>
    </row>
    <row r="47" spans="1:10" x14ac:dyDescent="0.45">
      <c r="A47" s="9">
        <v>39</v>
      </c>
      <c r="B47" s="2" t="s">
        <v>540</v>
      </c>
      <c r="C47" s="2" t="s">
        <v>541</v>
      </c>
      <c r="D47" s="2" t="s">
        <v>467</v>
      </c>
      <c r="E47" s="9" t="s">
        <v>196</v>
      </c>
      <c r="F47" s="9"/>
      <c r="G47" s="2"/>
      <c r="H47" s="2"/>
      <c r="I47" s="9" t="s">
        <v>168</v>
      </c>
      <c r="J47" s="2">
        <v>1</v>
      </c>
    </row>
    <row r="48" spans="1:10" x14ac:dyDescent="0.45">
      <c r="A48" s="9">
        <v>40</v>
      </c>
      <c r="B48" s="2" t="s">
        <v>542</v>
      </c>
      <c r="C48" s="2" t="s">
        <v>543</v>
      </c>
      <c r="D48" s="2" t="s">
        <v>467</v>
      </c>
      <c r="E48" s="9" t="s">
        <v>196</v>
      </c>
      <c r="F48" s="9"/>
      <c r="G48" s="2"/>
      <c r="H48" s="2"/>
      <c r="I48" s="9" t="s">
        <v>168</v>
      </c>
      <c r="J48" s="2">
        <v>1</v>
      </c>
    </row>
    <row r="49" spans="1:10" x14ac:dyDescent="0.45">
      <c r="A49" s="9">
        <v>41</v>
      </c>
      <c r="B49" s="2" t="s">
        <v>544</v>
      </c>
      <c r="C49" s="2" t="s">
        <v>545</v>
      </c>
      <c r="D49" s="2" t="s">
        <v>467</v>
      </c>
      <c r="E49" s="9" t="s">
        <v>196</v>
      </c>
      <c r="F49" s="9"/>
      <c r="G49" s="2"/>
      <c r="H49" s="2"/>
      <c r="I49" s="9" t="s">
        <v>168</v>
      </c>
      <c r="J49" s="2">
        <v>1</v>
      </c>
    </row>
    <row r="50" spans="1:10" x14ac:dyDescent="0.45">
      <c r="A50" s="9">
        <v>42</v>
      </c>
      <c r="B50" s="2" t="s">
        <v>546</v>
      </c>
      <c r="C50" s="2" t="s">
        <v>547</v>
      </c>
      <c r="D50" s="2" t="s">
        <v>467</v>
      </c>
      <c r="E50" s="9" t="s">
        <v>196</v>
      </c>
      <c r="F50" s="9"/>
      <c r="G50" s="2"/>
      <c r="H50" s="2"/>
      <c r="I50" s="9" t="s">
        <v>168</v>
      </c>
      <c r="J50" s="2">
        <v>1</v>
      </c>
    </row>
    <row r="51" spans="1:10" x14ac:dyDescent="0.45">
      <c r="A51" s="9">
        <v>43</v>
      </c>
      <c r="B51" s="2" t="s">
        <v>548</v>
      </c>
      <c r="C51" s="2" t="s">
        <v>549</v>
      </c>
      <c r="D51" s="2" t="s">
        <v>467</v>
      </c>
      <c r="E51" s="9" t="s">
        <v>196</v>
      </c>
      <c r="F51" s="9"/>
      <c r="G51" s="2"/>
      <c r="H51" s="2"/>
      <c r="I51" s="9" t="s">
        <v>168</v>
      </c>
      <c r="J51" s="2">
        <v>1</v>
      </c>
    </row>
    <row r="52" spans="1:10" x14ac:dyDescent="0.45">
      <c r="A52" s="9">
        <v>44</v>
      </c>
      <c r="B52" s="2" t="s">
        <v>550</v>
      </c>
      <c r="C52" s="2" t="s">
        <v>551</v>
      </c>
      <c r="D52" s="2" t="s">
        <v>467</v>
      </c>
      <c r="E52" s="9" t="s">
        <v>196</v>
      </c>
      <c r="F52" s="9"/>
      <c r="G52" s="2"/>
      <c r="H52" s="2"/>
      <c r="I52" s="9" t="s">
        <v>168</v>
      </c>
      <c r="J52" s="2">
        <v>1</v>
      </c>
    </row>
    <row r="53" spans="1:10" x14ac:dyDescent="0.45">
      <c r="A53" s="9">
        <v>45</v>
      </c>
      <c r="B53" s="2" t="s">
        <v>552</v>
      </c>
      <c r="C53" s="2" t="s">
        <v>553</v>
      </c>
      <c r="D53" s="2" t="s">
        <v>467</v>
      </c>
      <c r="E53" s="9" t="s">
        <v>196</v>
      </c>
      <c r="F53" s="9"/>
      <c r="G53" s="2"/>
      <c r="H53" s="2"/>
      <c r="I53" s="9" t="s">
        <v>168</v>
      </c>
      <c r="J53" s="2">
        <v>1</v>
      </c>
    </row>
    <row r="54" spans="1:10" x14ac:dyDescent="0.45">
      <c r="A54" s="9">
        <v>46</v>
      </c>
      <c r="B54" s="2" t="s">
        <v>554</v>
      </c>
      <c r="C54" s="2" t="s">
        <v>555</v>
      </c>
      <c r="D54" s="2" t="s">
        <v>467</v>
      </c>
      <c r="E54" s="9" t="s">
        <v>196</v>
      </c>
      <c r="F54" s="9"/>
      <c r="G54" s="2"/>
      <c r="H54" s="2"/>
      <c r="I54" s="9" t="s">
        <v>168</v>
      </c>
      <c r="J54" s="2">
        <v>1</v>
      </c>
    </row>
    <row r="55" spans="1:10" x14ac:dyDescent="0.45">
      <c r="A55" s="9">
        <v>47</v>
      </c>
      <c r="B55" s="2" t="s">
        <v>556</v>
      </c>
      <c r="C55" s="2" t="s">
        <v>557</v>
      </c>
      <c r="D55" s="2" t="s">
        <v>467</v>
      </c>
      <c r="E55" s="9" t="s">
        <v>196</v>
      </c>
      <c r="F55" s="9"/>
      <c r="G55" s="2"/>
      <c r="H55" s="2"/>
      <c r="I55" s="9" t="s">
        <v>168</v>
      </c>
      <c r="J55" s="2">
        <v>1</v>
      </c>
    </row>
    <row r="56" spans="1:10" x14ac:dyDescent="0.45">
      <c r="A56" s="9">
        <v>48</v>
      </c>
      <c r="B56" s="2" t="s">
        <v>558</v>
      </c>
      <c r="C56" s="2" t="s">
        <v>559</v>
      </c>
      <c r="D56" s="2" t="s">
        <v>467</v>
      </c>
      <c r="E56" s="9" t="s">
        <v>196</v>
      </c>
      <c r="F56" s="9"/>
      <c r="G56" s="2"/>
      <c r="H56" s="2"/>
      <c r="I56" s="9" t="s">
        <v>168</v>
      </c>
      <c r="J56" s="2">
        <v>1</v>
      </c>
    </row>
    <row r="57" spans="1:10" x14ac:dyDescent="0.45">
      <c r="A57" s="9">
        <v>49</v>
      </c>
      <c r="B57" s="2" t="s">
        <v>560</v>
      </c>
      <c r="C57" s="2" t="s">
        <v>561</v>
      </c>
      <c r="D57" s="2" t="s">
        <v>467</v>
      </c>
      <c r="E57" s="9" t="s">
        <v>196</v>
      </c>
      <c r="F57" s="9"/>
      <c r="G57" s="2"/>
      <c r="H57" s="2"/>
      <c r="I57" s="9" t="s">
        <v>168</v>
      </c>
      <c r="J57" s="2">
        <v>1</v>
      </c>
    </row>
    <row r="58" spans="1:10" x14ac:dyDescent="0.45">
      <c r="A58" s="9">
        <v>50</v>
      </c>
      <c r="B58" s="2" t="s">
        <v>562</v>
      </c>
      <c r="C58" s="2" t="s">
        <v>563</v>
      </c>
      <c r="D58" s="2" t="s">
        <v>467</v>
      </c>
      <c r="E58" s="9" t="s">
        <v>196</v>
      </c>
      <c r="F58" s="9"/>
      <c r="G58" s="2"/>
      <c r="H58" s="2"/>
      <c r="I58" s="9" t="s">
        <v>168</v>
      </c>
      <c r="J58" s="2">
        <v>1</v>
      </c>
    </row>
    <row r="59" spans="1:10" x14ac:dyDescent="0.45">
      <c r="A59" s="9">
        <v>51</v>
      </c>
      <c r="B59" s="2" t="s">
        <v>564</v>
      </c>
      <c r="C59" s="2" t="s">
        <v>565</v>
      </c>
      <c r="D59" s="2" t="s">
        <v>467</v>
      </c>
      <c r="E59" s="9" t="s">
        <v>196</v>
      </c>
      <c r="F59" s="9"/>
      <c r="G59" s="2"/>
      <c r="H59" s="2"/>
      <c r="I59" s="9" t="s">
        <v>168</v>
      </c>
      <c r="J59" s="2">
        <v>1</v>
      </c>
    </row>
    <row r="60" spans="1:10" x14ac:dyDescent="0.45">
      <c r="A60" s="9">
        <v>52</v>
      </c>
      <c r="B60" s="2" t="s">
        <v>566</v>
      </c>
      <c r="C60" s="2" t="s">
        <v>567</v>
      </c>
      <c r="D60" s="2" t="s">
        <v>467</v>
      </c>
      <c r="E60" s="9" t="s">
        <v>196</v>
      </c>
      <c r="F60" s="9"/>
      <c r="G60" s="2"/>
      <c r="H60" s="2"/>
      <c r="I60" s="9" t="s">
        <v>168</v>
      </c>
      <c r="J60" s="2">
        <v>1</v>
      </c>
    </row>
    <row r="61" spans="1:10" x14ac:dyDescent="0.45">
      <c r="A61" s="9">
        <v>53</v>
      </c>
      <c r="B61" s="2" t="s">
        <v>568</v>
      </c>
      <c r="C61" s="2" t="s">
        <v>569</v>
      </c>
      <c r="D61" s="2" t="s">
        <v>467</v>
      </c>
      <c r="E61" s="9" t="s">
        <v>196</v>
      </c>
      <c r="F61" s="9"/>
      <c r="G61" s="2"/>
      <c r="H61" s="2"/>
      <c r="I61" s="9" t="s">
        <v>168</v>
      </c>
      <c r="J61" s="2">
        <v>1</v>
      </c>
    </row>
    <row r="62" spans="1:10" x14ac:dyDescent="0.45">
      <c r="A62" s="9">
        <v>54</v>
      </c>
      <c r="B62" s="2" t="s">
        <v>570</v>
      </c>
      <c r="C62" s="2" t="s">
        <v>571</v>
      </c>
      <c r="D62" s="2" t="s">
        <v>467</v>
      </c>
      <c r="E62" s="9" t="s">
        <v>196</v>
      </c>
      <c r="F62" s="9"/>
      <c r="G62" s="2"/>
      <c r="H62" s="2"/>
      <c r="I62" s="9" t="s">
        <v>270</v>
      </c>
      <c r="J62" s="2">
        <v>1</v>
      </c>
    </row>
    <row r="63" spans="1:10" x14ac:dyDescent="0.45">
      <c r="A63" s="9">
        <v>55</v>
      </c>
      <c r="B63" s="2" t="s">
        <v>572</v>
      </c>
      <c r="C63" s="2" t="s">
        <v>573</v>
      </c>
      <c r="D63" s="2" t="s">
        <v>467</v>
      </c>
      <c r="E63" s="9" t="s">
        <v>196</v>
      </c>
      <c r="F63" s="9"/>
      <c r="G63" s="2"/>
      <c r="H63" s="2"/>
      <c r="I63" s="9" t="s">
        <v>270</v>
      </c>
      <c r="J63" s="2">
        <v>1</v>
      </c>
    </row>
    <row r="64" spans="1:10" x14ac:dyDescent="0.45">
      <c r="A64" s="9">
        <v>56</v>
      </c>
      <c r="B64" s="2" t="s">
        <v>574</v>
      </c>
      <c r="C64" s="2" t="s">
        <v>575</v>
      </c>
      <c r="D64" s="2" t="s">
        <v>467</v>
      </c>
      <c r="E64" s="9" t="s">
        <v>196</v>
      </c>
      <c r="F64" s="9"/>
      <c r="G64" s="2"/>
      <c r="H64" s="2"/>
      <c r="I64" s="9" t="s">
        <v>270</v>
      </c>
      <c r="J64" s="2">
        <v>1</v>
      </c>
    </row>
    <row r="65" spans="1:10" x14ac:dyDescent="0.45">
      <c r="A65" s="9">
        <v>57</v>
      </c>
      <c r="B65" s="2" t="s">
        <v>576</v>
      </c>
      <c r="C65" s="2" t="s">
        <v>577</v>
      </c>
      <c r="D65" s="2" t="s">
        <v>467</v>
      </c>
      <c r="E65" s="9" t="s">
        <v>196</v>
      </c>
      <c r="F65" s="9"/>
      <c r="G65" s="2"/>
      <c r="H65" s="2"/>
      <c r="I65" s="9" t="s">
        <v>168</v>
      </c>
      <c r="J65" s="2">
        <v>1</v>
      </c>
    </row>
    <row r="66" spans="1:10" x14ac:dyDescent="0.45">
      <c r="A66" s="9">
        <v>58</v>
      </c>
      <c r="B66" s="2" t="s">
        <v>578</v>
      </c>
      <c r="C66" s="2" t="s">
        <v>579</v>
      </c>
      <c r="D66" s="2" t="s">
        <v>467</v>
      </c>
      <c r="E66" s="9" t="s">
        <v>196</v>
      </c>
      <c r="F66" s="9"/>
      <c r="G66" s="2"/>
      <c r="H66" s="2"/>
      <c r="I66" s="9" t="s">
        <v>168</v>
      </c>
      <c r="J66" s="2">
        <v>1</v>
      </c>
    </row>
    <row r="67" spans="1:10" x14ac:dyDescent="0.45">
      <c r="A67" s="9">
        <v>59</v>
      </c>
      <c r="B67" s="2" t="s">
        <v>580</v>
      </c>
      <c r="C67" s="2" t="s">
        <v>581</v>
      </c>
      <c r="D67" s="2" t="s">
        <v>467</v>
      </c>
      <c r="E67" s="9" t="s">
        <v>196</v>
      </c>
      <c r="F67" s="9"/>
      <c r="G67" s="2"/>
      <c r="H67" s="2"/>
      <c r="I67" s="9" t="s">
        <v>168</v>
      </c>
      <c r="J67" s="2">
        <v>1</v>
      </c>
    </row>
    <row r="69" spans="1:10" x14ac:dyDescent="0.45">
      <c r="A69" s="27" t="s">
        <v>180</v>
      </c>
      <c r="B69" s="21"/>
      <c r="C69" s="21"/>
      <c r="D69" s="21"/>
      <c r="E69" s="21"/>
      <c r="F69" s="21"/>
      <c r="G69" s="21"/>
      <c r="H69" s="21"/>
      <c r="I69" s="21"/>
    </row>
    <row r="70" spans="1:10" x14ac:dyDescent="0.45">
      <c r="A70" s="3" t="s">
        <v>59</v>
      </c>
      <c r="B70" s="3" t="s">
        <v>181</v>
      </c>
      <c r="C70" s="3" t="s">
        <v>182</v>
      </c>
      <c r="D70" s="25" t="s">
        <v>183</v>
      </c>
      <c r="E70" s="23"/>
      <c r="F70" s="24"/>
      <c r="G70" s="25" t="s">
        <v>22</v>
      </c>
      <c r="H70" s="23"/>
      <c r="I70" s="24"/>
    </row>
    <row r="71" spans="1:10" ht="18" customHeight="1" x14ac:dyDescent="0.45">
      <c r="A71" s="9">
        <v>1</v>
      </c>
      <c r="B71" s="9" t="s">
        <v>162</v>
      </c>
      <c r="C71" s="2" t="s">
        <v>582</v>
      </c>
      <c r="D71" s="22" t="s">
        <v>112</v>
      </c>
      <c r="E71" s="23"/>
      <c r="F71" s="24"/>
      <c r="G71" s="22" t="s">
        <v>185</v>
      </c>
      <c r="H71" s="23"/>
      <c r="I71" s="24"/>
    </row>
    <row r="73" spans="1:10" x14ac:dyDescent="0.45">
      <c r="A73" s="27" t="s">
        <v>186</v>
      </c>
      <c r="B73" s="21"/>
      <c r="C73" s="21"/>
      <c r="D73" s="21"/>
      <c r="E73" s="21"/>
      <c r="F73" s="21"/>
      <c r="G73" s="21"/>
      <c r="H73" s="21"/>
      <c r="I73" s="21"/>
    </row>
    <row r="74" spans="1:10" x14ac:dyDescent="0.45">
      <c r="A74" s="3" t="s">
        <v>59</v>
      </c>
      <c r="B74" s="3" t="s">
        <v>187</v>
      </c>
      <c r="C74" s="3" t="s">
        <v>188</v>
      </c>
      <c r="D74" s="25" t="s">
        <v>183</v>
      </c>
      <c r="E74" s="23"/>
      <c r="F74" s="24"/>
      <c r="G74" s="25" t="s">
        <v>189</v>
      </c>
      <c r="H74" s="23"/>
      <c r="I74" s="24"/>
    </row>
    <row r="75" spans="1:10" ht="18" customHeight="1" x14ac:dyDescent="0.45">
      <c r="A75" s="9">
        <v>1</v>
      </c>
      <c r="B75" s="9" t="s">
        <v>190</v>
      </c>
      <c r="C75" s="2" t="s">
        <v>582</v>
      </c>
      <c r="D75" s="22" t="s">
        <v>112</v>
      </c>
      <c r="E75" s="23"/>
      <c r="F75" s="24"/>
      <c r="G75" s="22" t="s">
        <v>185</v>
      </c>
      <c r="H75" s="23"/>
      <c r="I75" s="24"/>
    </row>
  </sheetData>
  <mergeCells count="21">
    <mergeCell ref="A1:I1"/>
    <mergeCell ref="H5:I5"/>
    <mergeCell ref="A69:I69"/>
    <mergeCell ref="E3:F3"/>
    <mergeCell ref="A3:B3"/>
    <mergeCell ref="C4:I4"/>
    <mergeCell ref="A5:B5"/>
    <mergeCell ref="G75:I75"/>
    <mergeCell ref="H3:I3"/>
    <mergeCell ref="A4:B4"/>
    <mergeCell ref="G71:I71"/>
    <mergeCell ref="A73:I73"/>
    <mergeCell ref="G70:I70"/>
    <mergeCell ref="D70:F70"/>
    <mergeCell ref="E5:F5"/>
    <mergeCell ref="D75:F75"/>
    <mergeCell ref="G74:I74"/>
    <mergeCell ref="A6:B6"/>
    <mergeCell ref="D71:F71"/>
    <mergeCell ref="C6:I6"/>
    <mergeCell ref="D74:F74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116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117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583</v>
      </c>
      <c r="D5" s="1" t="s">
        <v>18</v>
      </c>
      <c r="E5" s="20">
        <f>SUM(J9:J12)</f>
        <v>4</v>
      </c>
      <c r="F5" s="21"/>
      <c r="G5" s="1" t="s">
        <v>65</v>
      </c>
      <c r="H5" s="22" t="s">
        <v>121</v>
      </c>
      <c r="I5" s="21"/>
    </row>
    <row r="6" spans="1:10" ht="18" customHeight="1" x14ac:dyDescent="0.45">
      <c r="A6" s="26" t="s">
        <v>63</v>
      </c>
      <c r="B6" s="21"/>
      <c r="C6" s="22" t="s">
        <v>119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118</v>
      </c>
      <c r="C9" s="14" t="s">
        <v>584</v>
      </c>
      <c r="D9" s="14" t="s">
        <v>203</v>
      </c>
      <c r="E9" s="13" t="s">
        <v>167</v>
      </c>
      <c r="F9" s="13">
        <v>1</v>
      </c>
      <c r="G9" s="14"/>
      <c r="H9" s="14" t="s">
        <v>348</v>
      </c>
      <c r="I9" s="13" t="s">
        <v>168</v>
      </c>
      <c r="J9" s="14">
        <v>1</v>
      </c>
    </row>
    <row r="10" spans="1:10" x14ac:dyDescent="0.45">
      <c r="A10" s="9">
        <v>2</v>
      </c>
      <c r="B10" s="2" t="s">
        <v>194</v>
      </c>
      <c r="C10" s="2" t="s">
        <v>585</v>
      </c>
      <c r="D10" s="2" t="s">
        <v>166</v>
      </c>
      <c r="E10" s="9" t="s">
        <v>167</v>
      </c>
      <c r="F10" s="9"/>
      <c r="G10" s="2"/>
      <c r="H10" s="2" t="s">
        <v>355</v>
      </c>
      <c r="I10" s="9" t="s">
        <v>168</v>
      </c>
      <c r="J10" s="2">
        <v>1</v>
      </c>
    </row>
    <row r="11" spans="1:10" x14ac:dyDescent="0.45">
      <c r="A11" s="9">
        <v>3</v>
      </c>
      <c r="B11" s="2" t="s">
        <v>124</v>
      </c>
      <c r="C11" s="2" t="s">
        <v>586</v>
      </c>
      <c r="D11" s="2" t="s">
        <v>166</v>
      </c>
      <c r="E11" s="9" t="s">
        <v>167</v>
      </c>
      <c r="F11" s="9"/>
      <c r="G11" s="2" t="s">
        <v>122</v>
      </c>
      <c r="H11" s="2" t="s">
        <v>355</v>
      </c>
      <c r="I11" s="9" t="s">
        <v>168</v>
      </c>
      <c r="J11" s="2">
        <v>1</v>
      </c>
    </row>
    <row r="12" spans="1:10" x14ac:dyDescent="0.45">
      <c r="A12" s="9">
        <v>4</v>
      </c>
      <c r="B12" s="2" t="s">
        <v>444</v>
      </c>
      <c r="C12" s="2" t="s">
        <v>587</v>
      </c>
      <c r="D12" s="2" t="s">
        <v>446</v>
      </c>
      <c r="E12" s="9" t="s">
        <v>196</v>
      </c>
      <c r="F12" s="9"/>
      <c r="G12" s="2"/>
      <c r="H12" s="2" t="s">
        <v>355</v>
      </c>
      <c r="I12" s="9" t="s">
        <v>168</v>
      </c>
      <c r="J12" s="2">
        <v>1</v>
      </c>
    </row>
    <row r="14" spans="1:10" x14ac:dyDescent="0.45">
      <c r="A14" s="27" t="s">
        <v>180</v>
      </c>
      <c r="B14" s="21"/>
      <c r="C14" s="21"/>
      <c r="D14" s="21"/>
      <c r="E14" s="21"/>
      <c r="F14" s="21"/>
      <c r="G14" s="21"/>
      <c r="H14" s="21"/>
      <c r="I14" s="21"/>
    </row>
    <row r="15" spans="1:10" x14ac:dyDescent="0.45">
      <c r="A15" s="3" t="s">
        <v>59</v>
      </c>
      <c r="B15" s="3" t="s">
        <v>181</v>
      </c>
      <c r="C15" s="3" t="s">
        <v>182</v>
      </c>
      <c r="D15" s="25" t="s">
        <v>183</v>
      </c>
      <c r="E15" s="23"/>
      <c r="F15" s="24"/>
      <c r="G15" s="25" t="s">
        <v>22</v>
      </c>
      <c r="H15" s="23"/>
      <c r="I15" s="24"/>
    </row>
    <row r="16" spans="1:10" ht="18" customHeight="1" x14ac:dyDescent="0.45">
      <c r="A16" s="9">
        <v>1</v>
      </c>
      <c r="B16" s="9" t="s">
        <v>162</v>
      </c>
      <c r="C16" s="2" t="s">
        <v>588</v>
      </c>
      <c r="D16" s="22" t="s">
        <v>118</v>
      </c>
      <c r="E16" s="23"/>
      <c r="F16" s="24"/>
      <c r="G16" s="22" t="s">
        <v>185</v>
      </c>
      <c r="H16" s="23"/>
      <c r="I16" s="24"/>
    </row>
    <row r="18" spans="1:9" x14ac:dyDescent="0.45">
      <c r="A18" s="27" t="s">
        <v>186</v>
      </c>
      <c r="B18" s="21"/>
      <c r="C18" s="21"/>
      <c r="D18" s="21"/>
      <c r="E18" s="21"/>
      <c r="F18" s="21"/>
      <c r="G18" s="21"/>
      <c r="H18" s="21"/>
      <c r="I18" s="21"/>
    </row>
    <row r="19" spans="1:9" x14ac:dyDescent="0.45">
      <c r="A19" s="3" t="s">
        <v>59</v>
      </c>
      <c r="B19" s="3" t="s">
        <v>187</v>
      </c>
      <c r="C19" s="3" t="s">
        <v>188</v>
      </c>
      <c r="D19" s="25" t="s">
        <v>183</v>
      </c>
      <c r="E19" s="23"/>
      <c r="F19" s="24"/>
      <c r="G19" s="25" t="s">
        <v>189</v>
      </c>
      <c r="H19" s="23"/>
      <c r="I19" s="24"/>
    </row>
    <row r="20" spans="1:9" ht="18" customHeight="1" x14ac:dyDescent="0.45">
      <c r="A20" s="9">
        <v>1</v>
      </c>
      <c r="B20" s="9" t="s">
        <v>190</v>
      </c>
      <c r="C20" s="2" t="s">
        <v>588</v>
      </c>
      <c r="D20" s="22" t="s">
        <v>118</v>
      </c>
      <c r="E20" s="23"/>
      <c r="F20" s="24"/>
      <c r="G20" s="22" t="s">
        <v>185</v>
      </c>
      <c r="H20" s="23"/>
      <c r="I20" s="24"/>
    </row>
  </sheetData>
  <mergeCells count="21">
    <mergeCell ref="A1:I1"/>
    <mergeCell ref="H5:I5"/>
    <mergeCell ref="E3:F3"/>
    <mergeCell ref="G20:I20"/>
    <mergeCell ref="D15:F15"/>
    <mergeCell ref="A3:B3"/>
    <mergeCell ref="G16:I16"/>
    <mergeCell ref="C4:I4"/>
    <mergeCell ref="A5:B5"/>
    <mergeCell ref="D20:F20"/>
    <mergeCell ref="H3:I3"/>
    <mergeCell ref="A4:B4"/>
    <mergeCell ref="D19:F19"/>
    <mergeCell ref="G19:I19"/>
    <mergeCell ref="E5:F5"/>
    <mergeCell ref="A18:I18"/>
    <mergeCell ref="D16:F16"/>
    <mergeCell ref="G15:I15"/>
    <mergeCell ref="A6:B6"/>
    <mergeCell ref="A14:I14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122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123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589</v>
      </c>
      <c r="D5" s="1" t="s">
        <v>18</v>
      </c>
      <c r="E5" s="20">
        <f>SUM(J9:J22)</f>
        <v>14</v>
      </c>
      <c r="F5" s="21"/>
      <c r="G5" s="1" t="s">
        <v>65</v>
      </c>
      <c r="H5" s="22" t="s">
        <v>126</v>
      </c>
      <c r="I5" s="21"/>
    </row>
    <row r="6" spans="1:10" ht="18" customHeight="1" x14ac:dyDescent="0.45">
      <c r="A6" s="26" t="s">
        <v>63</v>
      </c>
      <c r="B6" s="21"/>
      <c r="C6" s="22" t="s">
        <v>125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124</v>
      </c>
      <c r="C9" s="14" t="s">
        <v>590</v>
      </c>
      <c r="D9" s="14" t="s">
        <v>166</v>
      </c>
      <c r="E9" s="13" t="s">
        <v>167</v>
      </c>
      <c r="F9" s="13">
        <v>1</v>
      </c>
      <c r="G9" s="14"/>
      <c r="H9" s="14" t="s">
        <v>355</v>
      </c>
      <c r="I9" s="13" t="s">
        <v>168</v>
      </c>
      <c r="J9" s="14">
        <v>1</v>
      </c>
    </row>
    <row r="10" spans="1:10" x14ac:dyDescent="0.45">
      <c r="A10" s="9">
        <v>2</v>
      </c>
      <c r="B10" s="2" t="s">
        <v>375</v>
      </c>
      <c r="C10" s="2" t="s">
        <v>376</v>
      </c>
      <c r="D10" s="2" t="s">
        <v>166</v>
      </c>
      <c r="E10" s="9" t="s">
        <v>167</v>
      </c>
      <c r="F10" s="9"/>
      <c r="G10" s="2"/>
      <c r="H10" s="2" t="s">
        <v>355</v>
      </c>
      <c r="I10" s="9" t="s">
        <v>168</v>
      </c>
      <c r="J10" s="2">
        <v>1</v>
      </c>
    </row>
    <row r="11" spans="1:10" x14ac:dyDescent="0.45">
      <c r="A11" s="9">
        <v>3</v>
      </c>
      <c r="B11" s="2" t="s">
        <v>378</v>
      </c>
      <c r="C11" s="2" t="s">
        <v>379</v>
      </c>
      <c r="D11" s="2" t="s">
        <v>166</v>
      </c>
      <c r="E11" s="9" t="s">
        <v>167</v>
      </c>
      <c r="F11" s="9"/>
      <c r="G11" s="2"/>
      <c r="H11" s="2" t="s">
        <v>355</v>
      </c>
      <c r="I11" s="9" t="s">
        <v>168</v>
      </c>
      <c r="J11" s="2">
        <v>1</v>
      </c>
    </row>
    <row r="12" spans="1:10" x14ac:dyDescent="0.45">
      <c r="A12" s="9">
        <v>4</v>
      </c>
      <c r="B12" s="2" t="s">
        <v>591</v>
      </c>
      <c r="C12" s="2" t="s">
        <v>592</v>
      </c>
      <c r="D12" s="2" t="s">
        <v>171</v>
      </c>
      <c r="E12" s="9" t="s">
        <v>167</v>
      </c>
      <c r="F12" s="9"/>
      <c r="G12" s="2"/>
      <c r="H12" s="2" t="s">
        <v>348</v>
      </c>
      <c r="I12" s="9" t="s">
        <v>168</v>
      </c>
      <c r="J12" s="2">
        <v>1</v>
      </c>
    </row>
    <row r="13" spans="1:10" x14ac:dyDescent="0.45">
      <c r="A13" s="9">
        <v>5</v>
      </c>
      <c r="B13" s="2" t="s">
        <v>593</v>
      </c>
      <c r="C13" s="2" t="s">
        <v>594</v>
      </c>
      <c r="D13" s="2" t="s">
        <v>234</v>
      </c>
      <c r="E13" s="9" t="s">
        <v>167</v>
      </c>
      <c r="F13" s="9"/>
      <c r="G13" s="2"/>
      <c r="H13" s="2" t="s">
        <v>348</v>
      </c>
      <c r="I13" s="9" t="s">
        <v>168</v>
      </c>
      <c r="J13" s="2">
        <v>1</v>
      </c>
    </row>
    <row r="14" spans="1:10" x14ac:dyDescent="0.45">
      <c r="A14" s="9">
        <v>6</v>
      </c>
      <c r="B14" s="2" t="s">
        <v>595</v>
      </c>
      <c r="C14" s="2" t="s">
        <v>596</v>
      </c>
      <c r="D14" s="2" t="s">
        <v>171</v>
      </c>
      <c r="E14" s="9" t="s">
        <v>167</v>
      </c>
      <c r="F14" s="9"/>
      <c r="G14" s="2"/>
      <c r="H14" s="2" t="s">
        <v>348</v>
      </c>
      <c r="I14" s="9" t="s">
        <v>168</v>
      </c>
      <c r="J14" s="2">
        <v>1</v>
      </c>
    </row>
    <row r="15" spans="1:10" x14ac:dyDescent="0.45">
      <c r="A15" s="9">
        <v>7</v>
      </c>
      <c r="B15" s="2" t="s">
        <v>597</v>
      </c>
      <c r="C15" s="2" t="s">
        <v>598</v>
      </c>
      <c r="D15" s="2" t="s">
        <v>321</v>
      </c>
      <c r="E15" s="9" t="s">
        <v>167</v>
      </c>
      <c r="F15" s="9"/>
      <c r="G15" s="2"/>
      <c r="H15" s="2" t="s">
        <v>355</v>
      </c>
      <c r="I15" s="9" t="s">
        <v>168</v>
      </c>
      <c r="J15" s="2">
        <v>1</v>
      </c>
    </row>
    <row r="16" spans="1:10" x14ac:dyDescent="0.45">
      <c r="A16" s="9">
        <v>8</v>
      </c>
      <c r="B16" s="2" t="s">
        <v>599</v>
      </c>
      <c r="C16" s="2" t="s">
        <v>600</v>
      </c>
      <c r="D16" s="2" t="s">
        <v>234</v>
      </c>
      <c r="E16" s="9" t="s">
        <v>167</v>
      </c>
      <c r="F16" s="9"/>
      <c r="G16" s="2"/>
      <c r="H16" s="2" t="s">
        <v>348</v>
      </c>
      <c r="I16" s="9" t="s">
        <v>168</v>
      </c>
      <c r="J16" s="2">
        <v>1</v>
      </c>
    </row>
    <row r="17" spans="1:10" x14ac:dyDescent="0.45">
      <c r="A17" s="9">
        <v>9</v>
      </c>
      <c r="B17" s="2" t="s">
        <v>601</v>
      </c>
      <c r="C17" s="2" t="s">
        <v>602</v>
      </c>
      <c r="D17" s="2" t="s">
        <v>234</v>
      </c>
      <c r="E17" s="9" t="s">
        <v>167</v>
      </c>
      <c r="F17" s="9"/>
      <c r="G17" s="2"/>
      <c r="H17" s="2" t="s">
        <v>348</v>
      </c>
      <c r="I17" s="9" t="s">
        <v>168</v>
      </c>
      <c r="J17" s="2">
        <v>1</v>
      </c>
    </row>
    <row r="18" spans="1:10" x14ac:dyDescent="0.45">
      <c r="A18" s="9">
        <v>10</v>
      </c>
      <c r="B18" s="2" t="s">
        <v>603</v>
      </c>
      <c r="C18" s="2" t="s">
        <v>604</v>
      </c>
      <c r="D18" s="2" t="s">
        <v>171</v>
      </c>
      <c r="E18" s="9" t="s">
        <v>167</v>
      </c>
      <c r="F18" s="9"/>
      <c r="G18" s="2"/>
      <c r="H18" s="2" t="s">
        <v>348</v>
      </c>
      <c r="I18" s="9" t="s">
        <v>168</v>
      </c>
      <c r="J18" s="2">
        <v>1</v>
      </c>
    </row>
    <row r="19" spans="1:10" x14ac:dyDescent="0.45">
      <c r="A19" s="9">
        <v>11</v>
      </c>
      <c r="B19" s="2" t="s">
        <v>605</v>
      </c>
      <c r="C19" s="2" t="s">
        <v>606</v>
      </c>
      <c r="D19" s="2" t="s">
        <v>171</v>
      </c>
      <c r="E19" s="9" t="s">
        <v>167</v>
      </c>
      <c r="F19" s="9"/>
      <c r="G19" s="2"/>
      <c r="H19" s="2" t="s">
        <v>348</v>
      </c>
      <c r="I19" s="9" t="s">
        <v>168</v>
      </c>
      <c r="J19" s="2">
        <v>1</v>
      </c>
    </row>
    <row r="20" spans="1:10" x14ac:dyDescent="0.45">
      <c r="A20" s="9">
        <v>12</v>
      </c>
      <c r="B20" s="2" t="s">
        <v>607</v>
      </c>
      <c r="C20" s="2" t="s">
        <v>608</v>
      </c>
      <c r="D20" s="2" t="s">
        <v>234</v>
      </c>
      <c r="E20" s="9" t="s">
        <v>167</v>
      </c>
      <c r="F20" s="9"/>
      <c r="G20" s="2"/>
      <c r="H20" s="2" t="s">
        <v>348</v>
      </c>
      <c r="I20" s="9" t="s">
        <v>168</v>
      </c>
      <c r="J20" s="2">
        <v>1</v>
      </c>
    </row>
    <row r="21" spans="1:10" x14ac:dyDescent="0.45">
      <c r="A21" s="9">
        <v>13</v>
      </c>
      <c r="B21" s="2" t="s">
        <v>609</v>
      </c>
      <c r="C21" s="2" t="s">
        <v>610</v>
      </c>
      <c r="D21" s="2" t="s">
        <v>234</v>
      </c>
      <c r="E21" s="9" t="s">
        <v>167</v>
      </c>
      <c r="F21" s="9"/>
      <c r="G21" s="2"/>
      <c r="H21" s="2" t="s">
        <v>348</v>
      </c>
      <c r="I21" s="9" t="s">
        <v>168</v>
      </c>
      <c r="J21" s="2">
        <v>1</v>
      </c>
    </row>
    <row r="22" spans="1:10" x14ac:dyDescent="0.45">
      <c r="A22" s="9">
        <v>14</v>
      </c>
      <c r="B22" s="2" t="s">
        <v>444</v>
      </c>
      <c r="C22" s="2" t="s">
        <v>587</v>
      </c>
      <c r="D22" s="2" t="s">
        <v>446</v>
      </c>
      <c r="E22" s="9" t="s">
        <v>196</v>
      </c>
      <c r="F22" s="9"/>
      <c r="G22" s="2"/>
      <c r="H22" s="2" t="s">
        <v>348</v>
      </c>
      <c r="I22" s="9" t="s">
        <v>168</v>
      </c>
      <c r="J22" s="2">
        <v>1</v>
      </c>
    </row>
    <row r="24" spans="1:10" x14ac:dyDescent="0.45">
      <c r="A24" s="27" t="s">
        <v>180</v>
      </c>
      <c r="B24" s="21"/>
      <c r="C24" s="21"/>
      <c r="D24" s="21"/>
      <c r="E24" s="21"/>
      <c r="F24" s="21"/>
      <c r="G24" s="21"/>
      <c r="H24" s="21"/>
      <c r="I24" s="21"/>
    </row>
    <row r="25" spans="1:10" x14ac:dyDescent="0.45">
      <c r="A25" s="3" t="s">
        <v>59</v>
      </c>
      <c r="B25" s="3" t="s">
        <v>181</v>
      </c>
      <c r="C25" s="3" t="s">
        <v>182</v>
      </c>
      <c r="D25" s="25" t="s">
        <v>183</v>
      </c>
      <c r="E25" s="23"/>
      <c r="F25" s="24"/>
      <c r="G25" s="25" t="s">
        <v>22</v>
      </c>
      <c r="H25" s="23"/>
      <c r="I25" s="24"/>
    </row>
    <row r="26" spans="1:10" ht="18" customHeight="1" x14ac:dyDescent="0.45">
      <c r="A26" s="9">
        <v>1</v>
      </c>
      <c r="B26" s="9" t="s">
        <v>162</v>
      </c>
      <c r="C26" s="2" t="s">
        <v>611</v>
      </c>
      <c r="D26" s="22" t="s">
        <v>124</v>
      </c>
      <c r="E26" s="23"/>
      <c r="F26" s="24"/>
      <c r="G26" s="22" t="s">
        <v>185</v>
      </c>
      <c r="H26" s="23"/>
      <c r="I26" s="24"/>
    </row>
    <row r="28" spans="1:10" x14ac:dyDescent="0.45">
      <c r="A28" s="27" t="s">
        <v>186</v>
      </c>
      <c r="B28" s="21"/>
      <c r="C28" s="21"/>
      <c r="D28" s="21"/>
      <c r="E28" s="21"/>
      <c r="F28" s="21"/>
      <c r="G28" s="21"/>
      <c r="H28" s="21"/>
      <c r="I28" s="21"/>
    </row>
    <row r="29" spans="1:10" x14ac:dyDescent="0.45">
      <c r="A29" s="3" t="s">
        <v>59</v>
      </c>
      <c r="B29" s="3" t="s">
        <v>187</v>
      </c>
      <c r="C29" s="3" t="s">
        <v>188</v>
      </c>
      <c r="D29" s="25" t="s">
        <v>183</v>
      </c>
      <c r="E29" s="23"/>
      <c r="F29" s="24"/>
      <c r="G29" s="25" t="s">
        <v>189</v>
      </c>
      <c r="H29" s="23"/>
      <c r="I29" s="24"/>
    </row>
    <row r="30" spans="1:10" ht="18" customHeight="1" x14ac:dyDescent="0.45">
      <c r="A30" s="9">
        <v>1</v>
      </c>
      <c r="B30" s="9" t="s">
        <v>190</v>
      </c>
      <c r="C30" s="2" t="s">
        <v>611</v>
      </c>
      <c r="D30" s="22" t="s">
        <v>124</v>
      </c>
      <c r="E30" s="23"/>
      <c r="F30" s="24"/>
      <c r="G30" s="22" t="s">
        <v>185</v>
      </c>
      <c r="H30" s="23"/>
      <c r="I30" s="24"/>
    </row>
  </sheetData>
  <mergeCells count="21">
    <mergeCell ref="A1:I1"/>
    <mergeCell ref="H5:I5"/>
    <mergeCell ref="E3:F3"/>
    <mergeCell ref="A3:B3"/>
    <mergeCell ref="G25:I25"/>
    <mergeCell ref="D29:F29"/>
    <mergeCell ref="A28:I28"/>
    <mergeCell ref="C4:I4"/>
    <mergeCell ref="A5:B5"/>
    <mergeCell ref="D26:F26"/>
    <mergeCell ref="A24:I24"/>
    <mergeCell ref="H3:I3"/>
    <mergeCell ref="A4:B4"/>
    <mergeCell ref="E5:F5"/>
    <mergeCell ref="G30:I30"/>
    <mergeCell ref="A6:B6"/>
    <mergeCell ref="C6:I6"/>
    <mergeCell ref="G26:I26"/>
    <mergeCell ref="D30:F30"/>
    <mergeCell ref="G29:I29"/>
    <mergeCell ref="D25:F25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127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128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612</v>
      </c>
      <c r="D5" s="1" t="s">
        <v>18</v>
      </c>
      <c r="E5" s="20">
        <f>SUM(J9:J10)</f>
        <v>257</v>
      </c>
      <c r="F5" s="21"/>
      <c r="G5" s="1" t="s">
        <v>65</v>
      </c>
      <c r="H5" s="22" t="s">
        <v>130</v>
      </c>
      <c r="I5" s="21"/>
    </row>
    <row r="6" spans="1:10" ht="18" customHeight="1" x14ac:dyDescent="0.45">
      <c r="A6" s="26" t="s">
        <v>63</v>
      </c>
      <c r="B6" s="21"/>
      <c r="C6" s="22" t="s">
        <v>129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112</v>
      </c>
      <c r="C9" s="14" t="s">
        <v>227</v>
      </c>
      <c r="D9" s="14" t="s">
        <v>203</v>
      </c>
      <c r="E9" s="13" t="s">
        <v>167</v>
      </c>
      <c r="F9" s="13">
        <v>1</v>
      </c>
      <c r="G9" s="14" t="s">
        <v>114</v>
      </c>
      <c r="H9" s="14"/>
      <c r="I9" s="13" t="s">
        <v>168</v>
      </c>
      <c r="J9" s="14">
        <v>1</v>
      </c>
    </row>
    <row r="10" spans="1:10" x14ac:dyDescent="0.45">
      <c r="A10" s="15" t="s">
        <v>613</v>
      </c>
      <c r="B10" s="16" t="s">
        <v>614</v>
      </c>
      <c r="C10" s="16" t="s">
        <v>615</v>
      </c>
      <c r="D10" s="16" t="s">
        <v>467</v>
      </c>
      <c r="E10" s="15" t="s">
        <v>196</v>
      </c>
      <c r="F10" s="15"/>
      <c r="G10" s="16"/>
      <c r="H10" s="16"/>
      <c r="I10" s="15" t="s">
        <v>168</v>
      </c>
      <c r="J10" s="16">
        <v>256</v>
      </c>
    </row>
    <row r="12" spans="1:10" x14ac:dyDescent="0.45">
      <c r="A12" s="27" t="s">
        <v>180</v>
      </c>
      <c r="B12" s="21"/>
      <c r="C12" s="21"/>
      <c r="D12" s="21"/>
      <c r="E12" s="21"/>
      <c r="F12" s="21"/>
      <c r="G12" s="21"/>
      <c r="H12" s="21"/>
      <c r="I12" s="21"/>
    </row>
    <row r="13" spans="1:10" x14ac:dyDescent="0.45">
      <c r="A13" s="3" t="s">
        <v>59</v>
      </c>
      <c r="B13" s="3" t="s">
        <v>181</v>
      </c>
      <c r="C13" s="3" t="s">
        <v>182</v>
      </c>
      <c r="D13" s="25" t="s">
        <v>183</v>
      </c>
      <c r="E13" s="23"/>
      <c r="F13" s="24"/>
      <c r="G13" s="25" t="s">
        <v>22</v>
      </c>
      <c r="H13" s="23"/>
      <c r="I13" s="24"/>
    </row>
    <row r="14" spans="1:10" ht="18" customHeight="1" x14ac:dyDescent="0.45">
      <c r="A14" s="9">
        <v>1</v>
      </c>
      <c r="B14" s="9" t="s">
        <v>162</v>
      </c>
      <c r="C14" s="2" t="s">
        <v>616</v>
      </c>
      <c r="D14" s="22" t="s">
        <v>112</v>
      </c>
      <c r="E14" s="23"/>
      <c r="F14" s="24"/>
      <c r="G14" s="22" t="s">
        <v>185</v>
      </c>
      <c r="H14" s="23"/>
      <c r="I14" s="24"/>
    </row>
    <row r="16" spans="1:10" x14ac:dyDescent="0.45">
      <c r="A16" s="27" t="s">
        <v>186</v>
      </c>
      <c r="B16" s="21"/>
      <c r="C16" s="21"/>
      <c r="D16" s="21"/>
      <c r="E16" s="21"/>
      <c r="F16" s="21"/>
      <c r="G16" s="21"/>
      <c r="H16" s="21"/>
      <c r="I16" s="21"/>
    </row>
    <row r="17" spans="1:9" x14ac:dyDescent="0.45">
      <c r="A17" s="3" t="s">
        <v>59</v>
      </c>
      <c r="B17" s="3" t="s">
        <v>187</v>
      </c>
      <c r="C17" s="3" t="s">
        <v>188</v>
      </c>
      <c r="D17" s="25" t="s">
        <v>183</v>
      </c>
      <c r="E17" s="23"/>
      <c r="F17" s="24"/>
      <c r="G17" s="25" t="s">
        <v>189</v>
      </c>
      <c r="H17" s="23"/>
      <c r="I17" s="24"/>
    </row>
    <row r="18" spans="1:9" ht="18" customHeight="1" x14ac:dyDescent="0.45">
      <c r="A18" s="9">
        <v>1</v>
      </c>
      <c r="B18" s="9" t="s">
        <v>190</v>
      </c>
      <c r="C18" s="2" t="s">
        <v>616</v>
      </c>
      <c r="D18" s="22" t="s">
        <v>112</v>
      </c>
      <c r="E18" s="23"/>
      <c r="F18" s="24"/>
      <c r="G18" s="22" t="s">
        <v>185</v>
      </c>
      <c r="H18" s="23"/>
      <c r="I18" s="24"/>
    </row>
  </sheetData>
  <mergeCells count="21">
    <mergeCell ref="A1:I1"/>
    <mergeCell ref="H5:I5"/>
    <mergeCell ref="G17:I17"/>
    <mergeCell ref="E3:F3"/>
    <mergeCell ref="A16:I16"/>
    <mergeCell ref="A3:B3"/>
    <mergeCell ref="D14:F14"/>
    <mergeCell ref="C4:I4"/>
    <mergeCell ref="A5:B5"/>
    <mergeCell ref="H3:I3"/>
    <mergeCell ref="A4:B4"/>
    <mergeCell ref="D13:F13"/>
    <mergeCell ref="G13:I13"/>
    <mergeCell ref="E5:F5"/>
    <mergeCell ref="G18:I18"/>
    <mergeCell ref="D17:F17"/>
    <mergeCell ref="A12:I12"/>
    <mergeCell ref="A6:B6"/>
    <mergeCell ref="G14:I14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131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132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617</v>
      </c>
      <c r="D5" s="1" t="s">
        <v>18</v>
      </c>
      <c r="E5" s="20">
        <f>SUM(J9:J23)</f>
        <v>15</v>
      </c>
      <c r="F5" s="21"/>
      <c r="G5" s="1" t="s">
        <v>65</v>
      </c>
      <c r="H5" s="22" t="s">
        <v>136</v>
      </c>
      <c r="I5" s="21"/>
    </row>
    <row r="6" spans="1:10" ht="18" customHeight="1" x14ac:dyDescent="0.45">
      <c r="A6" s="26" t="s">
        <v>63</v>
      </c>
      <c r="B6" s="21"/>
      <c r="C6" s="22" t="s">
        <v>134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133</v>
      </c>
      <c r="C9" s="14" t="s">
        <v>618</v>
      </c>
      <c r="D9" s="14" t="s">
        <v>203</v>
      </c>
      <c r="E9" s="13" t="s">
        <v>167</v>
      </c>
      <c r="F9" s="13">
        <v>1</v>
      </c>
      <c r="G9" s="14"/>
      <c r="H9" s="14"/>
      <c r="I9" s="13" t="s">
        <v>168</v>
      </c>
      <c r="J9" s="14">
        <v>1</v>
      </c>
    </row>
    <row r="10" spans="1:10" x14ac:dyDescent="0.45">
      <c r="A10" s="9">
        <v>2</v>
      </c>
      <c r="B10" s="2" t="s">
        <v>619</v>
      </c>
      <c r="C10" s="2" t="s">
        <v>620</v>
      </c>
      <c r="D10" s="2" t="s">
        <v>446</v>
      </c>
      <c r="E10" s="9" t="s">
        <v>167</v>
      </c>
      <c r="F10" s="9"/>
      <c r="G10" s="2"/>
      <c r="H10" s="2"/>
      <c r="I10" s="9" t="s">
        <v>168</v>
      </c>
      <c r="J10" s="2">
        <v>1</v>
      </c>
    </row>
    <row r="11" spans="1:10" x14ac:dyDescent="0.45">
      <c r="A11" s="9">
        <v>3</v>
      </c>
      <c r="B11" s="2" t="s">
        <v>199</v>
      </c>
      <c r="C11" s="2" t="s">
        <v>621</v>
      </c>
      <c r="D11" s="2" t="s">
        <v>166</v>
      </c>
      <c r="E11" s="9" t="s">
        <v>167</v>
      </c>
      <c r="F11" s="9"/>
      <c r="G11" s="2"/>
      <c r="H11" s="2"/>
      <c r="I11" s="9" t="s">
        <v>168</v>
      </c>
      <c r="J11" s="2">
        <v>1</v>
      </c>
    </row>
    <row r="12" spans="1:10" x14ac:dyDescent="0.45">
      <c r="A12" s="9">
        <v>4</v>
      </c>
      <c r="B12" s="2" t="s">
        <v>622</v>
      </c>
      <c r="C12" s="2" t="s">
        <v>623</v>
      </c>
      <c r="D12" s="2" t="s">
        <v>372</v>
      </c>
      <c r="E12" s="9" t="s">
        <v>167</v>
      </c>
      <c r="F12" s="9"/>
      <c r="G12" s="2"/>
      <c r="H12" s="2"/>
      <c r="I12" s="9" t="s">
        <v>168</v>
      </c>
      <c r="J12" s="2">
        <v>1</v>
      </c>
    </row>
    <row r="13" spans="1:10" x14ac:dyDescent="0.45">
      <c r="A13" s="9">
        <v>5</v>
      </c>
      <c r="B13" s="2" t="s">
        <v>595</v>
      </c>
      <c r="C13" s="2" t="s">
        <v>596</v>
      </c>
      <c r="D13" s="2" t="s">
        <v>171</v>
      </c>
      <c r="E13" s="9" t="s">
        <v>167</v>
      </c>
      <c r="F13" s="9"/>
      <c r="G13" s="2"/>
      <c r="H13" s="2" t="s">
        <v>273</v>
      </c>
      <c r="I13" s="9" t="s">
        <v>168</v>
      </c>
      <c r="J13" s="2">
        <v>1</v>
      </c>
    </row>
    <row r="14" spans="1:10" x14ac:dyDescent="0.45">
      <c r="A14" s="9">
        <v>6</v>
      </c>
      <c r="B14" s="2" t="s">
        <v>593</v>
      </c>
      <c r="C14" s="2" t="s">
        <v>624</v>
      </c>
      <c r="D14" s="2" t="s">
        <v>234</v>
      </c>
      <c r="E14" s="9" t="s">
        <v>167</v>
      </c>
      <c r="F14" s="9"/>
      <c r="G14" s="2"/>
      <c r="H14" s="2" t="s">
        <v>625</v>
      </c>
      <c r="I14" s="9" t="s">
        <v>168</v>
      </c>
      <c r="J14" s="2">
        <v>1</v>
      </c>
    </row>
    <row r="15" spans="1:10" x14ac:dyDescent="0.45">
      <c r="A15" s="9">
        <v>7</v>
      </c>
      <c r="B15" s="2" t="s">
        <v>597</v>
      </c>
      <c r="C15" s="2" t="s">
        <v>598</v>
      </c>
      <c r="D15" s="2" t="s">
        <v>321</v>
      </c>
      <c r="E15" s="9" t="s">
        <v>167</v>
      </c>
      <c r="F15" s="9"/>
      <c r="G15" s="2"/>
      <c r="H15" s="2" t="s">
        <v>626</v>
      </c>
      <c r="I15" s="9" t="s">
        <v>168</v>
      </c>
      <c r="J15" s="2">
        <v>1</v>
      </c>
    </row>
    <row r="16" spans="1:10" x14ac:dyDescent="0.45">
      <c r="A16" s="9">
        <v>8</v>
      </c>
      <c r="B16" s="2" t="s">
        <v>599</v>
      </c>
      <c r="C16" s="2" t="s">
        <v>627</v>
      </c>
      <c r="D16" s="2" t="s">
        <v>234</v>
      </c>
      <c r="E16" s="9" t="s">
        <v>167</v>
      </c>
      <c r="F16" s="9"/>
      <c r="G16" s="2"/>
      <c r="H16" s="2" t="s">
        <v>273</v>
      </c>
      <c r="I16" s="9" t="s">
        <v>168</v>
      </c>
      <c r="J16" s="2">
        <v>1</v>
      </c>
    </row>
    <row r="17" spans="1:10" x14ac:dyDescent="0.45">
      <c r="A17" s="9">
        <v>9</v>
      </c>
      <c r="B17" s="2" t="s">
        <v>601</v>
      </c>
      <c r="C17" s="2" t="s">
        <v>628</v>
      </c>
      <c r="D17" s="2" t="s">
        <v>234</v>
      </c>
      <c r="E17" s="9" t="s">
        <v>167</v>
      </c>
      <c r="F17" s="9"/>
      <c r="G17" s="2"/>
      <c r="H17" s="2" t="s">
        <v>273</v>
      </c>
      <c r="I17" s="9" t="s">
        <v>168</v>
      </c>
      <c r="J17" s="2">
        <v>1</v>
      </c>
    </row>
    <row r="18" spans="1:10" x14ac:dyDescent="0.45">
      <c r="A18" s="9">
        <v>10</v>
      </c>
      <c r="B18" s="2" t="s">
        <v>603</v>
      </c>
      <c r="C18" s="2" t="s">
        <v>629</v>
      </c>
      <c r="D18" s="2" t="s">
        <v>171</v>
      </c>
      <c r="E18" s="9" t="s">
        <v>167</v>
      </c>
      <c r="F18" s="9"/>
      <c r="G18" s="2"/>
      <c r="H18" s="2" t="s">
        <v>273</v>
      </c>
      <c r="I18" s="9" t="s">
        <v>168</v>
      </c>
      <c r="J18" s="2">
        <v>1</v>
      </c>
    </row>
    <row r="19" spans="1:10" x14ac:dyDescent="0.45">
      <c r="A19" s="9">
        <v>11</v>
      </c>
      <c r="B19" s="2" t="s">
        <v>605</v>
      </c>
      <c r="C19" s="2" t="s">
        <v>630</v>
      </c>
      <c r="D19" s="2" t="s">
        <v>171</v>
      </c>
      <c r="E19" s="9" t="s">
        <v>167</v>
      </c>
      <c r="F19" s="9"/>
      <c r="G19" s="2"/>
      <c r="H19" s="2" t="s">
        <v>273</v>
      </c>
      <c r="I19" s="9" t="s">
        <v>168</v>
      </c>
      <c r="J19" s="2">
        <v>1</v>
      </c>
    </row>
    <row r="20" spans="1:10" x14ac:dyDescent="0.45">
      <c r="A20" s="9">
        <v>12</v>
      </c>
      <c r="B20" s="2" t="s">
        <v>607</v>
      </c>
      <c r="C20" s="2" t="s">
        <v>608</v>
      </c>
      <c r="D20" s="2" t="s">
        <v>234</v>
      </c>
      <c r="E20" s="9" t="s">
        <v>167</v>
      </c>
      <c r="F20" s="9"/>
      <c r="G20" s="2"/>
      <c r="H20" s="2" t="s">
        <v>273</v>
      </c>
      <c r="I20" s="9" t="s">
        <v>168</v>
      </c>
      <c r="J20" s="2">
        <v>1</v>
      </c>
    </row>
    <row r="21" spans="1:10" x14ac:dyDescent="0.45">
      <c r="A21" s="9">
        <v>13</v>
      </c>
      <c r="B21" s="2" t="s">
        <v>609</v>
      </c>
      <c r="C21" s="2" t="s">
        <v>610</v>
      </c>
      <c r="D21" s="2" t="s">
        <v>234</v>
      </c>
      <c r="E21" s="9" t="s">
        <v>167</v>
      </c>
      <c r="F21" s="9"/>
      <c r="G21" s="2"/>
      <c r="H21" s="2" t="s">
        <v>273</v>
      </c>
      <c r="I21" s="9" t="s">
        <v>168</v>
      </c>
      <c r="J21" s="2">
        <v>1</v>
      </c>
    </row>
    <row r="22" spans="1:10" x14ac:dyDescent="0.45">
      <c r="A22" s="9">
        <v>14</v>
      </c>
      <c r="B22" s="2" t="s">
        <v>631</v>
      </c>
      <c r="C22" s="2" t="s">
        <v>632</v>
      </c>
      <c r="D22" s="2" t="s">
        <v>171</v>
      </c>
      <c r="E22" s="9" t="s">
        <v>167</v>
      </c>
      <c r="F22" s="9"/>
      <c r="G22" s="2"/>
      <c r="H22" s="2" t="s">
        <v>273</v>
      </c>
      <c r="I22" s="9" t="s">
        <v>270</v>
      </c>
      <c r="J22" s="2">
        <v>1</v>
      </c>
    </row>
    <row r="23" spans="1:10" x14ac:dyDescent="0.45">
      <c r="A23" s="9">
        <v>15</v>
      </c>
      <c r="B23" s="2" t="s">
        <v>633</v>
      </c>
      <c r="C23" s="2" t="s">
        <v>634</v>
      </c>
      <c r="D23" s="2" t="s">
        <v>171</v>
      </c>
      <c r="E23" s="9" t="s">
        <v>167</v>
      </c>
      <c r="F23" s="9"/>
      <c r="G23" s="2"/>
      <c r="H23" s="2" t="s">
        <v>273</v>
      </c>
      <c r="I23" s="9" t="s">
        <v>270</v>
      </c>
      <c r="J23" s="2">
        <v>1</v>
      </c>
    </row>
    <row r="25" spans="1:10" x14ac:dyDescent="0.45">
      <c r="A25" s="27" t="s">
        <v>180</v>
      </c>
      <c r="B25" s="21"/>
      <c r="C25" s="21"/>
      <c r="D25" s="21"/>
      <c r="E25" s="21"/>
      <c r="F25" s="21"/>
      <c r="G25" s="21"/>
      <c r="H25" s="21"/>
      <c r="I25" s="21"/>
    </row>
    <row r="26" spans="1:10" x14ac:dyDescent="0.45">
      <c r="A26" s="3" t="s">
        <v>59</v>
      </c>
      <c r="B26" s="3" t="s">
        <v>181</v>
      </c>
      <c r="C26" s="3" t="s">
        <v>182</v>
      </c>
      <c r="D26" s="25" t="s">
        <v>183</v>
      </c>
      <c r="E26" s="23"/>
      <c r="F26" s="24"/>
      <c r="G26" s="25" t="s">
        <v>22</v>
      </c>
      <c r="H26" s="23"/>
      <c r="I26" s="24"/>
    </row>
    <row r="27" spans="1:10" ht="18" customHeight="1" x14ac:dyDescent="0.45">
      <c r="A27" s="9">
        <v>1</v>
      </c>
      <c r="B27" s="9" t="s">
        <v>162</v>
      </c>
      <c r="C27" s="2" t="s">
        <v>635</v>
      </c>
      <c r="D27" s="22" t="s">
        <v>133</v>
      </c>
      <c r="E27" s="23"/>
      <c r="F27" s="24"/>
      <c r="G27" s="22" t="s">
        <v>185</v>
      </c>
      <c r="H27" s="23"/>
      <c r="I27" s="24"/>
    </row>
    <row r="29" spans="1:10" x14ac:dyDescent="0.45">
      <c r="A29" s="27" t="s">
        <v>186</v>
      </c>
      <c r="B29" s="21"/>
      <c r="C29" s="21"/>
      <c r="D29" s="21"/>
      <c r="E29" s="21"/>
      <c r="F29" s="21"/>
      <c r="G29" s="21"/>
      <c r="H29" s="21"/>
      <c r="I29" s="21"/>
    </row>
    <row r="30" spans="1:10" x14ac:dyDescent="0.45">
      <c r="A30" s="3" t="s">
        <v>59</v>
      </c>
      <c r="B30" s="3" t="s">
        <v>187</v>
      </c>
      <c r="C30" s="3" t="s">
        <v>188</v>
      </c>
      <c r="D30" s="25" t="s">
        <v>183</v>
      </c>
      <c r="E30" s="23"/>
      <c r="F30" s="24"/>
      <c r="G30" s="25" t="s">
        <v>189</v>
      </c>
      <c r="H30" s="23"/>
      <c r="I30" s="24"/>
    </row>
    <row r="31" spans="1:10" ht="18" customHeight="1" x14ac:dyDescent="0.45">
      <c r="A31" s="9">
        <v>1</v>
      </c>
      <c r="B31" s="9" t="s">
        <v>224</v>
      </c>
      <c r="C31" s="2" t="s">
        <v>636</v>
      </c>
      <c r="D31" s="22" t="s">
        <v>637</v>
      </c>
      <c r="E31" s="23"/>
      <c r="F31" s="24"/>
      <c r="G31" s="22"/>
      <c r="H31" s="23"/>
      <c r="I31" s="24"/>
    </row>
    <row r="32" spans="1:10" ht="18" customHeight="1" x14ac:dyDescent="0.45">
      <c r="A32" s="9">
        <v>2</v>
      </c>
      <c r="B32" s="9" t="s">
        <v>190</v>
      </c>
      <c r="C32" s="2" t="s">
        <v>638</v>
      </c>
      <c r="D32" s="22" t="s">
        <v>133</v>
      </c>
      <c r="E32" s="23"/>
      <c r="F32" s="24"/>
      <c r="G32" s="22" t="s">
        <v>185</v>
      </c>
      <c r="H32" s="23"/>
      <c r="I32" s="24"/>
    </row>
  </sheetData>
  <mergeCells count="23">
    <mergeCell ref="A1:I1"/>
    <mergeCell ref="H5:I5"/>
    <mergeCell ref="E3:F3"/>
    <mergeCell ref="A3:B3"/>
    <mergeCell ref="A29:I29"/>
    <mergeCell ref="G32:I32"/>
    <mergeCell ref="G31:I31"/>
    <mergeCell ref="C4:I4"/>
    <mergeCell ref="A5:B5"/>
    <mergeCell ref="D26:F26"/>
    <mergeCell ref="H3:I3"/>
    <mergeCell ref="A4:B4"/>
    <mergeCell ref="G27:I27"/>
    <mergeCell ref="D31:F31"/>
    <mergeCell ref="A25:I25"/>
    <mergeCell ref="D27:F27"/>
    <mergeCell ref="D32:F32"/>
    <mergeCell ref="E5:F5"/>
    <mergeCell ref="G30:I30"/>
    <mergeCell ref="A6:B6"/>
    <mergeCell ref="C6:I6"/>
    <mergeCell ref="G26:I26"/>
    <mergeCell ref="D30:F30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137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138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639</v>
      </c>
      <c r="D5" s="1" t="s">
        <v>18</v>
      </c>
      <c r="E5" s="20">
        <f>SUM(J9:J12)</f>
        <v>4</v>
      </c>
      <c r="F5" s="21"/>
      <c r="G5" s="1" t="s">
        <v>65</v>
      </c>
      <c r="H5" s="22" t="s">
        <v>141</v>
      </c>
      <c r="I5" s="21"/>
    </row>
    <row r="6" spans="1:10" ht="18" customHeight="1" x14ac:dyDescent="0.45">
      <c r="A6" s="26" t="s">
        <v>63</v>
      </c>
      <c r="B6" s="21"/>
      <c r="C6" s="22" t="s">
        <v>140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133</v>
      </c>
      <c r="C9" s="14" t="s">
        <v>387</v>
      </c>
      <c r="D9" s="14" t="s">
        <v>203</v>
      </c>
      <c r="E9" s="13" t="s">
        <v>167</v>
      </c>
      <c r="F9" s="13">
        <v>1</v>
      </c>
      <c r="G9" s="14" t="s">
        <v>131</v>
      </c>
      <c r="H9" s="14"/>
      <c r="I9" s="13" t="s">
        <v>168</v>
      </c>
      <c r="J9" s="14">
        <v>1</v>
      </c>
    </row>
    <row r="10" spans="1:10" x14ac:dyDescent="0.45">
      <c r="A10" s="13">
        <v>2</v>
      </c>
      <c r="B10" s="14" t="s">
        <v>254</v>
      </c>
      <c r="C10" s="14" t="s">
        <v>640</v>
      </c>
      <c r="D10" s="14" t="s">
        <v>171</v>
      </c>
      <c r="E10" s="13" t="s">
        <v>167</v>
      </c>
      <c r="F10" s="13">
        <v>2</v>
      </c>
      <c r="G10" s="14"/>
      <c r="H10" s="14"/>
      <c r="I10" s="13" t="s">
        <v>168</v>
      </c>
      <c r="J10" s="14">
        <v>1</v>
      </c>
    </row>
    <row r="11" spans="1:10" x14ac:dyDescent="0.45">
      <c r="A11" s="13">
        <v>3</v>
      </c>
      <c r="B11" s="14" t="s">
        <v>641</v>
      </c>
      <c r="C11" s="14" t="s">
        <v>642</v>
      </c>
      <c r="D11" s="14" t="s">
        <v>171</v>
      </c>
      <c r="E11" s="13" t="s">
        <v>167</v>
      </c>
      <c r="F11" s="13">
        <v>3</v>
      </c>
      <c r="G11" s="14"/>
      <c r="H11" s="14"/>
      <c r="I11" s="13" t="s">
        <v>168</v>
      </c>
      <c r="J11" s="14">
        <v>1</v>
      </c>
    </row>
    <row r="12" spans="1:10" x14ac:dyDescent="0.45">
      <c r="A12" s="13">
        <v>4</v>
      </c>
      <c r="B12" s="14" t="s">
        <v>643</v>
      </c>
      <c r="C12" s="14" t="s">
        <v>644</v>
      </c>
      <c r="D12" s="14" t="s">
        <v>171</v>
      </c>
      <c r="E12" s="13" t="s">
        <v>167</v>
      </c>
      <c r="F12" s="13">
        <v>4</v>
      </c>
      <c r="G12" s="14"/>
      <c r="H12" s="14"/>
      <c r="I12" s="13" t="s">
        <v>168</v>
      </c>
      <c r="J12" s="14">
        <v>1</v>
      </c>
    </row>
    <row r="14" spans="1:10" x14ac:dyDescent="0.45">
      <c r="A14" s="27" t="s">
        <v>180</v>
      </c>
      <c r="B14" s="21"/>
      <c r="C14" s="21"/>
      <c r="D14" s="21"/>
      <c r="E14" s="21"/>
      <c r="F14" s="21"/>
      <c r="G14" s="21"/>
      <c r="H14" s="21"/>
      <c r="I14" s="21"/>
    </row>
    <row r="15" spans="1:10" x14ac:dyDescent="0.45">
      <c r="A15" s="3" t="s">
        <v>59</v>
      </c>
      <c r="B15" s="3" t="s">
        <v>181</v>
      </c>
      <c r="C15" s="3" t="s">
        <v>182</v>
      </c>
      <c r="D15" s="25" t="s">
        <v>183</v>
      </c>
      <c r="E15" s="23"/>
      <c r="F15" s="24"/>
      <c r="G15" s="25" t="s">
        <v>22</v>
      </c>
      <c r="H15" s="23"/>
      <c r="I15" s="24"/>
    </row>
    <row r="16" spans="1:10" ht="18" customHeight="1" x14ac:dyDescent="0.45">
      <c r="A16" s="9">
        <v>1</v>
      </c>
      <c r="B16" s="9" t="s">
        <v>162</v>
      </c>
      <c r="C16" s="2" t="s">
        <v>645</v>
      </c>
      <c r="D16" s="22" t="s">
        <v>139</v>
      </c>
      <c r="E16" s="23"/>
      <c r="F16" s="24"/>
      <c r="G16" s="22" t="s">
        <v>185</v>
      </c>
      <c r="H16" s="23"/>
      <c r="I16" s="24"/>
    </row>
    <row r="18" spans="1:9" x14ac:dyDescent="0.45">
      <c r="A18" s="27" t="s">
        <v>186</v>
      </c>
      <c r="B18" s="21"/>
      <c r="C18" s="21"/>
      <c r="D18" s="21"/>
      <c r="E18" s="21"/>
      <c r="F18" s="21"/>
      <c r="G18" s="21"/>
      <c r="H18" s="21"/>
      <c r="I18" s="21"/>
    </row>
    <row r="19" spans="1:9" x14ac:dyDescent="0.45">
      <c r="A19" s="3" t="s">
        <v>59</v>
      </c>
      <c r="B19" s="3" t="s">
        <v>187</v>
      </c>
      <c r="C19" s="3" t="s">
        <v>188</v>
      </c>
      <c r="D19" s="25" t="s">
        <v>183</v>
      </c>
      <c r="E19" s="23"/>
      <c r="F19" s="24"/>
      <c r="G19" s="25" t="s">
        <v>189</v>
      </c>
      <c r="H19" s="23"/>
      <c r="I19" s="24"/>
    </row>
    <row r="20" spans="1:9" ht="18" customHeight="1" x14ac:dyDescent="0.45">
      <c r="A20" s="9">
        <v>1</v>
      </c>
      <c r="B20" s="9" t="s">
        <v>224</v>
      </c>
      <c r="C20" s="2" t="s">
        <v>646</v>
      </c>
      <c r="D20" s="22" t="s">
        <v>133</v>
      </c>
      <c r="E20" s="23"/>
      <c r="F20" s="24"/>
      <c r="G20" s="22"/>
      <c r="H20" s="23"/>
      <c r="I20" s="24"/>
    </row>
    <row r="21" spans="1:9" ht="18" customHeight="1" x14ac:dyDescent="0.45">
      <c r="A21" s="9">
        <v>2</v>
      </c>
      <c r="B21" s="9" t="s">
        <v>190</v>
      </c>
      <c r="C21" s="2" t="s">
        <v>647</v>
      </c>
      <c r="D21" s="22" t="s">
        <v>139</v>
      </c>
      <c r="E21" s="23"/>
      <c r="F21" s="24"/>
      <c r="G21" s="22" t="s">
        <v>185</v>
      </c>
      <c r="H21" s="23"/>
      <c r="I21" s="24"/>
    </row>
  </sheetData>
  <mergeCells count="23">
    <mergeCell ref="G21:I21"/>
    <mergeCell ref="H3:I3"/>
    <mergeCell ref="A4:B4"/>
    <mergeCell ref="D19:F19"/>
    <mergeCell ref="A1:I1"/>
    <mergeCell ref="H5:I5"/>
    <mergeCell ref="D21:F21"/>
    <mergeCell ref="E3:F3"/>
    <mergeCell ref="G20:I20"/>
    <mergeCell ref="D15:F15"/>
    <mergeCell ref="A3:B3"/>
    <mergeCell ref="G16:I16"/>
    <mergeCell ref="C4:I4"/>
    <mergeCell ref="A5:B5"/>
    <mergeCell ref="D20:F20"/>
    <mergeCell ref="G19:I19"/>
    <mergeCell ref="E5:F5"/>
    <mergeCell ref="A18:I18"/>
    <mergeCell ref="D16:F16"/>
    <mergeCell ref="G15:I15"/>
    <mergeCell ref="A6:B6"/>
    <mergeCell ref="A14:I14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114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142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648</v>
      </c>
      <c r="D5" s="1" t="s">
        <v>18</v>
      </c>
      <c r="E5" s="20">
        <f>SUM(J9:J33)</f>
        <v>25</v>
      </c>
      <c r="F5" s="21"/>
      <c r="G5" s="1" t="s">
        <v>65</v>
      </c>
      <c r="H5" s="22" t="s">
        <v>145</v>
      </c>
      <c r="I5" s="21"/>
    </row>
    <row r="6" spans="1:10" ht="18" customHeight="1" x14ac:dyDescent="0.45">
      <c r="A6" s="26" t="s">
        <v>63</v>
      </c>
      <c r="B6" s="21"/>
      <c r="C6" s="22" t="s">
        <v>143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112</v>
      </c>
      <c r="C9" s="14" t="s">
        <v>649</v>
      </c>
      <c r="D9" s="14" t="s">
        <v>203</v>
      </c>
      <c r="E9" s="13" t="s">
        <v>167</v>
      </c>
      <c r="F9" s="13">
        <v>1</v>
      </c>
      <c r="G9" s="14"/>
      <c r="H9" s="14" t="s">
        <v>348</v>
      </c>
      <c r="I9" s="13" t="s">
        <v>168</v>
      </c>
      <c r="J9" s="14">
        <v>1</v>
      </c>
    </row>
    <row r="10" spans="1:10" x14ac:dyDescent="0.45">
      <c r="A10" s="9">
        <v>2</v>
      </c>
      <c r="B10" s="2" t="s">
        <v>254</v>
      </c>
      <c r="C10" s="2" t="s">
        <v>650</v>
      </c>
      <c r="D10" s="2" t="s">
        <v>171</v>
      </c>
      <c r="E10" s="9" t="s">
        <v>167</v>
      </c>
      <c r="F10" s="9"/>
      <c r="G10" s="2"/>
      <c r="H10" s="2" t="s">
        <v>348</v>
      </c>
      <c r="I10" s="9" t="s">
        <v>168</v>
      </c>
      <c r="J10" s="2">
        <v>1</v>
      </c>
    </row>
    <row r="11" spans="1:10" x14ac:dyDescent="0.45">
      <c r="A11" s="9">
        <v>3</v>
      </c>
      <c r="B11" s="2" t="s">
        <v>148</v>
      </c>
      <c r="C11" s="2" t="s">
        <v>231</v>
      </c>
      <c r="D11" s="2" t="s">
        <v>203</v>
      </c>
      <c r="E11" s="9" t="s">
        <v>167</v>
      </c>
      <c r="F11" s="9"/>
      <c r="G11" s="2" t="s">
        <v>146</v>
      </c>
      <c r="H11" s="2" t="s">
        <v>348</v>
      </c>
      <c r="I11" s="9" t="s">
        <v>168</v>
      </c>
      <c r="J11" s="2">
        <v>1</v>
      </c>
    </row>
    <row r="12" spans="1:10" x14ac:dyDescent="0.45">
      <c r="A12" s="9">
        <v>4</v>
      </c>
      <c r="B12" s="2" t="s">
        <v>199</v>
      </c>
      <c r="C12" s="2" t="s">
        <v>651</v>
      </c>
      <c r="D12" s="2" t="s">
        <v>166</v>
      </c>
      <c r="E12" s="9" t="s">
        <v>167</v>
      </c>
      <c r="F12" s="9"/>
      <c r="G12" s="2"/>
      <c r="H12" s="2" t="s">
        <v>355</v>
      </c>
      <c r="I12" s="9" t="s">
        <v>168</v>
      </c>
      <c r="J12" s="2">
        <v>1</v>
      </c>
    </row>
    <row r="13" spans="1:10" x14ac:dyDescent="0.45">
      <c r="A13" s="9">
        <v>5</v>
      </c>
      <c r="B13" s="2" t="s">
        <v>201</v>
      </c>
      <c r="C13" s="2" t="s">
        <v>386</v>
      </c>
      <c r="D13" s="2" t="s">
        <v>171</v>
      </c>
      <c r="E13" s="9" t="s">
        <v>167</v>
      </c>
      <c r="F13" s="9"/>
      <c r="G13" s="2"/>
      <c r="H13" s="2" t="s">
        <v>348</v>
      </c>
      <c r="I13" s="9" t="s">
        <v>168</v>
      </c>
      <c r="J13" s="2">
        <v>1</v>
      </c>
    </row>
    <row r="14" spans="1:10" x14ac:dyDescent="0.45">
      <c r="A14" s="9">
        <v>6</v>
      </c>
      <c r="B14" s="2" t="s">
        <v>652</v>
      </c>
      <c r="C14" s="2" t="s">
        <v>653</v>
      </c>
      <c r="D14" s="2" t="s">
        <v>166</v>
      </c>
      <c r="E14" s="9" t="s">
        <v>167</v>
      </c>
      <c r="F14" s="9"/>
      <c r="G14" s="2"/>
      <c r="H14" s="2" t="s">
        <v>355</v>
      </c>
      <c r="I14" s="9" t="s">
        <v>168</v>
      </c>
      <c r="J14" s="2">
        <v>1</v>
      </c>
    </row>
    <row r="15" spans="1:10" x14ac:dyDescent="0.45">
      <c r="A15" s="9">
        <v>7</v>
      </c>
      <c r="B15" s="2" t="s">
        <v>396</v>
      </c>
      <c r="C15" s="2" t="s">
        <v>397</v>
      </c>
      <c r="D15" s="2" t="s">
        <v>166</v>
      </c>
      <c r="E15" s="9" t="s">
        <v>167</v>
      </c>
      <c r="F15" s="9"/>
      <c r="G15" s="2" t="s">
        <v>654</v>
      </c>
      <c r="H15" s="2" t="s">
        <v>355</v>
      </c>
      <c r="I15" s="9" t="s">
        <v>168</v>
      </c>
      <c r="J15" s="2">
        <v>1</v>
      </c>
    </row>
    <row r="16" spans="1:10" x14ac:dyDescent="0.45">
      <c r="A16" s="9">
        <v>8</v>
      </c>
      <c r="B16" s="2" t="s">
        <v>655</v>
      </c>
      <c r="C16" s="2" t="s">
        <v>656</v>
      </c>
      <c r="D16" s="2" t="s">
        <v>166</v>
      </c>
      <c r="E16" s="9" t="s">
        <v>167</v>
      </c>
      <c r="F16" s="9"/>
      <c r="G16" s="2"/>
      <c r="H16" s="2" t="s">
        <v>355</v>
      </c>
      <c r="I16" s="9" t="s">
        <v>168</v>
      </c>
      <c r="J16" s="2">
        <v>1</v>
      </c>
    </row>
    <row r="17" spans="1:10" x14ac:dyDescent="0.45">
      <c r="A17" s="9">
        <v>9</v>
      </c>
      <c r="B17" s="2" t="s">
        <v>133</v>
      </c>
      <c r="C17" s="2" t="s">
        <v>387</v>
      </c>
      <c r="D17" s="2" t="s">
        <v>203</v>
      </c>
      <c r="E17" s="9" t="s">
        <v>167</v>
      </c>
      <c r="F17" s="9"/>
      <c r="G17" s="2" t="s">
        <v>131</v>
      </c>
      <c r="H17" s="2" t="s">
        <v>348</v>
      </c>
      <c r="I17" s="9" t="s">
        <v>168</v>
      </c>
      <c r="J17" s="2">
        <v>1</v>
      </c>
    </row>
    <row r="18" spans="1:10" x14ac:dyDescent="0.45">
      <c r="A18" s="9">
        <v>10</v>
      </c>
      <c r="B18" s="2" t="s">
        <v>370</v>
      </c>
      <c r="C18" s="2" t="s">
        <v>657</v>
      </c>
      <c r="D18" s="2" t="s">
        <v>372</v>
      </c>
      <c r="E18" s="9" t="s">
        <v>167</v>
      </c>
      <c r="F18" s="9"/>
      <c r="G18" s="2"/>
      <c r="H18" s="2"/>
      <c r="I18" s="9" t="s">
        <v>168</v>
      </c>
      <c r="J18" s="2">
        <v>1</v>
      </c>
    </row>
    <row r="19" spans="1:10" x14ac:dyDescent="0.45">
      <c r="A19" s="9">
        <v>11</v>
      </c>
      <c r="B19" s="2" t="s">
        <v>373</v>
      </c>
      <c r="C19" s="2" t="s">
        <v>374</v>
      </c>
      <c r="D19" s="2" t="s">
        <v>372</v>
      </c>
      <c r="E19" s="9" t="s">
        <v>167</v>
      </c>
      <c r="F19" s="9"/>
      <c r="G19" s="2"/>
      <c r="H19" s="2"/>
      <c r="I19" s="9" t="s">
        <v>168</v>
      </c>
      <c r="J19" s="2">
        <v>1</v>
      </c>
    </row>
    <row r="20" spans="1:10" x14ac:dyDescent="0.45">
      <c r="A20" s="9">
        <v>12</v>
      </c>
      <c r="B20" s="2" t="s">
        <v>390</v>
      </c>
      <c r="C20" s="2" t="s">
        <v>658</v>
      </c>
      <c r="D20" s="2" t="s">
        <v>166</v>
      </c>
      <c r="E20" s="9" t="s">
        <v>167</v>
      </c>
      <c r="F20" s="9"/>
      <c r="G20" s="2"/>
      <c r="H20" s="2" t="s">
        <v>355</v>
      </c>
      <c r="I20" s="9" t="s">
        <v>168</v>
      </c>
      <c r="J20" s="2">
        <v>1</v>
      </c>
    </row>
    <row r="21" spans="1:10" x14ac:dyDescent="0.45">
      <c r="A21" s="9">
        <v>13</v>
      </c>
      <c r="B21" s="2" t="s">
        <v>392</v>
      </c>
      <c r="C21" s="2" t="s">
        <v>659</v>
      </c>
      <c r="D21" s="2" t="s">
        <v>166</v>
      </c>
      <c r="E21" s="9" t="s">
        <v>167</v>
      </c>
      <c r="F21" s="9"/>
      <c r="G21" s="2"/>
      <c r="H21" s="2" t="s">
        <v>355</v>
      </c>
      <c r="I21" s="9" t="s">
        <v>168</v>
      </c>
      <c r="J21" s="2">
        <v>1</v>
      </c>
    </row>
    <row r="22" spans="1:10" x14ac:dyDescent="0.45">
      <c r="A22" s="9">
        <v>14</v>
      </c>
      <c r="B22" s="2" t="s">
        <v>394</v>
      </c>
      <c r="C22" s="2" t="s">
        <v>660</v>
      </c>
      <c r="D22" s="2" t="s">
        <v>166</v>
      </c>
      <c r="E22" s="9" t="s">
        <v>167</v>
      </c>
      <c r="F22" s="9"/>
      <c r="G22" s="2"/>
      <c r="H22" s="2" t="s">
        <v>355</v>
      </c>
      <c r="I22" s="9" t="s">
        <v>168</v>
      </c>
      <c r="J22" s="2">
        <v>1</v>
      </c>
    </row>
    <row r="23" spans="1:10" x14ac:dyDescent="0.45">
      <c r="A23" s="9">
        <v>15</v>
      </c>
      <c r="B23" s="2" t="s">
        <v>438</v>
      </c>
      <c r="C23" s="2" t="s">
        <v>661</v>
      </c>
      <c r="D23" s="2" t="s">
        <v>203</v>
      </c>
      <c r="E23" s="9" t="s">
        <v>167</v>
      </c>
      <c r="F23" s="9"/>
      <c r="G23" s="2"/>
      <c r="H23" s="2" t="s">
        <v>348</v>
      </c>
      <c r="I23" s="9" t="s">
        <v>168</v>
      </c>
      <c r="J23" s="2">
        <v>1</v>
      </c>
    </row>
    <row r="24" spans="1:10" x14ac:dyDescent="0.45">
      <c r="A24" s="9">
        <v>16</v>
      </c>
      <c r="B24" s="2" t="s">
        <v>428</v>
      </c>
      <c r="C24" s="2" t="s">
        <v>662</v>
      </c>
      <c r="D24" s="2" t="s">
        <v>171</v>
      </c>
      <c r="E24" s="9" t="s">
        <v>167</v>
      </c>
      <c r="F24" s="9"/>
      <c r="G24" s="2"/>
      <c r="H24" s="2" t="s">
        <v>348</v>
      </c>
      <c r="I24" s="9" t="s">
        <v>168</v>
      </c>
      <c r="J24" s="2">
        <v>1</v>
      </c>
    </row>
    <row r="25" spans="1:10" x14ac:dyDescent="0.45">
      <c r="A25" s="9">
        <v>17</v>
      </c>
      <c r="B25" s="2" t="s">
        <v>401</v>
      </c>
      <c r="C25" s="2" t="s">
        <v>663</v>
      </c>
      <c r="D25" s="2" t="s">
        <v>171</v>
      </c>
      <c r="E25" s="9" t="s">
        <v>167</v>
      </c>
      <c r="F25" s="9"/>
      <c r="G25" s="2"/>
      <c r="H25" s="2" t="s">
        <v>348</v>
      </c>
      <c r="I25" s="9" t="s">
        <v>168</v>
      </c>
      <c r="J25" s="2">
        <v>1</v>
      </c>
    </row>
    <row r="26" spans="1:10" x14ac:dyDescent="0.45">
      <c r="A26" s="9">
        <v>18</v>
      </c>
      <c r="B26" s="2" t="s">
        <v>436</v>
      </c>
      <c r="C26" s="2" t="s">
        <v>664</v>
      </c>
      <c r="D26" s="2" t="s">
        <v>171</v>
      </c>
      <c r="E26" s="9" t="s">
        <v>167</v>
      </c>
      <c r="F26" s="9"/>
      <c r="G26" s="2"/>
      <c r="H26" s="2" t="s">
        <v>348</v>
      </c>
      <c r="I26" s="9" t="s">
        <v>168</v>
      </c>
      <c r="J26" s="2">
        <v>1</v>
      </c>
    </row>
    <row r="27" spans="1:10" x14ac:dyDescent="0.45">
      <c r="A27" s="9">
        <v>19</v>
      </c>
      <c r="B27" s="2" t="s">
        <v>419</v>
      </c>
      <c r="C27" s="2" t="s">
        <v>665</v>
      </c>
      <c r="D27" s="2" t="s">
        <v>421</v>
      </c>
      <c r="E27" s="9" t="s">
        <v>167</v>
      </c>
      <c r="F27" s="9"/>
      <c r="G27" s="2"/>
      <c r="H27" s="2" t="s">
        <v>348</v>
      </c>
      <c r="I27" s="9" t="s">
        <v>168</v>
      </c>
      <c r="J27" s="2">
        <v>1</v>
      </c>
    </row>
    <row r="28" spans="1:10" x14ac:dyDescent="0.45">
      <c r="A28" s="9">
        <v>20</v>
      </c>
      <c r="B28" s="2" t="s">
        <v>666</v>
      </c>
      <c r="C28" s="2" t="s">
        <v>667</v>
      </c>
      <c r="D28" s="2" t="s">
        <v>400</v>
      </c>
      <c r="E28" s="9" t="s">
        <v>167</v>
      </c>
      <c r="F28" s="9"/>
      <c r="G28" s="2"/>
      <c r="H28" s="2" t="s">
        <v>355</v>
      </c>
      <c r="I28" s="9" t="s">
        <v>168</v>
      </c>
      <c r="J28" s="2">
        <v>1</v>
      </c>
    </row>
    <row r="29" spans="1:10" x14ac:dyDescent="0.45">
      <c r="A29" s="9">
        <v>21</v>
      </c>
      <c r="B29" s="2" t="s">
        <v>668</v>
      </c>
      <c r="C29" s="2" t="s">
        <v>669</v>
      </c>
      <c r="D29" s="2" t="s">
        <v>400</v>
      </c>
      <c r="E29" s="9" t="s">
        <v>167</v>
      </c>
      <c r="F29" s="9"/>
      <c r="G29" s="2"/>
      <c r="H29" s="2" t="s">
        <v>355</v>
      </c>
      <c r="I29" s="9" t="s">
        <v>168</v>
      </c>
      <c r="J29" s="2">
        <v>1</v>
      </c>
    </row>
    <row r="30" spans="1:10" x14ac:dyDescent="0.45">
      <c r="A30" s="9">
        <v>22</v>
      </c>
      <c r="B30" s="2" t="s">
        <v>444</v>
      </c>
      <c r="C30" s="2" t="s">
        <v>670</v>
      </c>
      <c r="D30" s="2" t="s">
        <v>671</v>
      </c>
      <c r="E30" s="9" t="s">
        <v>167</v>
      </c>
      <c r="F30" s="9"/>
      <c r="G30" s="2"/>
      <c r="H30" s="2" t="s">
        <v>355</v>
      </c>
      <c r="I30" s="9" t="s">
        <v>168</v>
      </c>
      <c r="J30" s="2">
        <v>1</v>
      </c>
    </row>
    <row r="31" spans="1:10" x14ac:dyDescent="0.45">
      <c r="A31" s="9">
        <v>23</v>
      </c>
      <c r="B31" s="2" t="s">
        <v>672</v>
      </c>
      <c r="C31" s="2" t="s">
        <v>673</v>
      </c>
      <c r="D31" s="2" t="s">
        <v>203</v>
      </c>
      <c r="E31" s="9" t="s">
        <v>167</v>
      </c>
      <c r="F31" s="9"/>
      <c r="G31" s="2"/>
      <c r="H31" s="2" t="s">
        <v>348</v>
      </c>
      <c r="I31" s="9" t="s">
        <v>168</v>
      </c>
      <c r="J31" s="2">
        <v>1</v>
      </c>
    </row>
    <row r="32" spans="1:10" x14ac:dyDescent="0.45">
      <c r="A32" s="9">
        <v>24</v>
      </c>
      <c r="B32" s="2" t="s">
        <v>674</v>
      </c>
      <c r="C32" s="2" t="s">
        <v>675</v>
      </c>
      <c r="D32" s="2" t="s">
        <v>400</v>
      </c>
      <c r="E32" s="9" t="s">
        <v>167</v>
      </c>
      <c r="F32" s="9"/>
      <c r="G32" s="2"/>
      <c r="H32" s="2" t="s">
        <v>355</v>
      </c>
      <c r="I32" s="9" t="s">
        <v>168</v>
      </c>
      <c r="J32" s="2">
        <v>1</v>
      </c>
    </row>
    <row r="33" spans="1:10" x14ac:dyDescent="0.45">
      <c r="A33" s="9">
        <v>25</v>
      </c>
      <c r="B33" s="2" t="s">
        <v>676</v>
      </c>
      <c r="C33" s="2" t="s">
        <v>677</v>
      </c>
      <c r="D33" s="2" t="s">
        <v>400</v>
      </c>
      <c r="E33" s="9" t="s">
        <v>167</v>
      </c>
      <c r="F33" s="9"/>
      <c r="G33" s="2"/>
      <c r="H33" s="2" t="s">
        <v>355</v>
      </c>
      <c r="I33" s="9" t="s">
        <v>168</v>
      </c>
      <c r="J33" s="2">
        <v>1</v>
      </c>
    </row>
    <row r="35" spans="1:10" x14ac:dyDescent="0.45">
      <c r="A35" s="27" t="s">
        <v>180</v>
      </c>
      <c r="B35" s="21"/>
      <c r="C35" s="21"/>
      <c r="D35" s="21"/>
      <c r="E35" s="21"/>
      <c r="F35" s="21"/>
      <c r="G35" s="21"/>
      <c r="H35" s="21"/>
      <c r="I35" s="21"/>
    </row>
    <row r="36" spans="1:10" x14ac:dyDescent="0.45">
      <c r="A36" s="3" t="s">
        <v>59</v>
      </c>
      <c r="B36" s="3" t="s">
        <v>181</v>
      </c>
      <c r="C36" s="3" t="s">
        <v>182</v>
      </c>
      <c r="D36" s="25" t="s">
        <v>183</v>
      </c>
      <c r="E36" s="23"/>
      <c r="F36" s="24"/>
      <c r="G36" s="25" t="s">
        <v>22</v>
      </c>
      <c r="H36" s="23"/>
      <c r="I36" s="24"/>
    </row>
    <row r="37" spans="1:10" ht="18" customHeight="1" x14ac:dyDescent="0.45">
      <c r="A37" s="9">
        <v>1</v>
      </c>
      <c r="B37" s="9" t="s">
        <v>162</v>
      </c>
      <c r="C37" s="2" t="s">
        <v>678</v>
      </c>
      <c r="D37" s="22" t="s">
        <v>112</v>
      </c>
      <c r="E37" s="23"/>
      <c r="F37" s="24"/>
      <c r="G37" s="22" t="s">
        <v>185</v>
      </c>
      <c r="H37" s="23"/>
      <c r="I37" s="24"/>
    </row>
    <row r="39" spans="1:10" x14ac:dyDescent="0.45">
      <c r="A39" s="27" t="s">
        <v>186</v>
      </c>
      <c r="B39" s="21"/>
      <c r="C39" s="21"/>
      <c r="D39" s="21"/>
      <c r="E39" s="21"/>
      <c r="F39" s="21"/>
      <c r="G39" s="21"/>
      <c r="H39" s="21"/>
      <c r="I39" s="21"/>
    </row>
    <row r="40" spans="1:10" x14ac:dyDescent="0.45">
      <c r="A40" s="3" t="s">
        <v>59</v>
      </c>
      <c r="B40" s="3" t="s">
        <v>187</v>
      </c>
      <c r="C40" s="3" t="s">
        <v>188</v>
      </c>
      <c r="D40" s="25" t="s">
        <v>183</v>
      </c>
      <c r="E40" s="23"/>
      <c r="F40" s="24"/>
      <c r="G40" s="25" t="s">
        <v>189</v>
      </c>
      <c r="H40" s="23"/>
      <c r="I40" s="24"/>
    </row>
    <row r="41" spans="1:10" ht="18" customHeight="1" x14ac:dyDescent="0.45">
      <c r="A41" s="9">
        <v>1</v>
      </c>
      <c r="B41" s="9" t="s">
        <v>224</v>
      </c>
      <c r="C41" s="2" t="s">
        <v>679</v>
      </c>
      <c r="D41" s="22" t="s">
        <v>148</v>
      </c>
      <c r="E41" s="23"/>
      <c r="F41" s="24"/>
      <c r="G41" s="22"/>
      <c r="H41" s="23"/>
      <c r="I41" s="24"/>
    </row>
    <row r="42" spans="1:10" ht="18" customHeight="1" x14ac:dyDescent="0.45">
      <c r="A42" s="9">
        <v>2</v>
      </c>
      <c r="B42" s="9" t="s">
        <v>190</v>
      </c>
      <c r="C42" s="2" t="s">
        <v>678</v>
      </c>
      <c r="D42" s="22" t="s">
        <v>112</v>
      </c>
      <c r="E42" s="23"/>
      <c r="F42" s="24"/>
      <c r="G42" s="22" t="s">
        <v>185</v>
      </c>
      <c r="H42" s="23"/>
      <c r="I42" s="24"/>
    </row>
  </sheetData>
  <mergeCells count="23">
    <mergeCell ref="A1:I1"/>
    <mergeCell ref="D36:F36"/>
    <mergeCell ref="H5:I5"/>
    <mergeCell ref="E3:F3"/>
    <mergeCell ref="A3:B3"/>
    <mergeCell ref="D42:F42"/>
    <mergeCell ref="G41:I41"/>
    <mergeCell ref="C4:I4"/>
    <mergeCell ref="A5:B5"/>
    <mergeCell ref="G40:I40"/>
    <mergeCell ref="A39:I39"/>
    <mergeCell ref="H3:I3"/>
    <mergeCell ref="A4:B4"/>
    <mergeCell ref="G36:I36"/>
    <mergeCell ref="G42:I42"/>
    <mergeCell ref="D40:F40"/>
    <mergeCell ref="D41:F41"/>
    <mergeCell ref="G37:I37"/>
    <mergeCell ref="E5:F5"/>
    <mergeCell ref="A6:B6"/>
    <mergeCell ref="D37:F37"/>
    <mergeCell ref="C6:I6"/>
    <mergeCell ref="A35:I35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19" t="s">
        <v>153</v>
      </c>
      <c r="B1" s="18"/>
      <c r="C1" s="18"/>
      <c r="D1" s="18"/>
      <c r="E1" s="18"/>
      <c r="F1" s="18"/>
      <c r="G1" s="18"/>
      <c r="H1" s="18"/>
      <c r="I1" s="18"/>
    </row>
    <row r="2" spans="1:10" x14ac:dyDescent="0.45">
      <c r="I2" s="12" t="s">
        <v>154</v>
      </c>
    </row>
    <row r="3" spans="1:10" x14ac:dyDescent="0.45">
      <c r="A3" s="26" t="s">
        <v>60</v>
      </c>
      <c r="B3" s="21"/>
      <c r="C3" s="4" t="s">
        <v>146</v>
      </c>
      <c r="D3" s="1" t="s">
        <v>3</v>
      </c>
      <c r="E3" s="22" t="s">
        <v>155</v>
      </c>
      <c r="F3" s="21"/>
      <c r="G3" s="1" t="s">
        <v>156</v>
      </c>
      <c r="H3" s="22" t="s">
        <v>157</v>
      </c>
      <c r="I3" s="21"/>
    </row>
    <row r="4" spans="1:10" ht="18" customHeight="1" x14ac:dyDescent="0.45">
      <c r="A4" s="26" t="s">
        <v>61</v>
      </c>
      <c r="B4" s="21"/>
      <c r="C4" s="22" t="s">
        <v>147</v>
      </c>
      <c r="D4" s="21"/>
      <c r="E4" s="21"/>
      <c r="F4" s="21"/>
      <c r="G4" s="21"/>
      <c r="H4" s="21"/>
      <c r="I4" s="21"/>
    </row>
    <row r="5" spans="1:10" x14ac:dyDescent="0.45">
      <c r="A5" s="26" t="s">
        <v>62</v>
      </c>
      <c r="B5" s="21"/>
      <c r="C5" s="2" t="s">
        <v>680</v>
      </c>
      <c r="D5" s="1" t="s">
        <v>18</v>
      </c>
      <c r="E5" s="20">
        <f>SUM(J9:J13)</f>
        <v>5</v>
      </c>
      <c r="F5" s="21"/>
      <c r="G5" s="1" t="s">
        <v>65</v>
      </c>
      <c r="H5" s="22" t="s">
        <v>151</v>
      </c>
      <c r="I5" s="21"/>
    </row>
    <row r="6" spans="1:10" ht="18" customHeight="1" x14ac:dyDescent="0.45">
      <c r="A6" s="26" t="s">
        <v>63</v>
      </c>
      <c r="B6" s="21"/>
      <c r="C6" s="22" t="s">
        <v>149</v>
      </c>
      <c r="D6" s="21"/>
      <c r="E6" s="21"/>
      <c r="F6" s="21"/>
      <c r="G6" s="21"/>
      <c r="H6" s="21"/>
      <c r="I6" s="21"/>
    </row>
    <row r="8" spans="1:10" x14ac:dyDescent="0.45">
      <c r="A8" s="3" t="s">
        <v>59</v>
      </c>
      <c r="B8" s="3" t="s">
        <v>159</v>
      </c>
      <c r="C8" s="3" t="s">
        <v>160</v>
      </c>
      <c r="D8" s="3" t="s">
        <v>33</v>
      </c>
      <c r="E8" s="3" t="s">
        <v>161</v>
      </c>
      <c r="F8" s="3" t="s">
        <v>162</v>
      </c>
      <c r="G8" s="3" t="s">
        <v>39</v>
      </c>
      <c r="H8" s="3" t="s">
        <v>163</v>
      </c>
      <c r="I8" s="3" t="s">
        <v>41</v>
      </c>
    </row>
    <row r="9" spans="1:10" x14ac:dyDescent="0.45">
      <c r="A9" s="13">
        <v>1</v>
      </c>
      <c r="B9" s="14" t="s">
        <v>148</v>
      </c>
      <c r="C9" s="14" t="s">
        <v>681</v>
      </c>
      <c r="D9" s="14" t="s">
        <v>203</v>
      </c>
      <c r="E9" s="13" t="s">
        <v>167</v>
      </c>
      <c r="F9" s="13">
        <v>1</v>
      </c>
      <c r="G9" s="14"/>
      <c r="H9" s="14" t="s">
        <v>348</v>
      </c>
      <c r="I9" s="13" t="s">
        <v>168</v>
      </c>
      <c r="J9" s="14">
        <v>1</v>
      </c>
    </row>
    <row r="10" spans="1:10" x14ac:dyDescent="0.45">
      <c r="A10" s="9">
        <v>2</v>
      </c>
      <c r="B10" s="2" t="s">
        <v>118</v>
      </c>
      <c r="C10" s="2" t="s">
        <v>682</v>
      </c>
      <c r="D10" s="2" t="s">
        <v>203</v>
      </c>
      <c r="E10" s="9" t="s">
        <v>167</v>
      </c>
      <c r="F10" s="9"/>
      <c r="G10" s="2" t="s">
        <v>116</v>
      </c>
      <c r="H10" s="2" t="s">
        <v>348</v>
      </c>
      <c r="I10" s="9" t="s">
        <v>168</v>
      </c>
      <c r="J10" s="2">
        <v>1</v>
      </c>
    </row>
    <row r="11" spans="1:10" x14ac:dyDescent="0.45">
      <c r="A11" s="9">
        <v>3</v>
      </c>
      <c r="B11" s="2" t="s">
        <v>204</v>
      </c>
      <c r="C11" s="2" t="s">
        <v>683</v>
      </c>
      <c r="D11" s="2" t="s">
        <v>166</v>
      </c>
      <c r="E11" s="9" t="s">
        <v>167</v>
      </c>
      <c r="F11" s="9"/>
      <c r="G11" s="2"/>
      <c r="H11" s="2" t="s">
        <v>355</v>
      </c>
      <c r="I11" s="9" t="s">
        <v>168</v>
      </c>
      <c r="J11" s="2">
        <v>1</v>
      </c>
    </row>
    <row r="12" spans="1:10" x14ac:dyDescent="0.45">
      <c r="A12" s="9">
        <v>4</v>
      </c>
      <c r="B12" s="2" t="s">
        <v>201</v>
      </c>
      <c r="C12" s="2" t="s">
        <v>386</v>
      </c>
      <c r="D12" s="2" t="s">
        <v>684</v>
      </c>
      <c r="E12" s="9" t="s">
        <v>167</v>
      </c>
      <c r="F12" s="9"/>
      <c r="G12" s="2"/>
      <c r="H12" s="2" t="s">
        <v>348</v>
      </c>
      <c r="I12" s="9" t="s">
        <v>168</v>
      </c>
      <c r="J12" s="2">
        <v>1</v>
      </c>
    </row>
    <row r="13" spans="1:10" x14ac:dyDescent="0.45">
      <c r="A13" s="9">
        <v>5</v>
      </c>
      <c r="B13" s="2" t="s">
        <v>444</v>
      </c>
      <c r="C13" s="2" t="s">
        <v>685</v>
      </c>
      <c r="D13" s="2" t="s">
        <v>446</v>
      </c>
      <c r="E13" s="9" t="s">
        <v>196</v>
      </c>
      <c r="F13" s="9"/>
      <c r="G13" s="2"/>
      <c r="H13" s="2" t="s">
        <v>355</v>
      </c>
      <c r="I13" s="9" t="s">
        <v>168</v>
      </c>
      <c r="J13" s="2">
        <v>1</v>
      </c>
    </row>
    <row r="15" spans="1:10" x14ac:dyDescent="0.45">
      <c r="A15" s="27" t="s">
        <v>180</v>
      </c>
      <c r="B15" s="21"/>
      <c r="C15" s="21"/>
      <c r="D15" s="21"/>
      <c r="E15" s="21"/>
      <c r="F15" s="21"/>
      <c r="G15" s="21"/>
      <c r="H15" s="21"/>
      <c r="I15" s="21"/>
    </row>
    <row r="16" spans="1:10" x14ac:dyDescent="0.45">
      <c r="A16" s="3" t="s">
        <v>59</v>
      </c>
      <c r="B16" s="3" t="s">
        <v>181</v>
      </c>
      <c r="C16" s="3" t="s">
        <v>182</v>
      </c>
      <c r="D16" s="25" t="s">
        <v>183</v>
      </c>
      <c r="E16" s="23"/>
      <c r="F16" s="24"/>
      <c r="G16" s="25" t="s">
        <v>22</v>
      </c>
      <c r="H16" s="23"/>
      <c r="I16" s="24"/>
    </row>
    <row r="17" spans="1:9" ht="18" customHeight="1" x14ac:dyDescent="0.45">
      <c r="A17" s="9">
        <v>1</v>
      </c>
      <c r="B17" s="9" t="s">
        <v>162</v>
      </c>
      <c r="C17" s="2" t="s">
        <v>686</v>
      </c>
      <c r="D17" s="22" t="s">
        <v>148</v>
      </c>
      <c r="E17" s="23"/>
      <c r="F17" s="24"/>
      <c r="G17" s="22" t="s">
        <v>185</v>
      </c>
      <c r="H17" s="23"/>
      <c r="I17" s="24"/>
    </row>
    <row r="19" spans="1:9" x14ac:dyDescent="0.45">
      <c r="A19" s="27" t="s">
        <v>186</v>
      </c>
      <c r="B19" s="21"/>
      <c r="C19" s="21"/>
      <c r="D19" s="21"/>
      <c r="E19" s="21"/>
      <c r="F19" s="21"/>
      <c r="G19" s="21"/>
      <c r="H19" s="21"/>
      <c r="I19" s="21"/>
    </row>
    <row r="20" spans="1:9" x14ac:dyDescent="0.45">
      <c r="A20" s="3" t="s">
        <v>59</v>
      </c>
      <c r="B20" s="3" t="s">
        <v>187</v>
      </c>
      <c r="C20" s="3" t="s">
        <v>188</v>
      </c>
      <c r="D20" s="25" t="s">
        <v>183</v>
      </c>
      <c r="E20" s="23"/>
      <c r="F20" s="24"/>
      <c r="G20" s="25" t="s">
        <v>189</v>
      </c>
      <c r="H20" s="23"/>
      <c r="I20" s="24"/>
    </row>
    <row r="21" spans="1:9" ht="18" customHeight="1" x14ac:dyDescent="0.45">
      <c r="A21" s="9">
        <v>1</v>
      </c>
      <c r="B21" s="9" t="s">
        <v>224</v>
      </c>
      <c r="C21" s="2" t="s">
        <v>687</v>
      </c>
      <c r="D21" s="22" t="s">
        <v>204</v>
      </c>
      <c r="E21" s="23"/>
      <c r="F21" s="24"/>
      <c r="G21" s="22"/>
      <c r="H21" s="23"/>
      <c r="I21" s="24"/>
    </row>
    <row r="22" spans="1:9" ht="18" customHeight="1" x14ac:dyDescent="0.45">
      <c r="A22" s="9">
        <v>2</v>
      </c>
      <c r="B22" s="9" t="s">
        <v>190</v>
      </c>
      <c r="C22" s="2" t="s">
        <v>686</v>
      </c>
      <c r="D22" s="22" t="s">
        <v>148</v>
      </c>
      <c r="E22" s="23"/>
      <c r="F22" s="24"/>
      <c r="G22" s="22" t="s">
        <v>185</v>
      </c>
      <c r="H22" s="23"/>
      <c r="I22" s="24"/>
    </row>
  </sheetData>
  <mergeCells count="23">
    <mergeCell ref="A1:I1"/>
    <mergeCell ref="H5:I5"/>
    <mergeCell ref="G17:I17"/>
    <mergeCell ref="D21:F21"/>
    <mergeCell ref="E3:F3"/>
    <mergeCell ref="G20:I20"/>
    <mergeCell ref="A3:B3"/>
    <mergeCell ref="G16:I16"/>
    <mergeCell ref="A19:I19"/>
    <mergeCell ref="G22:I22"/>
    <mergeCell ref="C4:I4"/>
    <mergeCell ref="A5:B5"/>
    <mergeCell ref="D20:F20"/>
    <mergeCell ref="G21:I21"/>
    <mergeCell ref="H3:I3"/>
    <mergeCell ref="A4:B4"/>
    <mergeCell ref="A15:I15"/>
    <mergeCell ref="D22:F22"/>
    <mergeCell ref="E5:F5"/>
    <mergeCell ref="D17:F17"/>
    <mergeCell ref="D16:F16"/>
    <mergeCell ref="A6:B6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showGridLines="0" workbookViewId="0">
      <pane ySplit="4" topLeftCell="A5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30" customWidth="1"/>
    <col min="4" max="4" width="24" customWidth="1"/>
    <col min="5" max="5" width="30" customWidth="1"/>
    <col min="6" max="6" width="60" customWidth="1"/>
  </cols>
  <sheetData>
    <row r="1" spans="1:6" ht="26" customHeight="1" x14ac:dyDescent="0.45">
      <c r="A1" s="19" t="s">
        <v>688</v>
      </c>
      <c r="B1" s="18"/>
      <c r="C1" s="18"/>
      <c r="D1" s="18"/>
      <c r="E1" s="18"/>
      <c r="F1" s="18"/>
    </row>
    <row r="2" spans="1:6" x14ac:dyDescent="0.45">
      <c r="A2" s="28" t="s">
        <v>689</v>
      </c>
      <c r="B2" s="18"/>
      <c r="C2" s="18"/>
      <c r="D2" s="18"/>
      <c r="E2" s="18"/>
      <c r="F2" s="18"/>
    </row>
    <row r="4" spans="1:6" x14ac:dyDescent="0.45">
      <c r="A4" s="3" t="s">
        <v>59</v>
      </c>
      <c r="B4" s="3" t="s">
        <v>690</v>
      </c>
      <c r="C4" s="3" t="s">
        <v>691</v>
      </c>
      <c r="D4" s="3" t="s">
        <v>692</v>
      </c>
      <c r="E4" s="3" t="s">
        <v>693</v>
      </c>
      <c r="F4" s="3" t="s">
        <v>694</v>
      </c>
    </row>
    <row r="5" spans="1:6" x14ac:dyDescent="0.45">
      <c r="A5" s="9">
        <v>1</v>
      </c>
      <c r="B5" s="2" t="s">
        <v>116</v>
      </c>
      <c r="C5" s="2" t="s">
        <v>124</v>
      </c>
      <c r="D5" s="2" t="s">
        <v>122</v>
      </c>
      <c r="E5" s="2" t="s">
        <v>124</v>
      </c>
      <c r="F5" s="2" t="s">
        <v>695</v>
      </c>
    </row>
    <row r="6" spans="1:6" ht="32" x14ac:dyDescent="0.45">
      <c r="A6" s="9">
        <v>2</v>
      </c>
      <c r="B6" s="2" t="s">
        <v>146</v>
      </c>
      <c r="C6" s="2" t="s">
        <v>118</v>
      </c>
      <c r="D6" s="2" t="s">
        <v>116</v>
      </c>
      <c r="E6" s="2" t="s">
        <v>118</v>
      </c>
      <c r="F6" s="2" t="s">
        <v>696</v>
      </c>
    </row>
    <row r="7" spans="1:6" ht="32" x14ac:dyDescent="0.45">
      <c r="A7" s="9">
        <v>3</v>
      </c>
      <c r="B7" s="2" t="s">
        <v>114</v>
      </c>
      <c r="C7" s="2" t="s">
        <v>148</v>
      </c>
      <c r="D7" s="2" t="s">
        <v>146</v>
      </c>
      <c r="E7" s="2" t="s">
        <v>148</v>
      </c>
      <c r="F7" s="2" t="s">
        <v>697</v>
      </c>
    </row>
    <row r="8" spans="1:6" x14ac:dyDescent="0.45">
      <c r="A8" s="9">
        <v>4</v>
      </c>
      <c r="B8" s="2" t="s">
        <v>114</v>
      </c>
      <c r="C8" s="2" t="s">
        <v>133</v>
      </c>
      <c r="D8" s="2" t="s">
        <v>131</v>
      </c>
      <c r="E8" s="2" t="s">
        <v>133</v>
      </c>
      <c r="F8" s="2" t="s">
        <v>698</v>
      </c>
    </row>
    <row r="9" spans="1:6" ht="32" x14ac:dyDescent="0.45">
      <c r="A9" s="9">
        <v>5</v>
      </c>
      <c r="B9" s="2" t="s">
        <v>114</v>
      </c>
      <c r="C9" s="2" t="s">
        <v>396</v>
      </c>
      <c r="D9" s="2" t="s">
        <v>654</v>
      </c>
      <c r="E9" s="2" t="s">
        <v>699</v>
      </c>
      <c r="F9" s="2" t="s">
        <v>700</v>
      </c>
    </row>
    <row r="10" spans="1:6" ht="32" x14ac:dyDescent="0.45">
      <c r="A10" s="9">
        <v>6</v>
      </c>
      <c r="B10" s="2" t="s">
        <v>104</v>
      </c>
      <c r="C10" s="2" t="s">
        <v>701</v>
      </c>
      <c r="D10" s="2" t="s">
        <v>114</v>
      </c>
      <c r="E10" s="2" t="s">
        <v>701</v>
      </c>
      <c r="F10" s="2" t="s">
        <v>702</v>
      </c>
    </row>
    <row r="11" spans="1:6" ht="32" x14ac:dyDescent="0.45">
      <c r="A11" s="9">
        <v>7</v>
      </c>
      <c r="B11" s="2" t="s">
        <v>104</v>
      </c>
      <c r="C11" s="2" t="s">
        <v>133</v>
      </c>
      <c r="D11" s="2" t="s">
        <v>131</v>
      </c>
      <c r="E11" s="2" t="s">
        <v>133</v>
      </c>
      <c r="F11" s="2" t="s">
        <v>703</v>
      </c>
    </row>
    <row r="12" spans="1:6" ht="32" x14ac:dyDescent="0.45">
      <c r="A12" s="9">
        <v>8</v>
      </c>
      <c r="B12" s="2" t="s">
        <v>104</v>
      </c>
      <c r="C12" s="2" t="s">
        <v>704</v>
      </c>
      <c r="D12" s="2" t="s">
        <v>377</v>
      </c>
      <c r="E12" s="2" t="s">
        <v>705</v>
      </c>
      <c r="F12" s="2" t="s">
        <v>706</v>
      </c>
    </row>
    <row r="13" spans="1:6" ht="32" x14ac:dyDescent="0.45">
      <c r="A13" s="9">
        <v>9</v>
      </c>
      <c r="B13" s="2" t="s">
        <v>104</v>
      </c>
      <c r="C13" s="2" t="s">
        <v>707</v>
      </c>
      <c r="D13" s="2" t="s">
        <v>382</v>
      </c>
      <c r="E13" s="2" t="s">
        <v>707</v>
      </c>
      <c r="F13" s="2" t="s">
        <v>708</v>
      </c>
    </row>
    <row r="14" spans="1:6" ht="32" x14ac:dyDescent="0.45">
      <c r="A14" s="9">
        <v>10</v>
      </c>
      <c r="B14" s="2" t="s">
        <v>137</v>
      </c>
      <c r="C14" s="2" t="s">
        <v>133</v>
      </c>
      <c r="D14" s="2" t="s">
        <v>131</v>
      </c>
      <c r="E14" s="2" t="s">
        <v>133</v>
      </c>
      <c r="F14" s="2" t="s">
        <v>709</v>
      </c>
    </row>
    <row r="15" spans="1:6" x14ac:dyDescent="0.45">
      <c r="A15" s="9">
        <v>11</v>
      </c>
      <c r="B15" s="2" t="s">
        <v>76</v>
      </c>
      <c r="C15" s="2" t="s">
        <v>112</v>
      </c>
      <c r="D15" s="2" t="s">
        <v>114</v>
      </c>
      <c r="E15" s="2" t="s">
        <v>112</v>
      </c>
      <c r="F15" s="2" t="s">
        <v>710</v>
      </c>
    </row>
    <row r="16" spans="1:6" ht="32" x14ac:dyDescent="0.45">
      <c r="A16" s="9">
        <v>12</v>
      </c>
      <c r="B16" s="2" t="s">
        <v>76</v>
      </c>
      <c r="C16" s="2" t="s">
        <v>711</v>
      </c>
      <c r="D16" s="2" t="s">
        <v>104</v>
      </c>
      <c r="E16" s="2" t="s">
        <v>711</v>
      </c>
      <c r="F16" s="2" t="s">
        <v>712</v>
      </c>
    </row>
    <row r="17" spans="1:6" x14ac:dyDescent="0.45">
      <c r="A17" s="9">
        <v>13</v>
      </c>
      <c r="B17" s="2" t="s">
        <v>76</v>
      </c>
      <c r="C17" s="2" t="s">
        <v>95</v>
      </c>
      <c r="D17" s="2" t="s">
        <v>92</v>
      </c>
      <c r="E17" s="2" t="s">
        <v>95</v>
      </c>
      <c r="F17" s="2" t="s">
        <v>713</v>
      </c>
    </row>
    <row r="18" spans="1:6" x14ac:dyDescent="0.45">
      <c r="A18" s="9">
        <v>14</v>
      </c>
      <c r="B18" s="2" t="s">
        <v>92</v>
      </c>
      <c r="C18" s="2" t="s">
        <v>90</v>
      </c>
      <c r="D18" s="2" t="s">
        <v>88</v>
      </c>
      <c r="E18" s="2" t="s">
        <v>90</v>
      </c>
      <c r="F18" s="2" t="s">
        <v>714</v>
      </c>
    </row>
    <row r="19" spans="1:6" ht="32" x14ac:dyDescent="0.45">
      <c r="A19" s="9">
        <v>15</v>
      </c>
      <c r="B19" s="2" t="s">
        <v>99</v>
      </c>
      <c r="C19" s="2" t="s">
        <v>78</v>
      </c>
      <c r="D19" s="2" t="s">
        <v>76</v>
      </c>
      <c r="E19" s="2" t="s">
        <v>78</v>
      </c>
      <c r="F19" s="2" t="s">
        <v>715</v>
      </c>
    </row>
    <row r="20" spans="1:6" ht="32" x14ac:dyDescent="0.45">
      <c r="A20" s="9">
        <v>16</v>
      </c>
      <c r="B20" s="2" t="s">
        <v>110</v>
      </c>
      <c r="C20" s="2" t="s">
        <v>112</v>
      </c>
      <c r="D20" s="2" t="s">
        <v>114</v>
      </c>
      <c r="E20" s="2" t="s">
        <v>112</v>
      </c>
      <c r="F20" s="2" t="s">
        <v>716</v>
      </c>
    </row>
    <row r="21" spans="1:6" ht="32" x14ac:dyDescent="0.45">
      <c r="A21" s="9">
        <v>17</v>
      </c>
      <c r="B21" s="2" t="s">
        <v>127</v>
      </c>
      <c r="C21" s="2" t="s">
        <v>112</v>
      </c>
      <c r="D21" s="2" t="s">
        <v>114</v>
      </c>
      <c r="E21" s="2" t="s">
        <v>112</v>
      </c>
      <c r="F21" s="2" t="s">
        <v>717</v>
      </c>
    </row>
    <row r="22" spans="1:6" x14ac:dyDescent="0.45">
      <c r="A22" s="9">
        <v>18</v>
      </c>
      <c r="B22" s="2" t="s">
        <v>82</v>
      </c>
      <c r="C22" s="2" t="s">
        <v>718</v>
      </c>
      <c r="D22" s="2" t="s">
        <v>76</v>
      </c>
      <c r="E22" s="2" t="s">
        <v>78</v>
      </c>
      <c r="F22" s="2" t="s">
        <v>719</v>
      </c>
    </row>
    <row r="23" spans="1:6" ht="32" x14ac:dyDescent="0.45">
      <c r="A23" s="9">
        <v>19</v>
      </c>
      <c r="B23" s="2" t="s">
        <v>82</v>
      </c>
      <c r="C23" s="2" t="s">
        <v>303</v>
      </c>
      <c r="D23" s="2" t="s">
        <v>114</v>
      </c>
      <c r="E23" s="2" t="s">
        <v>112</v>
      </c>
      <c r="F23" s="2" t="s">
        <v>720</v>
      </c>
    </row>
    <row r="24" spans="1:6" ht="32" x14ac:dyDescent="0.45">
      <c r="A24" s="9">
        <v>20</v>
      </c>
      <c r="B24" s="2" t="s">
        <v>82</v>
      </c>
      <c r="C24" s="2" t="s">
        <v>288</v>
      </c>
      <c r="D24" s="2" t="s">
        <v>300</v>
      </c>
      <c r="E24" s="2" t="s">
        <v>148</v>
      </c>
      <c r="F24" s="2" t="s">
        <v>721</v>
      </c>
    </row>
  </sheetData>
  <mergeCells count="2">
    <mergeCell ref="A2:F2"/>
    <mergeCell ref="A1:F1"/>
  </mergeCells>
  <phoneticPr fontId="8" type="noConversion"/>
  <printOptions horizontalCentered="1"/>
  <pageMargins left="0.75" right="0.75" top="1" bottom="1" header="0.5" footer="0.5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showGridLines="0" workbookViewId="0"/>
  </sheetViews>
  <sheetFormatPr defaultRowHeight="17" x14ac:dyDescent="0.45"/>
  <cols>
    <col min="1" max="1" width="5" customWidth="1"/>
    <col min="2" max="2" width="20" customWidth="1"/>
    <col min="3" max="3" width="46" customWidth="1"/>
    <col min="4" max="6" width="8" customWidth="1"/>
    <col min="7" max="7" width="40" customWidth="1"/>
  </cols>
  <sheetData>
    <row r="1" spans="1:7" ht="26" customHeight="1" x14ac:dyDescent="0.45">
      <c r="A1" s="19" t="s">
        <v>29</v>
      </c>
      <c r="B1" s="18"/>
      <c r="C1" s="18"/>
      <c r="D1" s="18"/>
      <c r="E1" s="18"/>
      <c r="F1" s="18"/>
      <c r="G1" s="18"/>
    </row>
    <row r="3" spans="1:7" x14ac:dyDescent="0.45">
      <c r="A3" s="3" t="s">
        <v>59</v>
      </c>
      <c r="B3" s="3" t="s">
        <v>29</v>
      </c>
      <c r="C3" s="3" t="s">
        <v>722</v>
      </c>
      <c r="D3" s="3" t="s">
        <v>723</v>
      </c>
      <c r="E3" s="3" t="s">
        <v>724</v>
      </c>
      <c r="F3" s="3" t="s">
        <v>725</v>
      </c>
      <c r="G3" s="3" t="s">
        <v>726</v>
      </c>
    </row>
    <row r="4" spans="1:7" ht="32" x14ac:dyDescent="0.45">
      <c r="A4" s="9">
        <v>1</v>
      </c>
      <c r="B4" s="2" t="s">
        <v>118</v>
      </c>
      <c r="C4" s="2" t="s">
        <v>727</v>
      </c>
      <c r="D4" s="9">
        <v>1</v>
      </c>
      <c r="E4" s="9">
        <v>1</v>
      </c>
      <c r="F4" s="9">
        <v>20</v>
      </c>
      <c r="G4" s="2" t="s">
        <v>728</v>
      </c>
    </row>
    <row r="5" spans="1:7" x14ac:dyDescent="0.45">
      <c r="A5" s="9">
        <v>2</v>
      </c>
      <c r="B5" s="2" t="s">
        <v>133</v>
      </c>
      <c r="C5" s="2" t="s">
        <v>136</v>
      </c>
      <c r="D5" s="9">
        <v>1</v>
      </c>
      <c r="E5" s="9">
        <v>1</v>
      </c>
      <c r="F5" s="9">
        <v>20</v>
      </c>
      <c r="G5" s="2"/>
    </row>
    <row r="6" spans="1:7" x14ac:dyDescent="0.45">
      <c r="A6" s="9">
        <v>3</v>
      </c>
      <c r="B6" s="2" t="s">
        <v>112</v>
      </c>
      <c r="C6" s="2" t="s">
        <v>145</v>
      </c>
      <c r="D6" s="9">
        <v>1</v>
      </c>
      <c r="E6" s="9">
        <v>1</v>
      </c>
      <c r="F6" s="9">
        <v>20</v>
      </c>
      <c r="G6" s="2"/>
    </row>
    <row r="7" spans="1:7" ht="32" x14ac:dyDescent="0.45">
      <c r="A7" s="9">
        <v>4</v>
      </c>
      <c r="B7" s="2" t="s">
        <v>148</v>
      </c>
      <c r="C7" s="2" t="s">
        <v>729</v>
      </c>
      <c r="D7" s="9">
        <v>1</v>
      </c>
      <c r="E7" s="9">
        <v>1</v>
      </c>
      <c r="F7" s="9">
        <v>20</v>
      </c>
      <c r="G7" s="2" t="s">
        <v>728</v>
      </c>
    </row>
  </sheetData>
  <mergeCells count="1">
    <mergeCell ref="A1:G1"/>
  </mergeCells>
  <phoneticPr fontId="8" type="noConversion"/>
  <printOptions horizontalCentered="1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개요</vt:lpstr>
      <vt:lpstr>테이블 목록</vt:lpstr>
      <vt:lpstr>TQD_COLORBYSIZE</vt:lpstr>
      <vt:lpstr>TQD_DATA_MAINT_HIS</vt:lpstr>
      <vt:lpstr>TQD_DEFECT</vt:lpstr>
      <vt:lpstr>TQD_DEFECT_DIE</vt:lpstr>
      <vt:lpstr>TQD_DEFECT_GROUP</vt:lpstr>
      <vt:lpstr>TQD_DEFECT_TYPE</vt:lpstr>
      <vt:lpstr>TQD_IMAGES</vt:lpstr>
      <vt:lpstr>TQD_INSP_INFO</vt:lpstr>
      <vt:lpstr>TQD_INSP_SUM</vt:lpstr>
      <vt:lpstr>TQD_LOT</vt:lpstr>
      <vt:lpstr>TQD_PRODUCT</vt:lpstr>
      <vt:lpstr>TQD_REVIEW_SUM</vt:lpstr>
      <vt:lpstr>TQD_SETUP</vt:lpstr>
      <vt:lpstr>TQD_SETUP_MAP</vt:lpstr>
      <vt:lpstr>TQD_STEP</vt:lpstr>
      <vt:lpstr>TQD_WAFER</vt:lpstr>
      <vt:lpstr>관계(논리)</vt:lpstr>
      <vt:lpstr>시퀀스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</cp:lastModifiedBy>
  <dcterms:created xsi:type="dcterms:W3CDTF">2026-10-15T06:56:22Z</dcterms:created>
  <dcterms:modified xsi:type="dcterms:W3CDTF">2026-10-15T06:56:47Z</dcterms:modified>
</cp:coreProperties>
</file>