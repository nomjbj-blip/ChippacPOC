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문서\자료\04_시스템_개발자료\"/>
    </mc:Choice>
  </mc:AlternateContent>
  <bookViews>
    <workbookView xWindow="0" yWindow="0" windowWidth="28800" windowHeight="16240"/>
  </bookViews>
  <sheets>
    <sheet name="개요" sheetId="1" r:id="rId1"/>
    <sheet name="테이블 목록" sheetId="2" r:id="rId2"/>
    <sheet name="TQP_GDS_MAP" sheetId="3" r:id="rId3"/>
    <sheet name="TQP_GDS_LAYER" sheetId="4" r:id="rId4"/>
    <sheet name="TQP_GDS_PLACED_EL" sheetId="5" r:id="rId5"/>
    <sheet name="TQP_GDS_IMPORT_JOB" sheetId="6" r:id="rId6"/>
    <sheet name="TQP_GDS_IMPORT_BATCH" sheetId="7" r:id="rId7"/>
    <sheet name="TQP_GDS_CHAIN" sheetId="8" r:id="rId8"/>
    <sheet name="TQP_GDS_CHAIN_VER" sheetId="9" r:id="rId9"/>
    <sheet name="TQP_GDS_CHAIN_MEMBER" sheetId="10" r:id="rId10"/>
    <sheet name="TQP_GDS_CHAIN_LAYER" sheetId="11" r:id="rId11"/>
    <sheet name="TQP_GDS_CHAIN_RULE" sheetId="12" r:id="rId12"/>
    <sheet name="TQP_GDS_CHAIN_EDIT" sheetId="13" r:id="rId13"/>
    <sheet name="TQP_GDS_SRC_FILE" sheetId="14" r:id="rId14"/>
    <sheet name="TQP_GDS_ET_ITEM" sheetId="15" r:id="rId15"/>
    <sheet name="TQP_GDS_ET_DIE" sheetId="16" r:id="rId16"/>
    <sheet name="TQP_GDS_ET_VALUE" sheetId="17" r:id="rId17"/>
    <sheet name="TQP_GDS_ET_LIMIT" sheetId="18" r:id="rId18"/>
    <sheet name="관계(FK)" sheetId="19" r:id="rId19"/>
    <sheet name="시퀀스" sheetId="20" r:id="rId20"/>
    <sheet name="변경 이력" sheetId="21" r:id="rId21"/>
  </sheets>
  <calcPr calcId="162913"/>
</workbook>
</file>

<file path=xl/calcChain.xml><?xml version="1.0" encoding="utf-8"?>
<calcChain xmlns="http://schemas.openxmlformats.org/spreadsheetml/2006/main">
  <c r="E5" i="18" l="1"/>
  <c r="E5" i="17"/>
  <c r="E5" i="16"/>
  <c r="E5" i="15"/>
  <c r="E5" i="14"/>
  <c r="E5" i="13"/>
  <c r="E5" i="12"/>
  <c r="E5" i="11"/>
  <c r="E5" i="10"/>
  <c r="E5" i="9"/>
  <c r="E5" i="8"/>
  <c r="E5" i="7"/>
  <c r="E5" i="6"/>
  <c r="E5" i="5"/>
  <c r="E5" i="4"/>
  <c r="E5" i="3"/>
  <c r="F19" i="2"/>
  <c r="F18" i="2"/>
  <c r="F17" i="2"/>
  <c r="F16" i="2"/>
  <c r="F15" i="2"/>
  <c r="F20" i="2" s="1"/>
  <c r="F14" i="2"/>
  <c r="F13" i="2"/>
  <c r="F12" i="2"/>
  <c r="F11" i="2"/>
  <c r="F10" i="2"/>
  <c r="F9" i="2"/>
  <c r="F8" i="2"/>
  <c r="F7" i="2"/>
  <c r="F6" i="2"/>
  <c r="F5" i="2"/>
  <c r="F4" i="2"/>
  <c r="C13" i="1"/>
  <c r="C12" i="1"/>
  <c r="C11" i="1"/>
  <c r="C14" i="1" s="1"/>
</calcChain>
</file>

<file path=xl/sharedStrings.xml><?xml version="1.0" encoding="utf-8"?>
<sst xmlns="http://schemas.openxmlformats.org/spreadsheetml/2006/main" count="2552" uniqueCount="881">
  <si>
    <t>SCK 분석시스템 구축 POC - 추가 테이블 명세서</t>
  </si>
  <si>
    <t>대상 시스템</t>
  </si>
  <si>
    <t>DACrux DMS (Defect / E-Test 분석, GDS Map / Chain)</t>
  </si>
  <si>
    <t>기준 DB</t>
  </si>
  <si>
    <t>로컬 개발 DB (Oracle 19c, 스키마 DMSMGR, 문자셋 AL32UTF8)</t>
  </si>
  <si>
    <t>조회 일자</t>
  </si>
  <si>
    <t>2026-10-15</t>
  </si>
  <si>
    <t>작성 근거</t>
  </si>
  <si>
    <t>DB 메타데이터 (컬럼 / 주석 / 제약 / 인덱스 / 시퀀스) + DDL 스크립트 (DMS/06_CoreLibSource/GdsMapControl/Persistence/*.sql) + 설계 문서 (문서/설계/02_GDS, 04_ETest)</t>
  </si>
  <si>
    <t>대상 범위</t>
  </si>
  <si>
    <t>POC 에서 새로 만든 테이블 16개 / 시퀀스 5개. 기존 테이블 구조 변경 2건과 개발 중 삭제한 테이블 8개는 [변경 이력] 시트</t>
  </si>
  <si>
    <t>업무 구분</t>
  </si>
  <si>
    <t>테이블 수</t>
  </si>
  <si>
    <t>GDS Map</t>
  </si>
  <si>
    <t>GDS Chain</t>
  </si>
  <si>
    <t>E-Test</t>
  </si>
  <si>
    <t>합계</t>
  </si>
  <si>
    <t>시트</t>
  </si>
  <si>
    <t>내용</t>
  </si>
  <si>
    <t>테이블 목록</t>
  </si>
  <si>
    <t>테이블 16개 요약 (테이블명을 누르면 해당 시트로 이동)</t>
  </si>
  <si>
    <t>TQP_GDS_*</t>
  </si>
  <si>
    <t>테이블별 명세: 테이블 정보 / 컬럼 / 제약 조건 / 인덱스</t>
  </si>
  <si>
    <t>관계(FK)</t>
  </si>
  <si>
    <t>테이블 관계도와 FK 목록 (삭제 규칙 포함)</t>
  </si>
  <si>
    <t>시퀀스</t>
  </si>
  <si>
    <t>키 번호용 시퀀스 5개</t>
  </si>
  <si>
    <t>변경 이력</t>
  </si>
  <si>
    <t>삭제한 테이블 / 바꾼 기존 테이블 / DDL 스크립트 이력</t>
  </si>
  <si>
    <t>표기 기준</t>
  </si>
  <si>
    <t>설명</t>
  </si>
  <si>
    <t>데이터 타입</t>
  </si>
  <si>
    <t>VARCHAR2(n CHAR) = 글자 수 기준, VARCHAR2(n) = byte 기준. BINARY_DOUBLE = 8 byte 실수 (좌표 / 측정값)</t>
  </si>
  <si>
    <t>NULL</t>
  </si>
  <si>
    <t>N = NOT NULL (필수), Y = NULL 허용</t>
  </si>
  <si>
    <t>PK</t>
  </si>
  <si>
    <t>기본 키 컬럼과 키 안 순서. 노란 행 = 기본 키 컬럼</t>
  </si>
  <si>
    <t>FK 참조</t>
  </si>
  <si>
    <t>이 컬럼이 들어 있는 FK 의 부모 테이블. 상세 컬럼 / 삭제 규칙은 테이블 시트의 제약 조건 또는 [관계(FK)] 시트</t>
  </si>
  <si>
    <t>허용 값</t>
  </si>
  <si>
    <t>CHECK 제약으로 정한 값. 여러 컬럼을 함께 검사하는 조건은 제약 조건 표에 원문으로 적음</t>
  </si>
  <si>
    <t>감사 컬럼</t>
  </si>
  <si>
    <t>CREATE_USER / CREATE_TIME / UPDATE_USER / UPDATE_TIME. CREATE_TIME 은 기본값 SYSDATE, UPDATE_TIME 은 Service 가 저장할 때 직접 기록</t>
  </si>
  <si>
    <t>참고</t>
  </si>
  <si>
    <t>고객 DB</t>
  </si>
  <si>
    <t>이 명세는 로컬 개발 DB 기준이다. 고객 DB 의 적용 상태는 확인하지 않았다.</t>
  </si>
  <si>
    <t>Chain 버전</t>
  </si>
  <si>
    <t>Chain 은 현재 버전 이력 없이 VERSION_NO = 1 로 덮어써 저장한다 (구조는 버전 이력을 담을 수 있게 되어 있음).</t>
  </si>
  <si>
    <t>E-Test 와 GDS 연결</t>
  </si>
  <si>
    <t>FK 없이 이름으로 연결한다 (DEVICE_ID, GDS Chain 이름).</t>
  </si>
  <si>
    <t>DB 주석</t>
  </si>
  <si>
    <t>GDS Map / Chain 테이블은 DB 주석이 없어 설계 문서 기준으로 설명을 적었다. 그 밖의 컬럼은 DB 주석을 쓴다.</t>
  </si>
  <si>
    <t>제외</t>
  </si>
  <si>
    <t>TD_&lt;Program&gt; 테이블 (예: TD_OMM_TSVET) 은 기존 YMS 적재 방식이 Program 별로 만드는 데이터 테이블이라 대상에서 뺐다.</t>
  </si>
  <si>
    <t>POC 추가 테이블 목록</t>
  </si>
  <si>
    <t>No</t>
  </si>
  <si>
    <t>테이블명</t>
  </si>
  <si>
    <t>테이블 설명</t>
  </si>
  <si>
    <t>기본 키 (PK)</t>
  </si>
  <si>
    <t>컬럼 수</t>
  </si>
  <si>
    <t>상위 테이블 (FK)</t>
  </si>
  <si>
    <t>하위 테이블</t>
  </si>
  <si>
    <t>Query XML</t>
  </si>
  <si>
    <t>생성 / 변경 SQL</t>
  </si>
  <si>
    <t>TQP_GDS_MAP</t>
  </si>
  <si>
    <t>GDS Map 헤더. Factory + Device 당 1건으로 GDS 파일 / Top Structure / 단위 / 저장 상태 / 좌표 기준면(Front / Back)을 관리한다.</t>
  </si>
  <si>
    <t>FACTORY, DEVICE_ID</t>
  </si>
  <si>
    <t>TQP_GDS_CHAIN, TQP_GDS_IMPORT_JOB, TQP_GDS_LAYER</t>
  </si>
  <si>
    <t>TQP_GDS_MAP.xml</t>
  </si>
  <si>
    <t>2026-10-02_tqp_gds_schema_device.sql (생성)
2026-10-06_tqp_gds_map_sha_nullable.sql (변경)
2026-10-06_tqp_gds_map_view_side.sql (변경)
2026-10-08_tqp_gds_map_drop_sha.sql (변경)
2026-10-12_tqp_gds_source_el_drop.sql (변경)</t>
  </si>
  <si>
    <t>TQP_GDS_LAYER</t>
  </si>
  <si>
    <t>GDS Map 의 Layer 정의 (Layer 번호 / 기본 색 / 표시 이름).</t>
  </si>
  <si>
    <t>FACTORY, DEVICE_ID, LAYER_ID</t>
  </si>
  <si>
    <t>TQP_GDS_CHAIN_LAYER, TQP_GDS_CHAIN_RULE, TQP_GDS_PLACED_EL</t>
  </si>
  <si>
    <t>TQP_GDS_LAYER.xml</t>
  </si>
  <si>
    <t>2026-10-02_tqp_gds_schema_device.sql (생성)</t>
  </si>
  <si>
    <t>TQP_GDS_PLACED_EL</t>
  </si>
  <si>
    <t>반복 배치(SREF)를 펼친 실제 도형. 월드 좌표 / Bounds / 좌표 배열 / TEXT 를 저장하며 Map 화면 / Chain / Label 검색 / 연관 분석이 함께 쓴다.</t>
  </si>
  <si>
    <t>FACTORY, DEVICE_ID, PLACED_ELEMENT_ID</t>
  </si>
  <si>
    <t>TQP_GDS_CHAIN_EDIT, TQP_GDS_CHAIN_MEMBER</t>
  </si>
  <si>
    <t>TQP_GDS_PLACED_EL.xml</t>
  </si>
  <si>
    <t>2026-10-02_tqp_gds_schema_device.sql (생성)
2026-10-02_tqp_gds_fk_delete_rule.sql (변경)
2026-10-12_tqp_gds_source_el_drop.sql (변경)</t>
  </si>
  <si>
    <t>TQP_GDS_IMPORT_JOB</t>
  </si>
  <si>
    <t>GDS Map 대량 저장 작업. Device 당 1건으로 예상 / 수신 건수와 진행 상태를 관리한다.</t>
  </si>
  <si>
    <t>IMPORT_JOB_SEQ</t>
  </si>
  <si>
    <t>TQP_GDS_IMPORT_BATCH</t>
  </si>
  <si>
    <t>TQP_GDS_IMPORT_JOB.xml</t>
  </si>
  <si>
    <t>2026-10-02_tqp_gds_schema_device.sql (생성)
2026-10-12_tqp_gds_source_el_drop.sql (변경)</t>
  </si>
  <si>
    <t>Map 저장 작업의 배치 전송 기록 (Layer / 배치 도형). 중복 전송 판정과 완료 확인에 쓴다.</t>
  </si>
  <si>
    <t>IMPORT_JOB_SEQ, STREAM_KIND, BATCH_NO</t>
  </si>
  <si>
    <t>TQP_GDS_IMPORT_BATCH.xml</t>
  </si>
  <si>
    <t>TQP_GDS_CHAIN</t>
  </si>
  <si>
    <t>Chain 마스터. Chain 번호 / Code / 사용 상태를 관리한다.</t>
  </si>
  <si>
    <t>FACTORY, DEVICE_ID, CHAIN_SEQ</t>
  </si>
  <si>
    <t>TQP_GDS_CHAIN_VER</t>
  </si>
  <si>
    <t>TQP_GDS_CHAIN.xml</t>
  </si>
  <si>
    <t>Chain 설정 (이름 / 색 / 탐색 옵션)과 저장 상태. 현재는 버전 이력 없이 VERSION_NO = 1 로 덮어쓴다.</t>
  </si>
  <si>
    <t>FACTORY, DEVICE_ID, CHAIN_SEQ, VERSION_NO</t>
  </si>
  <si>
    <t>TQP_GDS_CHAIN_EDIT, TQP_GDS_CHAIN_LAYER, TQP_GDS_CHAIN_MEMBER, TQP_GDS_CHAIN_RULE</t>
  </si>
  <si>
    <t>TQP_GDS_CHAIN_VER.xml</t>
  </si>
  <si>
    <t>TQP_GDS_CHAIN_MEMBER</t>
  </si>
  <si>
    <t>Chain 에 포함된 도형 (Input / Output / Member)과 단자 클릭 위치.</t>
  </si>
  <si>
    <t>FACTORY, DEVICE_ID, CHAIN_SEQ, VERSION_NO, PLACED_ELEMENT_ID</t>
  </si>
  <si>
    <t>TQP_GDS_PLACED_EL, TQP_GDS_CHAIN_VER</t>
  </si>
  <si>
    <t>TQP_GDS_CHAIN_MEMBER.xml</t>
  </si>
  <si>
    <t>2026-10-02_tqp_gds_schema_device.sql (생성)
2026-10-02_tqp_gds_fk_delete_rule.sql (변경)</t>
  </si>
  <si>
    <t>TQP_GDS_CHAIN_LAYER</t>
  </si>
  <si>
    <t>Chain 탐색 때 선택한 Layer.</t>
  </si>
  <si>
    <t>FACTORY, DEVICE_ID, CHAIN_SEQ, VERSION_NO, LAYER_ID</t>
  </si>
  <si>
    <t>TQP_GDS_LAYER, TQP_GDS_CHAIN_VER</t>
  </si>
  <si>
    <t>TQP_GDS_CHAIN_LAYER.xml</t>
  </si>
  <si>
    <t>TQP_GDS_CHAIN_RULE</t>
  </si>
  <si>
    <t>Chain 탐색의 Layer 조합 연결 규칙과 허용 거리.</t>
  </si>
  <si>
    <t>FACTORY, DEVICE_ID, CHAIN_SEQ, VERSION_NO, FIRST_LAYER_ID, SECOND_LAYER_ID</t>
  </si>
  <si>
    <t>TQP_GDS_CHAIN_RULE.xml</t>
  </si>
  <si>
    <t>TQP_GDS_CHAIN_EDIT</t>
  </si>
  <si>
    <t>도형 수동 추가 / 제외 / 복원 이력. 다시 탐색할 때 엔지니어가 정한 내용을 다시 적용한다.</t>
  </si>
  <si>
    <t>FACTORY, DEVICE_ID, CHAIN_SEQ, VERSION_NO, EDIT_SEQ</t>
  </si>
  <si>
    <t>TQP_GDS_CHAIN_EDIT.xml</t>
  </si>
  <si>
    <t>TQP_GDS_SRC_FILE</t>
  </si>
  <si>
    <t>E-Test 결과 파일 1개 = 1행. 파일명 해석 값 / 적재 건수 / Spec 판정 결과 / Map 좌표 계산 / YMS 반영 상태를 관리한다.</t>
  </si>
  <si>
    <t>SRC_FILE_SEQ</t>
  </si>
  <si>
    <t>TQP_GDS_ET_DIE</t>
  </si>
  <si>
    <t>TQP_GDS_SRC_FILE.xml</t>
  </si>
  <si>
    <t>2026-10-07_tqp_gds_src_file.sql (생성)
2026-10-07_tqp_gds_et_result.sql (변경)
2026-10-07_tqp_gds_src_file_uq_wafer.sql (변경)
2026-10-12_tqp_gds_src_file_name_rule.sql (변경)
2026-10-12_tqp_gds_src_file_uq_wafer_test.sql (변경)
2026-10-14_tqp_gds_et_upload_registered.sql (변경)
2026-10-14_tqp_gds_et_yms.sql (변경)</t>
  </si>
  <si>
    <t>TQP_GDS_ET_ITEM</t>
  </si>
  <si>
    <t>E-Test 측정 항목(Parameter) 마스터. Device + 공정 단위 등록 Parameter 와 GDS Chain 이름 연결을 관리한다.</t>
  </si>
  <si>
    <t>ET_ITEM_SEQ</t>
  </si>
  <si>
    <t>TQP_GDS_ET_LIMIT, TQP_GDS_ET_VALUE</t>
  </si>
  <si>
    <t>TQP_GDS_ET_ITEM.xml</t>
  </si>
  <si>
    <t>2026-10-07_tqp_gds_et_result.sql (생성)
2026-10-14_tqp_gds_et_para_rep_chain.sql (변경)
2026-10-14_tqp_gds_et_upload_registered.sql (변경)
2026-10-14_tqp_gds_et_para_gds_chain.sql (변경)</t>
  </si>
  <si>
    <t>E-Test Die 정보 (파일 행 단위). 원본 좌표 / Bin / DUT Flag / Map 좌표 / Spec 판정.</t>
  </si>
  <si>
    <t>SRC_FILE_SEQ, DUT_NO</t>
  </si>
  <si>
    <t>TQP_GDS_ET_VALUE</t>
  </si>
  <si>
    <t>TQP_GDS_ET_DIE.xml</t>
  </si>
  <si>
    <t>2026-10-07_tqp_gds_et_result.sql (생성)
2026-10-14_tqp_gds_et_upload_registered.sql (변경)</t>
  </si>
  <si>
    <t>E-Test 측정값 (Die x 측정 항목).</t>
  </si>
  <si>
    <t>SRC_FILE_SEQ, DUT_NO, ET_ITEM_SEQ</t>
  </si>
  <si>
    <t>TQP_GDS_ET_DIE, TQP_GDS_ET_ITEM</t>
  </si>
  <si>
    <t>TQP_GDS_ET_VALUE.xml</t>
  </si>
  <si>
    <t>TQP_GDS_ET_LIMIT</t>
  </si>
  <si>
    <t>E-Test Spec (하한 / 상한 / 사용 여부). Device + 공정 + 등록 Parameter 단위.</t>
  </si>
  <si>
    <t>FACTORY, DEVICE_ID, TEST_PROGRAM, ITEM_NAME</t>
  </si>
  <si>
    <t>TQP_GDS_ET_LIMIT.xml</t>
  </si>
  <si>
    <t>2026-10-12_tqp_gds_et_limit_item.sql (생성)
2026-10-14_tqp_gds_et_limit_fk.sql (변경)</t>
  </si>
  <si>
    <t>테이블 명세서</t>
  </si>
  <si>
    <t>&lt;- 테이블 목록</t>
  </si>
  <si>
    <t>스키마</t>
  </si>
  <si>
    <t>DMSMGR</t>
  </si>
  <si>
    <t>PK_GDS_MAP (FACTORY, DEVICE_ID)</t>
  </si>
  <si>
    <t>컬럼명</t>
  </si>
  <si>
    <t>컬럼 설명</t>
  </si>
  <si>
    <t>기본값</t>
  </si>
  <si>
    <t>FACTORY</t>
  </si>
  <si>
    <t>Factory (로그인 Factory, 예: SCK)</t>
  </si>
  <si>
    <t>VARCHAR2(30 CHAR)</t>
  </si>
  <si>
    <t>N</t>
  </si>
  <si>
    <t>DEVICE_ID</t>
  </si>
  <si>
    <t>Device(제품) ID. Factory + Device 당 Map 1건 (KLARF Product / E-Test Device 와 이름으로 연결)</t>
  </si>
  <si>
    <t>VARCHAR2(50 CHAR)</t>
  </si>
  <si>
    <t>TOP_STRUCTURE</t>
  </si>
  <si>
    <t>GDS Top Structure 이름 (도형을 펼친 기준 Structure)</t>
  </si>
  <si>
    <t>VARCHAR2(256 CHAR)</t>
  </si>
  <si>
    <t>GDS_FILE_NAME</t>
  </si>
  <si>
    <t>원본 GDS 파일 이름</t>
  </si>
  <si>
    <t>VARCHAR2(260 CHAR)</t>
  </si>
  <si>
    <t>Y</t>
  </si>
  <si>
    <t>USER_UNIT</t>
  </si>
  <si>
    <t>GDS User Unit (HEADER UNITS 의 첫째 값)</t>
  </si>
  <si>
    <t>BINARY_DOUBLE</t>
  </si>
  <si>
    <t>DATABASE_UNIT</t>
  </si>
  <si>
    <t>GDS Database Unit, 미터 단위 (HEADER UNITS 의 둘째 값)</t>
  </si>
  <si>
    <t>ID_GENERATOR_VERSION</t>
  </si>
  <si>
    <t>도형 ID(PLACED_ELEMENT_ID) 생성 규칙 버전</t>
  </si>
  <si>
    <t>NUMBER(6)</t>
  </si>
  <si>
    <t>1</t>
  </si>
  <si>
    <t>POINTS_FORMAT_VERSION</t>
  </si>
  <si>
    <t>좌표 배열(TQP_GDS_PLACED_EL.POINTS_BIN) 형식 버전</t>
  </si>
  <si>
    <t>MAP_STATUS</t>
  </si>
  <si>
    <t>저장 상태. DRAFT = 저장 중 / READY = 저장 완료 (조회 / Chain / 연관 분석은 READY 만 사용)</t>
  </si>
  <si>
    <t>VARCHAR2(20)</t>
  </si>
  <si>
    <t>'DRAFT'</t>
  </si>
  <si>
    <t>DRAFT / READY</t>
  </si>
  <si>
    <t>CREATE_USER</t>
  </si>
  <si>
    <t>생성 사용자 ID</t>
  </si>
  <si>
    <t>VARCHAR2(30)</t>
  </si>
  <si>
    <t>CREATE_TIME</t>
  </si>
  <si>
    <t>생성 일시</t>
  </si>
  <si>
    <t>DATE</t>
  </si>
  <si>
    <t>SYSDATE</t>
  </si>
  <si>
    <t>UPDATE_USER</t>
  </si>
  <si>
    <t>수정 사용자 ID</t>
  </si>
  <si>
    <t>UPDATE_TIME</t>
  </si>
  <si>
    <t>수정 일시 (Service 가 저장할 때 기록)</t>
  </si>
  <si>
    <t>VIEW_SIDE</t>
  </si>
  <si>
    <t>PLACED 좌표 기준: FRONT = GDS 원본, BACK = GDS 원점 기준 좌우 반전(X' = -X)</t>
  </si>
  <si>
    <t>VARCHAR2(10)</t>
  </si>
  <si>
    <t>'FRONT'</t>
  </si>
  <si>
    <t>FRONT / BACK</t>
  </si>
  <si>
    <t>제약 조건</t>
  </si>
  <si>
    <t>구분</t>
  </si>
  <si>
    <t>제약 이름</t>
  </si>
  <si>
    <t>컬럼</t>
  </si>
  <si>
    <t>PK_GDS_MAP</t>
  </si>
  <si>
    <t>기본 키</t>
  </si>
  <si>
    <t>CHECK</t>
  </si>
  <si>
    <t>CK_GDS_MAP_FMT</t>
  </si>
  <si>
    <t>ID_GENERATOR_VERSION &gt; 0 AND POINTS_FORMAT_VERSION &gt; 0</t>
  </si>
  <si>
    <t>CK_GDS_MAP_STATUS</t>
  </si>
  <si>
    <t>MAP_STATUS IN ('DRAFT','READY')</t>
  </si>
  <si>
    <t>CK_GDS_MAP_VIEW_SIDE</t>
  </si>
  <si>
    <t>VIEW_SIDE IN ('FRONT', 'BACK')</t>
  </si>
  <si>
    <t>인덱스</t>
  </si>
  <si>
    <t>유일</t>
  </si>
  <si>
    <t>인덱스 이름</t>
  </si>
  <si>
    <t>컬럼 / 식</t>
  </si>
  <si>
    <t>용도</t>
  </si>
  <si>
    <t>UNIQUE</t>
  </si>
  <si>
    <t>PK_GDS_LAYER (FACTORY, DEVICE_ID, LAYER_ID)</t>
  </si>
  <si>
    <t>Device(제품) ID. TQP_GDS_MAP 의 Device</t>
  </si>
  <si>
    <t>LAYER_ID</t>
  </si>
  <si>
    <t>GDS Layer 번호</t>
  </si>
  <si>
    <t>NUMBER(10)</t>
  </si>
  <si>
    <t>COLOR_ARGB</t>
  </si>
  <si>
    <t>기본 표시 색 (ARGB 정수)</t>
  </si>
  <si>
    <t>DISPLAY_NAME</t>
  </si>
  <si>
    <t>Layer 표시 이름</t>
  </si>
  <si>
    <t>VARCHAR2(100 CHAR)</t>
  </si>
  <si>
    <t>PK_GDS_LAYER</t>
  </si>
  <si>
    <t>FK</t>
  </si>
  <si>
    <t>FK_GDS_LAYER_MAP</t>
  </si>
  <si>
    <t>-&gt; TQP_GDS_MAP (FACTORY, DEVICE_ID) / 삭제 규칙 CASCADE (부모 삭제 시 함께 삭제)</t>
  </si>
  <si>
    <t>PK_GDS_PLACED_EL (FACTORY, DEVICE_ID, PLACED_ELEMENT_ID)</t>
  </si>
  <si>
    <t>PLACED_ELEMENT_ID</t>
  </si>
  <si>
    <t>배치 도형 ID. 펼친 배치 경로 + 원본 순번 (예: R0/E15921). Factory + Device 안에서 고유</t>
  </si>
  <si>
    <t>VARCHAR2(1024)</t>
  </si>
  <si>
    <t>SOURCE_ELEMENT_ID</t>
  </si>
  <si>
    <t>원본 Element ID (예: TOP/E15921). 같은 원본에서 반복 배치된 도형을 묶는 값 (원본 테이블은 2026-10-12 삭제, FK 없음)</t>
  </si>
  <si>
    <t>VARCHAR2(512 CHAR)</t>
  </si>
  <si>
    <t>GDS Layer 번호 (TQP_GDS_LAYER)</t>
  </si>
  <si>
    <t>DATA_TYPE</t>
  </si>
  <si>
    <t>GDS DATATYPE 번호</t>
  </si>
  <si>
    <t>ELEMENT_TYPE</t>
  </si>
  <si>
    <t>도형 종류</t>
  </si>
  <si>
    <t>BOUNDARY / PATH / TEXT</t>
  </si>
  <si>
    <t>CLOSED_FLAG</t>
  </si>
  <si>
    <t>닫힌 도형 여부 (1 = 닫힘)</t>
  </si>
  <si>
    <t>NUMBER(1)</t>
  </si>
  <si>
    <t>0 / 1</t>
  </si>
  <si>
    <t>PATH_WIDTH</t>
  </si>
  <si>
    <t>PATH 폭 (PATH 도형만)</t>
  </si>
  <si>
    <t>PATH_TYPE</t>
  </si>
  <si>
    <t>GDS PATHTYPE (PATH 도형만, 그 밖에는 NULL)</t>
  </si>
  <si>
    <t>NUMBER(3)</t>
  </si>
  <si>
    <t>MIN_X</t>
  </si>
  <si>
    <t>도형 외곽 최소 X (월드 좌표)</t>
  </si>
  <si>
    <t>MIN_Y</t>
  </si>
  <si>
    <t>도형 외곽 최소 Y (월드 좌표)</t>
  </si>
  <si>
    <t>MAX_X</t>
  </si>
  <si>
    <t>도형 외곽 최대 X (월드 좌표)</t>
  </si>
  <si>
    <t>MAX_Y</t>
  </si>
  <si>
    <t>도형 외곽 최대 Y (월드 좌표)</t>
  </si>
  <si>
    <t>POINT_COUNT</t>
  </si>
  <si>
    <t>좌표 점 개수</t>
  </si>
  <si>
    <t>NUMBER(12)</t>
  </si>
  <si>
    <t>좌표 배열(POINTS_BIN) 형식 버전</t>
  </si>
  <si>
    <t>POINTS_BIN</t>
  </si>
  <si>
    <t>좌표 배열. 점마다 X / Y double 2개 (little-endian 16 byte)</t>
  </si>
  <si>
    <t>BLOB</t>
  </si>
  <si>
    <t>TEXT_VALUE</t>
  </si>
  <si>
    <t>TEXT 문자열 (TEXT 도형만)</t>
  </si>
  <si>
    <t>CLOB</t>
  </si>
  <si>
    <t>TEXT_TYPE</t>
  </si>
  <si>
    <t>GDS TEXTTYPE 번호 (TEXT 도형만)</t>
  </si>
  <si>
    <t>TEXT_FONT</t>
  </si>
  <si>
    <t>GDS TEXT 글꼴 번호 (TEXT 도형만)</t>
  </si>
  <si>
    <t>TEXT_HORIZONTAL</t>
  </si>
  <si>
    <t>TEXT 가로 정렬 (예: Center)</t>
  </si>
  <si>
    <t>TEXT_VERTICAL</t>
  </si>
  <si>
    <t>TEXT 세로 정렬 (예: Middle)</t>
  </si>
  <si>
    <t>PK_GDS_PLACED_EL</t>
  </si>
  <si>
    <t>FK_GDS_PLACED_LAYER</t>
  </si>
  <si>
    <t>-&gt; TQP_GDS_LAYER (FACTORY, DEVICE_ID, LAYER_ID) / 삭제 규칙 NO ACTION (자식이 있으면 부모 삭제 불가)</t>
  </si>
  <si>
    <t>CK_GDS_PLACED_BOUNDS</t>
  </si>
  <si>
    <t>MIN_X &lt;= MAX_X AND MIN_Y &lt;= MAX_Y</t>
  </si>
  <si>
    <t>CK_GDS_PLACED_CLOSED</t>
  </si>
  <si>
    <t>CLOSED_FLAG IN (0,1)</t>
  </si>
  <si>
    <t>CK_GDS_PLACED_PATHTYPE</t>
  </si>
  <si>
    <t>(ELEMENT_TYPE = 'PATH' AND PATH_TYPE BETWEEN 0 AND 255) OR (ELEMENT_TYPE &lt;&gt; 'PATH' AND PATH_TYPE IS NULL)</t>
  </si>
  <si>
    <t>CK_GDS_PLACED_POINTS</t>
  </si>
  <si>
    <t>POINT_COUNT &gt; 0 AND POINTS_FORMAT_VERSION &gt; 0</t>
  </si>
  <si>
    <t>CK_GDS_PLACED_TYPE</t>
  </si>
  <si>
    <t>ELEMENT_TYPE IN ('BOUNDARY','PATH','TEXT')</t>
  </si>
  <si>
    <t>-</t>
  </si>
  <si>
    <t>IX_GDS_PLACED_LAYER</t>
  </si>
  <si>
    <t>FACTORY, DEVICE_ID, LAYER_ID, PLACED_ELEMENT_ID</t>
  </si>
  <si>
    <t>Layer 별 도형 순차 조회</t>
  </si>
  <si>
    <t>PK_GDS_IMPORT_JOB (IMPORT_JOB_SEQ)</t>
  </si>
  <si>
    <t>Map 저장 작업 번호 (IMPORT_JOB_SEQ 시퀀스)</t>
  </si>
  <si>
    <t>NUMBER</t>
  </si>
  <si>
    <t>Device(제품) ID. Device 당 작업 1건 (UQ_GDS_IMPORT_MAP)</t>
  </si>
  <si>
    <t>JOB_STATUS</t>
  </si>
  <si>
    <t>작업 상태. UPLOADING = 전송 중 / VALIDATING = 검증 중 / READY = 완료 / FAILED = 실패 / CANCELLED = 취소</t>
  </si>
  <si>
    <t>'UPLOADING'</t>
  </si>
  <si>
    <t>UPLOADING / VALIDATING / READY / FAILED / CANCELLED</t>
  </si>
  <si>
    <t>EXPECTED_PLACED_COUNT</t>
  </si>
  <si>
    <t>보낼 예정인 도형 수</t>
  </si>
  <si>
    <t>EXPECTED_POINT_COUNT</t>
  </si>
  <si>
    <t>보낼 예정인 좌표 점 수</t>
  </si>
  <si>
    <t>NUMBER(18)</t>
  </si>
  <si>
    <t>RECEIVED_PLACED_COUNT</t>
  </si>
  <si>
    <t>받은 도형 수</t>
  </si>
  <si>
    <t>0</t>
  </si>
  <si>
    <t>RECEIVED_POINT_COUNT</t>
  </si>
  <si>
    <t>받은 좌표 점 수</t>
  </si>
  <si>
    <t>수정 일시 (진행 상태가 바뀔 때 기록)</t>
  </si>
  <si>
    <t>PK_GDS_IMPORT_JOB</t>
  </si>
  <si>
    <t>UQ_GDS_IMPORT_MAP</t>
  </si>
  <si>
    <t>중복 금지</t>
  </si>
  <si>
    <t>FK_GDS_IMPORT_MAP</t>
  </si>
  <si>
    <t>CK_GDS_IMPORT_COUNTS</t>
  </si>
  <si>
    <t>EXPECTED_PLACED_COUNT &gt;= 0 AND EXPECTED_POINT_COUNT &gt;= 0 AND RECEIVED_PLACED_COUNT &gt;= 0 AND RECEIVED_POINT_COUNT &gt;= 0</t>
  </si>
  <si>
    <t>CK_GDS_IMPORT_STATUS</t>
  </si>
  <si>
    <t>JOB_STATUS IN ('UPLOADING','VALIDATING','READY','FAILED','CANCELLED')</t>
  </si>
  <si>
    <t>중복 금지 (UNIQUE 제약)</t>
  </si>
  <si>
    <t>PK_GDS_IMPORT_BATCH (IMPORT_JOB_SEQ, STREAM_KIND, BATCH_NO)</t>
  </si>
  <si>
    <t>Map 저장 작업 번호 (TQP_GDS_IMPORT_JOB)</t>
  </si>
  <si>
    <t>STREAM_KIND</t>
  </si>
  <si>
    <t>배치 종류. LAYER = Layer / PLACED = 배치 도형</t>
  </si>
  <si>
    <t>LAYER / PLACED</t>
  </si>
  <si>
    <t>BATCH_NO</t>
  </si>
  <si>
    <t>배치 번호 (종류별 0부터 빠짐없이)</t>
  </si>
  <si>
    <t>FORMAT_VERSION</t>
  </si>
  <si>
    <t>전송 배치 형식 버전</t>
  </si>
  <si>
    <t>PAYLOAD_SHA256</t>
  </si>
  <si>
    <t>배치 내용 SHA-256 (16진수 64자리). 같은 번호를 다시 받으면 이 값으로 같은 배치인지 비교</t>
  </si>
  <si>
    <t>CHAR(64)</t>
  </si>
  <si>
    <t>ITEM_COUNT</t>
  </si>
  <si>
    <t>배치 안 행 수</t>
  </si>
  <si>
    <t>배치 안 좌표 점 수</t>
  </si>
  <si>
    <t>PAYLOAD_BYTES</t>
  </si>
  <si>
    <t>배치 크기 (byte)</t>
  </si>
  <si>
    <t>COMMIT_TIME</t>
  </si>
  <si>
    <t>배치 저장 확정 일시</t>
  </si>
  <si>
    <t>PK_GDS_IMPORT_BATCH</t>
  </si>
  <si>
    <t>FK_GDS_IMPORT_BATCH_JOB</t>
  </si>
  <si>
    <t>-&gt; TQP_GDS_IMPORT_JOB (IMPORT_JOB_SEQ) / 삭제 규칙 CASCADE (부모 삭제 시 함께 삭제)</t>
  </si>
  <si>
    <t>CK_GDS_IMPORT_BATCH_NUM</t>
  </si>
  <si>
    <t>BATCH_NO &gt;= 0 AND FORMAT_VERSION &gt; 0 AND ITEM_COUNT &gt; 0 AND POINT_COUNT &gt;= 0 AND PAYLOAD_BYTES &gt; 0</t>
  </si>
  <si>
    <t>CK_GDS_IMPORT_STREAM</t>
  </si>
  <si>
    <t>STREAM_KIND IN ('LAYER','PLACED')</t>
  </si>
  <si>
    <t>PK_GDS_CHAIN (FACTORY, DEVICE_ID, CHAIN_SEQ)</t>
  </si>
  <si>
    <t>CHAIN_SEQ</t>
  </si>
  <si>
    <t>Chain 번호 (CHAIN_SEQ 시퀀스). 다시 저장해도 유지</t>
  </si>
  <si>
    <t>CHAIN_CODE</t>
  </si>
  <si>
    <t>Chain Code (A, B, ... Z, AA ...). Device 안에서 고유</t>
  </si>
  <si>
    <t>VARCHAR2(32 CHAR)</t>
  </si>
  <si>
    <t>CHAIN_STATUS</t>
  </si>
  <si>
    <t>Chain 상태. ACTIVE = 사용 / RETIRED = 사용 종료 (논리 삭제)</t>
  </si>
  <si>
    <t>'ACTIVE'</t>
  </si>
  <si>
    <t>ACTIVE / RETIRED</t>
  </si>
  <si>
    <t>RETIRE_TIME</t>
  </si>
  <si>
    <t>사용 종료 (RETIRED) 일시</t>
  </si>
  <si>
    <t>PK_GDS_CHAIN</t>
  </si>
  <si>
    <t>UQ_GDS_CHAIN_CODE</t>
  </si>
  <si>
    <t>FACTORY, DEVICE_ID, CHAIN_CODE</t>
  </si>
  <si>
    <t>FK_GDS_CHAIN_MAP</t>
  </si>
  <si>
    <t>CK_GDS_CHAIN_STATUS</t>
  </si>
  <si>
    <t>CHAIN_STATUS IN ('ACTIVE','RETIRED')</t>
  </si>
  <si>
    <t>PK_GDS_CHAIN_VER (FACTORY, DEVICE_ID, CHAIN_SEQ, VERSION_NO)</t>
  </si>
  <si>
    <t>Chain 번호 (TQP_GDS_CHAIN)</t>
  </si>
  <si>
    <t>VERSION_NO</t>
  </si>
  <si>
    <t>Chain 버전 번호. 현재는 저장할 때 덮어써서 1 고정</t>
  </si>
  <si>
    <t>&gt; 0</t>
  </si>
  <si>
    <t>CHAIN_NAME</t>
  </si>
  <si>
    <t>Chain 이름 (E-Test Para 설정의 GDS Chain 이름과 연결)</t>
  </si>
  <si>
    <t>VARCHAR2(200 CHAR)</t>
  </si>
  <si>
    <t>Chain 표시 색 (ARGB 정수)</t>
  </si>
  <si>
    <t>APPLY_LAYER_RULES</t>
  </si>
  <si>
    <t>Layer 조합 규칙(TQP_GDS_CHAIN_RULE) 적용 여부 (1 = 적용)</t>
  </si>
  <si>
    <t>CELL_SIZE</t>
  </si>
  <si>
    <t>연결 탐색 격자 크기 (화면에서 숨김, 기본 10)</t>
  </si>
  <si>
    <t>NUMBER(18,4)</t>
  </si>
  <si>
    <t>VERSION_STATUS</t>
  </si>
  <si>
    <t>저장 상태. DRAFT = 저장 중 / READY = 저장 완료 / SUPERSEDED = 이전 버전</t>
  </si>
  <si>
    <t>DRAFT / READY / SUPERSEDED</t>
  </si>
  <si>
    <t>IS_CURRENT</t>
  </si>
  <si>
    <t>현재 버전 여부 (1 = 현재). READY 일 때만 1, Chain 당 최대 1개</t>
  </si>
  <si>
    <t>PK_GDS_CHAIN_VER</t>
  </si>
  <si>
    <t>FK_GDS_CHAIN_VER_MASTER</t>
  </si>
  <si>
    <t>-&gt; TQP_GDS_CHAIN (FACTORY, DEVICE_ID, CHAIN_SEQ) / 삭제 규칙 CASCADE (부모 삭제 시 함께 삭제)</t>
  </si>
  <si>
    <t>CK_GDS_CHAIN_VER_CELL</t>
  </si>
  <si>
    <t>CELL_SIZE &gt; 0</t>
  </si>
  <si>
    <t>CK_GDS_CHAIN_VER_CURRENT</t>
  </si>
  <si>
    <t>IS_CURRENT IN (0,1) AND (IS_CURRENT = 0 OR VERSION_STATUS = 'READY')</t>
  </si>
  <si>
    <t>CK_GDS_CHAIN_VER_NO</t>
  </si>
  <si>
    <t>VERSION_NO &gt; 0</t>
  </si>
  <si>
    <t>CK_GDS_CHAIN_VER_RULES</t>
  </si>
  <si>
    <t>APPLY_LAYER_RULES IN (0,1)</t>
  </si>
  <si>
    <t>CK_GDS_CHAIN_VER_STATUS</t>
  </si>
  <si>
    <t>VERSION_STATUS IN ('DRAFT','READY','SUPERSEDED')</t>
  </si>
  <si>
    <t>UX_GDS_CHAIN_CURRENT</t>
  </si>
  <si>
    <t>IS_CURRENT = 1 인 행만: FACTORY, DEVICE_ID, CHAIN_SEQ</t>
  </si>
  <si>
    <t>Chain 당 현재 버전 최대 1개 (함수 기반 UNIQUE)</t>
  </si>
  <si>
    <t>PK_GDS_CHAIN_MEMBER (FACTORY, DEVICE_ID, CHAIN_SEQ, VERSION_NO, PLACED_ELEMENT_ID)</t>
  </si>
  <si>
    <t>Chain 버전 번호 (TQP_GDS_CHAIN_VER, 현재 1 고정)</t>
  </si>
  <si>
    <t>Chain 에 포함된 도형 ID (TQP_GDS_PLACED_EL). 한 도형이 여러 Chain 에 속할 수 있음</t>
  </si>
  <si>
    <t>ROLE_CODE</t>
  </si>
  <si>
    <t>도형 역할. INPUT = 입력 단자 (1개 필수) / OUTPUT = 출력 단자 (0~1개) / MEMBER = 연결 도형</t>
  </si>
  <si>
    <t>INPUT / OUTPUT</t>
  </si>
  <si>
    <t>INCLUSION_SOURCE</t>
  </si>
  <si>
    <t>포함 경위. TRACE = 연결 탐색 / MANUAL = 수동 추가 / ENDPOINT = Input / Output 단자 지정</t>
  </si>
  <si>
    <t>TRACE / MANUAL / ENDPOINT</t>
  </si>
  <si>
    <t>MARKER_X</t>
  </si>
  <si>
    <t>단자 클릭 위치 X (INPUT / OUTPUT 만, MEMBER 는 NULL)</t>
  </si>
  <si>
    <t>MARKER_Y</t>
  </si>
  <si>
    <t>단자 클릭 위치 Y (INPUT / OUTPUT 만, MEMBER 는 NULL)</t>
  </si>
  <si>
    <t>PK_GDS_CHAIN_MEMBER</t>
  </si>
  <si>
    <t>FK_GDS_CHAIN_MEMBER_EL</t>
  </si>
  <si>
    <t>-&gt; TQP_GDS_PLACED_EL (FACTORY, DEVICE_ID, PLACED_ELEMENT_ID) / 삭제 규칙 NO ACTION (자식이 있으면 부모 삭제 불가)</t>
  </si>
  <si>
    <t>FK_GDS_CHAIN_MEMBER_VER</t>
  </si>
  <si>
    <t>-&gt; TQP_GDS_CHAIN_VER (FACTORY, DEVICE_ID, CHAIN_SEQ, VERSION_NO) / 삭제 규칙 CASCADE (부모 삭제 시 함께 삭제)</t>
  </si>
  <si>
    <t>CK_GDS_CHAIN_MEMBER_MARKER</t>
  </si>
  <si>
    <t>(ROLE_CODE IN ('INPUT','OUTPUT') AND MARKER_X IS NOT NULL AND MARKER_Y IS NOT NULL) OR (ROLE_CODE = 'MEMBER' AND MARKER_X IS NULL AND MARKER_Y IS NULL)</t>
  </si>
  <si>
    <t>CK_GDS_CHAIN_MEMBER_ROLE</t>
  </si>
  <si>
    <t>ROLE_CODE IN ('INPUT','OUTPUT','MEMBER')</t>
  </si>
  <si>
    <t>CK_GDS_CHAIN_MEMBER_SRC</t>
  </si>
  <si>
    <t>INCLUSION_SOURCE IN ('TRACE','MANUAL','ENDPOINT')</t>
  </si>
  <si>
    <t>IX_GDS_CHAIN_MEMBER_EL</t>
  </si>
  <si>
    <t>FACTORY, DEVICE_ID, PLACED_ELEMENT_ID, CHAIN_SEQ, VERSION_NO</t>
  </si>
  <si>
    <t>도형 -&gt; 소속 Chain 찾기 (연관 분석)</t>
  </si>
  <si>
    <t>UX_GDS_CHAIN_ENDPOINT</t>
  </si>
  <si>
    <t>ROLE_CODE 가 INPUT / OUTPUT 인 행만: FACTORY, DEVICE_ID, CHAIN_SEQ, VERSION_NO, ROLE_CODE</t>
  </si>
  <si>
    <t>Chain 버전당 INPUT 1개 / OUTPUT 최대 1개 (함수 기반 UNIQUE)</t>
  </si>
  <si>
    <t>PK_GDS_CHAIN_LAYER (FACTORY, DEVICE_ID, CHAIN_SEQ, VERSION_NO, LAYER_ID)</t>
  </si>
  <si>
    <t>Chain 탐색 때 선택한 GDS Layer 번호 (TQP_GDS_LAYER)</t>
  </si>
  <si>
    <t>PK_GDS_CHAIN_LAYER</t>
  </si>
  <si>
    <t>FK_GDS_CHAIN_LAYER_MAP</t>
  </si>
  <si>
    <t>FK_GDS_CHAIN_LAYER_VER</t>
  </si>
  <si>
    <t>IX_GDS_CHAIN_LAYER_LY</t>
  </si>
  <si>
    <t>Layer -&gt; Chain 찾기 (FK 삭제 검사)</t>
  </si>
  <si>
    <t>PK_GDS_CHAIN_RULE (FACTORY, DEVICE_ID, CHAIN_SEQ, VERSION_NO, FIRST_LAYER_ID, SECOND_LAYER_ID)</t>
  </si>
  <si>
    <t>FIRST_LAYER_ID</t>
  </si>
  <si>
    <t>조합 Layer 1 (작은 번호 쪽)</t>
  </si>
  <si>
    <t>SECOND_LAYER_ID</t>
  </si>
  <si>
    <t>조합 Layer 2 (큰 번호 쪽)</t>
  </si>
  <si>
    <t>TOLERANCE</t>
  </si>
  <si>
    <t>두 Layer 도형을 연결로 볼 허용 거리 (0 이상)</t>
  </si>
  <si>
    <t>&gt;= 0</t>
  </si>
  <si>
    <t>PK_GDS_CHAIN_RULE</t>
  </si>
  <si>
    <t>FK_GDS_CHAIN_RULE_L1</t>
  </si>
  <si>
    <t>FACTORY, DEVICE_ID, FIRST_LAYER_ID</t>
  </si>
  <si>
    <t>FK_GDS_CHAIN_RULE_L2</t>
  </si>
  <si>
    <t>FACTORY, DEVICE_ID, SECOND_LAYER_ID</t>
  </si>
  <si>
    <t>FK_GDS_CHAIN_RULE_VER</t>
  </si>
  <si>
    <t>CK_GDS_CHAIN_RULE_PAIR</t>
  </si>
  <si>
    <t>FIRST_LAYER_ID &lt;= SECOND_LAYER_ID</t>
  </si>
  <si>
    <t>CK_GDS_CHAIN_RULE_TOL</t>
  </si>
  <si>
    <t>TOLERANCE &gt;= 0</t>
  </si>
  <si>
    <t>IX_GDS_CHAIN_RULE_L1</t>
  </si>
  <si>
    <t>Layer -&gt; 규칙 찾기 (FK 삭제 검사)</t>
  </si>
  <si>
    <t>IX_GDS_CHAIN_RULE_L2</t>
  </si>
  <si>
    <t>PK_GDS_CHAIN_EDIT (FACTORY, DEVICE_ID, CHAIN_SEQ, VERSION_NO, EDIT_SEQ)</t>
  </si>
  <si>
    <t>EDIT_SEQ</t>
  </si>
  <si>
    <t>편집 순번 (1부터, ADD -&gt; EXCLUDE 순서)</t>
  </si>
  <si>
    <t>편집 대상 도형 ID (TQP_GDS_PLACED_EL)</t>
  </si>
  <si>
    <t>ACTION_CODE</t>
  </si>
  <si>
    <t>편집 종류. ADD = 수동 추가 / EXCLUDE = 제외 / RESTORE = 제외 취소</t>
  </si>
  <si>
    <t>ADD / EXCLUDE / RESTORE</t>
  </si>
  <si>
    <t>BATCH_EDIT_SEQ</t>
  </si>
  <si>
    <t>일괄 편집 묶음 번호 (BATCH_EDIT_SEQ 시퀀스, 현재 미사용 NULL)</t>
  </si>
  <si>
    <t>PK_GDS_CHAIN_EDIT</t>
  </si>
  <si>
    <t>FK_GDS_CHAIN_EDIT_EL</t>
  </si>
  <si>
    <t>FK_GDS_CHAIN_EDIT_VER</t>
  </si>
  <si>
    <t>CK_GDS_CHAIN_EDIT_ACTION</t>
  </si>
  <si>
    <t>ACTION_CODE IN ('ADD','EXCLUDE','RESTORE')</t>
  </si>
  <si>
    <t>CK_GDS_CHAIN_EDIT_SEQ</t>
  </si>
  <si>
    <t>EDIT_SEQ &gt; 0</t>
  </si>
  <si>
    <t>IX_GDS_CHAIN_EDIT_EL</t>
  </si>
  <si>
    <t>도형 -&gt; 편집 이력 찾기</t>
  </si>
  <si>
    <t>PK_GDS_SRC_FILE (SRC_FILE_SEQ)</t>
  </si>
  <si>
    <t>E-Test 파일 번호 (SRC_FILE_SEQ 시퀀스)</t>
  </si>
  <si>
    <t>FILE_NAME</t>
  </si>
  <si>
    <t>원본 파일명</t>
  </si>
  <si>
    <t>TQP_GDS_MAP.DEVICE_ID 와 같은 값 체계 (업로드 화면에서 선택)</t>
  </si>
  <si>
    <t>LOT_ID</t>
  </si>
  <si>
    <t>파일명 Lot (예: RH-HS2615)</t>
  </si>
  <si>
    <t>SLOT_NO</t>
  </si>
  <si>
    <t>파일명 Wafer 끝 숫자 (RH-HS2615-02 -&gt; 2)</t>
  </si>
  <si>
    <t>1 ~ 99</t>
  </si>
  <si>
    <t>WAFER_ID</t>
  </si>
  <si>
    <t>LOT_ID || '-' || 2자리 SLOT_NO (가상 컬럼)</t>
  </si>
  <si>
    <t>VARCHAR2(60 CHAR)</t>
  </si>
  <si>
    <t>TEST_PROGRAM</t>
  </si>
  <si>
    <t>파일명 5칸 Test Type = 공정 (TSVET / COWET / FT). 중복 키 FACTORY + WAFER_ID + TEST_PROGRAM</t>
  </si>
  <si>
    <t>TEST_TIME</t>
  </si>
  <si>
    <t>파일명 6칸 Test Date (yyyyMMddHHmmss)</t>
  </si>
  <si>
    <t>FILE_PREFIX</t>
  </si>
  <si>
    <t>(PARSE_RULE_VER 1 만) 파일명 앞부분 원문. 2 부터는 CUSTOMER ~ WAFER_REV 로 나눠 저장</t>
  </si>
  <si>
    <t>SHEET_NAME</t>
  </si>
  <si>
    <t>측정값을 읽은 Sheet 이름 (예: DUT Summary)</t>
  </si>
  <si>
    <t>DIE_COUNT</t>
  </si>
  <si>
    <t>파일의 Die 수</t>
  </si>
  <si>
    <t>저장한 등록 Parameter 수 (PARSE_RULE_VER 3)</t>
  </si>
  <si>
    <t>VALUE_COUNT</t>
  </si>
  <si>
    <t>저장된 측정값 행 수 (= DIE_COUNT x ITEM_COUNT 이어야 READY)</t>
  </si>
  <si>
    <t>LOAD_STATUS</t>
  </si>
  <si>
    <t>LOADING = 저장 중 / READY = 건수 검증 완료</t>
  </si>
  <si>
    <t>'LOADING'</t>
  </si>
  <si>
    <t>LOADING / READY</t>
  </si>
  <si>
    <t>CUSTOMER</t>
  </si>
  <si>
    <t>파일명 1칸 Customer (예: CAI)</t>
  </si>
  <si>
    <t>FILE_DEVICE</t>
  </si>
  <si>
    <t>파일명 2칸 Device 원문 (예: OMM). DMS DEVICE_ID 와 별개</t>
  </si>
  <si>
    <t>WAFER_TYPE</t>
  </si>
  <si>
    <t>파일명 3칸 Wafer Type (예: ATV)</t>
  </si>
  <si>
    <t>WAFER_REV</t>
  </si>
  <si>
    <t>파일명 4칸 Wafer Rev (예: A0)</t>
  </si>
  <si>
    <t>VARCHAR2(20 CHAR)</t>
  </si>
  <si>
    <t>LOT_WAFER_NO</t>
  </si>
  <si>
    <t>파일명 8칸 Lot-Wafer No 원문 (예: U9-HS2633-01)</t>
  </si>
  <si>
    <t>FAB_NAME</t>
  </si>
  <si>
    <t>파일명 끝 $...$ 꼬리표 (예: Silterra). PARSE_RULE_VER 2 까지만 저장, 3 부터 NULL</t>
  </si>
  <si>
    <t>PASS_DIE_COUNT</t>
  </si>
  <si>
    <t>Spec 판정 Pass Die 수 (PARSE_RULE_VER 3)</t>
  </si>
  <si>
    <t>FAIL_DIE_COUNT</t>
  </si>
  <si>
    <t>Spec 판정 Fail Die 수 (PARSE_RULE_VER 3)</t>
  </si>
  <si>
    <t>NOT_TESTED_COUNT</t>
  </si>
  <si>
    <t>미측정(-) 셀 수 (READY 확정 때 기록)</t>
  </si>
  <si>
    <t>PARSE_RULE_VER</t>
  </si>
  <si>
    <t>파일명 해석 / 저장 규칙: 1 = 뒤에서부터 분해 (2026-10-07) / 2 = 8칸 규칙 + $Fab$ (2026-10-12) / 3 = 등록 Parameter 만 저장 (2026-10-14, 현재 업로드)</t>
  </si>
  <si>
    <t>좌표 기준 면. PARSE_RULE_VER 2 는 BACK, 3 부터 저장하지 않음 (NULL)</t>
  </si>
  <si>
    <t>HEADER_COUNT</t>
  </si>
  <si>
    <t>파일 전체 측정 헤더 수</t>
  </si>
  <si>
    <t>DEFINED_COUNT</t>
  </si>
  <si>
    <t>업로드 때 Device + 공정 등록 Parameter(사용 Y) 수</t>
  </si>
  <si>
    <t>MISSING_COUNT</t>
  </si>
  <si>
    <t>등록됐는데 파일에 없는 Parameter 수</t>
  </si>
  <si>
    <t>JUDGE_TIME</t>
  </si>
  <si>
    <t>Spec 판정 시각 (업로드 / 다시 판정)</t>
  </si>
  <si>
    <t>MAP_ID</t>
  </si>
  <si>
    <t>Die 좌표 계산에 쓴 Map ID (TQP_USEMAP, = DEVICE_ID). 없으면 NULL</t>
  </si>
  <si>
    <t>MAP_TIME</t>
  </si>
  <si>
    <t>Map 좌표 계산 시각</t>
  </si>
  <si>
    <t>YMS_STATUS</t>
  </si>
  <si>
    <t>YMS 반영 상태: NULL 반영 안 함 / DONE / WAIT(Map 없음, 좌표 다시 계산 때 반영) / FAIL</t>
  </si>
  <si>
    <t>DONE / WAIT / FAIL</t>
  </si>
  <si>
    <t>YMS_PROGRAM</t>
  </si>
  <si>
    <t>YMS Program = Device_공정 (예: OMM_TSVET), TD 테이블 TD_&lt;Program&gt;</t>
  </si>
  <si>
    <t>YMS_LOT_SEQ</t>
  </si>
  <si>
    <t>반영한 TQP_LOT.LOT_SEQ</t>
  </si>
  <si>
    <t>YMS_WAFER_SEQ</t>
  </si>
  <si>
    <t>반영한 TQP_WAFER.WAFER_SEQ (다시 반영 / 파일 삭제 때 이 Wafer 를 먼저 지운다). Lot / Wafer 를 만든 직후 기록</t>
  </si>
  <si>
    <t>YMS_TIME</t>
  </si>
  <si>
    <t>YMS 반영 시각</t>
  </si>
  <si>
    <t>YMS_MESSAGE</t>
  </si>
  <si>
    <t>YMS 반영 실패 사유 (단계: 메시지) 또는 보류 안내</t>
  </si>
  <si>
    <t>VARCHAR2(500 CHAR)</t>
  </si>
  <si>
    <t>PK_GDS_SRC_FILE</t>
  </si>
  <si>
    <t>UQ_GDS_SRC_FILE_WAFER_TEST</t>
  </si>
  <si>
    <t>FACTORY, WAFER_ID, TEST_PROGRAM</t>
  </si>
  <si>
    <t>CK_GDS_SRC_FILE_SIDE</t>
  </si>
  <si>
    <t>CK_GDS_SRC_FILE_SLOT</t>
  </si>
  <si>
    <t>SLOT_NO BETWEEN 1 AND 99</t>
  </si>
  <si>
    <t>CK_GDS_SRC_FILE_STATUS</t>
  </si>
  <si>
    <t>LOAD_STATUS IN ('LOADING', 'READY')</t>
  </si>
  <si>
    <t>CK_GDS_SRC_FILE_YMS</t>
  </si>
  <si>
    <t>YMS_STATUS IN ('DONE', 'WAIT', 'FAIL')</t>
  </si>
  <si>
    <t>IX_GDS_SRC_FILE_WAFER</t>
  </si>
  <si>
    <t>FACTORY, DEVICE_ID, WAFER_ID(LOT_ID || '-' || 2자리 SLOT_NO)</t>
  </si>
  <si>
    <t>Device / Wafer 로 파일 찾기</t>
  </si>
  <si>
    <t>FACTORY, WAFER_ID(LOT_ID || '-' || 2자리 SLOT_NO), TEST_PROGRAM</t>
  </si>
  <si>
    <t>Wafer + 공정 당 파일 1개 (UQ_GDS_SRC_FILE_WAFER_TEST 제약)</t>
  </si>
  <si>
    <t>PK_GDS_ET_ITEM (ET_ITEM_SEQ)</t>
  </si>
  <si>
    <t>측정 항목 번호 (ET_ITEM_SEQ 시퀀스)</t>
  </si>
  <si>
    <t>Device(제품) ID. E-Test 파일 Device 와 같은 이름의 GDS Map Device</t>
  </si>
  <si>
    <t>ITEM_NAME</t>
  </si>
  <si>
    <t>Parameter 저장 이름. 헤더 원문을 변환한 이름 (예: RESISTANCE_IFORCE_8P0MA_TSVDC_TR_FH, 50자 이하). Spec / YMS 컬럼 이름과 같은 값</t>
  </si>
  <si>
    <t>PARA_NAME</t>
  </si>
  <si>
    <t>Para 이름. 헤더 = 앞 부분을 변환한 이름 (예: CONNECTIVITY_IFORCE / LEAKAGE_PARALLEL)</t>
  </si>
  <si>
    <t>COND_VALUE</t>
  </si>
  <si>
    <t>헤더 = 뒤 조건 값, 대문자 (예: 1.0MA). 없으면 NULL</t>
  </si>
  <si>
    <t>Chain 1 이름. 헤더 @ 뒤를 변환한 이름, Force leg 포함 (예: PIC_SERP1_M4_FH)</t>
  </si>
  <si>
    <t>VARCHAR2(64 CHAR)</t>
  </si>
  <si>
    <t>CHAIN_NAME2</t>
  </si>
  <si>
    <t>Chain 2 이름 (Leakage_Serial 등 A:B 형식의 두 번째 Chain, 변환 이름). 없으면 NULL</t>
  </si>
  <si>
    <t>UNIT</t>
  </si>
  <si>
    <t>측정 단위 (등록한 파일 기준)</t>
  </si>
  <si>
    <t>VARCHAR2(10 CHAR)</t>
  </si>
  <si>
    <t>TEST_NO</t>
  </si>
  <si>
    <t>파일 2행 Test Number</t>
  </si>
  <si>
    <t>DISPLAY_ORDER</t>
  </si>
  <si>
    <t>표시 순서 (처음 등록한 파일의 열 순서)</t>
  </si>
  <si>
    <t>공정 (Test Type: TSVET / COWET / FT), 대문자. Parameter 등록 때 지정</t>
  </si>
  <si>
    <t>HEADER_TEXT</t>
  </si>
  <si>
    <t>등록 Parameter 의 헤더 원문 (공백 정리 / 끝 #번호 제거, 대소문자 유지). ITEM_NAME 은 DB / 소스용 변환 이름</t>
  </si>
  <si>
    <t>MEAS_TYPE</t>
  </si>
  <si>
    <t>Measurement type (RESISTANCE / CONNECTIVITY / CONTINUITY / LEAKAGE)</t>
  </si>
  <si>
    <t>CHAIN_TYPE</t>
  </si>
  <si>
    <t>Chain 1 의 Chain type (TSVDC / C4DC / PIC_SERP ...)</t>
  </si>
  <si>
    <t>FORCE_LEG</t>
  </si>
  <si>
    <t>Chain 1 끝 Force leg (FH / FL)</t>
  </si>
  <si>
    <t>VARCHAR2(4 CHAR)</t>
  </si>
  <si>
    <t>FH / FL</t>
  </si>
  <si>
    <t>FORCE_LEG2</t>
  </si>
  <si>
    <t>Chain 2 끝 Force leg (FH / FL)</t>
  </si>
  <si>
    <t>USE_FLAG</t>
  </si>
  <si>
    <t>Y / N. N 이면 다음 업로드부터 값을 저장 / 판정하지 않는다 (저장된 값은 보관)</t>
  </si>
  <si>
    <t>CHAR(1)</t>
  </si>
  <si>
    <t>'Y'</t>
  </si>
  <si>
    <t>Y / N</t>
  </si>
  <si>
    <t>REG_SOURCE</t>
  </si>
  <si>
    <t>등록 출처 FILE(결과 파일) / SPEC(고객 Spec 표)</t>
  </si>
  <si>
    <t>FILE / SPEC</t>
  </si>
  <si>
    <t>REG_FILE_NAME</t>
  </si>
  <si>
    <t>등록에 쓴 파일 이름</t>
  </si>
  <si>
    <t>REMARK</t>
  </si>
  <si>
    <t>비고</t>
  </si>
  <si>
    <t>GDS_CHAIN_NAME</t>
  </si>
  <si>
    <t>Chain 1 의 GDS Setup Chain 이름 (사용자 입력, GDS 대표 Device 의 TQP_GDS_CHAIN_VER.CHAIN_NAME 과 대소문자 무시 비교)</t>
  </si>
  <si>
    <t>PK_GDS_ET_ITEM</t>
  </si>
  <si>
    <t>UQ_GDS_ET_ITEM_PARA</t>
  </si>
  <si>
    <t>CK_GDS_ET_ITEM_LEG</t>
  </si>
  <si>
    <t>(FORCE_LEG IS NULL OR FORCE_LEG IN ('FH', 'FL')) AND (FORCE_LEG2 IS NULL OR FORCE_LEG2 IN ('FH', 'FL'))</t>
  </si>
  <si>
    <t>CK_GDS_ET_ITEM_PARA</t>
  </si>
  <si>
    <t>TEST_PROGRAM IS NULL OR ( REGEXP_LIKE(TEST_PROGRAM, '^[A-Z][A-Z0-9_]*$') AND REGEXP_LIKE(ITEM_NAME, '^[A-Z][A-Z0-9_]*$') AND LENGTH(ITEM_NAME) &lt;= 50 AND REGEXP_LIKE(CHAIN_NAME, '^[A-Z][A-Z0-9_]*$') AND (CHAIN_NAME2 IS NULL OR REGEXP_LIKE(CHAIN_NAME2, '^[A-Z][A-Z0-9_]*$')) AND HEADER_TEXT IS NOT NULL AND REG_SOURCE IS NOT NULL)</t>
  </si>
  <si>
    <t>CK_GDS_ET_ITEM_SOURCE</t>
  </si>
  <si>
    <t>REG_SOURCE IS NULL OR REG_SOURCE IN ('FILE', 'SPEC')</t>
  </si>
  <si>
    <t>CK_GDS_ET_ITEM_USE</t>
  </si>
  <si>
    <t>USE_FLAG IN ('Y', 'N')</t>
  </si>
  <si>
    <t>IX_GDS_ET_ITEM_CHAIN</t>
  </si>
  <si>
    <t>FACTORY, DEVICE_ID, CHAIN_NAME</t>
  </si>
  <si>
    <t>Chain 이름으로 측정 항목 찾기</t>
  </si>
  <si>
    <t>IX_GDS_ET_ITEM_CHAIN2</t>
  </si>
  <si>
    <t>FACTORY, DEVICE_ID, CHAIN_NAME2</t>
  </si>
  <si>
    <t>둘째 Chain 이름으로 측정 항목 찾기</t>
  </si>
  <si>
    <t>IX_GDS_ET_ITEM_PARA</t>
  </si>
  <si>
    <t>FACTORY, DEVICE_ID, PARA_NAME, COND_VALUE</t>
  </si>
  <si>
    <t>Para 이름 / 조건 값으로 측정 항목 찾기</t>
  </si>
  <si>
    <t>PK_GDS_ET_DIE (SRC_FILE_SEQ, DUT_NO)</t>
  </si>
  <si>
    <t>E-Test 파일 번호 (TQP_GDS_SRC_FILE)</t>
  </si>
  <si>
    <t>DUT_NO</t>
  </si>
  <si>
    <t>DUT 번호 (파일 A열 #3 -&gt; 3)</t>
  </si>
  <si>
    <t>DIE_X</t>
  </si>
  <si>
    <t>파일의 Die 좌표 X (원본 그대로)</t>
  </si>
  <si>
    <t>DIE_Y</t>
  </si>
  <si>
    <t>파일의 Die 좌표 Y (원본 그대로)</t>
  </si>
  <si>
    <t>HW_BIN</t>
  </si>
  <si>
    <t>Hardware Bin (예: Bin 1 -&gt; 1)</t>
  </si>
  <si>
    <t>SW_BIN</t>
  </si>
  <si>
    <t>Software Bin (예: Bin 5001 -&gt; 5001)</t>
  </si>
  <si>
    <t>PASS_FLAG</t>
  </si>
  <si>
    <t>파일 DUT Flag (원본 참고, 판정 아님)</t>
  </si>
  <si>
    <t>P / F</t>
  </si>
  <si>
    <t>FLAG_CODE</t>
  </si>
  <si>
    <t>DUT Flag 코드 (예: 0x08)</t>
  </si>
  <si>
    <t>TEST_TIME_MS</t>
  </si>
  <si>
    <t>Die 시험 시간 (ms)</t>
  </si>
  <si>
    <t>TESTS_EXECUTED</t>
  </si>
  <si>
    <t>실행한 Test 수</t>
  </si>
  <si>
    <t>HEAD_SITE</t>
  </si>
  <si>
    <t>Head / Site (예: Head 1 - Site 1)</t>
  </si>
  <si>
    <t>MAP_X</t>
  </si>
  <si>
    <t>시스템 Map 좌표 X (Map 사용 Die 가 아니거나 Map 이 없으면 NULL)</t>
  </si>
  <si>
    <t>MAP_Y</t>
  </si>
  <si>
    <t>시스템 Map 좌표 Y</t>
  </si>
  <si>
    <t>JUDGE_FLAG</t>
  </si>
  <si>
    <t>Spec 판정 P / F (Fail 값이 하나라도 있으면 F)</t>
  </si>
  <si>
    <t>FAIL_COUNT</t>
  </si>
  <si>
    <t>Fail 값 수 (범위 밖 + Enable Spec 의 '-')</t>
  </si>
  <si>
    <t>저장한 Parameter 의 '-' 값 수</t>
  </si>
  <si>
    <t>PK_GDS_ET_DIE</t>
  </si>
  <si>
    <t>UQ_GDS_ET_DIE_XY</t>
  </si>
  <si>
    <t>SRC_FILE_SEQ, DIE_X, DIE_Y</t>
  </si>
  <si>
    <t>FK_GDS_ET_DIE_FILE</t>
  </si>
  <si>
    <t>-&gt; TQP_GDS_SRC_FILE (SRC_FILE_SEQ) / 삭제 규칙 CASCADE (부모 삭제 시 함께 삭제)</t>
  </si>
  <si>
    <t>CK_GDS_ET_DIE_JUDGE</t>
  </si>
  <si>
    <t>JUDGE_FLAG IS NULL OR JUDGE_FLAG IN ('P', 'F')</t>
  </si>
  <si>
    <t>CK_GDS_ET_DIE_PASS</t>
  </si>
  <si>
    <t>PASS_FLAG IN ('P', 'F')</t>
  </si>
  <si>
    <t>PK_GDS_ET_VALUE (SRC_FILE_SEQ, DUT_NO, ET_ITEM_SEQ)</t>
  </si>
  <si>
    <t>E-Test 파일 번호 (TQP_GDS_ET_DIE)</t>
  </si>
  <si>
    <t>DUT 번호 (TQP_GDS_ET_DIE)</t>
  </si>
  <si>
    <t>측정 항목 번호 (TQP_GDS_ET_ITEM)</t>
  </si>
  <si>
    <t>MEAS_VALUE</t>
  </si>
  <si>
    <t>측정값 (숫자). 값이 없으면 NULL (VALUE_STATUS 참고)</t>
  </si>
  <si>
    <t>VALUE_STATUS</t>
  </si>
  <si>
    <t>V = 숫자 / N = 미측정(-) / E = 빈 값</t>
  </si>
  <si>
    <t>N / E</t>
  </si>
  <si>
    <t>Spec 판정 P / F. NULL = Spec 없음 / Enable N / 빈 칸</t>
  </si>
  <si>
    <t>PK_GDS_ET_VALUE</t>
  </si>
  <si>
    <t>FK_GDS_ET_VALUE_DIE</t>
  </si>
  <si>
    <t>-&gt; TQP_GDS_ET_DIE (SRC_FILE_SEQ, DUT_NO) / 삭제 규칙 CASCADE (부모 삭제 시 함께 삭제)</t>
  </si>
  <si>
    <t>FK_GDS_ET_VALUE_ITEM</t>
  </si>
  <si>
    <t>-&gt; TQP_GDS_ET_ITEM (ET_ITEM_SEQ) / 삭제 규칙 NO ACTION (자식이 있으면 부모 삭제 불가)</t>
  </si>
  <si>
    <t>CK_GDS_ET_VALUE_JUDGE</t>
  </si>
  <si>
    <t>CK_GDS_ET_VALUE_NULL</t>
  </si>
  <si>
    <t>(VALUE_STATUS = 'V' AND MEAS_VALUE IS NOT NULL) OR (VALUE_STATUS IN ('N', 'E') AND MEAS_VALUE IS NULL)</t>
  </si>
  <si>
    <t>CK_GDS_ET_VALUE_STATUS</t>
  </si>
  <si>
    <t>VALUE_STATUS IN ('V', 'N', 'E')</t>
  </si>
  <si>
    <t>IX_GDS_ET_VALUE_ITEM</t>
  </si>
  <si>
    <t>SRC_FILE_SEQ, ET_ITEM_SEQ</t>
  </si>
  <si>
    <t>파일 + 측정 항목별 측정값 조회</t>
  </si>
  <si>
    <t>IX_GDS_ET_VALUE_ITEMONLY</t>
  </si>
  <si>
    <t>측정 항목 -&gt; 측정값 찾기 (항목 삭제 검사)</t>
  </si>
  <si>
    <t>PK_GDS_ET_LIMIT (FACTORY, DEVICE_ID, TEST_PROGRAM, ITEM_NAME)</t>
  </si>
  <si>
    <t>공정 = 파일명 Test Type (TSVET / COWET / FT), 대문자</t>
  </si>
  <si>
    <t>등록 Parameter 저장 이름 (TQP_GDS_ET_ITEM.ITEM_NAME)</t>
  </si>
  <si>
    <t>LOWER_LIMIT</t>
  </si>
  <si>
    <t>하한, NULL = 없음 (값 &lt; 하한 이면 Fail)</t>
  </si>
  <si>
    <t>UPPER_LIMIT</t>
  </si>
  <si>
    <t>상한, NULL = 없음 (값 &gt; 상한 이면 Fail)</t>
  </si>
  <si>
    <t>단위</t>
  </si>
  <si>
    <t>ENABLE_FLAG</t>
  </si>
  <si>
    <t>Y = 판정 / N = 값만 보관. 판정 시 '-' 값도 Fail</t>
  </si>
  <si>
    <t>SPEC_TEXT</t>
  </si>
  <si>
    <t>고객 Spec 원문 (예: If val &gt; 715, Fail; otherwise, Pass)</t>
  </si>
  <si>
    <t>PK_GDS_ET_LIMIT</t>
  </si>
  <si>
    <t>FK_GDS_ET_LIMIT_PARA</t>
  </si>
  <si>
    <t>-&gt; TQP_GDS_ET_ITEM (FACTORY, DEVICE_ID, TEST_PROGRAM, ITEM_NAME) / 삭제 규칙 CASCADE (부모 삭제 시 함께 삭제)</t>
  </si>
  <si>
    <t>CK_GDS_ET_LIMIT_ENABLE</t>
  </si>
  <si>
    <t>ENABLE_FLAG IN ('Y', 'N')</t>
  </si>
  <si>
    <t>CK_GDS_ET_LIMIT_ONE</t>
  </si>
  <si>
    <t>LOWER_LIMIT IS NOT NULL OR UPPER_LIMIT IS NOT NULL</t>
  </si>
  <si>
    <t>CK_GDS_ET_LIMIT_RANGE</t>
  </si>
  <si>
    <t>LOWER_LIMIT IS NULL OR UPPER_LIMIT IS NULL OR LOWER_LIMIT &lt;= UPPER_LIMIT</t>
  </si>
  <si>
    <t>CK_GDS_ET_LIMIT_UPPER</t>
  </si>
  <si>
    <t>ITEM_NAME = UPPER(ITEM_NAME) AND TEST_PROGRAM = UPPER(TEST_PROGRAM)</t>
  </si>
  <si>
    <t>테이블 관계 (FK)</t>
  </si>
  <si>
    <t>TQP_GDS_MAP (Factory + Device 당 1건)</t>
  </si>
  <si>
    <t xml:space="preserve">  +- TQP_GDS_LAYER</t>
  </si>
  <si>
    <t xml:space="preserve">  +- TQP_GDS_PLACED_EL ........................ TQP_GDS_LAYER 참조</t>
  </si>
  <si>
    <t xml:space="preserve">  +- TQP_GDS_IMPORT_JOB</t>
  </si>
  <si>
    <t xml:space="preserve">  |     +- TQP_GDS_IMPORT_BATCH</t>
  </si>
  <si>
    <t xml:space="preserve">  +- TQP_GDS_CHAIN</t>
  </si>
  <si>
    <t xml:space="preserve">        +- TQP_GDS_CHAIN_VER</t>
  </si>
  <si>
    <t xml:space="preserve">              +- TQP_GDS_CHAIN_MEMBER .......... TQP_GDS_PLACED_EL 참조</t>
  </si>
  <si>
    <t xml:space="preserve">              +- TQP_GDS_CHAIN_LAYER ........... TQP_GDS_LAYER 참조</t>
  </si>
  <si>
    <t xml:space="preserve">              +- TQP_GDS_CHAIN_RULE ............ TQP_GDS_LAYER 참조 (Layer 1 / Layer 2)</t>
  </si>
  <si>
    <t xml:space="preserve">              +- TQP_GDS_CHAIN_EDIT ............ TQP_GDS_PLACED_EL 참조</t>
  </si>
  <si>
    <t>TQP_GDS_SRC_FILE (E-Test 파일 1개)</t>
  </si>
  <si>
    <t xml:space="preserve">  +- TQP_GDS_ET_DIE</t>
  </si>
  <si>
    <t xml:space="preserve">        +- TQP_GDS_ET_VALUE .................... TQP_GDS_ET_ITEM 참조</t>
  </si>
  <si>
    <t>TQP_GDS_ET_ITEM (등록 Parameter)</t>
  </si>
  <si>
    <t xml:space="preserve">  +- TQP_GDS_ET_LIMIT</t>
  </si>
  <si>
    <t>E-Test 와 GDS 는 FK 없이 이름으로 연결한다: SRC_FILE / ET_ITEM 의 DEVICE_ID = TQP_GDS_MAP.DEVICE_ID, ET_ITEM.GDS_CHAIN_NAME = TQP_GDS_CHAIN_VER.CHAIN_NAME</t>
  </si>
  <si>
    <t>자식 테이블</t>
  </si>
  <si>
    <t>FK 이름</t>
  </si>
  <si>
    <t>자식 컬럼</t>
  </si>
  <si>
    <t>부모 테이블</t>
  </si>
  <si>
    <t>부모 키</t>
  </si>
  <si>
    <t>삭제 규칙</t>
  </si>
  <si>
    <t>CASCADE</t>
  </si>
  <si>
    <t>부모를 지우면 함께 지워진다</t>
  </si>
  <si>
    <t>NO ACTION</t>
  </si>
  <si>
    <t>자식이 있으면 부모를 지울 수 없다 (자식을 먼저 지워야 함)</t>
  </si>
  <si>
    <t>사용 테이블.컬럼</t>
  </si>
  <si>
    <t>시작</t>
  </si>
  <si>
    <t>증가</t>
  </si>
  <si>
    <t>CACHE</t>
  </si>
  <si>
    <t>생성 SQL</t>
  </si>
  <si>
    <t>TQP_GDS_IMPORT_JOB.IMPORT_JOB_SEQ</t>
  </si>
  <si>
    <t>2026-10-02_tqp_gds_schema_seq.sql</t>
  </si>
  <si>
    <t>TQP_GDS_CHAIN.CHAIN_SEQ</t>
  </si>
  <si>
    <t>TQP_GDS_CHAIN_EDIT.BATCH_EDIT_SEQ</t>
  </si>
  <si>
    <t>현재 미사용 (일괄 편집 묶음용)</t>
  </si>
  <si>
    <t>TQP_GDS_SRC_FILE.SRC_FILE_SEQ</t>
  </si>
  <si>
    <t>2026-10-07_tqp_gds_src_file.sql</t>
  </si>
  <si>
    <t>TQP_GDS_ET_ITEM.ET_ITEM_SEQ</t>
  </si>
  <si>
    <t>2026-10-07_tqp_gds_et_result.sql</t>
  </si>
  <si>
    <t>번호는 SELECT &lt;시퀀스&gt;.NEXTVAL FROM DUAL 로 받는다 (기존 DMS 의 STEP_SEQ 등과 같은 방식). INSERT 가 실패해도 번호가 소모되어 빈 번호가 생길 수 있다.</t>
  </si>
  <si>
    <t>1. 개발 중 만들었다가 삭제한 테이블 (현재 DB 에 없음)</t>
  </si>
  <si>
    <t>삭제일</t>
  </si>
  <si>
    <t>테이블</t>
  </si>
  <si>
    <t>생성 -&gt; 삭제 SQL</t>
  </si>
  <si>
    <t>삭제 사유 / 대체</t>
  </si>
  <si>
    <t>2026-10-02</t>
  </si>
  <si>
    <t>TQP_GDS_MAP_REV</t>
  </si>
  <si>
    <t>2026-10-01_tqp_gds_map_schema.sql
-&gt; 2026-10-02_tqp_gds_schema_device.sql</t>
  </si>
  <si>
    <t>Map 개정본(Revision) 관리를 하지 않기로 함. Factory + Device 1:1 헤더 TQP_GDS_MAP 으로 대체</t>
  </si>
  <si>
    <t>TQP_GDS_MAP_ACTIVE</t>
  </si>
  <si>
    <t>현재 사용 개정본 선택 테이블. 개정본 관리 제거로 불필요</t>
  </si>
  <si>
    <t>2026-10-12</t>
  </si>
  <si>
    <t>TQP_GDS_SOURCE_EL</t>
  </si>
  <si>
    <t>2026-10-01_tqp_gds_map_schema.sql
-&gt; 2026-10-12_tqp_gds_source_el_drop.sql</t>
  </si>
  <si>
    <t>GDS 원본 행. 저장만 하고 조회하는 화면 / 서비스가 없어 삭제. 도면 / Chain / Label 검색은 TQP_GDS_PLACED_EL 만 사용</t>
  </si>
  <si>
    <t>TQP_GDS_ET_CHAIN_MAP</t>
  </si>
  <si>
    <t>2026-10-12_tqp_gds_et_chain_map.sql
-&gt; 2026-10-12_tqp_gds_et_chain_group.sql</t>
  </si>
  <si>
    <t>E-Test Chain -&gt; 대표 Chain 연결. 같은 날 묶음 번호 방식(TQP_GDS_ET_CHAIN_GROUP)으로 대체</t>
  </si>
  <si>
    <t>2026-10-14</t>
  </si>
  <si>
    <t>TQP_GDS_ET_CHAIN_GROUP</t>
  </si>
  <si>
    <t>2026-10-12_tqp_gds_et_chain_group.sql
-&gt; 2026-10-14_tqp_gds_et_limit_fk.sql</t>
  </si>
  <si>
    <t>E-Test Chain 묶음 (ET_CHAIN_GROUP_SEQ 시퀀스 포함). 대표 Chain(TQP_GDS_ET_REP_CHAIN) 방식으로 대체</t>
  </si>
  <si>
    <t>TQP_GDS_ET_REP_CHAIN</t>
  </si>
  <si>
    <t>2026-10-14_tqp_gds_et_para_rep_chain.sql
-&gt; 2026-10-14_tqp_gds_et_para_gds_chain.sql</t>
  </si>
  <si>
    <t>대표 Chain. Parameter 별 GDS Chain 이름(TQP_GDS_ET_ITEM.GDS_CHAIN_NAME) 직접 입력으로 대체</t>
  </si>
  <si>
    <t>TQP_GDS_ET_CHAIN_LINK</t>
  </si>
  <si>
    <t>대표 Chain 과 E-Test Chain 연결. 위와 같은 이유로 삭제</t>
  </si>
  <si>
    <t>TQP_GDS_MAP_SUB_DEVICE</t>
  </si>
  <si>
    <t>2026-10-12_tqp_gds_map_sub_device.sql
-&gt; 2026-10-15_tqp_gds_map_sub_device_drop.sql</t>
  </si>
  <si>
    <t>대표 Device / Sub Device 연결. GDS Map 복사(같은 도면을 다른 Device 이름으로 저장)로 대체</t>
  </si>
  <si>
    <t>2. POC 에서 바꾼 기존 테이블 (구조 변경)</t>
  </si>
  <si>
    <t>변경일</t>
  </si>
  <si>
    <t>테이블.컬럼</t>
  </si>
  <si>
    <t>SQL</t>
  </si>
  <si>
    <t>변경 내용 / 사유</t>
  </si>
  <si>
    <t>2026-10-07</t>
  </si>
  <si>
    <t>TQD_SETUP.SETUP_ID</t>
  </si>
  <si>
    <t>DMS/Assistant/DB/sql/2026-10-07_tqd_setup_setup_id_128.sql</t>
  </si>
  <si>
    <t>VARCHAR2(40) -&gt; VARCHAR2(128 BYTE). 고객 KLARF SetupID 가 46자라 KLARF 업로드 저장이 실패(ORA-12899)해서 확대. 고객 DB 에도 같은 DDL 필요</t>
  </si>
  <si>
    <t>TQP_MAPDEF.FACTORY</t>
  </si>
  <si>
    <t>DMS/Assistant/DB/sql/2026-10-14_tqp_mapdef_factory_sck.sql</t>
  </si>
  <si>
    <t>기본값 'FAB2' -&gt; 'SCK' (Factory 통합). Map 저장 쿼리가 FACTORY 를 넣지 않아 기본값으로 저장되기 때문. 고객 DB 도 기본값 확인 필요</t>
  </si>
  <si>
    <t>3. DDL 스크립트 이력 (DMS/06_CoreLibSource/GdsMapControl/Persistence, 로컬 개발 DB 적용 순서)</t>
  </si>
  <si>
    <t>날짜</t>
  </si>
  <si>
    <t>SQL 파일</t>
  </si>
  <si>
    <t>대상 테이블</t>
  </si>
  <si>
    <t>2026-10-01</t>
  </si>
  <si>
    <t>2026-10-01_tqp_gds_map_schema.sql / 2026-10-01_tqp_gds_chain_schema.sql</t>
  </si>
  <si>
    <t>GDS 13개</t>
  </si>
  <si>
    <t>최초 GDS Map / Chain 테이블 13개 생성 (GUID 키, Map 개정본 관리). 이후 재생성되어 이력으로만 남음</t>
  </si>
  <si>
    <t>2026-10-01_tqp_gds_audit_migration*.sql / audit_user_length.sql</t>
  </si>
  <si>
    <t>감사 컬럼 이름 / 형식을 기존 TQP 테이블과 맞춤 (CREATE_TIME / UPDATE_TIME DATE, 사용자 30 BYTE)</t>
  </si>
  <si>
    <t>키를 GUID 에서 시퀀스(NUMBER)로 변경. 시퀀스 생성</t>
  </si>
  <si>
    <t>2026-10-02_tqp_gds_schema_device.sql</t>
  </si>
  <si>
    <t>GDS 12개</t>
  </si>
  <si>
    <t>개정본 관리 제거. 키를 FACTORY + DEVICE_ID 로 바꿔 재생성, TQP_GDS_MAP 신규</t>
  </si>
  <si>
    <t>2026-10-02_tqp_gds_fk_delete_rule.sql</t>
  </si>
  <si>
    <t>GDS 큰 테이블 사이 FK</t>
  </si>
  <si>
    <t>큰 테이블 사이 FK 7개의 CASCADE 제거 + 인덱스 3개 (Device 1건 삭제가 10분을 넘겨 변경)</t>
  </si>
  <si>
    <t>2026-10-06</t>
  </si>
  <si>
    <t>2026-10-06_tqp_gds_map_sha_nullable.sql</t>
  </si>
  <si>
    <t>GDS_SHA256 NULL 허용 (화면에서 파일 해시 계산 제거)</t>
  </si>
  <si>
    <t>2026-10-06_tqp_gds_map_view_side.sql</t>
  </si>
  <si>
    <t>VIEW_SIDE 추가 (Front / Back side 저장 기준)</t>
  </si>
  <si>
    <t>E-Test 결과 파일 테이블 + SRC_FILE_SEQ 생성</t>
  </si>
  <si>
    <t>ET_ITEM / ET_DIE / ET_VALUE / SRC_FILE</t>
  </si>
  <si>
    <t>E-Test 측정 항목 / Die / 측정값 테이블 + ET_ITEM_SEQ 생성, 파일 테이블 건수 / 상태 컬럼 추가</t>
  </si>
  <si>
    <t>2026-10-07_tqp_gds_et_limit.sql</t>
  </si>
  <si>
    <t>E-Test Limit 최초 생성 (Para 이름 기준). 10-12 재생성</t>
  </si>
  <si>
    <t>2026-10-07_tqp_gds_src_file_uq_wafer.sql</t>
  </si>
  <si>
    <t>파일 중복 기준을 FACTORY + WAFER_ID 로 변경</t>
  </si>
  <si>
    <t>2026-10-08</t>
  </si>
  <si>
    <t>2026-10-08_tqp_gds_map_drop_sha.sql</t>
  </si>
  <si>
    <t>GDS_SHA256 컬럼 삭제</t>
  </si>
  <si>
    <t>2026-10-12_tqp_gds_src_file_name_rule.sql</t>
  </si>
  <si>
    <t>파일명 8칸 규칙 컬럼 추가 (CUSTOMER / FILE_DEVICE / WAFER_TYPE / WAFER_REV / LOT_WAFER_NO / FAB_NAME / Pass / Fail 건수 / PARSE_RULE_VER / VIEW_SIDE)</t>
  </si>
  <si>
    <t>2026-10-12_tqp_gds_src_file_uq_wafer_test.sql</t>
  </si>
  <si>
    <t>파일 중복 기준을 FACTORY + WAFER_ID + TEST_PROGRAM(공정) 으로 변경</t>
  </si>
  <si>
    <t>2026-10-12_tqp_gds_map_sub_device.sql</t>
  </si>
  <si>
    <t>대표 Device / Sub Device 테이블 생성 (10-15 삭제)</t>
  </si>
  <si>
    <t>2026-10-12_tqp_gds_et_limit_item.sql</t>
  </si>
  <si>
    <t>Spec 을 Device + 공정 + Parameter(헤더 전체) 키로 재생성</t>
  </si>
  <si>
    <t>2026-10-12_tqp_gds_et_chain_map.sql</t>
  </si>
  <si>
    <t>E-Test Chain -&gt; 대표 Chain 연결 생성 (같은 날 대체됨, 다시 실행하지 않음)</t>
  </si>
  <si>
    <t>2026-10-12_tqp_gds_et_chain_group.sql</t>
  </si>
  <si>
    <t>Chain 묶음 테이블 + 시퀀스 생성, ET_CHAIN_MAP 삭제</t>
  </si>
  <si>
    <t>2026-10-12_tqp_gds_source_el_drop.sql</t>
  </si>
  <si>
    <t>SOURCE_EL / MAP / IMPORT_JOB / IMPORT_BATCH / PLACED_EL</t>
  </si>
  <si>
    <t>TQP_GDS_SOURCE_EL 삭제, 원본 건수 / 원본 Payload 버전 컬럼과 SOURCE 배치 종류 정리</t>
  </si>
  <si>
    <t>2026-10-14_tqp_gds_et_para_rep_chain.sql</t>
  </si>
  <si>
    <t>TQP_GDS_ET_ITEM / ET_REP_CHAIN / ET_CHAIN_LINK</t>
  </si>
  <si>
    <t>ET_ITEM 을 Parameter 마스터로 쓰는 컬럼 추가, 대표 Chain 테이블 2개 생성</t>
  </si>
  <si>
    <t>2026-10-14_tqp_gds_et_limit_fk.sql</t>
  </si>
  <si>
    <t>TQP_GDS_ET_LIMIT / ET_CHAIN_GROUP</t>
  </si>
  <si>
    <t>Spec -&gt; 등록 Parameter FK (CASCADE), Chain 묶음 테이블 삭제</t>
  </si>
  <si>
    <t>2026-10-14_tqp_gds_et_local_reset.sql</t>
  </si>
  <si>
    <t>E-Test 데이터</t>
  </si>
  <si>
    <t>로컬 DB 전용 E-Test 데이터 정리 (구조 변경 없음, 고객 DB 실행 금지)</t>
  </si>
  <si>
    <t>2026-10-14_tqp_gds_et_upload_registered.sql</t>
  </si>
  <si>
    <t>SRC_FILE / ET_DIE / ET_VALUE / ET_ITEM</t>
  </si>
  <si>
    <t>업로드 재설계: 헤더 / 등록 / 누락 건수, Spec 판정, Map 좌표 컬럼 추가, ET_ITEM.TEST_PROGRAM NOT NULL</t>
  </si>
  <si>
    <t>2026-10-14_tqp_gds_et_para_gds_chain.sql</t>
  </si>
  <si>
    <t>ET_ITEM.GDS_CHAIN_NAME 추가, 대표 Chain 테이블 2개 삭제</t>
  </si>
  <si>
    <t>2026-10-14_tqp_gds_et_yms.sql</t>
  </si>
  <si>
    <t>YMS 반영 상태 컬럼 추가 (YMS_STATUS / PROGRAM / LOT_SEQ / WAFER_SEQ / TIME / MESSAGE)</t>
  </si>
  <si>
    <t>2026-10-15_tqp_gds_map_sub_device_drop.sql</t>
  </si>
  <si>
    <t>Sub Device 테이블 삭제 (GDS Map 복사로 대체)</t>
  </si>
  <si>
    <t>2026-10-15_tqp_gds_et_comment_refresh.sql</t>
  </si>
  <si>
    <t>TQP_GDS_ET_ITEM / TQP_GDS_SRC_FILE</t>
  </si>
  <si>
    <t>E-Test 주석 19개를 현재 동작 기준으로 갱신 (구조 변경 없음). 문자가 깨져 저장된 YMS 컬럼 주석 6개 다시 넣음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</si>
</sst>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&quot;개  - GDS 도면 저장 (헤더 / Layer / 배치 도형 / 저장 작업)&quot;"/>
    <numFmt numFmtId="177" formatCode="0&quot;개  - Chain 설정 / 포함 도형 / 탐색 Layer / 규칙 / 편집 이력&quot;"/>
    <numFmt numFmtId="178" formatCode="0&quot;개  - E-Test 결과 파일 / 측정 항목 / Die / 측정값 / Spec&quot;"/>
    <numFmt numFmtId="179" formatCode="0&quot;개&quot;"/>
  </numFmts>
  <fonts count="10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Consolas"/>
    </font>
    <font>
      <b/>
      <sz val="16"/>
      <color rgb="FF000000"/>
      <name val="맑은 고딕"/>
      <family val="3"/>
      <charset val="129"/>
    </font>
    <font>
      <b/>
      <u/>
      <sz val="10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BDD7EE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6" fontId="4" fillId="0" borderId="1" xfId="0" applyNumberFormat="1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left" vertical="center"/>
    </xf>
    <xf numFmtId="178" fontId="4" fillId="0" borderId="1" xfId="0" applyNumberFormat="1" applyFont="1" applyBorder="1" applyAlignment="1">
      <alignment horizontal="left" vertical="center"/>
    </xf>
    <xf numFmtId="179" fontId="3" fillId="2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36"/>
  <sheetViews>
    <sheetView showGridLines="0" tabSelected="1" workbookViewId="0"/>
  </sheetViews>
  <sheetFormatPr defaultRowHeight="17" x14ac:dyDescent="0.45"/>
  <cols>
    <col min="1" max="1" width="4" customWidth="1"/>
    <col min="2" max="2" width="22" customWidth="1"/>
    <col min="3" max="3" width="90" customWidth="1"/>
  </cols>
  <sheetData>
    <row r="2" spans="2:3" ht="32" customHeight="1" x14ac:dyDescent="0.45">
      <c r="B2" s="17" t="s">
        <v>0</v>
      </c>
      <c r="C2" s="18"/>
    </row>
    <row r="4" spans="2:3" x14ac:dyDescent="0.45">
      <c r="B4" s="1" t="s">
        <v>1</v>
      </c>
      <c r="C4" s="2" t="s">
        <v>2</v>
      </c>
    </row>
    <row r="5" spans="2:3" x14ac:dyDescent="0.45">
      <c r="B5" s="1" t="s">
        <v>3</v>
      </c>
      <c r="C5" s="2" t="s">
        <v>4</v>
      </c>
    </row>
    <row r="6" spans="2:3" x14ac:dyDescent="0.45">
      <c r="B6" s="1" t="s">
        <v>5</v>
      </c>
      <c r="C6" s="2" t="s">
        <v>6</v>
      </c>
    </row>
    <row r="7" spans="2:3" ht="32" x14ac:dyDescent="0.45">
      <c r="B7" s="1" t="s">
        <v>7</v>
      </c>
      <c r="C7" s="2" t="s">
        <v>8</v>
      </c>
    </row>
    <row r="8" spans="2:3" ht="32" x14ac:dyDescent="0.45">
      <c r="B8" s="1" t="s">
        <v>9</v>
      </c>
      <c r="C8" s="2" t="s">
        <v>10</v>
      </c>
    </row>
    <row r="10" spans="2:3" x14ac:dyDescent="0.45">
      <c r="B10" s="3" t="s">
        <v>11</v>
      </c>
      <c r="C10" s="3" t="s">
        <v>12</v>
      </c>
    </row>
    <row r="11" spans="2:3" x14ac:dyDescent="0.45">
      <c r="B11" s="4" t="s">
        <v>13</v>
      </c>
      <c r="C11" s="5">
        <f>COUNTIF('테이블 목록'!B4:B19,B11)</f>
        <v>5</v>
      </c>
    </row>
    <row r="12" spans="2:3" x14ac:dyDescent="0.45">
      <c r="B12" s="4" t="s">
        <v>14</v>
      </c>
      <c r="C12" s="6">
        <f>COUNTIF('테이블 목록'!B4:B19,B12)</f>
        <v>6</v>
      </c>
    </row>
    <row r="13" spans="2:3" x14ac:dyDescent="0.45">
      <c r="B13" s="4" t="s">
        <v>15</v>
      </c>
      <c r="C13" s="7">
        <f>COUNTIF('테이블 목록'!B4:B19,B13)</f>
        <v>5</v>
      </c>
    </row>
    <row r="14" spans="2:3" x14ac:dyDescent="0.45">
      <c r="B14" s="1" t="s">
        <v>16</v>
      </c>
      <c r="C14" s="8">
        <f>SUM(C11:C13)</f>
        <v>16</v>
      </c>
    </row>
    <row r="16" spans="2:3" x14ac:dyDescent="0.45">
      <c r="B16" s="3" t="s">
        <v>17</v>
      </c>
      <c r="C16" s="3" t="s">
        <v>18</v>
      </c>
    </row>
    <row r="17" spans="2:3" x14ac:dyDescent="0.45">
      <c r="B17" s="9" t="s">
        <v>19</v>
      </c>
      <c r="C17" s="2" t="s">
        <v>20</v>
      </c>
    </row>
    <row r="18" spans="2:3" x14ac:dyDescent="0.45">
      <c r="B18" s="4" t="s">
        <v>21</v>
      </c>
      <c r="C18" s="2" t="s">
        <v>22</v>
      </c>
    </row>
    <row r="19" spans="2:3" x14ac:dyDescent="0.45">
      <c r="B19" s="9" t="s">
        <v>23</v>
      </c>
      <c r="C19" s="2" t="s">
        <v>24</v>
      </c>
    </row>
    <row r="20" spans="2:3" x14ac:dyDescent="0.45">
      <c r="B20" s="9" t="s">
        <v>25</v>
      </c>
      <c r="C20" s="2" t="s">
        <v>26</v>
      </c>
    </row>
    <row r="21" spans="2:3" x14ac:dyDescent="0.45">
      <c r="B21" s="9" t="s">
        <v>27</v>
      </c>
      <c r="C21" s="2" t="s">
        <v>28</v>
      </c>
    </row>
    <row r="23" spans="2:3" x14ac:dyDescent="0.45">
      <c r="B23" s="3" t="s">
        <v>29</v>
      </c>
      <c r="C23" s="3" t="s">
        <v>30</v>
      </c>
    </row>
    <row r="24" spans="2:3" x14ac:dyDescent="0.45">
      <c r="B24" s="4" t="s">
        <v>31</v>
      </c>
      <c r="C24" s="2" t="s">
        <v>32</v>
      </c>
    </row>
    <row r="25" spans="2:3" x14ac:dyDescent="0.45">
      <c r="B25" s="4" t="s">
        <v>33</v>
      </c>
      <c r="C25" s="2" t="s">
        <v>34</v>
      </c>
    </row>
    <row r="26" spans="2:3" x14ac:dyDescent="0.45">
      <c r="B26" s="4" t="s">
        <v>35</v>
      </c>
      <c r="C26" s="2" t="s">
        <v>36</v>
      </c>
    </row>
    <row r="27" spans="2:3" x14ac:dyDescent="0.45">
      <c r="B27" s="4" t="s">
        <v>37</v>
      </c>
      <c r="C27" s="2" t="s">
        <v>38</v>
      </c>
    </row>
    <row r="28" spans="2:3" x14ac:dyDescent="0.45">
      <c r="B28" s="4" t="s">
        <v>39</v>
      </c>
      <c r="C28" s="2" t="s">
        <v>40</v>
      </c>
    </row>
    <row r="29" spans="2:3" ht="32" x14ac:dyDescent="0.45">
      <c r="B29" s="4" t="s">
        <v>41</v>
      </c>
      <c r="C29" s="2" t="s">
        <v>42</v>
      </c>
    </row>
    <row r="31" spans="2:3" x14ac:dyDescent="0.45">
      <c r="B31" s="3" t="s">
        <v>43</v>
      </c>
      <c r="C31" s="3" t="s">
        <v>18</v>
      </c>
    </row>
    <row r="32" spans="2:3" x14ac:dyDescent="0.45">
      <c r="B32" s="4" t="s">
        <v>44</v>
      </c>
      <c r="C32" s="2" t="s">
        <v>45</v>
      </c>
    </row>
    <row r="33" spans="2:3" x14ac:dyDescent="0.45">
      <c r="B33" s="4" t="s">
        <v>46</v>
      </c>
      <c r="C33" s="2" t="s">
        <v>47</v>
      </c>
    </row>
    <row r="34" spans="2:3" x14ac:dyDescent="0.45">
      <c r="B34" s="4" t="s">
        <v>48</v>
      </c>
      <c r="C34" s="2" t="s">
        <v>49</v>
      </c>
    </row>
    <row r="35" spans="2:3" x14ac:dyDescent="0.45">
      <c r="B35" s="4" t="s">
        <v>50</v>
      </c>
      <c r="C35" s="2" t="s">
        <v>51</v>
      </c>
    </row>
    <row r="36" spans="2:3" ht="32" x14ac:dyDescent="0.45">
      <c r="B36" s="4" t="s">
        <v>52</v>
      </c>
      <c r="C36" s="2" t="s">
        <v>53</v>
      </c>
    </row>
  </sheetData>
  <mergeCells count="1">
    <mergeCell ref="B2:C2"/>
  </mergeCells>
  <phoneticPr fontId="9" type="noConversion"/>
  <hyperlinks>
    <hyperlink ref="B17" location="'테이블 목록'!A1" display="테이블 목록"/>
    <hyperlink ref="B19" location="'관계(FK)'!A1" display="관계(FK)"/>
    <hyperlink ref="B20" location="'시퀀스'!A1" display="시퀀스"/>
    <hyperlink ref="B21" location="'변경 이력'!A1" display="변경 이력"/>
  </hyperlinks>
  <printOptions horizontalCentered="1"/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showGridLines="0" workbookViewId="0">
      <pane ySplit="3" topLeftCell="A4" activePane="bottomLeft" state="frozen"/>
      <selection pane="bottomLeft"/>
    </sheetView>
  </sheetViews>
  <sheetFormatPr defaultRowHeight="17" x14ac:dyDescent="0.45"/>
  <cols>
    <col min="1" max="1" width="5" customWidth="1"/>
    <col min="2" max="2" width="11" customWidth="1"/>
    <col min="3" max="3" width="24" customWidth="1"/>
    <col min="4" max="4" width="52" customWidth="1"/>
    <col min="5" max="5" width="36" customWidth="1"/>
    <col min="6" max="6" width="8" customWidth="1"/>
    <col min="7" max="7" width="22" customWidth="1"/>
    <col min="8" max="9" width="26" customWidth="1"/>
    <col min="10" max="10" width="54" customWidth="1"/>
  </cols>
  <sheetData>
    <row r="1" spans="1:10" ht="26" customHeight="1" x14ac:dyDescent="0.45">
      <c r="A1" s="19" t="s">
        <v>54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45">
      <c r="A3" s="3" t="s">
        <v>55</v>
      </c>
      <c r="B3" s="3" t="s">
        <v>11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61</v>
      </c>
      <c r="I3" s="3" t="s">
        <v>62</v>
      </c>
      <c r="J3" s="3" t="s">
        <v>63</v>
      </c>
    </row>
    <row r="4" spans="1:10" ht="80" x14ac:dyDescent="0.45">
      <c r="A4" s="10">
        <v>1</v>
      </c>
      <c r="B4" s="10" t="s">
        <v>13</v>
      </c>
      <c r="C4" s="11" t="s">
        <v>64</v>
      </c>
      <c r="D4" s="2" t="s">
        <v>65</v>
      </c>
      <c r="E4" s="2" t="s">
        <v>66</v>
      </c>
      <c r="F4" s="10">
        <f>COUNTA(TQP_GDS_MAP!B9:B22)</f>
        <v>14</v>
      </c>
      <c r="G4" s="2"/>
      <c r="H4" s="2" t="s">
        <v>67</v>
      </c>
      <c r="I4" s="2" t="s">
        <v>68</v>
      </c>
      <c r="J4" s="2" t="s">
        <v>69</v>
      </c>
    </row>
    <row r="5" spans="1:10" ht="48" x14ac:dyDescent="0.45">
      <c r="A5" s="10">
        <v>2</v>
      </c>
      <c r="B5" s="10" t="s">
        <v>13</v>
      </c>
      <c r="C5" s="11" t="s">
        <v>70</v>
      </c>
      <c r="D5" s="2" t="s">
        <v>71</v>
      </c>
      <c r="E5" s="2" t="s">
        <v>72</v>
      </c>
      <c r="F5" s="10">
        <f>COUNTA(TQP_GDS_LAYER!B9:B13)</f>
        <v>5</v>
      </c>
      <c r="G5" s="2" t="s">
        <v>64</v>
      </c>
      <c r="H5" s="2" t="s">
        <v>73</v>
      </c>
      <c r="I5" s="2" t="s">
        <v>74</v>
      </c>
      <c r="J5" s="2" t="s">
        <v>75</v>
      </c>
    </row>
    <row r="6" spans="1:10" ht="48" x14ac:dyDescent="0.45">
      <c r="A6" s="10">
        <v>3</v>
      </c>
      <c r="B6" s="10" t="s">
        <v>13</v>
      </c>
      <c r="C6" s="11" t="s">
        <v>76</v>
      </c>
      <c r="D6" s="2" t="s">
        <v>77</v>
      </c>
      <c r="E6" s="2" t="s">
        <v>78</v>
      </c>
      <c r="F6" s="10">
        <f>COUNTA(TQP_GDS_PLACED_EL!B9:B30)</f>
        <v>22</v>
      </c>
      <c r="G6" s="2" t="s">
        <v>70</v>
      </c>
      <c r="H6" s="2" t="s">
        <v>79</v>
      </c>
      <c r="I6" s="2" t="s">
        <v>80</v>
      </c>
      <c r="J6" s="2" t="s">
        <v>81</v>
      </c>
    </row>
    <row r="7" spans="1:10" ht="32" x14ac:dyDescent="0.45">
      <c r="A7" s="10">
        <v>4</v>
      </c>
      <c r="B7" s="10" t="s">
        <v>13</v>
      </c>
      <c r="C7" s="11" t="s">
        <v>82</v>
      </c>
      <c r="D7" s="2" t="s">
        <v>83</v>
      </c>
      <c r="E7" s="2" t="s">
        <v>84</v>
      </c>
      <c r="F7" s="10">
        <f>COUNTA(TQP_GDS_IMPORT_JOB!B9:B20)</f>
        <v>12</v>
      </c>
      <c r="G7" s="2" t="s">
        <v>64</v>
      </c>
      <c r="H7" s="2" t="s">
        <v>85</v>
      </c>
      <c r="I7" s="2" t="s">
        <v>86</v>
      </c>
      <c r="J7" s="2" t="s">
        <v>87</v>
      </c>
    </row>
    <row r="8" spans="1:10" ht="32" x14ac:dyDescent="0.45">
      <c r="A8" s="10">
        <v>5</v>
      </c>
      <c r="B8" s="10" t="s">
        <v>13</v>
      </c>
      <c r="C8" s="11" t="s">
        <v>85</v>
      </c>
      <c r="D8" s="2" t="s">
        <v>88</v>
      </c>
      <c r="E8" s="2" t="s">
        <v>89</v>
      </c>
      <c r="F8" s="10">
        <f>COUNTA(TQP_GDS_IMPORT_BATCH!B9:B17)</f>
        <v>9</v>
      </c>
      <c r="G8" s="2" t="s">
        <v>82</v>
      </c>
      <c r="H8" s="2"/>
      <c r="I8" s="2" t="s">
        <v>90</v>
      </c>
      <c r="J8" s="2" t="s">
        <v>87</v>
      </c>
    </row>
    <row r="9" spans="1:10" x14ac:dyDescent="0.45">
      <c r="A9" s="10">
        <v>6</v>
      </c>
      <c r="B9" s="10" t="s">
        <v>14</v>
      </c>
      <c r="C9" s="11" t="s">
        <v>91</v>
      </c>
      <c r="D9" s="2" t="s">
        <v>92</v>
      </c>
      <c r="E9" s="2" t="s">
        <v>93</v>
      </c>
      <c r="F9" s="10">
        <f>COUNTA(TQP_GDS_CHAIN!B9:B18)</f>
        <v>10</v>
      </c>
      <c r="G9" s="2" t="s">
        <v>64</v>
      </c>
      <c r="H9" s="2" t="s">
        <v>94</v>
      </c>
      <c r="I9" s="2" t="s">
        <v>95</v>
      </c>
      <c r="J9" s="2" t="s">
        <v>75</v>
      </c>
    </row>
    <row r="10" spans="1:10" ht="64" x14ac:dyDescent="0.45">
      <c r="A10" s="10">
        <v>7</v>
      </c>
      <c r="B10" s="10" t="s">
        <v>14</v>
      </c>
      <c r="C10" s="11" t="s">
        <v>94</v>
      </c>
      <c r="D10" s="2" t="s">
        <v>96</v>
      </c>
      <c r="E10" s="2" t="s">
        <v>97</v>
      </c>
      <c r="F10" s="10">
        <f>COUNTA(TQP_GDS_CHAIN_VER!B9:B22)</f>
        <v>14</v>
      </c>
      <c r="G10" s="2" t="s">
        <v>91</v>
      </c>
      <c r="H10" s="2" t="s">
        <v>98</v>
      </c>
      <c r="I10" s="2" t="s">
        <v>99</v>
      </c>
      <c r="J10" s="2" t="s">
        <v>75</v>
      </c>
    </row>
    <row r="11" spans="1:10" ht="32" x14ac:dyDescent="0.45">
      <c r="A11" s="10">
        <v>8</v>
      </c>
      <c r="B11" s="10" t="s">
        <v>14</v>
      </c>
      <c r="C11" s="11" t="s">
        <v>100</v>
      </c>
      <c r="D11" s="2" t="s">
        <v>101</v>
      </c>
      <c r="E11" s="2" t="s">
        <v>102</v>
      </c>
      <c r="F11" s="10">
        <f>COUNTA(TQP_GDS_CHAIN_MEMBER!B9:B17)</f>
        <v>9</v>
      </c>
      <c r="G11" s="2" t="s">
        <v>103</v>
      </c>
      <c r="H11" s="2"/>
      <c r="I11" s="2" t="s">
        <v>104</v>
      </c>
      <c r="J11" s="2" t="s">
        <v>105</v>
      </c>
    </row>
    <row r="12" spans="1:10" ht="32" x14ac:dyDescent="0.45">
      <c r="A12" s="10">
        <v>9</v>
      </c>
      <c r="B12" s="10" t="s">
        <v>14</v>
      </c>
      <c r="C12" s="11" t="s">
        <v>106</v>
      </c>
      <c r="D12" s="2" t="s">
        <v>107</v>
      </c>
      <c r="E12" s="2" t="s">
        <v>108</v>
      </c>
      <c r="F12" s="10">
        <f>COUNTA(TQP_GDS_CHAIN_LAYER!B9:B13)</f>
        <v>5</v>
      </c>
      <c r="G12" s="2" t="s">
        <v>109</v>
      </c>
      <c r="H12" s="2"/>
      <c r="I12" s="2" t="s">
        <v>110</v>
      </c>
      <c r="J12" s="2" t="s">
        <v>105</v>
      </c>
    </row>
    <row r="13" spans="1:10" ht="48" x14ac:dyDescent="0.45">
      <c r="A13" s="10">
        <v>10</v>
      </c>
      <c r="B13" s="10" t="s">
        <v>14</v>
      </c>
      <c r="C13" s="11" t="s">
        <v>111</v>
      </c>
      <c r="D13" s="2" t="s">
        <v>112</v>
      </c>
      <c r="E13" s="2" t="s">
        <v>113</v>
      </c>
      <c r="F13" s="10">
        <f>COUNTA(TQP_GDS_CHAIN_RULE!B9:B15)</f>
        <v>7</v>
      </c>
      <c r="G13" s="2" t="s">
        <v>109</v>
      </c>
      <c r="H13" s="2"/>
      <c r="I13" s="2" t="s">
        <v>114</v>
      </c>
      <c r="J13" s="2" t="s">
        <v>105</v>
      </c>
    </row>
    <row r="14" spans="1:10" ht="32" x14ac:dyDescent="0.45">
      <c r="A14" s="10">
        <v>11</v>
      </c>
      <c r="B14" s="10" t="s">
        <v>14</v>
      </c>
      <c r="C14" s="11" t="s">
        <v>115</v>
      </c>
      <c r="D14" s="2" t="s">
        <v>116</v>
      </c>
      <c r="E14" s="2" t="s">
        <v>117</v>
      </c>
      <c r="F14" s="10">
        <f>COUNTA(TQP_GDS_CHAIN_EDIT!B9:B18)</f>
        <v>10</v>
      </c>
      <c r="G14" s="2" t="s">
        <v>103</v>
      </c>
      <c r="H14" s="2"/>
      <c r="I14" s="2" t="s">
        <v>118</v>
      </c>
      <c r="J14" s="2" t="s">
        <v>105</v>
      </c>
    </row>
    <row r="15" spans="1:10" ht="112" x14ac:dyDescent="0.45">
      <c r="A15" s="10">
        <v>12</v>
      </c>
      <c r="B15" s="10" t="s">
        <v>15</v>
      </c>
      <c r="C15" s="11" t="s">
        <v>119</v>
      </c>
      <c r="D15" s="2" t="s">
        <v>120</v>
      </c>
      <c r="E15" s="2" t="s">
        <v>121</v>
      </c>
      <c r="F15" s="10">
        <f>COUNTA(TQP_GDS_SRC_FILE!B9:B50)</f>
        <v>42</v>
      </c>
      <c r="G15" s="2"/>
      <c r="H15" s="2" t="s">
        <v>122</v>
      </c>
      <c r="I15" s="2" t="s">
        <v>123</v>
      </c>
      <c r="J15" s="2" t="s">
        <v>124</v>
      </c>
    </row>
    <row r="16" spans="1:10" ht="64" x14ac:dyDescent="0.45">
      <c r="A16" s="10">
        <v>13</v>
      </c>
      <c r="B16" s="10" t="s">
        <v>15</v>
      </c>
      <c r="C16" s="11" t="s">
        <v>125</v>
      </c>
      <c r="D16" s="2" t="s">
        <v>126</v>
      </c>
      <c r="E16" s="2" t="s">
        <v>127</v>
      </c>
      <c r="F16" s="10">
        <f>COUNTA(TQP_GDS_ET_ITEM!B9:B34)</f>
        <v>26</v>
      </c>
      <c r="G16" s="2"/>
      <c r="H16" s="2" t="s">
        <v>128</v>
      </c>
      <c r="I16" s="2" t="s">
        <v>129</v>
      </c>
      <c r="J16" s="2" t="s">
        <v>130</v>
      </c>
    </row>
    <row r="17" spans="1:10" ht="32" x14ac:dyDescent="0.45">
      <c r="A17" s="10">
        <v>14</v>
      </c>
      <c r="B17" s="10" t="s">
        <v>15</v>
      </c>
      <c r="C17" s="11" t="s">
        <v>122</v>
      </c>
      <c r="D17" s="2" t="s">
        <v>131</v>
      </c>
      <c r="E17" s="2" t="s">
        <v>132</v>
      </c>
      <c r="F17" s="10">
        <f>COUNTA(TQP_GDS_ET_DIE!B9:B24)</f>
        <v>16</v>
      </c>
      <c r="G17" s="2" t="s">
        <v>119</v>
      </c>
      <c r="H17" s="2" t="s">
        <v>133</v>
      </c>
      <c r="I17" s="2" t="s">
        <v>134</v>
      </c>
      <c r="J17" s="2" t="s">
        <v>135</v>
      </c>
    </row>
    <row r="18" spans="1:10" ht="32" x14ac:dyDescent="0.45">
      <c r="A18" s="10">
        <v>15</v>
      </c>
      <c r="B18" s="10" t="s">
        <v>15</v>
      </c>
      <c r="C18" s="11" t="s">
        <v>133</v>
      </c>
      <c r="D18" s="2" t="s">
        <v>136</v>
      </c>
      <c r="E18" s="2" t="s">
        <v>137</v>
      </c>
      <c r="F18" s="10">
        <f>COUNTA(TQP_GDS_ET_VALUE!B9:B14)</f>
        <v>6</v>
      </c>
      <c r="G18" s="2" t="s">
        <v>138</v>
      </c>
      <c r="H18" s="2"/>
      <c r="I18" s="2" t="s">
        <v>139</v>
      </c>
      <c r="J18" s="2" t="s">
        <v>135</v>
      </c>
    </row>
    <row r="19" spans="1:10" ht="32" x14ac:dyDescent="0.45">
      <c r="A19" s="10">
        <v>16</v>
      </c>
      <c r="B19" s="10" t="s">
        <v>15</v>
      </c>
      <c r="C19" s="11" t="s">
        <v>140</v>
      </c>
      <c r="D19" s="2" t="s">
        <v>141</v>
      </c>
      <c r="E19" s="2" t="s">
        <v>142</v>
      </c>
      <c r="F19" s="10">
        <f>COUNTA(TQP_GDS_ET_LIMIT!B9:B22)</f>
        <v>14</v>
      </c>
      <c r="G19" s="2" t="s">
        <v>125</v>
      </c>
      <c r="H19" s="2"/>
      <c r="I19" s="2" t="s">
        <v>143</v>
      </c>
      <c r="J19" s="2" t="s">
        <v>144</v>
      </c>
    </row>
    <row r="20" spans="1:10" x14ac:dyDescent="0.45">
      <c r="E20" s="12" t="s">
        <v>16</v>
      </c>
      <c r="F20" s="12">
        <f>SUM(F4:F19)</f>
        <v>221</v>
      </c>
    </row>
  </sheetData>
  <mergeCells count="1">
    <mergeCell ref="A1:J1"/>
  </mergeCells>
  <phoneticPr fontId="9" type="noConversion"/>
  <hyperlinks>
    <hyperlink ref="C4" location="'TQP_GDS_MAP'!A1" display="TQP_GDS_MAP"/>
    <hyperlink ref="C5" location="'TQP_GDS_LAYER'!A1" display="TQP_GDS_LAYER"/>
    <hyperlink ref="C6" location="'TQP_GDS_PLACED_EL'!A1" display="TQP_GDS_PLACED_EL"/>
    <hyperlink ref="C7" location="'TQP_GDS_IMPORT_JOB'!A1" display="TQP_GDS_IMPORT_JOB"/>
    <hyperlink ref="C8" location="'TQP_GDS_IMPORT_BATCH'!A1" display="TQP_GDS_IMPORT_BATCH"/>
    <hyperlink ref="C9" location="'TQP_GDS_CHAIN'!A1" display="TQP_GDS_CHAIN"/>
    <hyperlink ref="C10" location="'TQP_GDS_CHAIN_VER'!A1" display="TQP_GDS_CHAIN_VER"/>
    <hyperlink ref="C11" location="'TQP_GDS_CHAIN_MEMBER'!A1" display="TQP_GDS_CHAIN_MEMBER"/>
    <hyperlink ref="C12" location="'TQP_GDS_CHAIN_LAYER'!A1" display="TQP_GDS_CHAIN_LAYER"/>
    <hyperlink ref="C13" location="'TQP_GDS_CHAIN_RULE'!A1" display="TQP_GDS_CHAIN_RULE"/>
    <hyperlink ref="C14" location="'TQP_GDS_CHAIN_EDIT'!A1" display="TQP_GDS_CHAIN_EDIT"/>
    <hyperlink ref="C15" location="'TQP_GDS_SRC_FILE'!A1" display="TQP_GDS_SRC_FILE"/>
    <hyperlink ref="C16" location="'TQP_GDS_ET_ITEM'!A1" display="TQP_GDS_ET_ITEM"/>
    <hyperlink ref="C17" location="'TQP_GDS_ET_DIE'!A1" display="TQP_GDS_ET_DIE"/>
    <hyperlink ref="C18" location="'TQP_GDS_ET_VALUE'!A1" display="TQP_GDS_ET_VALUE"/>
    <hyperlink ref="C19" location="'TQP_GDS_ET_LIMIT'!A1" display="TQP_GDS_ET_LIMIT"/>
  </hyperlinks>
  <printOptions horizontalCentered="1"/>
  <pageMargins left="0.75" right="0.75" top="1" bottom="1" header="0.5" footer="0.5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64</v>
      </c>
      <c r="D3" s="1" t="s">
        <v>11</v>
      </c>
      <c r="E3" s="20" t="s">
        <v>13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65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149</v>
      </c>
      <c r="D5" s="1" t="s">
        <v>59</v>
      </c>
      <c r="E5" s="24">
        <f>COUNTA(B9:B22)</f>
        <v>14</v>
      </c>
      <c r="F5" s="25"/>
      <c r="G5" s="1" t="s">
        <v>62</v>
      </c>
      <c r="H5" s="20" t="s">
        <v>68</v>
      </c>
      <c r="I5" s="25"/>
    </row>
    <row r="6" spans="1:9" ht="74" customHeight="1" x14ac:dyDescent="0.45">
      <c r="A6" s="26" t="s">
        <v>63</v>
      </c>
      <c r="B6" s="25"/>
      <c r="C6" s="20" t="s">
        <v>69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153</v>
      </c>
      <c r="C9" s="15" t="s">
        <v>154</v>
      </c>
      <c r="D9" s="15" t="s">
        <v>155</v>
      </c>
      <c r="E9" s="14" t="s">
        <v>156</v>
      </c>
      <c r="F9" s="14">
        <v>1</v>
      </c>
      <c r="G9" s="15"/>
      <c r="H9" s="15"/>
      <c r="I9" s="15"/>
    </row>
    <row r="10" spans="1:9" ht="32" x14ac:dyDescent="0.45">
      <c r="A10" s="14">
        <v>2</v>
      </c>
      <c r="B10" s="15" t="s">
        <v>157</v>
      </c>
      <c r="C10" s="15" t="s">
        <v>158</v>
      </c>
      <c r="D10" s="15" t="s">
        <v>159</v>
      </c>
      <c r="E10" s="14" t="s">
        <v>156</v>
      </c>
      <c r="F10" s="14">
        <v>2</v>
      </c>
      <c r="G10" s="15"/>
      <c r="H10" s="15"/>
      <c r="I10" s="15"/>
    </row>
    <row r="11" spans="1:9" x14ac:dyDescent="0.45">
      <c r="A11" s="10">
        <v>3</v>
      </c>
      <c r="B11" s="2" t="s">
        <v>160</v>
      </c>
      <c r="C11" s="2" t="s">
        <v>161</v>
      </c>
      <c r="D11" s="2" t="s">
        <v>162</v>
      </c>
      <c r="E11" s="10" t="s">
        <v>156</v>
      </c>
      <c r="F11" s="10"/>
      <c r="G11" s="2"/>
      <c r="H11" s="2"/>
      <c r="I11" s="2"/>
    </row>
    <row r="12" spans="1:9" x14ac:dyDescent="0.45">
      <c r="A12" s="10">
        <v>4</v>
      </c>
      <c r="B12" s="2" t="s">
        <v>163</v>
      </c>
      <c r="C12" s="2" t="s">
        <v>164</v>
      </c>
      <c r="D12" s="2" t="s">
        <v>165</v>
      </c>
      <c r="E12" s="10" t="s">
        <v>166</v>
      </c>
      <c r="F12" s="10"/>
      <c r="G12" s="2"/>
      <c r="H12" s="2"/>
      <c r="I12" s="2"/>
    </row>
    <row r="13" spans="1:9" x14ac:dyDescent="0.45">
      <c r="A13" s="10">
        <v>5</v>
      </c>
      <c r="B13" s="2" t="s">
        <v>167</v>
      </c>
      <c r="C13" s="2" t="s">
        <v>168</v>
      </c>
      <c r="D13" s="2" t="s">
        <v>169</v>
      </c>
      <c r="E13" s="10" t="s">
        <v>156</v>
      </c>
      <c r="F13" s="10"/>
      <c r="G13" s="2"/>
      <c r="H13" s="2"/>
      <c r="I13" s="2"/>
    </row>
    <row r="14" spans="1:9" x14ac:dyDescent="0.45">
      <c r="A14" s="10">
        <v>6</v>
      </c>
      <c r="B14" s="2" t="s">
        <v>170</v>
      </c>
      <c r="C14" s="2" t="s">
        <v>171</v>
      </c>
      <c r="D14" s="2" t="s">
        <v>169</v>
      </c>
      <c r="E14" s="10" t="s">
        <v>156</v>
      </c>
      <c r="F14" s="10"/>
      <c r="G14" s="2"/>
      <c r="H14" s="2"/>
      <c r="I14" s="2"/>
    </row>
    <row r="15" spans="1:9" x14ac:dyDescent="0.45">
      <c r="A15" s="10">
        <v>7</v>
      </c>
      <c r="B15" s="2" t="s">
        <v>172</v>
      </c>
      <c r="C15" s="2" t="s">
        <v>173</v>
      </c>
      <c r="D15" s="2" t="s">
        <v>174</v>
      </c>
      <c r="E15" s="10" t="s">
        <v>156</v>
      </c>
      <c r="F15" s="10"/>
      <c r="G15" s="2"/>
      <c r="H15" s="2" t="s">
        <v>175</v>
      </c>
      <c r="I15" s="2"/>
    </row>
    <row r="16" spans="1:9" x14ac:dyDescent="0.45">
      <c r="A16" s="10">
        <v>8</v>
      </c>
      <c r="B16" s="2" t="s">
        <v>176</v>
      </c>
      <c r="C16" s="2" t="s">
        <v>177</v>
      </c>
      <c r="D16" s="2" t="s">
        <v>174</v>
      </c>
      <c r="E16" s="10" t="s">
        <v>156</v>
      </c>
      <c r="F16" s="10"/>
      <c r="G16" s="2"/>
      <c r="H16" s="2" t="s">
        <v>175</v>
      </c>
      <c r="I16" s="2"/>
    </row>
    <row r="17" spans="1:9" ht="32" x14ac:dyDescent="0.45">
      <c r="A17" s="10">
        <v>9</v>
      </c>
      <c r="B17" s="2" t="s">
        <v>178</v>
      </c>
      <c r="C17" s="2" t="s">
        <v>179</v>
      </c>
      <c r="D17" s="2" t="s">
        <v>180</v>
      </c>
      <c r="E17" s="10" t="s">
        <v>156</v>
      </c>
      <c r="F17" s="10"/>
      <c r="G17" s="2"/>
      <c r="H17" s="2" t="s">
        <v>181</v>
      </c>
      <c r="I17" s="2" t="s">
        <v>182</v>
      </c>
    </row>
    <row r="18" spans="1:9" x14ac:dyDescent="0.45">
      <c r="A18" s="10">
        <v>10</v>
      </c>
      <c r="B18" s="2" t="s">
        <v>183</v>
      </c>
      <c r="C18" s="2" t="s">
        <v>184</v>
      </c>
      <c r="D18" s="2" t="s">
        <v>185</v>
      </c>
      <c r="E18" s="10" t="s">
        <v>166</v>
      </c>
      <c r="F18" s="10"/>
      <c r="G18" s="2"/>
      <c r="H18" s="2"/>
      <c r="I18" s="2"/>
    </row>
    <row r="19" spans="1:9" x14ac:dyDescent="0.45">
      <c r="A19" s="10">
        <v>11</v>
      </c>
      <c r="B19" s="2" t="s">
        <v>186</v>
      </c>
      <c r="C19" s="2" t="s">
        <v>187</v>
      </c>
      <c r="D19" s="2" t="s">
        <v>188</v>
      </c>
      <c r="E19" s="10" t="s">
        <v>156</v>
      </c>
      <c r="F19" s="10"/>
      <c r="G19" s="2"/>
      <c r="H19" s="2" t="s">
        <v>189</v>
      </c>
      <c r="I19" s="2"/>
    </row>
    <row r="20" spans="1:9" x14ac:dyDescent="0.45">
      <c r="A20" s="10">
        <v>12</v>
      </c>
      <c r="B20" s="2" t="s">
        <v>190</v>
      </c>
      <c r="C20" s="2" t="s">
        <v>191</v>
      </c>
      <c r="D20" s="2" t="s">
        <v>185</v>
      </c>
      <c r="E20" s="10" t="s">
        <v>166</v>
      </c>
      <c r="F20" s="10"/>
      <c r="G20" s="2"/>
      <c r="H20" s="2"/>
      <c r="I20" s="2"/>
    </row>
    <row r="21" spans="1:9" x14ac:dyDescent="0.45">
      <c r="A21" s="10">
        <v>13</v>
      </c>
      <c r="B21" s="2" t="s">
        <v>192</v>
      </c>
      <c r="C21" s="2" t="s">
        <v>193</v>
      </c>
      <c r="D21" s="2" t="s">
        <v>188</v>
      </c>
      <c r="E21" s="10" t="s">
        <v>166</v>
      </c>
      <c r="F21" s="10"/>
      <c r="G21" s="2"/>
      <c r="H21" s="2"/>
      <c r="I21" s="2"/>
    </row>
    <row r="22" spans="1:9" ht="32" x14ac:dyDescent="0.45">
      <c r="A22" s="10">
        <v>14</v>
      </c>
      <c r="B22" s="2" t="s">
        <v>194</v>
      </c>
      <c r="C22" s="2" t="s">
        <v>195</v>
      </c>
      <c r="D22" s="2" t="s">
        <v>196</v>
      </c>
      <c r="E22" s="10" t="s">
        <v>156</v>
      </c>
      <c r="F22" s="10"/>
      <c r="G22" s="2"/>
      <c r="H22" s="2" t="s">
        <v>197</v>
      </c>
      <c r="I22" s="2" t="s">
        <v>198</v>
      </c>
    </row>
    <row r="24" spans="1:9" x14ac:dyDescent="0.45">
      <c r="A24" s="27" t="s">
        <v>199</v>
      </c>
      <c r="B24" s="25"/>
      <c r="C24" s="25"/>
      <c r="D24" s="25"/>
      <c r="E24" s="25"/>
      <c r="F24" s="25"/>
      <c r="G24" s="25"/>
      <c r="H24" s="25"/>
      <c r="I24" s="25"/>
    </row>
    <row r="25" spans="1:9" x14ac:dyDescent="0.45">
      <c r="A25" s="3" t="s">
        <v>55</v>
      </c>
      <c r="B25" s="3" t="s">
        <v>200</v>
      </c>
      <c r="C25" s="3" t="s">
        <v>201</v>
      </c>
      <c r="D25" s="23" t="s">
        <v>202</v>
      </c>
      <c r="E25" s="21"/>
      <c r="F25" s="22"/>
      <c r="G25" s="23" t="s">
        <v>18</v>
      </c>
      <c r="H25" s="21"/>
      <c r="I25" s="22"/>
    </row>
    <row r="26" spans="1:9" ht="18" customHeight="1" x14ac:dyDescent="0.45">
      <c r="A26" s="10">
        <v>1</v>
      </c>
      <c r="B26" s="10" t="s">
        <v>35</v>
      </c>
      <c r="C26" s="2" t="s">
        <v>203</v>
      </c>
      <c r="D26" s="20" t="s">
        <v>66</v>
      </c>
      <c r="E26" s="21"/>
      <c r="F26" s="22"/>
      <c r="G26" s="20" t="s">
        <v>204</v>
      </c>
      <c r="H26" s="21"/>
      <c r="I26" s="22"/>
    </row>
    <row r="27" spans="1:9" ht="32" customHeight="1" x14ac:dyDescent="0.45">
      <c r="A27" s="10">
        <v>2</v>
      </c>
      <c r="B27" s="10" t="s">
        <v>205</v>
      </c>
      <c r="C27" s="2" t="s">
        <v>206</v>
      </c>
      <c r="D27" s="20"/>
      <c r="E27" s="21"/>
      <c r="F27" s="22"/>
      <c r="G27" s="20" t="s">
        <v>207</v>
      </c>
      <c r="H27" s="21"/>
      <c r="I27" s="22"/>
    </row>
    <row r="28" spans="1:9" ht="18" customHeight="1" x14ac:dyDescent="0.45">
      <c r="A28" s="10">
        <v>3</v>
      </c>
      <c r="B28" s="10" t="s">
        <v>205</v>
      </c>
      <c r="C28" s="2" t="s">
        <v>208</v>
      </c>
      <c r="D28" s="20"/>
      <c r="E28" s="21"/>
      <c r="F28" s="22"/>
      <c r="G28" s="20" t="s">
        <v>209</v>
      </c>
      <c r="H28" s="21"/>
      <c r="I28" s="22"/>
    </row>
    <row r="29" spans="1:9" ht="18" customHeight="1" x14ac:dyDescent="0.45">
      <c r="A29" s="10">
        <v>4</v>
      </c>
      <c r="B29" s="10" t="s">
        <v>205</v>
      </c>
      <c r="C29" s="2" t="s">
        <v>210</v>
      </c>
      <c r="D29" s="20"/>
      <c r="E29" s="21"/>
      <c r="F29" s="22"/>
      <c r="G29" s="20" t="s">
        <v>211</v>
      </c>
      <c r="H29" s="21"/>
      <c r="I29" s="22"/>
    </row>
    <row r="31" spans="1:9" x14ac:dyDescent="0.45">
      <c r="A31" s="27" t="s">
        <v>212</v>
      </c>
      <c r="B31" s="25"/>
      <c r="C31" s="25"/>
      <c r="D31" s="25"/>
      <c r="E31" s="25"/>
      <c r="F31" s="25"/>
      <c r="G31" s="25"/>
      <c r="H31" s="25"/>
      <c r="I31" s="25"/>
    </row>
    <row r="32" spans="1:9" x14ac:dyDescent="0.45">
      <c r="A32" s="3" t="s">
        <v>55</v>
      </c>
      <c r="B32" s="3" t="s">
        <v>213</v>
      </c>
      <c r="C32" s="3" t="s">
        <v>214</v>
      </c>
      <c r="D32" s="23" t="s">
        <v>215</v>
      </c>
      <c r="E32" s="21"/>
      <c r="F32" s="22"/>
      <c r="G32" s="23" t="s">
        <v>216</v>
      </c>
      <c r="H32" s="21"/>
      <c r="I32" s="22"/>
    </row>
    <row r="33" spans="1:9" ht="18" customHeight="1" x14ac:dyDescent="0.45">
      <c r="A33" s="10">
        <v>1</v>
      </c>
      <c r="B33" s="10" t="s">
        <v>217</v>
      </c>
      <c r="C33" s="2" t="s">
        <v>203</v>
      </c>
      <c r="D33" s="20" t="s">
        <v>66</v>
      </c>
      <c r="E33" s="21"/>
      <c r="F33" s="22"/>
      <c r="G33" s="20" t="s">
        <v>204</v>
      </c>
      <c r="H33" s="21"/>
      <c r="I33" s="22"/>
    </row>
  </sheetData>
  <mergeCells count="27">
    <mergeCell ref="A1:I1"/>
    <mergeCell ref="H5:I5"/>
    <mergeCell ref="E3:F3"/>
    <mergeCell ref="A3:B3"/>
    <mergeCell ref="D33:F33"/>
    <mergeCell ref="G25:I25"/>
    <mergeCell ref="G32:I32"/>
    <mergeCell ref="D29:F29"/>
    <mergeCell ref="C4:I4"/>
    <mergeCell ref="A5:B5"/>
    <mergeCell ref="D26:F26"/>
    <mergeCell ref="A31:I31"/>
    <mergeCell ref="A24:I24"/>
    <mergeCell ref="H3:I3"/>
    <mergeCell ref="A4:B4"/>
    <mergeCell ref="G27:I27"/>
    <mergeCell ref="G33:I33"/>
    <mergeCell ref="D28:F28"/>
    <mergeCell ref="C6:I6"/>
    <mergeCell ref="G26:I26"/>
    <mergeCell ref="D25:F25"/>
    <mergeCell ref="G29:I29"/>
    <mergeCell ref="D27:F27"/>
    <mergeCell ref="G28:I28"/>
    <mergeCell ref="D32:F32"/>
    <mergeCell ref="E5:F5"/>
    <mergeCell ref="A6:B6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70</v>
      </c>
      <c r="D3" s="1" t="s">
        <v>11</v>
      </c>
      <c r="E3" s="20" t="s">
        <v>13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71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218</v>
      </c>
      <c r="D5" s="1" t="s">
        <v>59</v>
      </c>
      <c r="E5" s="24">
        <f>COUNTA(B9:B13)</f>
        <v>5</v>
      </c>
      <c r="F5" s="25"/>
      <c r="G5" s="1" t="s">
        <v>62</v>
      </c>
      <c r="H5" s="20" t="s">
        <v>74</v>
      </c>
      <c r="I5" s="25"/>
    </row>
    <row r="6" spans="1:9" ht="18" customHeight="1" x14ac:dyDescent="0.45">
      <c r="A6" s="26" t="s">
        <v>63</v>
      </c>
      <c r="B6" s="25"/>
      <c r="C6" s="20" t="s">
        <v>75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153</v>
      </c>
      <c r="C9" s="15" t="s">
        <v>154</v>
      </c>
      <c r="D9" s="15" t="s">
        <v>155</v>
      </c>
      <c r="E9" s="14" t="s">
        <v>156</v>
      </c>
      <c r="F9" s="14">
        <v>1</v>
      </c>
      <c r="G9" s="15" t="s">
        <v>64</v>
      </c>
      <c r="H9" s="15"/>
      <c r="I9" s="15"/>
    </row>
    <row r="10" spans="1:9" x14ac:dyDescent="0.45">
      <c r="A10" s="14">
        <v>2</v>
      </c>
      <c r="B10" s="15" t="s">
        <v>157</v>
      </c>
      <c r="C10" s="15" t="s">
        <v>219</v>
      </c>
      <c r="D10" s="15" t="s">
        <v>159</v>
      </c>
      <c r="E10" s="14" t="s">
        <v>156</v>
      </c>
      <c r="F10" s="14">
        <v>2</v>
      </c>
      <c r="G10" s="15" t="s">
        <v>64</v>
      </c>
      <c r="H10" s="15"/>
      <c r="I10" s="15"/>
    </row>
    <row r="11" spans="1:9" x14ac:dyDescent="0.45">
      <c r="A11" s="14">
        <v>3</v>
      </c>
      <c r="B11" s="15" t="s">
        <v>220</v>
      </c>
      <c r="C11" s="15" t="s">
        <v>221</v>
      </c>
      <c r="D11" s="15" t="s">
        <v>222</v>
      </c>
      <c r="E11" s="14" t="s">
        <v>156</v>
      </c>
      <c r="F11" s="14">
        <v>3</v>
      </c>
      <c r="G11" s="15"/>
      <c r="H11" s="15"/>
      <c r="I11" s="15"/>
    </row>
    <row r="12" spans="1:9" x14ac:dyDescent="0.45">
      <c r="A12" s="10">
        <v>4</v>
      </c>
      <c r="B12" s="2" t="s">
        <v>223</v>
      </c>
      <c r="C12" s="2" t="s">
        <v>224</v>
      </c>
      <c r="D12" s="2" t="s">
        <v>222</v>
      </c>
      <c r="E12" s="10" t="s">
        <v>156</v>
      </c>
      <c r="F12" s="10"/>
      <c r="G12" s="2"/>
      <c r="H12" s="2"/>
      <c r="I12" s="2"/>
    </row>
    <row r="13" spans="1:9" x14ac:dyDescent="0.45">
      <c r="A13" s="10">
        <v>5</v>
      </c>
      <c r="B13" s="2" t="s">
        <v>225</v>
      </c>
      <c r="C13" s="2" t="s">
        <v>226</v>
      </c>
      <c r="D13" s="2" t="s">
        <v>227</v>
      </c>
      <c r="E13" s="10" t="s">
        <v>166</v>
      </c>
      <c r="F13" s="10"/>
      <c r="G13" s="2"/>
      <c r="H13" s="2"/>
      <c r="I13" s="2"/>
    </row>
    <row r="15" spans="1:9" x14ac:dyDescent="0.45">
      <c r="A15" s="27" t="s">
        <v>199</v>
      </c>
      <c r="B15" s="25"/>
      <c r="C15" s="25"/>
      <c r="D15" s="25"/>
      <c r="E15" s="25"/>
      <c r="F15" s="25"/>
      <c r="G15" s="25"/>
      <c r="H15" s="25"/>
      <c r="I15" s="25"/>
    </row>
    <row r="16" spans="1:9" x14ac:dyDescent="0.45">
      <c r="A16" s="3" t="s">
        <v>55</v>
      </c>
      <c r="B16" s="3" t="s">
        <v>200</v>
      </c>
      <c r="C16" s="3" t="s">
        <v>201</v>
      </c>
      <c r="D16" s="23" t="s">
        <v>202</v>
      </c>
      <c r="E16" s="21"/>
      <c r="F16" s="22"/>
      <c r="G16" s="23" t="s">
        <v>18</v>
      </c>
      <c r="H16" s="21"/>
      <c r="I16" s="22"/>
    </row>
    <row r="17" spans="1:9" ht="18" customHeight="1" x14ac:dyDescent="0.45">
      <c r="A17" s="10">
        <v>1</v>
      </c>
      <c r="B17" s="10" t="s">
        <v>35</v>
      </c>
      <c r="C17" s="2" t="s">
        <v>228</v>
      </c>
      <c r="D17" s="20" t="s">
        <v>72</v>
      </c>
      <c r="E17" s="21"/>
      <c r="F17" s="22"/>
      <c r="G17" s="20" t="s">
        <v>204</v>
      </c>
      <c r="H17" s="21"/>
      <c r="I17" s="22"/>
    </row>
    <row r="18" spans="1:9" ht="32" customHeight="1" x14ac:dyDescent="0.45">
      <c r="A18" s="10">
        <v>2</v>
      </c>
      <c r="B18" s="10" t="s">
        <v>229</v>
      </c>
      <c r="C18" s="2" t="s">
        <v>230</v>
      </c>
      <c r="D18" s="20" t="s">
        <v>66</v>
      </c>
      <c r="E18" s="21"/>
      <c r="F18" s="22"/>
      <c r="G18" s="20" t="s">
        <v>231</v>
      </c>
      <c r="H18" s="21"/>
      <c r="I18" s="22"/>
    </row>
    <row r="20" spans="1:9" x14ac:dyDescent="0.45">
      <c r="A20" s="27" t="s">
        <v>212</v>
      </c>
      <c r="B20" s="25"/>
      <c r="C20" s="25"/>
      <c r="D20" s="25"/>
      <c r="E20" s="25"/>
      <c r="F20" s="25"/>
      <c r="G20" s="25"/>
      <c r="H20" s="25"/>
      <c r="I20" s="25"/>
    </row>
    <row r="21" spans="1:9" x14ac:dyDescent="0.45">
      <c r="A21" s="3" t="s">
        <v>55</v>
      </c>
      <c r="B21" s="3" t="s">
        <v>213</v>
      </c>
      <c r="C21" s="3" t="s">
        <v>214</v>
      </c>
      <c r="D21" s="23" t="s">
        <v>215</v>
      </c>
      <c r="E21" s="21"/>
      <c r="F21" s="22"/>
      <c r="G21" s="23" t="s">
        <v>216</v>
      </c>
      <c r="H21" s="21"/>
      <c r="I21" s="22"/>
    </row>
    <row r="22" spans="1:9" ht="18" customHeight="1" x14ac:dyDescent="0.45">
      <c r="A22" s="10">
        <v>1</v>
      </c>
      <c r="B22" s="10" t="s">
        <v>217</v>
      </c>
      <c r="C22" s="2" t="s">
        <v>228</v>
      </c>
      <c r="D22" s="20" t="s">
        <v>72</v>
      </c>
      <c r="E22" s="21"/>
      <c r="F22" s="22"/>
      <c r="G22" s="20" t="s">
        <v>204</v>
      </c>
      <c r="H22" s="21"/>
      <c r="I22" s="22"/>
    </row>
  </sheetData>
  <mergeCells count="23">
    <mergeCell ref="A1:I1"/>
    <mergeCell ref="H5:I5"/>
    <mergeCell ref="G17:I17"/>
    <mergeCell ref="D21:F21"/>
    <mergeCell ref="E3:F3"/>
    <mergeCell ref="A3:B3"/>
    <mergeCell ref="A20:I20"/>
    <mergeCell ref="G16:I16"/>
    <mergeCell ref="G22:I22"/>
    <mergeCell ref="C4:I4"/>
    <mergeCell ref="A5:B5"/>
    <mergeCell ref="G21:I21"/>
    <mergeCell ref="H3:I3"/>
    <mergeCell ref="A4:B4"/>
    <mergeCell ref="A15:I15"/>
    <mergeCell ref="D22:F22"/>
    <mergeCell ref="E5:F5"/>
    <mergeCell ref="G18:I18"/>
    <mergeCell ref="D17:F17"/>
    <mergeCell ref="D16:F16"/>
    <mergeCell ref="A6:B6"/>
    <mergeCell ref="D18:F18"/>
    <mergeCell ref="C6:I6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76</v>
      </c>
      <c r="D3" s="1" t="s">
        <v>11</v>
      </c>
      <c r="E3" s="20" t="s">
        <v>13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77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232</v>
      </c>
      <c r="D5" s="1" t="s">
        <v>59</v>
      </c>
      <c r="E5" s="24">
        <f>COUNTA(B9:B30)</f>
        <v>22</v>
      </c>
      <c r="F5" s="25"/>
      <c r="G5" s="1" t="s">
        <v>62</v>
      </c>
      <c r="H5" s="20" t="s">
        <v>80</v>
      </c>
      <c r="I5" s="25"/>
    </row>
    <row r="6" spans="1:9" ht="46" customHeight="1" x14ac:dyDescent="0.45">
      <c r="A6" s="26" t="s">
        <v>63</v>
      </c>
      <c r="B6" s="25"/>
      <c r="C6" s="20" t="s">
        <v>81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153</v>
      </c>
      <c r="C9" s="15" t="s">
        <v>154</v>
      </c>
      <c r="D9" s="15" t="s">
        <v>155</v>
      </c>
      <c r="E9" s="14" t="s">
        <v>156</v>
      </c>
      <c r="F9" s="14">
        <v>1</v>
      </c>
      <c r="G9" s="15" t="s">
        <v>70</v>
      </c>
      <c r="H9" s="15"/>
      <c r="I9" s="15"/>
    </row>
    <row r="10" spans="1:9" x14ac:dyDescent="0.45">
      <c r="A10" s="14">
        <v>2</v>
      </c>
      <c r="B10" s="15" t="s">
        <v>157</v>
      </c>
      <c r="C10" s="15" t="s">
        <v>219</v>
      </c>
      <c r="D10" s="15" t="s">
        <v>159</v>
      </c>
      <c r="E10" s="14" t="s">
        <v>156</v>
      </c>
      <c r="F10" s="14">
        <v>2</v>
      </c>
      <c r="G10" s="15" t="s">
        <v>70</v>
      </c>
      <c r="H10" s="15"/>
      <c r="I10" s="15"/>
    </row>
    <row r="11" spans="1:9" ht="32" x14ac:dyDescent="0.45">
      <c r="A11" s="14">
        <v>3</v>
      </c>
      <c r="B11" s="15" t="s">
        <v>233</v>
      </c>
      <c r="C11" s="15" t="s">
        <v>234</v>
      </c>
      <c r="D11" s="15" t="s">
        <v>235</v>
      </c>
      <c r="E11" s="14" t="s">
        <v>156</v>
      </c>
      <c r="F11" s="14">
        <v>3</v>
      </c>
      <c r="G11" s="15"/>
      <c r="H11" s="15"/>
      <c r="I11" s="15"/>
    </row>
    <row r="12" spans="1:9" ht="32" x14ac:dyDescent="0.45">
      <c r="A12" s="10">
        <v>4</v>
      </c>
      <c r="B12" s="2" t="s">
        <v>236</v>
      </c>
      <c r="C12" s="2" t="s">
        <v>237</v>
      </c>
      <c r="D12" s="2" t="s">
        <v>238</v>
      </c>
      <c r="E12" s="10" t="s">
        <v>156</v>
      </c>
      <c r="F12" s="10"/>
      <c r="G12" s="2"/>
      <c r="H12" s="2"/>
      <c r="I12" s="2"/>
    </row>
    <row r="13" spans="1:9" x14ac:dyDescent="0.45">
      <c r="A13" s="10">
        <v>5</v>
      </c>
      <c r="B13" s="2" t="s">
        <v>220</v>
      </c>
      <c r="C13" s="2" t="s">
        <v>239</v>
      </c>
      <c r="D13" s="2" t="s">
        <v>222</v>
      </c>
      <c r="E13" s="10" t="s">
        <v>156</v>
      </c>
      <c r="F13" s="10"/>
      <c r="G13" s="2" t="s">
        <v>70</v>
      </c>
      <c r="H13" s="2"/>
      <c r="I13" s="2"/>
    </row>
    <row r="14" spans="1:9" x14ac:dyDescent="0.45">
      <c r="A14" s="10">
        <v>6</v>
      </c>
      <c r="B14" s="2" t="s">
        <v>240</v>
      </c>
      <c r="C14" s="2" t="s">
        <v>241</v>
      </c>
      <c r="D14" s="2" t="s">
        <v>222</v>
      </c>
      <c r="E14" s="10" t="s">
        <v>156</v>
      </c>
      <c r="F14" s="10"/>
      <c r="G14" s="2"/>
      <c r="H14" s="2"/>
      <c r="I14" s="2"/>
    </row>
    <row r="15" spans="1:9" x14ac:dyDescent="0.45">
      <c r="A15" s="10">
        <v>7</v>
      </c>
      <c r="B15" s="2" t="s">
        <v>242</v>
      </c>
      <c r="C15" s="2" t="s">
        <v>243</v>
      </c>
      <c r="D15" s="2" t="s">
        <v>180</v>
      </c>
      <c r="E15" s="10" t="s">
        <v>156</v>
      </c>
      <c r="F15" s="10"/>
      <c r="G15" s="2"/>
      <c r="H15" s="2"/>
      <c r="I15" s="2" t="s">
        <v>244</v>
      </c>
    </row>
    <row r="16" spans="1:9" x14ac:dyDescent="0.45">
      <c r="A16" s="10">
        <v>8</v>
      </c>
      <c r="B16" s="2" t="s">
        <v>245</v>
      </c>
      <c r="C16" s="2" t="s">
        <v>246</v>
      </c>
      <c r="D16" s="2" t="s">
        <v>247</v>
      </c>
      <c r="E16" s="10" t="s">
        <v>156</v>
      </c>
      <c r="F16" s="10"/>
      <c r="G16" s="2"/>
      <c r="H16" s="2"/>
      <c r="I16" s="2" t="s">
        <v>248</v>
      </c>
    </row>
    <row r="17" spans="1:9" x14ac:dyDescent="0.45">
      <c r="A17" s="10">
        <v>9</v>
      </c>
      <c r="B17" s="2" t="s">
        <v>249</v>
      </c>
      <c r="C17" s="2" t="s">
        <v>250</v>
      </c>
      <c r="D17" s="2" t="s">
        <v>169</v>
      </c>
      <c r="E17" s="10" t="s">
        <v>166</v>
      </c>
      <c r="F17" s="10"/>
      <c r="G17" s="2"/>
      <c r="H17" s="2"/>
      <c r="I17" s="2"/>
    </row>
    <row r="18" spans="1:9" x14ac:dyDescent="0.45">
      <c r="A18" s="10">
        <v>10</v>
      </c>
      <c r="B18" s="2" t="s">
        <v>251</v>
      </c>
      <c r="C18" s="2" t="s">
        <v>252</v>
      </c>
      <c r="D18" s="2" t="s">
        <v>253</v>
      </c>
      <c r="E18" s="10" t="s">
        <v>166</v>
      </c>
      <c r="F18" s="10"/>
      <c r="G18" s="2"/>
      <c r="H18" s="2"/>
      <c r="I18" s="2"/>
    </row>
    <row r="19" spans="1:9" x14ac:dyDescent="0.45">
      <c r="A19" s="10">
        <v>11</v>
      </c>
      <c r="B19" s="2" t="s">
        <v>254</v>
      </c>
      <c r="C19" s="2" t="s">
        <v>255</v>
      </c>
      <c r="D19" s="2" t="s">
        <v>169</v>
      </c>
      <c r="E19" s="10" t="s">
        <v>156</v>
      </c>
      <c r="F19" s="10"/>
      <c r="G19" s="2"/>
      <c r="H19" s="2"/>
      <c r="I19" s="2"/>
    </row>
    <row r="20" spans="1:9" x14ac:dyDescent="0.45">
      <c r="A20" s="10">
        <v>12</v>
      </c>
      <c r="B20" s="2" t="s">
        <v>256</v>
      </c>
      <c r="C20" s="2" t="s">
        <v>257</v>
      </c>
      <c r="D20" s="2" t="s">
        <v>169</v>
      </c>
      <c r="E20" s="10" t="s">
        <v>156</v>
      </c>
      <c r="F20" s="10"/>
      <c r="G20" s="2"/>
      <c r="H20" s="2"/>
      <c r="I20" s="2"/>
    </row>
    <row r="21" spans="1:9" x14ac:dyDescent="0.45">
      <c r="A21" s="10">
        <v>13</v>
      </c>
      <c r="B21" s="2" t="s">
        <v>258</v>
      </c>
      <c r="C21" s="2" t="s">
        <v>259</v>
      </c>
      <c r="D21" s="2" t="s">
        <v>169</v>
      </c>
      <c r="E21" s="10" t="s">
        <v>156</v>
      </c>
      <c r="F21" s="10"/>
      <c r="G21" s="2"/>
      <c r="H21" s="2"/>
      <c r="I21" s="2"/>
    </row>
    <row r="22" spans="1:9" x14ac:dyDescent="0.45">
      <c r="A22" s="10">
        <v>14</v>
      </c>
      <c r="B22" s="2" t="s">
        <v>260</v>
      </c>
      <c r="C22" s="2" t="s">
        <v>261</v>
      </c>
      <c r="D22" s="2" t="s">
        <v>169</v>
      </c>
      <c r="E22" s="10" t="s">
        <v>156</v>
      </c>
      <c r="F22" s="10"/>
      <c r="G22" s="2"/>
      <c r="H22" s="2"/>
      <c r="I22" s="2"/>
    </row>
    <row r="23" spans="1:9" x14ac:dyDescent="0.45">
      <c r="A23" s="10">
        <v>15</v>
      </c>
      <c r="B23" s="2" t="s">
        <v>262</v>
      </c>
      <c r="C23" s="2" t="s">
        <v>263</v>
      </c>
      <c r="D23" s="2" t="s">
        <v>264</v>
      </c>
      <c r="E23" s="10" t="s">
        <v>156</v>
      </c>
      <c r="F23" s="10"/>
      <c r="G23" s="2"/>
      <c r="H23" s="2"/>
      <c r="I23" s="2"/>
    </row>
    <row r="24" spans="1:9" x14ac:dyDescent="0.45">
      <c r="A24" s="10">
        <v>16</v>
      </c>
      <c r="B24" s="2" t="s">
        <v>176</v>
      </c>
      <c r="C24" s="2" t="s">
        <v>265</v>
      </c>
      <c r="D24" s="2" t="s">
        <v>174</v>
      </c>
      <c r="E24" s="10" t="s">
        <v>156</v>
      </c>
      <c r="F24" s="10"/>
      <c r="G24" s="2"/>
      <c r="H24" s="2"/>
      <c r="I24" s="2"/>
    </row>
    <row r="25" spans="1:9" x14ac:dyDescent="0.45">
      <c r="A25" s="10">
        <v>17</v>
      </c>
      <c r="B25" s="2" t="s">
        <v>266</v>
      </c>
      <c r="C25" s="2" t="s">
        <v>267</v>
      </c>
      <c r="D25" s="2" t="s">
        <v>268</v>
      </c>
      <c r="E25" s="10" t="s">
        <v>156</v>
      </c>
      <c r="F25" s="10"/>
      <c r="G25" s="2"/>
      <c r="H25" s="2"/>
      <c r="I25" s="2"/>
    </row>
    <row r="26" spans="1:9" x14ac:dyDescent="0.45">
      <c r="A26" s="10">
        <v>18</v>
      </c>
      <c r="B26" s="2" t="s">
        <v>269</v>
      </c>
      <c r="C26" s="2" t="s">
        <v>270</v>
      </c>
      <c r="D26" s="2" t="s">
        <v>271</v>
      </c>
      <c r="E26" s="10" t="s">
        <v>166</v>
      </c>
      <c r="F26" s="10"/>
      <c r="G26" s="2"/>
      <c r="H26" s="2"/>
      <c r="I26" s="2"/>
    </row>
    <row r="27" spans="1:9" x14ac:dyDescent="0.45">
      <c r="A27" s="10">
        <v>19</v>
      </c>
      <c r="B27" s="2" t="s">
        <v>272</v>
      </c>
      <c r="C27" s="2" t="s">
        <v>273</v>
      </c>
      <c r="D27" s="2" t="s">
        <v>222</v>
      </c>
      <c r="E27" s="10" t="s">
        <v>166</v>
      </c>
      <c r="F27" s="10"/>
      <c r="G27" s="2"/>
      <c r="H27" s="2"/>
      <c r="I27" s="2"/>
    </row>
    <row r="28" spans="1:9" x14ac:dyDescent="0.45">
      <c r="A28" s="10">
        <v>20</v>
      </c>
      <c r="B28" s="2" t="s">
        <v>274</v>
      </c>
      <c r="C28" s="2" t="s">
        <v>275</v>
      </c>
      <c r="D28" s="2" t="s">
        <v>222</v>
      </c>
      <c r="E28" s="10" t="s">
        <v>166</v>
      </c>
      <c r="F28" s="10"/>
      <c r="G28" s="2"/>
      <c r="H28" s="2"/>
      <c r="I28" s="2"/>
    </row>
    <row r="29" spans="1:9" x14ac:dyDescent="0.45">
      <c r="A29" s="10">
        <v>21</v>
      </c>
      <c r="B29" s="2" t="s">
        <v>276</v>
      </c>
      <c r="C29" s="2" t="s">
        <v>277</v>
      </c>
      <c r="D29" s="2" t="s">
        <v>180</v>
      </c>
      <c r="E29" s="10" t="s">
        <v>166</v>
      </c>
      <c r="F29" s="10"/>
      <c r="G29" s="2"/>
      <c r="H29" s="2"/>
      <c r="I29" s="2"/>
    </row>
    <row r="30" spans="1:9" x14ac:dyDescent="0.45">
      <c r="A30" s="10">
        <v>22</v>
      </c>
      <c r="B30" s="2" t="s">
        <v>278</v>
      </c>
      <c r="C30" s="2" t="s">
        <v>279</v>
      </c>
      <c r="D30" s="2" t="s">
        <v>180</v>
      </c>
      <c r="E30" s="10" t="s">
        <v>166</v>
      </c>
      <c r="F30" s="10"/>
      <c r="G30" s="2"/>
      <c r="H30" s="2"/>
      <c r="I30" s="2"/>
    </row>
    <row r="32" spans="1:9" x14ac:dyDescent="0.45">
      <c r="A32" s="27" t="s">
        <v>199</v>
      </c>
      <c r="B32" s="25"/>
      <c r="C32" s="25"/>
      <c r="D32" s="25"/>
      <c r="E32" s="25"/>
      <c r="F32" s="25"/>
      <c r="G32" s="25"/>
      <c r="H32" s="25"/>
      <c r="I32" s="25"/>
    </row>
    <row r="33" spans="1:9" x14ac:dyDescent="0.45">
      <c r="A33" s="3" t="s">
        <v>55</v>
      </c>
      <c r="B33" s="3" t="s">
        <v>200</v>
      </c>
      <c r="C33" s="3" t="s">
        <v>201</v>
      </c>
      <c r="D33" s="23" t="s">
        <v>202</v>
      </c>
      <c r="E33" s="21"/>
      <c r="F33" s="22"/>
      <c r="G33" s="23" t="s">
        <v>18</v>
      </c>
      <c r="H33" s="21"/>
      <c r="I33" s="22"/>
    </row>
    <row r="34" spans="1:9" ht="32" customHeight="1" x14ac:dyDescent="0.45">
      <c r="A34" s="10">
        <v>1</v>
      </c>
      <c r="B34" s="10" t="s">
        <v>35</v>
      </c>
      <c r="C34" s="2" t="s">
        <v>280</v>
      </c>
      <c r="D34" s="20" t="s">
        <v>78</v>
      </c>
      <c r="E34" s="21"/>
      <c r="F34" s="22"/>
      <c r="G34" s="20" t="s">
        <v>204</v>
      </c>
      <c r="H34" s="21"/>
      <c r="I34" s="22"/>
    </row>
    <row r="35" spans="1:9" ht="32" customHeight="1" x14ac:dyDescent="0.45">
      <c r="A35" s="10">
        <v>2</v>
      </c>
      <c r="B35" s="10" t="s">
        <v>229</v>
      </c>
      <c r="C35" s="2" t="s">
        <v>281</v>
      </c>
      <c r="D35" s="20" t="s">
        <v>72</v>
      </c>
      <c r="E35" s="21"/>
      <c r="F35" s="22"/>
      <c r="G35" s="20" t="s">
        <v>282</v>
      </c>
      <c r="H35" s="21"/>
      <c r="I35" s="22"/>
    </row>
    <row r="36" spans="1:9" ht="18" customHeight="1" x14ac:dyDescent="0.45">
      <c r="A36" s="10">
        <v>3</v>
      </c>
      <c r="B36" s="10" t="s">
        <v>205</v>
      </c>
      <c r="C36" s="2" t="s">
        <v>283</v>
      </c>
      <c r="D36" s="20"/>
      <c r="E36" s="21"/>
      <c r="F36" s="22"/>
      <c r="G36" s="20" t="s">
        <v>284</v>
      </c>
      <c r="H36" s="21"/>
      <c r="I36" s="22"/>
    </row>
    <row r="37" spans="1:9" ht="18" customHeight="1" x14ac:dyDescent="0.45">
      <c r="A37" s="10">
        <v>4</v>
      </c>
      <c r="B37" s="10" t="s">
        <v>205</v>
      </c>
      <c r="C37" s="2" t="s">
        <v>285</v>
      </c>
      <c r="D37" s="20"/>
      <c r="E37" s="21"/>
      <c r="F37" s="22"/>
      <c r="G37" s="20" t="s">
        <v>286</v>
      </c>
      <c r="H37" s="21"/>
      <c r="I37" s="22"/>
    </row>
    <row r="38" spans="1:9" ht="32" customHeight="1" x14ac:dyDescent="0.45">
      <c r="A38" s="10">
        <v>5</v>
      </c>
      <c r="B38" s="10" t="s">
        <v>205</v>
      </c>
      <c r="C38" s="2" t="s">
        <v>287</v>
      </c>
      <c r="D38" s="20"/>
      <c r="E38" s="21"/>
      <c r="F38" s="22"/>
      <c r="G38" s="20" t="s">
        <v>288</v>
      </c>
      <c r="H38" s="21"/>
      <c r="I38" s="22"/>
    </row>
    <row r="39" spans="1:9" ht="18" customHeight="1" x14ac:dyDescent="0.45">
      <c r="A39" s="10">
        <v>6</v>
      </c>
      <c r="B39" s="10" t="s">
        <v>205</v>
      </c>
      <c r="C39" s="2" t="s">
        <v>289</v>
      </c>
      <c r="D39" s="20"/>
      <c r="E39" s="21"/>
      <c r="F39" s="22"/>
      <c r="G39" s="20" t="s">
        <v>290</v>
      </c>
      <c r="H39" s="21"/>
      <c r="I39" s="22"/>
    </row>
    <row r="40" spans="1:9" ht="18" customHeight="1" x14ac:dyDescent="0.45">
      <c r="A40" s="10">
        <v>7</v>
      </c>
      <c r="B40" s="10" t="s">
        <v>205</v>
      </c>
      <c r="C40" s="2" t="s">
        <v>291</v>
      </c>
      <c r="D40" s="20"/>
      <c r="E40" s="21"/>
      <c r="F40" s="22"/>
      <c r="G40" s="20" t="s">
        <v>292</v>
      </c>
      <c r="H40" s="21"/>
      <c r="I40" s="22"/>
    </row>
    <row r="42" spans="1:9" x14ac:dyDescent="0.45">
      <c r="A42" s="27" t="s">
        <v>212</v>
      </c>
      <c r="B42" s="25"/>
      <c r="C42" s="25"/>
      <c r="D42" s="25"/>
      <c r="E42" s="25"/>
      <c r="F42" s="25"/>
      <c r="G42" s="25"/>
      <c r="H42" s="25"/>
      <c r="I42" s="25"/>
    </row>
    <row r="43" spans="1:9" x14ac:dyDescent="0.45">
      <c r="A43" s="3" t="s">
        <v>55</v>
      </c>
      <c r="B43" s="3" t="s">
        <v>213</v>
      </c>
      <c r="C43" s="3" t="s">
        <v>214</v>
      </c>
      <c r="D43" s="23" t="s">
        <v>215</v>
      </c>
      <c r="E43" s="21"/>
      <c r="F43" s="22"/>
      <c r="G43" s="23" t="s">
        <v>216</v>
      </c>
      <c r="H43" s="21"/>
      <c r="I43" s="22"/>
    </row>
    <row r="44" spans="1:9" ht="32" customHeight="1" x14ac:dyDescent="0.45">
      <c r="A44" s="10">
        <v>1</v>
      </c>
      <c r="B44" s="10" t="s">
        <v>293</v>
      </c>
      <c r="C44" s="2" t="s">
        <v>294</v>
      </c>
      <c r="D44" s="20" t="s">
        <v>295</v>
      </c>
      <c r="E44" s="21"/>
      <c r="F44" s="22"/>
      <c r="G44" s="20" t="s">
        <v>296</v>
      </c>
      <c r="H44" s="21"/>
      <c r="I44" s="22"/>
    </row>
    <row r="45" spans="1:9" ht="32" customHeight="1" x14ac:dyDescent="0.45">
      <c r="A45" s="10">
        <v>2</v>
      </c>
      <c r="B45" s="10" t="s">
        <v>217</v>
      </c>
      <c r="C45" s="2" t="s">
        <v>280</v>
      </c>
      <c r="D45" s="20" t="s">
        <v>78</v>
      </c>
      <c r="E45" s="21"/>
      <c r="F45" s="22"/>
      <c r="G45" s="20" t="s">
        <v>204</v>
      </c>
      <c r="H45" s="21"/>
      <c r="I45" s="22"/>
    </row>
  </sheetData>
  <mergeCells count="35">
    <mergeCell ref="D45:F45"/>
    <mergeCell ref="E3:F3"/>
    <mergeCell ref="A4:B4"/>
    <mergeCell ref="G36:I36"/>
    <mergeCell ref="D40:F40"/>
    <mergeCell ref="A1:I1"/>
    <mergeCell ref="D36:F36"/>
    <mergeCell ref="G39:I39"/>
    <mergeCell ref="H5:I5"/>
    <mergeCell ref="G45:I45"/>
    <mergeCell ref="G35:I35"/>
    <mergeCell ref="C6:I6"/>
    <mergeCell ref="D39:F39"/>
    <mergeCell ref="A3:B3"/>
    <mergeCell ref="D33:F33"/>
    <mergeCell ref="D38:F38"/>
    <mergeCell ref="G44:I44"/>
    <mergeCell ref="C4:I4"/>
    <mergeCell ref="A5:B5"/>
    <mergeCell ref="D35:F35"/>
    <mergeCell ref="G40:I40"/>
    <mergeCell ref="D44:F44"/>
    <mergeCell ref="G43:I43"/>
    <mergeCell ref="D34:F34"/>
    <mergeCell ref="H3:I3"/>
    <mergeCell ref="D43:F43"/>
    <mergeCell ref="G33:I33"/>
    <mergeCell ref="D37:F37"/>
    <mergeCell ref="A42:I42"/>
    <mergeCell ref="A32:I32"/>
    <mergeCell ref="G38:I38"/>
    <mergeCell ref="G37:I37"/>
    <mergeCell ref="E5:F5"/>
    <mergeCell ref="G34:I34"/>
    <mergeCell ref="A6:B6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82</v>
      </c>
      <c r="D3" s="1" t="s">
        <v>11</v>
      </c>
      <c r="E3" s="20" t="s">
        <v>13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83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297</v>
      </c>
      <c r="D5" s="1" t="s">
        <v>59</v>
      </c>
      <c r="E5" s="24">
        <f>COUNTA(B9:B20)</f>
        <v>12</v>
      </c>
      <c r="F5" s="25"/>
      <c r="G5" s="1" t="s">
        <v>62</v>
      </c>
      <c r="H5" s="20" t="s">
        <v>86</v>
      </c>
      <c r="I5" s="25"/>
    </row>
    <row r="6" spans="1:9" ht="32" customHeight="1" x14ac:dyDescent="0.45">
      <c r="A6" s="26" t="s">
        <v>63</v>
      </c>
      <c r="B6" s="25"/>
      <c r="C6" s="20" t="s">
        <v>87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84</v>
      </c>
      <c r="C9" s="15" t="s">
        <v>298</v>
      </c>
      <c r="D9" s="15" t="s">
        <v>299</v>
      </c>
      <c r="E9" s="14" t="s">
        <v>156</v>
      </c>
      <c r="F9" s="14">
        <v>1</v>
      </c>
      <c r="G9" s="15"/>
      <c r="H9" s="15"/>
      <c r="I9" s="15"/>
    </row>
    <row r="10" spans="1:9" x14ac:dyDescent="0.45">
      <c r="A10" s="10">
        <v>2</v>
      </c>
      <c r="B10" s="2" t="s">
        <v>153</v>
      </c>
      <c r="C10" s="2" t="s">
        <v>154</v>
      </c>
      <c r="D10" s="2" t="s">
        <v>155</v>
      </c>
      <c r="E10" s="10" t="s">
        <v>156</v>
      </c>
      <c r="F10" s="10"/>
      <c r="G10" s="2" t="s">
        <v>64</v>
      </c>
      <c r="H10" s="2"/>
      <c r="I10" s="2"/>
    </row>
    <row r="11" spans="1:9" x14ac:dyDescent="0.45">
      <c r="A11" s="10">
        <v>3</v>
      </c>
      <c r="B11" s="2" t="s">
        <v>157</v>
      </c>
      <c r="C11" s="2" t="s">
        <v>300</v>
      </c>
      <c r="D11" s="2" t="s">
        <v>159</v>
      </c>
      <c r="E11" s="10" t="s">
        <v>156</v>
      </c>
      <c r="F11" s="10"/>
      <c r="G11" s="2" t="s">
        <v>64</v>
      </c>
      <c r="H11" s="2"/>
      <c r="I11" s="2"/>
    </row>
    <row r="12" spans="1:9" ht="32" x14ac:dyDescent="0.45">
      <c r="A12" s="10">
        <v>4</v>
      </c>
      <c r="B12" s="2" t="s">
        <v>301</v>
      </c>
      <c r="C12" s="2" t="s">
        <v>302</v>
      </c>
      <c r="D12" s="2" t="s">
        <v>180</v>
      </c>
      <c r="E12" s="10" t="s">
        <v>156</v>
      </c>
      <c r="F12" s="10"/>
      <c r="G12" s="2"/>
      <c r="H12" s="2" t="s">
        <v>303</v>
      </c>
      <c r="I12" s="2" t="s">
        <v>304</v>
      </c>
    </row>
    <row r="13" spans="1:9" x14ac:dyDescent="0.45">
      <c r="A13" s="10">
        <v>5</v>
      </c>
      <c r="B13" s="2" t="s">
        <v>305</v>
      </c>
      <c r="C13" s="2" t="s">
        <v>306</v>
      </c>
      <c r="D13" s="2" t="s">
        <v>264</v>
      </c>
      <c r="E13" s="10" t="s">
        <v>156</v>
      </c>
      <c r="F13" s="10"/>
      <c r="G13" s="2"/>
      <c r="H13" s="2"/>
      <c r="I13" s="2"/>
    </row>
    <row r="14" spans="1:9" x14ac:dyDescent="0.45">
      <c r="A14" s="10">
        <v>6</v>
      </c>
      <c r="B14" s="2" t="s">
        <v>307</v>
      </c>
      <c r="C14" s="2" t="s">
        <v>308</v>
      </c>
      <c r="D14" s="2" t="s">
        <v>309</v>
      </c>
      <c r="E14" s="10" t="s">
        <v>156</v>
      </c>
      <c r="F14" s="10"/>
      <c r="G14" s="2"/>
      <c r="H14" s="2"/>
      <c r="I14" s="2"/>
    </row>
    <row r="15" spans="1:9" x14ac:dyDescent="0.45">
      <c r="A15" s="10">
        <v>7</v>
      </c>
      <c r="B15" s="2" t="s">
        <v>310</v>
      </c>
      <c r="C15" s="2" t="s">
        <v>311</v>
      </c>
      <c r="D15" s="2" t="s">
        <v>264</v>
      </c>
      <c r="E15" s="10" t="s">
        <v>156</v>
      </c>
      <c r="F15" s="10"/>
      <c r="G15" s="2"/>
      <c r="H15" s="2" t="s">
        <v>312</v>
      </c>
      <c r="I15" s="2"/>
    </row>
    <row r="16" spans="1:9" x14ac:dyDescent="0.45">
      <c r="A16" s="10">
        <v>8</v>
      </c>
      <c r="B16" s="2" t="s">
        <v>313</v>
      </c>
      <c r="C16" s="2" t="s">
        <v>314</v>
      </c>
      <c r="D16" s="2" t="s">
        <v>309</v>
      </c>
      <c r="E16" s="10" t="s">
        <v>156</v>
      </c>
      <c r="F16" s="10"/>
      <c r="G16" s="2"/>
      <c r="H16" s="2" t="s">
        <v>312</v>
      </c>
      <c r="I16" s="2"/>
    </row>
    <row r="17" spans="1:9" x14ac:dyDescent="0.45">
      <c r="A17" s="10">
        <v>9</v>
      </c>
      <c r="B17" s="2" t="s">
        <v>183</v>
      </c>
      <c r="C17" s="2" t="s">
        <v>184</v>
      </c>
      <c r="D17" s="2" t="s">
        <v>185</v>
      </c>
      <c r="E17" s="10" t="s">
        <v>166</v>
      </c>
      <c r="F17" s="10"/>
      <c r="G17" s="2"/>
      <c r="H17" s="2"/>
      <c r="I17" s="2"/>
    </row>
    <row r="18" spans="1:9" x14ac:dyDescent="0.45">
      <c r="A18" s="10">
        <v>10</v>
      </c>
      <c r="B18" s="2" t="s">
        <v>186</v>
      </c>
      <c r="C18" s="2" t="s">
        <v>187</v>
      </c>
      <c r="D18" s="2" t="s">
        <v>188</v>
      </c>
      <c r="E18" s="10" t="s">
        <v>156</v>
      </c>
      <c r="F18" s="10"/>
      <c r="G18" s="2"/>
      <c r="H18" s="2" t="s">
        <v>189</v>
      </c>
      <c r="I18" s="2"/>
    </row>
    <row r="19" spans="1:9" x14ac:dyDescent="0.45">
      <c r="A19" s="10">
        <v>11</v>
      </c>
      <c r="B19" s="2" t="s">
        <v>190</v>
      </c>
      <c r="C19" s="2" t="s">
        <v>191</v>
      </c>
      <c r="D19" s="2" t="s">
        <v>185</v>
      </c>
      <c r="E19" s="10" t="s">
        <v>166</v>
      </c>
      <c r="F19" s="10"/>
      <c r="G19" s="2"/>
      <c r="H19" s="2"/>
      <c r="I19" s="2"/>
    </row>
    <row r="20" spans="1:9" x14ac:dyDescent="0.45">
      <c r="A20" s="10">
        <v>12</v>
      </c>
      <c r="B20" s="2" t="s">
        <v>192</v>
      </c>
      <c r="C20" s="2" t="s">
        <v>315</v>
      </c>
      <c r="D20" s="2" t="s">
        <v>188</v>
      </c>
      <c r="E20" s="10" t="s">
        <v>156</v>
      </c>
      <c r="F20" s="10"/>
      <c r="G20" s="2"/>
      <c r="H20" s="2" t="s">
        <v>189</v>
      </c>
      <c r="I20" s="2"/>
    </row>
    <row r="22" spans="1:9" x14ac:dyDescent="0.45">
      <c r="A22" s="27" t="s">
        <v>199</v>
      </c>
      <c r="B22" s="25"/>
      <c r="C22" s="25"/>
      <c r="D22" s="25"/>
      <c r="E22" s="25"/>
      <c r="F22" s="25"/>
      <c r="G22" s="25"/>
      <c r="H22" s="25"/>
      <c r="I22" s="25"/>
    </row>
    <row r="23" spans="1:9" x14ac:dyDescent="0.45">
      <c r="A23" s="3" t="s">
        <v>55</v>
      </c>
      <c r="B23" s="3" t="s">
        <v>200</v>
      </c>
      <c r="C23" s="3" t="s">
        <v>201</v>
      </c>
      <c r="D23" s="23" t="s">
        <v>202</v>
      </c>
      <c r="E23" s="21"/>
      <c r="F23" s="22"/>
      <c r="G23" s="23" t="s">
        <v>18</v>
      </c>
      <c r="H23" s="21"/>
      <c r="I23" s="22"/>
    </row>
    <row r="24" spans="1:9" ht="18" customHeight="1" x14ac:dyDescent="0.45">
      <c r="A24" s="10">
        <v>1</v>
      </c>
      <c r="B24" s="10" t="s">
        <v>35</v>
      </c>
      <c r="C24" s="2" t="s">
        <v>316</v>
      </c>
      <c r="D24" s="20" t="s">
        <v>84</v>
      </c>
      <c r="E24" s="21"/>
      <c r="F24" s="22"/>
      <c r="G24" s="20" t="s">
        <v>204</v>
      </c>
      <c r="H24" s="21"/>
      <c r="I24" s="22"/>
    </row>
    <row r="25" spans="1:9" ht="18" customHeight="1" x14ac:dyDescent="0.45">
      <c r="A25" s="10">
        <v>2</v>
      </c>
      <c r="B25" s="10" t="s">
        <v>217</v>
      </c>
      <c r="C25" s="2" t="s">
        <v>317</v>
      </c>
      <c r="D25" s="20" t="s">
        <v>66</v>
      </c>
      <c r="E25" s="21"/>
      <c r="F25" s="22"/>
      <c r="G25" s="20" t="s">
        <v>318</v>
      </c>
      <c r="H25" s="21"/>
      <c r="I25" s="22"/>
    </row>
    <row r="26" spans="1:9" ht="32" customHeight="1" x14ac:dyDescent="0.45">
      <c r="A26" s="10">
        <v>3</v>
      </c>
      <c r="B26" s="10" t="s">
        <v>229</v>
      </c>
      <c r="C26" s="2" t="s">
        <v>319</v>
      </c>
      <c r="D26" s="20" t="s">
        <v>66</v>
      </c>
      <c r="E26" s="21"/>
      <c r="F26" s="22"/>
      <c r="G26" s="20" t="s">
        <v>231</v>
      </c>
      <c r="H26" s="21"/>
      <c r="I26" s="22"/>
    </row>
    <row r="27" spans="1:9" ht="46" customHeight="1" x14ac:dyDescent="0.45">
      <c r="A27" s="10">
        <v>4</v>
      </c>
      <c r="B27" s="10" t="s">
        <v>205</v>
      </c>
      <c r="C27" s="2" t="s">
        <v>320</v>
      </c>
      <c r="D27" s="20"/>
      <c r="E27" s="21"/>
      <c r="F27" s="22"/>
      <c r="G27" s="20" t="s">
        <v>321</v>
      </c>
      <c r="H27" s="21"/>
      <c r="I27" s="22"/>
    </row>
    <row r="28" spans="1:9" ht="18" customHeight="1" x14ac:dyDescent="0.45">
      <c r="A28" s="10">
        <v>5</v>
      </c>
      <c r="B28" s="10" t="s">
        <v>205</v>
      </c>
      <c r="C28" s="2" t="s">
        <v>322</v>
      </c>
      <c r="D28" s="20"/>
      <c r="E28" s="21"/>
      <c r="F28" s="22"/>
      <c r="G28" s="20" t="s">
        <v>323</v>
      </c>
      <c r="H28" s="21"/>
      <c r="I28" s="22"/>
    </row>
    <row r="30" spans="1:9" x14ac:dyDescent="0.45">
      <c r="A30" s="27" t="s">
        <v>212</v>
      </c>
      <c r="B30" s="25"/>
      <c r="C30" s="25"/>
      <c r="D30" s="25"/>
      <c r="E30" s="25"/>
      <c r="F30" s="25"/>
      <c r="G30" s="25"/>
      <c r="H30" s="25"/>
      <c r="I30" s="25"/>
    </row>
    <row r="31" spans="1:9" x14ac:dyDescent="0.45">
      <c r="A31" s="3" t="s">
        <v>55</v>
      </c>
      <c r="B31" s="3" t="s">
        <v>213</v>
      </c>
      <c r="C31" s="3" t="s">
        <v>214</v>
      </c>
      <c r="D31" s="23" t="s">
        <v>215</v>
      </c>
      <c r="E31" s="21"/>
      <c r="F31" s="22"/>
      <c r="G31" s="23" t="s">
        <v>216</v>
      </c>
      <c r="H31" s="21"/>
      <c r="I31" s="22"/>
    </row>
    <row r="32" spans="1:9" ht="18" customHeight="1" x14ac:dyDescent="0.45">
      <c r="A32" s="10">
        <v>1</v>
      </c>
      <c r="B32" s="10" t="s">
        <v>217</v>
      </c>
      <c r="C32" s="2" t="s">
        <v>316</v>
      </c>
      <c r="D32" s="20" t="s">
        <v>84</v>
      </c>
      <c r="E32" s="21"/>
      <c r="F32" s="22"/>
      <c r="G32" s="20" t="s">
        <v>204</v>
      </c>
      <c r="H32" s="21"/>
      <c r="I32" s="22"/>
    </row>
    <row r="33" spans="1:9" ht="18" customHeight="1" x14ac:dyDescent="0.45">
      <c r="A33" s="10">
        <v>2</v>
      </c>
      <c r="B33" s="10" t="s">
        <v>217</v>
      </c>
      <c r="C33" s="2" t="s">
        <v>317</v>
      </c>
      <c r="D33" s="20" t="s">
        <v>66</v>
      </c>
      <c r="E33" s="21"/>
      <c r="F33" s="22"/>
      <c r="G33" s="20" t="s">
        <v>324</v>
      </c>
      <c r="H33" s="21"/>
      <c r="I33" s="22"/>
    </row>
  </sheetData>
  <mergeCells count="31">
    <mergeCell ref="A1:I1"/>
    <mergeCell ref="H5:I5"/>
    <mergeCell ref="E3:F3"/>
    <mergeCell ref="A3:B3"/>
    <mergeCell ref="D33:F33"/>
    <mergeCell ref="D24:F24"/>
    <mergeCell ref="G25:I25"/>
    <mergeCell ref="G32:I32"/>
    <mergeCell ref="D23:F23"/>
    <mergeCell ref="G31:I31"/>
    <mergeCell ref="C4:I4"/>
    <mergeCell ref="A5:B5"/>
    <mergeCell ref="D26:F26"/>
    <mergeCell ref="A30:I30"/>
    <mergeCell ref="H3:I3"/>
    <mergeCell ref="A4:B4"/>
    <mergeCell ref="G27:I27"/>
    <mergeCell ref="D31:F31"/>
    <mergeCell ref="G23:I23"/>
    <mergeCell ref="G33:I33"/>
    <mergeCell ref="G24:I24"/>
    <mergeCell ref="D28:F28"/>
    <mergeCell ref="C6:I6"/>
    <mergeCell ref="G26:I26"/>
    <mergeCell ref="A22:I22"/>
    <mergeCell ref="D25:F25"/>
    <mergeCell ref="D27:F27"/>
    <mergeCell ref="G28:I28"/>
    <mergeCell ref="D32:F32"/>
    <mergeCell ref="E5:F5"/>
    <mergeCell ref="A6:B6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85</v>
      </c>
      <c r="D3" s="1" t="s">
        <v>11</v>
      </c>
      <c r="E3" s="20" t="s">
        <v>13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88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325</v>
      </c>
      <c r="D5" s="1" t="s">
        <v>59</v>
      </c>
      <c r="E5" s="24">
        <f>COUNTA(B9:B17)</f>
        <v>9</v>
      </c>
      <c r="F5" s="25"/>
      <c r="G5" s="1" t="s">
        <v>62</v>
      </c>
      <c r="H5" s="20" t="s">
        <v>90</v>
      </c>
      <c r="I5" s="25"/>
    </row>
    <row r="6" spans="1:9" ht="32" customHeight="1" x14ac:dyDescent="0.45">
      <c r="A6" s="26" t="s">
        <v>63</v>
      </c>
      <c r="B6" s="25"/>
      <c r="C6" s="20" t="s">
        <v>87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84</v>
      </c>
      <c r="C9" s="15" t="s">
        <v>326</v>
      </c>
      <c r="D9" s="15" t="s">
        <v>299</v>
      </c>
      <c r="E9" s="14" t="s">
        <v>156</v>
      </c>
      <c r="F9" s="14">
        <v>1</v>
      </c>
      <c r="G9" s="15" t="s">
        <v>82</v>
      </c>
      <c r="H9" s="15"/>
      <c r="I9" s="15"/>
    </row>
    <row r="10" spans="1:9" x14ac:dyDescent="0.45">
      <c r="A10" s="14">
        <v>2</v>
      </c>
      <c r="B10" s="15" t="s">
        <v>327</v>
      </c>
      <c r="C10" s="15" t="s">
        <v>328</v>
      </c>
      <c r="D10" s="15" t="s">
        <v>196</v>
      </c>
      <c r="E10" s="14" t="s">
        <v>156</v>
      </c>
      <c r="F10" s="14">
        <v>2</v>
      </c>
      <c r="G10" s="15"/>
      <c r="H10" s="15"/>
      <c r="I10" s="15" t="s">
        <v>329</v>
      </c>
    </row>
    <row r="11" spans="1:9" x14ac:dyDescent="0.45">
      <c r="A11" s="14">
        <v>3</v>
      </c>
      <c r="B11" s="15" t="s">
        <v>330</v>
      </c>
      <c r="C11" s="15" t="s">
        <v>331</v>
      </c>
      <c r="D11" s="15" t="s">
        <v>264</v>
      </c>
      <c r="E11" s="14" t="s">
        <v>156</v>
      </c>
      <c r="F11" s="14">
        <v>3</v>
      </c>
      <c r="G11" s="15"/>
      <c r="H11" s="15"/>
      <c r="I11" s="15"/>
    </row>
    <row r="12" spans="1:9" x14ac:dyDescent="0.45">
      <c r="A12" s="10">
        <v>4</v>
      </c>
      <c r="B12" s="2" t="s">
        <v>332</v>
      </c>
      <c r="C12" s="2" t="s">
        <v>333</v>
      </c>
      <c r="D12" s="2" t="s">
        <v>174</v>
      </c>
      <c r="E12" s="10" t="s">
        <v>156</v>
      </c>
      <c r="F12" s="10"/>
      <c r="G12" s="2"/>
      <c r="H12" s="2"/>
      <c r="I12" s="2"/>
    </row>
    <row r="13" spans="1:9" ht="32" x14ac:dyDescent="0.45">
      <c r="A13" s="10">
        <v>5</v>
      </c>
      <c r="B13" s="2" t="s">
        <v>334</v>
      </c>
      <c r="C13" s="2" t="s">
        <v>335</v>
      </c>
      <c r="D13" s="2" t="s">
        <v>336</v>
      </c>
      <c r="E13" s="10" t="s">
        <v>156</v>
      </c>
      <c r="F13" s="10"/>
      <c r="G13" s="2"/>
      <c r="H13" s="2"/>
      <c r="I13" s="2"/>
    </row>
    <row r="14" spans="1:9" x14ac:dyDescent="0.45">
      <c r="A14" s="10">
        <v>6</v>
      </c>
      <c r="B14" s="2" t="s">
        <v>337</v>
      </c>
      <c r="C14" s="2" t="s">
        <v>338</v>
      </c>
      <c r="D14" s="2" t="s">
        <v>264</v>
      </c>
      <c r="E14" s="10" t="s">
        <v>156</v>
      </c>
      <c r="F14" s="10"/>
      <c r="G14" s="2"/>
      <c r="H14" s="2"/>
      <c r="I14" s="2"/>
    </row>
    <row r="15" spans="1:9" x14ac:dyDescent="0.45">
      <c r="A15" s="10">
        <v>7</v>
      </c>
      <c r="B15" s="2" t="s">
        <v>262</v>
      </c>
      <c r="C15" s="2" t="s">
        <v>339</v>
      </c>
      <c r="D15" s="2" t="s">
        <v>309</v>
      </c>
      <c r="E15" s="10" t="s">
        <v>156</v>
      </c>
      <c r="F15" s="10"/>
      <c r="G15" s="2"/>
      <c r="H15" s="2"/>
      <c r="I15" s="2"/>
    </row>
    <row r="16" spans="1:9" x14ac:dyDescent="0.45">
      <c r="A16" s="10">
        <v>8</v>
      </c>
      <c r="B16" s="2" t="s">
        <v>340</v>
      </c>
      <c r="C16" s="2" t="s">
        <v>341</v>
      </c>
      <c r="D16" s="2" t="s">
        <v>309</v>
      </c>
      <c r="E16" s="10" t="s">
        <v>156</v>
      </c>
      <c r="F16" s="10"/>
      <c r="G16" s="2"/>
      <c r="H16" s="2"/>
      <c r="I16" s="2"/>
    </row>
    <row r="17" spans="1:9" x14ac:dyDescent="0.45">
      <c r="A17" s="10">
        <v>9</v>
      </c>
      <c r="B17" s="2" t="s">
        <v>342</v>
      </c>
      <c r="C17" s="2" t="s">
        <v>343</v>
      </c>
      <c r="D17" s="2" t="s">
        <v>188</v>
      </c>
      <c r="E17" s="10" t="s">
        <v>156</v>
      </c>
      <c r="F17" s="10"/>
      <c r="G17" s="2"/>
      <c r="H17" s="2" t="s">
        <v>189</v>
      </c>
      <c r="I17" s="2"/>
    </row>
    <row r="19" spans="1:9" x14ac:dyDescent="0.45">
      <c r="A19" s="27" t="s">
        <v>199</v>
      </c>
      <c r="B19" s="25"/>
      <c r="C19" s="25"/>
      <c r="D19" s="25"/>
      <c r="E19" s="25"/>
      <c r="F19" s="25"/>
      <c r="G19" s="25"/>
      <c r="H19" s="25"/>
      <c r="I19" s="25"/>
    </row>
    <row r="20" spans="1:9" x14ac:dyDescent="0.45">
      <c r="A20" s="3" t="s">
        <v>55</v>
      </c>
      <c r="B20" s="3" t="s">
        <v>200</v>
      </c>
      <c r="C20" s="3" t="s">
        <v>201</v>
      </c>
      <c r="D20" s="23" t="s">
        <v>202</v>
      </c>
      <c r="E20" s="21"/>
      <c r="F20" s="22"/>
      <c r="G20" s="23" t="s">
        <v>18</v>
      </c>
      <c r="H20" s="21"/>
      <c r="I20" s="22"/>
    </row>
    <row r="21" spans="1:9" ht="32" customHeight="1" x14ac:dyDescent="0.45">
      <c r="A21" s="10">
        <v>1</v>
      </c>
      <c r="B21" s="10" t="s">
        <v>35</v>
      </c>
      <c r="C21" s="2" t="s">
        <v>344</v>
      </c>
      <c r="D21" s="20" t="s">
        <v>89</v>
      </c>
      <c r="E21" s="21"/>
      <c r="F21" s="22"/>
      <c r="G21" s="20" t="s">
        <v>204</v>
      </c>
      <c r="H21" s="21"/>
      <c r="I21" s="22"/>
    </row>
    <row r="22" spans="1:9" ht="32" customHeight="1" x14ac:dyDescent="0.45">
      <c r="A22" s="10">
        <v>2</v>
      </c>
      <c r="B22" s="10" t="s">
        <v>229</v>
      </c>
      <c r="C22" s="2" t="s">
        <v>345</v>
      </c>
      <c r="D22" s="20" t="s">
        <v>84</v>
      </c>
      <c r="E22" s="21"/>
      <c r="F22" s="22"/>
      <c r="G22" s="20" t="s">
        <v>346</v>
      </c>
      <c r="H22" s="21"/>
      <c r="I22" s="22"/>
    </row>
    <row r="23" spans="1:9" ht="32" customHeight="1" x14ac:dyDescent="0.45">
      <c r="A23" s="10">
        <v>3</v>
      </c>
      <c r="B23" s="10" t="s">
        <v>205</v>
      </c>
      <c r="C23" s="2" t="s">
        <v>347</v>
      </c>
      <c r="D23" s="20"/>
      <c r="E23" s="21"/>
      <c r="F23" s="22"/>
      <c r="G23" s="20" t="s">
        <v>348</v>
      </c>
      <c r="H23" s="21"/>
      <c r="I23" s="22"/>
    </row>
    <row r="24" spans="1:9" ht="18" customHeight="1" x14ac:dyDescent="0.45">
      <c r="A24" s="10">
        <v>4</v>
      </c>
      <c r="B24" s="10" t="s">
        <v>205</v>
      </c>
      <c r="C24" s="2" t="s">
        <v>349</v>
      </c>
      <c r="D24" s="20"/>
      <c r="E24" s="21"/>
      <c r="F24" s="22"/>
      <c r="G24" s="20" t="s">
        <v>350</v>
      </c>
      <c r="H24" s="21"/>
      <c r="I24" s="22"/>
    </row>
    <row r="26" spans="1:9" x14ac:dyDescent="0.45">
      <c r="A26" s="27" t="s">
        <v>212</v>
      </c>
      <c r="B26" s="25"/>
      <c r="C26" s="25"/>
      <c r="D26" s="25"/>
      <c r="E26" s="25"/>
      <c r="F26" s="25"/>
      <c r="G26" s="25"/>
      <c r="H26" s="25"/>
      <c r="I26" s="25"/>
    </row>
    <row r="27" spans="1:9" x14ac:dyDescent="0.45">
      <c r="A27" s="3" t="s">
        <v>55</v>
      </c>
      <c r="B27" s="3" t="s">
        <v>213</v>
      </c>
      <c r="C27" s="3" t="s">
        <v>214</v>
      </c>
      <c r="D27" s="23" t="s">
        <v>215</v>
      </c>
      <c r="E27" s="21"/>
      <c r="F27" s="22"/>
      <c r="G27" s="23" t="s">
        <v>216</v>
      </c>
      <c r="H27" s="21"/>
      <c r="I27" s="22"/>
    </row>
    <row r="28" spans="1:9" ht="32" customHeight="1" x14ac:dyDescent="0.45">
      <c r="A28" s="10">
        <v>1</v>
      </c>
      <c r="B28" s="10" t="s">
        <v>217</v>
      </c>
      <c r="C28" s="2" t="s">
        <v>344</v>
      </c>
      <c r="D28" s="20" t="s">
        <v>89</v>
      </c>
      <c r="E28" s="21"/>
      <c r="F28" s="22"/>
      <c r="G28" s="20" t="s">
        <v>204</v>
      </c>
      <c r="H28" s="21"/>
      <c r="I28" s="22"/>
    </row>
  </sheetData>
  <mergeCells count="27">
    <mergeCell ref="A1:I1"/>
    <mergeCell ref="H5:I5"/>
    <mergeCell ref="D21:F21"/>
    <mergeCell ref="E3:F3"/>
    <mergeCell ref="A3:B3"/>
    <mergeCell ref="D24:F24"/>
    <mergeCell ref="A19:I19"/>
    <mergeCell ref="D23:F23"/>
    <mergeCell ref="G22:I22"/>
    <mergeCell ref="C4:I4"/>
    <mergeCell ref="A5:B5"/>
    <mergeCell ref="G21:I21"/>
    <mergeCell ref="D20:F20"/>
    <mergeCell ref="H3:I3"/>
    <mergeCell ref="A4:B4"/>
    <mergeCell ref="D22:F22"/>
    <mergeCell ref="G23:I23"/>
    <mergeCell ref="D27:F27"/>
    <mergeCell ref="G28:I28"/>
    <mergeCell ref="E5:F5"/>
    <mergeCell ref="A6:B6"/>
    <mergeCell ref="A26:I26"/>
    <mergeCell ref="G24:I24"/>
    <mergeCell ref="D28:F28"/>
    <mergeCell ref="C6:I6"/>
    <mergeCell ref="G20:I20"/>
    <mergeCell ref="G27:I27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91</v>
      </c>
      <c r="D3" s="1" t="s">
        <v>11</v>
      </c>
      <c r="E3" s="20" t="s">
        <v>14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92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351</v>
      </c>
      <c r="D5" s="1" t="s">
        <v>59</v>
      </c>
      <c r="E5" s="24">
        <f>COUNTA(B9:B18)</f>
        <v>10</v>
      </c>
      <c r="F5" s="25"/>
      <c r="G5" s="1" t="s">
        <v>62</v>
      </c>
      <c r="H5" s="20" t="s">
        <v>95</v>
      </c>
      <c r="I5" s="25"/>
    </row>
    <row r="6" spans="1:9" ht="18" customHeight="1" x14ac:dyDescent="0.45">
      <c r="A6" s="26" t="s">
        <v>63</v>
      </c>
      <c r="B6" s="25"/>
      <c r="C6" s="20" t="s">
        <v>75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153</v>
      </c>
      <c r="C9" s="15" t="s">
        <v>154</v>
      </c>
      <c r="D9" s="15" t="s">
        <v>155</v>
      </c>
      <c r="E9" s="14" t="s">
        <v>156</v>
      </c>
      <c r="F9" s="14">
        <v>1</v>
      </c>
      <c r="G9" s="15" t="s">
        <v>64</v>
      </c>
      <c r="H9" s="15"/>
      <c r="I9" s="15"/>
    </row>
    <row r="10" spans="1:9" x14ac:dyDescent="0.45">
      <c r="A10" s="14">
        <v>2</v>
      </c>
      <c r="B10" s="15" t="s">
        <v>157</v>
      </c>
      <c r="C10" s="15" t="s">
        <v>219</v>
      </c>
      <c r="D10" s="15" t="s">
        <v>159</v>
      </c>
      <c r="E10" s="14" t="s">
        <v>156</v>
      </c>
      <c r="F10" s="14">
        <v>2</v>
      </c>
      <c r="G10" s="15" t="s">
        <v>64</v>
      </c>
      <c r="H10" s="15"/>
      <c r="I10" s="15"/>
    </row>
    <row r="11" spans="1:9" x14ac:dyDescent="0.45">
      <c r="A11" s="14">
        <v>3</v>
      </c>
      <c r="B11" s="15" t="s">
        <v>352</v>
      </c>
      <c r="C11" s="15" t="s">
        <v>353</v>
      </c>
      <c r="D11" s="15" t="s">
        <v>299</v>
      </c>
      <c r="E11" s="14" t="s">
        <v>156</v>
      </c>
      <c r="F11" s="14">
        <v>3</v>
      </c>
      <c r="G11" s="15"/>
      <c r="H11" s="15"/>
      <c r="I11" s="15"/>
    </row>
    <row r="12" spans="1:9" x14ac:dyDescent="0.45">
      <c r="A12" s="10">
        <v>4</v>
      </c>
      <c r="B12" s="2" t="s">
        <v>354</v>
      </c>
      <c r="C12" s="2" t="s">
        <v>355</v>
      </c>
      <c r="D12" s="2" t="s">
        <v>356</v>
      </c>
      <c r="E12" s="10" t="s">
        <v>156</v>
      </c>
      <c r="F12" s="10"/>
      <c r="G12" s="2"/>
      <c r="H12" s="2"/>
      <c r="I12" s="2"/>
    </row>
    <row r="13" spans="1:9" x14ac:dyDescent="0.45">
      <c r="A13" s="10">
        <v>5</v>
      </c>
      <c r="B13" s="2" t="s">
        <v>357</v>
      </c>
      <c r="C13" s="2" t="s">
        <v>358</v>
      </c>
      <c r="D13" s="2" t="s">
        <v>180</v>
      </c>
      <c r="E13" s="10" t="s">
        <v>156</v>
      </c>
      <c r="F13" s="10"/>
      <c r="G13" s="2"/>
      <c r="H13" s="2" t="s">
        <v>359</v>
      </c>
      <c r="I13" s="2" t="s">
        <v>360</v>
      </c>
    </row>
    <row r="14" spans="1:9" x14ac:dyDescent="0.45">
      <c r="A14" s="10">
        <v>6</v>
      </c>
      <c r="B14" s="2" t="s">
        <v>183</v>
      </c>
      <c r="C14" s="2" t="s">
        <v>184</v>
      </c>
      <c r="D14" s="2" t="s">
        <v>185</v>
      </c>
      <c r="E14" s="10" t="s">
        <v>166</v>
      </c>
      <c r="F14" s="10"/>
      <c r="G14" s="2"/>
      <c r="H14" s="2"/>
      <c r="I14" s="2"/>
    </row>
    <row r="15" spans="1:9" x14ac:dyDescent="0.45">
      <c r="A15" s="10">
        <v>7</v>
      </c>
      <c r="B15" s="2" t="s">
        <v>186</v>
      </c>
      <c r="C15" s="2" t="s">
        <v>187</v>
      </c>
      <c r="D15" s="2" t="s">
        <v>188</v>
      </c>
      <c r="E15" s="10" t="s">
        <v>156</v>
      </c>
      <c r="F15" s="10"/>
      <c r="G15" s="2"/>
      <c r="H15" s="2" t="s">
        <v>189</v>
      </c>
      <c r="I15" s="2"/>
    </row>
    <row r="16" spans="1:9" x14ac:dyDescent="0.45">
      <c r="A16" s="10">
        <v>8</v>
      </c>
      <c r="B16" s="2" t="s">
        <v>361</v>
      </c>
      <c r="C16" s="2" t="s">
        <v>362</v>
      </c>
      <c r="D16" s="2" t="s">
        <v>188</v>
      </c>
      <c r="E16" s="10" t="s">
        <v>166</v>
      </c>
      <c r="F16" s="10"/>
      <c r="G16" s="2"/>
      <c r="H16" s="2"/>
      <c r="I16" s="2"/>
    </row>
    <row r="17" spans="1:9" x14ac:dyDescent="0.45">
      <c r="A17" s="10">
        <v>9</v>
      </c>
      <c r="B17" s="2" t="s">
        <v>190</v>
      </c>
      <c r="C17" s="2" t="s">
        <v>191</v>
      </c>
      <c r="D17" s="2" t="s">
        <v>185</v>
      </c>
      <c r="E17" s="10" t="s">
        <v>166</v>
      </c>
      <c r="F17" s="10"/>
      <c r="G17" s="2"/>
      <c r="H17" s="2"/>
      <c r="I17" s="2"/>
    </row>
    <row r="18" spans="1:9" x14ac:dyDescent="0.45">
      <c r="A18" s="10">
        <v>10</v>
      </c>
      <c r="B18" s="2" t="s">
        <v>192</v>
      </c>
      <c r="C18" s="2" t="s">
        <v>193</v>
      </c>
      <c r="D18" s="2" t="s">
        <v>188</v>
      </c>
      <c r="E18" s="10" t="s">
        <v>166</v>
      </c>
      <c r="F18" s="10"/>
      <c r="G18" s="2"/>
      <c r="H18" s="2"/>
      <c r="I18" s="2"/>
    </row>
    <row r="20" spans="1:9" x14ac:dyDescent="0.45">
      <c r="A20" s="27" t="s">
        <v>199</v>
      </c>
      <c r="B20" s="25"/>
      <c r="C20" s="25"/>
      <c r="D20" s="25"/>
      <c r="E20" s="25"/>
      <c r="F20" s="25"/>
      <c r="G20" s="25"/>
      <c r="H20" s="25"/>
      <c r="I20" s="25"/>
    </row>
    <row r="21" spans="1:9" x14ac:dyDescent="0.45">
      <c r="A21" s="3" t="s">
        <v>55</v>
      </c>
      <c r="B21" s="3" t="s">
        <v>200</v>
      </c>
      <c r="C21" s="3" t="s">
        <v>201</v>
      </c>
      <c r="D21" s="23" t="s">
        <v>202</v>
      </c>
      <c r="E21" s="21"/>
      <c r="F21" s="22"/>
      <c r="G21" s="23" t="s">
        <v>18</v>
      </c>
      <c r="H21" s="21"/>
      <c r="I21" s="22"/>
    </row>
    <row r="22" spans="1:9" ht="18" customHeight="1" x14ac:dyDescent="0.45">
      <c r="A22" s="10">
        <v>1</v>
      </c>
      <c r="B22" s="10" t="s">
        <v>35</v>
      </c>
      <c r="C22" s="2" t="s">
        <v>363</v>
      </c>
      <c r="D22" s="20" t="s">
        <v>93</v>
      </c>
      <c r="E22" s="21"/>
      <c r="F22" s="22"/>
      <c r="G22" s="20" t="s">
        <v>204</v>
      </c>
      <c r="H22" s="21"/>
      <c r="I22" s="22"/>
    </row>
    <row r="23" spans="1:9" ht="18" customHeight="1" x14ac:dyDescent="0.45">
      <c r="A23" s="10">
        <v>2</v>
      </c>
      <c r="B23" s="10" t="s">
        <v>217</v>
      </c>
      <c r="C23" s="2" t="s">
        <v>364</v>
      </c>
      <c r="D23" s="20" t="s">
        <v>365</v>
      </c>
      <c r="E23" s="21"/>
      <c r="F23" s="22"/>
      <c r="G23" s="20" t="s">
        <v>318</v>
      </c>
      <c r="H23" s="21"/>
      <c r="I23" s="22"/>
    </row>
    <row r="24" spans="1:9" ht="32" customHeight="1" x14ac:dyDescent="0.45">
      <c r="A24" s="10">
        <v>3</v>
      </c>
      <c r="B24" s="10" t="s">
        <v>229</v>
      </c>
      <c r="C24" s="2" t="s">
        <v>366</v>
      </c>
      <c r="D24" s="20" t="s">
        <v>66</v>
      </c>
      <c r="E24" s="21"/>
      <c r="F24" s="22"/>
      <c r="G24" s="20" t="s">
        <v>231</v>
      </c>
      <c r="H24" s="21"/>
      <c r="I24" s="22"/>
    </row>
    <row r="25" spans="1:9" ht="18" customHeight="1" x14ac:dyDescent="0.45">
      <c r="A25" s="10">
        <v>4</v>
      </c>
      <c r="B25" s="10" t="s">
        <v>205</v>
      </c>
      <c r="C25" s="2" t="s">
        <v>367</v>
      </c>
      <c r="D25" s="20"/>
      <c r="E25" s="21"/>
      <c r="F25" s="22"/>
      <c r="G25" s="20" t="s">
        <v>368</v>
      </c>
      <c r="H25" s="21"/>
      <c r="I25" s="22"/>
    </row>
    <row r="27" spans="1:9" x14ac:dyDescent="0.45">
      <c r="A27" s="27" t="s">
        <v>212</v>
      </c>
      <c r="B27" s="25"/>
      <c r="C27" s="25"/>
      <c r="D27" s="25"/>
      <c r="E27" s="25"/>
      <c r="F27" s="25"/>
      <c r="G27" s="25"/>
      <c r="H27" s="25"/>
      <c r="I27" s="25"/>
    </row>
    <row r="28" spans="1:9" x14ac:dyDescent="0.45">
      <c r="A28" s="3" t="s">
        <v>55</v>
      </c>
      <c r="B28" s="3" t="s">
        <v>213</v>
      </c>
      <c r="C28" s="3" t="s">
        <v>214</v>
      </c>
      <c r="D28" s="23" t="s">
        <v>215</v>
      </c>
      <c r="E28" s="21"/>
      <c r="F28" s="22"/>
      <c r="G28" s="23" t="s">
        <v>216</v>
      </c>
      <c r="H28" s="21"/>
      <c r="I28" s="22"/>
    </row>
    <row r="29" spans="1:9" ht="18" customHeight="1" x14ac:dyDescent="0.45">
      <c r="A29" s="10">
        <v>1</v>
      </c>
      <c r="B29" s="10" t="s">
        <v>217</v>
      </c>
      <c r="C29" s="2" t="s">
        <v>363</v>
      </c>
      <c r="D29" s="20" t="s">
        <v>93</v>
      </c>
      <c r="E29" s="21"/>
      <c r="F29" s="22"/>
      <c r="G29" s="20" t="s">
        <v>204</v>
      </c>
      <c r="H29" s="21"/>
      <c r="I29" s="22"/>
    </row>
    <row r="30" spans="1:9" ht="18" customHeight="1" x14ac:dyDescent="0.45">
      <c r="A30" s="10">
        <v>2</v>
      </c>
      <c r="B30" s="10" t="s">
        <v>217</v>
      </c>
      <c r="C30" s="2" t="s">
        <v>364</v>
      </c>
      <c r="D30" s="20" t="s">
        <v>365</v>
      </c>
      <c r="E30" s="21"/>
      <c r="F30" s="22"/>
      <c r="G30" s="20" t="s">
        <v>324</v>
      </c>
      <c r="H30" s="21"/>
      <c r="I30" s="22"/>
    </row>
  </sheetData>
  <mergeCells count="29">
    <mergeCell ref="A1:I1"/>
    <mergeCell ref="H5:I5"/>
    <mergeCell ref="D21:F21"/>
    <mergeCell ref="E3:F3"/>
    <mergeCell ref="A3:B3"/>
    <mergeCell ref="A20:I20"/>
    <mergeCell ref="D24:F24"/>
    <mergeCell ref="G25:I25"/>
    <mergeCell ref="D29:F29"/>
    <mergeCell ref="D23:F23"/>
    <mergeCell ref="G22:I22"/>
    <mergeCell ref="C4:I4"/>
    <mergeCell ref="A5:B5"/>
    <mergeCell ref="G21:I21"/>
    <mergeCell ref="H3:I3"/>
    <mergeCell ref="A4:B4"/>
    <mergeCell ref="D22:F22"/>
    <mergeCell ref="G23:I23"/>
    <mergeCell ref="G28:I28"/>
    <mergeCell ref="E5:F5"/>
    <mergeCell ref="A27:I27"/>
    <mergeCell ref="G30:I30"/>
    <mergeCell ref="A6:B6"/>
    <mergeCell ref="G24:I24"/>
    <mergeCell ref="D28:F28"/>
    <mergeCell ref="C6:I6"/>
    <mergeCell ref="D30:F30"/>
    <mergeCell ref="D25:F25"/>
    <mergeCell ref="G29:I29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94</v>
      </c>
      <c r="D3" s="1" t="s">
        <v>11</v>
      </c>
      <c r="E3" s="20" t="s">
        <v>14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96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369</v>
      </c>
      <c r="D5" s="1" t="s">
        <v>59</v>
      </c>
      <c r="E5" s="24">
        <f>COUNTA(B9:B22)</f>
        <v>14</v>
      </c>
      <c r="F5" s="25"/>
      <c r="G5" s="1" t="s">
        <v>62</v>
      </c>
      <c r="H5" s="20" t="s">
        <v>99</v>
      </c>
      <c r="I5" s="25"/>
    </row>
    <row r="6" spans="1:9" ht="18" customHeight="1" x14ac:dyDescent="0.45">
      <c r="A6" s="26" t="s">
        <v>63</v>
      </c>
      <c r="B6" s="25"/>
      <c r="C6" s="20" t="s">
        <v>75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153</v>
      </c>
      <c r="C9" s="15" t="s">
        <v>154</v>
      </c>
      <c r="D9" s="15" t="s">
        <v>155</v>
      </c>
      <c r="E9" s="14" t="s">
        <v>156</v>
      </c>
      <c r="F9" s="14">
        <v>1</v>
      </c>
      <c r="G9" s="15" t="s">
        <v>91</v>
      </c>
      <c r="H9" s="15"/>
      <c r="I9" s="15"/>
    </row>
    <row r="10" spans="1:9" x14ac:dyDescent="0.45">
      <c r="A10" s="14">
        <v>2</v>
      </c>
      <c r="B10" s="15" t="s">
        <v>157</v>
      </c>
      <c r="C10" s="15" t="s">
        <v>219</v>
      </c>
      <c r="D10" s="15" t="s">
        <v>159</v>
      </c>
      <c r="E10" s="14" t="s">
        <v>156</v>
      </c>
      <c r="F10" s="14">
        <v>2</v>
      </c>
      <c r="G10" s="15" t="s">
        <v>91</v>
      </c>
      <c r="H10" s="15"/>
      <c r="I10" s="15"/>
    </row>
    <row r="11" spans="1:9" x14ac:dyDescent="0.45">
      <c r="A11" s="14">
        <v>3</v>
      </c>
      <c r="B11" s="15" t="s">
        <v>352</v>
      </c>
      <c r="C11" s="15" t="s">
        <v>370</v>
      </c>
      <c r="D11" s="15" t="s">
        <v>299</v>
      </c>
      <c r="E11" s="14" t="s">
        <v>156</v>
      </c>
      <c r="F11" s="14">
        <v>3</v>
      </c>
      <c r="G11" s="15" t="s">
        <v>91</v>
      </c>
      <c r="H11" s="15"/>
      <c r="I11" s="15"/>
    </row>
    <row r="12" spans="1:9" x14ac:dyDescent="0.45">
      <c r="A12" s="14">
        <v>4</v>
      </c>
      <c r="B12" s="15" t="s">
        <v>371</v>
      </c>
      <c r="C12" s="15" t="s">
        <v>372</v>
      </c>
      <c r="D12" s="15" t="s">
        <v>222</v>
      </c>
      <c r="E12" s="14" t="s">
        <v>156</v>
      </c>
      <c r="F12" s="14">
        <v>4</v>
      </c>
      <c r="G12" s="15"/>
      <c r="H12" s="15"/>
      <c r="I12" s="15" t="s">
        <v>373</v>
      </c>
    </row>
    <row r="13" spans="1:9" x14ac:dyDescent="0.45">
      <c r="A13" s="10">
        <v>5</v>
      </c>
      <c r="B13" s="2" t="s">
        <v>374</v>
      </c>
      <c r="C13" s="2" t="s">
        <v>375</v>
      </c>
      <c r="D13" s="2" t="s">
        <v>376</v>
      </c>
      <c r="E13" s="10" t="s">
        <v>156</v>
      </c>
      <c r="F13" s="10"/>
      <c r="G13" s="2"/>
      <c r="H13" s="2"/>
      <c r="I13" s="2"/>
    </row>
    <row r="14" spans="1:9" x14ac:dyDescent="0.45">
      <c r="A14" s="10">
        <v>6</v>
      </c>
      <c r="B14" s="2" t="s">
        <v>223</v>
      </c>
      <c r="C14" s="2" t="s">
        <v>377</v>
      </c>
      <c r="D14" s="2" t="s">
        <v>222</v>
      </c>
      <c r="E14" s="10" t="s">
        <v>156</v>
      </c>
      <c r="F14" s="10"/>
      <c r="G14" s="2"/>
      <c r="H14" s="2"/>
      <c r="I14" s="2"/>
    </row>
    <row r="15" spans="1:9" x14ac:dyDescent="0.45">
      <c r="A15" s="10">
        <v>7</v>
      </c>
      <c r="B15" s="2" t="s">
        <v>378</v>
      </c>
      <c r="C15" s="2" t="s">
        <v>379</v>
      </c>
      <c r="D15" s="2" t="s">
        <v>247</v>
      </c>
      <c r="E15" s="10" t="s">
        <v>156</v>
      </c>
      <c r="F15" s="10"/>
      <c r="G15" s="2"/>
      <c r="H15" s="2" t="s">
        <v>312</v>
      </c>
      <c r="I15" s="2" t="s">
        <v>248</v>
      </c>
    </row>
    <row r="16" spans="1:9" x14ac:dyDescent="0.45">
      <c r="A16" s="10">
        <v>8</v>
      </c>
      <c r="B16" s="2" t="s">
        <v>380</v>
      </c>
      <c r="C16" s="2" t="s">
        <v>381</v>
      </c>
      <c r="D16" s="2" t="s">
        <v>382</v>
      </c>
      <c r="E16" s="10" t="s">
        <v>156</v>
      </c>
      <c r="F16" s="10"/>
      <c r="G16" s="2"/>
      <c r="H16" s="2"/>
      <c r="I16" s="2" t="s">
        <v>373</v>
      </c>
    </row>
    <row r="17" spans="1:9" ht="32" x14ac:dyDescent="0.45">
      <c r="A17" s="10">
        <v>9</v>
      </c>
      <c r="B17" s="2" t="s">
        <v>383</v>
      </c>
      <c r="C17" s="2" t="s">
        <v>384</v>
      </c>
      <c r="D17" s="2" t="s">
        <v>180</v>
      </c>
      <c r="E17" s="10" t="s">
        <v>156</v>
      </c>
      <c r="F17" s="10"/>
      <c r="G17" s="2"/>
      <c r="H17" s="2" t="s">
        <v>181</v>
      </c>
      <c r="I17" s="2" t="s">
        <v>385</v>
      </c>
    </row>
    <row r="18" spans="1:9" x14ac:dyDescent="0.45">
      <c r="A18" s="10">
        <v>10</v>
      </c>
      <c r="B18" s="2" t="s">
        <v>386</v>
      </c>
      <c r="C18" s="2" t="s">
        <v>387</v>
      </c>
      <c r="D18" s="2" t="s">
        <v>247</v>
      </c>
      <c r="E18" s="10" t="s">
        <v>156</v>
      </c>
      <c r="F18" s="10"/>
      <c r="G18" s="2"/>
      <c r="H18" s="2" t="s">
        <v>312</v>
      </c>
      <c r="I18" s="2" t="s">
        <v>248</v>
      </c>
    </row>
    <row r="19" spans="1:9" x14ac:dyDescent="0.45">
      <c r="A19" s="10">
        <v>11</v>
      </c>
      <c r="B19" s="2" t="s">
        <v>183</v>
      </c>
      <c r="C19" s="2" t="s">
        <v>184</v>
      </c>
      <c r="D19" s="2" t="s">
        <v>185</v>
      </c>
      <c r="E19" s="10" t="s">
        <v>166</v>
      </c>
      <c r="F19" s="10"/>
      <c r="G19" s="2"/>
      <c r="H19" s="2"/>
      <c r="I19" s="2"/>
    </row>
    <row r="20" spans="1:9" x14ac:dyDescent="0.45">
      <c r="A20" s="10">
        <v>12</v>
      </c>
      <c r="B20" s="2" t="s">
        <v>186</v>
      </c>
      <c r="C20" s="2" t="s">
        <v>187</v>
      </c>
      <c r="D20" s="2" t="s">
        <v>188</v>
      </c>
      <c r="E20" s="10" t="s">
        <v>156</v>
      </c>
      <c r="F20" s="10"/>
      <c r="G20" s="2"/>
      <c r="H20" s="2" t="s">
        <v>189</v>
      </c>
      <c r="I20" s="2"/>
    </row>
    <row r="21" spans="1:9" x14ac:dyDescent="0.45">
      <c r="A21" s="10">
        <v>13</v>
      </c>
      <c r="B21" s="2" t="s">
        <v>190</v>
      </c>
      <c r="C21" s="2" t="s">
        <v>191</v>
      </c>
      <c r="D21" s="2" t="s">
        <v>185</v>
      </c>
      <c r="E21" s="10" t="s">
        <v>166</v>
      </c>
      <c r="F21" s="10"/>
      <c r="G21" s="2"/>
      <c r="H21" s="2"/>
      <c r="I21" s="2"/>
    </row>
    <row r="22" spans="1:9" x14ac:dyDescent="0.45">
      <c r="A22" s="10">
        <v>14</v>
      </c>
      <c r="B22" s="2" t="s">
        <v>192</v>
      </c>
      <c r="C22" s="2" t="s">
        <v>193</v>
      </c>
      <c r="D22" s="2" t="s">
        <v>188</v>
      </c>
      <c r="E22" s="10" t="s">
        <v>166</v>
      </c>
      <c r="F22" s="10"/>
      <c r="G22" s="2"/>
      <c r="H22" s="2"/>
      <c r="I22" s="2"/>
    </row>
    <row r="24" spans="1:9" x14ac:dyDescent="0.45">
      <c r="A24" s="27" t="s">
        <v>199</v>
      </c>
      <c r="B24" s="25"/>
      <c r="C24" s="25"/>
      <c r="D24" s="25"/>
      <c r="E24" s="25"/>
      <c r="F24" s="25"/>
      <c r="G24" s="25"/>
      <c r="H24" s="25"/>
      <c r="I24" s="25"/>
    </row>
    <row r="25" spans="1:9" x14ac:dyDescent="0.45">
      <c r="A25" s="3" t="s">
        <v>55</v>
      </c>
      <c r="B25" s="3" t="s">
        <v>200</v>
      </c>
      <c r="C25" s="3" t="s">
        <v>201</v>
      </c>
      <c r="D25" s="23" t="s">
        <v>202</v>
      </c>
      <c r="E25" s="21"/>
      <c r="F25" s="22"/>
      <c r="G25" s="23" t="s">
        <v>18</v>
      </c>
      <c r="H25" s="21"/>
      <c r="I25" s="22"/>
    </row>
    <row r="26" spans="1:9" ht="32" customHeight="1" x14ac:dyDescent="0.45">
      <c r="A26" s="10">
        <v>1</v>
      </c>
      <c r="B26" s="10" t="s">
        <v>35</v>
      </c>
      <c r="C26" s="2" t="s">
        <v>388</v>
      </c>
      <c r="D26" s="20" t="s">
        <v>97</v>
      </c>
      <c r="E26" s="21"/>
      <c r="F26" s="22"/>
      <c r="G26" s="20" t="s">
        <v>204</v>
      </c>
      <c r="H26" s="21"/>
      <c r="I26" s="22"/>
    </row>
    <row r="27" spans="1:9" ht="32" customHeight="1" x14ac:dyDescent="0.45">
      <c r="A27" s="10">
        <v>2</v>
      </c>
      <c r="B27" s="10" t="s">
        <v>229</v>
      </c>
      <c r="C27" s="2" t="s">
        <v>389</v>
      </c>
      <c r="D27" s="20" t="s">
        <v>93</v>
      </c>
      <c r="E27" s="21"/>
      <c r="F27" s="22"/>
      <c r="G27" s="20" t="s">
        <v>390</v>
      </c>
      <c r="H27" s="21"/>
      <c r="I27" s="22"/>
    </row>
    <row r="28" spans="1:9" ht="18" customHeight="1" x14ac:dyDescent="0.45">
      <c r="A28" s="10">
        <v>3</v>
      </c>
      <c r="B28" s="10" t="s">
        <v>205</v>
      </c>
      <c r="C28" s="2" t="s">
        <v>391</v>
      </c>
      <c r="D28" s="20"/>
      <c r="E28" s="21"/>
      <c r="F28" s="22"/>
      <c r="G28" s="20" t="s">
        <v>392</v>
      </c>
      <c r="H28" s="21"/>
      <c r="I28" s="22"/>
    </row>
    <row r="29" spans="1:9" ht="18" customHeight="1" x14ac:dyDescent="0.45">
      <c r="A29" s="10">
        <v>4</v>
      </c>
      <c r="B29" s="10" t="s">
        <v>205</v>
      </c>
      <c r="C29" s="2" t="s">
        <v>393</v>
      </c>
      <c r="D29" s="20"/>
      <c r="E29" s="21"/>
      <c r="F29" s="22"/>
      <c r="G29" s="20" t="s">
        <v>394</v>
      </c>
      <c r="H29" s="21"/>
      <c r="I29" s="22"/>
    </row>
    <row r="30" spans="1:9" ht="18" customHeight="1" x14ac:dyDescent="0.45">
      <c r="A30" s="10">
        <v>5</v>
      </c>
      <c r="B30" s="10" t="s">
        <v>205</v>
      </c>
      <c r="C30" s="2" t="s">
        <v>395</v>
      </c>
      <c r="D30" s="20"/>
      <c r="E30" s="21"/>
      <c r="F30" s="22"/>
      <c r="G30" s="20" t="s">
        <v>396</v>
      </c>
      <c r="H30" s="21"/>
      <c r="I30" s="22"/>
    </row>
    <row r="31" spans="1:9" ht="18" customHeight="1" x14ac:dyDescent="0.45">
      <c r="A31" s="10">
        <v>6</v>
      </c>
      <c r="B31" s="10" t="s">
        <v>205</v>
      </c>
      <c r="C31" s="2" t="s">
        <v>397</v>
      </c>
      <c r="D31" s="20"/>
      <c r="E31" s="21"/>
      <c r="F31" s="22"/>
      <c r="G31" s="20" t="s">
        <v>398</v>
      </c>
      <c r="H31" s="21"/>
      <c r="I31" s="22"/>
    </row>
    <row r="32" spans="1:9" ht="18" customHeight="1" x14ac:dyDescent="0.45">
      <c r="A32" s="10">
        <v>7</v>
      </c>
      <c r="B32" s="10" t="s">
        <v>205</v>
      </c>
      <c r="C32" s="2" t="s">
        <v>399</v>
      </c>
      <c r="D32" s="20"/>
      <c r="E32" s="21"/>
      <c r="F32" s="22"/>
      <c r="G32" s="20" t="s">
        <v>400</v>
      </c>
      <c r="H32" s="21"/>
      <c r="I32" s="22"/>
    </row>
    <row r="34" spans="1:9" x14ac:dyDescent="0.45">
      <c r="A34" s="27" t="s">
        <v>212</v>
      </c>
      <c r="B34" s="25"/>
      <c r="C34" s="25"/>
      <c r="D34" s="25"/>
      <c r="E34" s="25"/>
      <c r="F34" s="25"/>
      <c r="G34" s="25"/>
      <c r="H34" s="25"/>
      <c r="I34" s="25"/>
    </row>
    <row r="35" spans="1:9" x14ac:dyDescent="0.45">
      <c r="A35" s="3" t="s">
        <v>55</v>
      </c>
      <c r="B35" s="3" t="s">
        <v>213</v>
      </c>
      <c r="C35" s="3" t="s">
        <v>214</v>
      </c>
      <c r="D35" s="23" t="s">
        <v>215</v>
      </c>
      <c r="E35" s="21"/>
      <c r="F35" s="22"/>
      <c r="G35" s="23" t="s">
        <v>216</v>
      </c>
      <c r="H35" s="21"/>
      <c r="I35" s="22"/>
    </row>
    <row r="36" spans="1:9" ht="32" customHeight="1" x14ac:dyDescent="0.45">
      <c r="A36" s="10">
        <v>1</v>
      </c>
      <c r="B36" s="10" t="s">
        <v>217</v>
      </c>
      <c r="C36" s="2" t="s">
        <v>388</v>
      </c>
      <c r="D36" s="20" t="s">
        <v>97</v>
      </c>
      <c r="E36" s="21"/>
      <c r="F36" s="22"/>
      <c r="G36" s="20" t="s">
        <v>204</v>
      </c>
      <c r="H36" s="21"/>
      <c r="I36" s="22"/>
    </row>
    <row r="37" spans="1:9" ht="32" customHeight="1" x14ac:dyDescent="0.45">
      <c r="A37" s="10">
        <v>2</v>
      </c>
      <c r="B37" s="10" t="s">
        <v>217</v>
      </c>
      <c r="C37" s="2" t="s">
        <v>401</v>
      </c>
      <c r="D37" s="20" t="s">
        <v>402</v>
      </c>
      <c r="E37" s="21"/>
      <c r="F37" s="22"/>
      <c r="G37" s="20" t="s">
        <v>403</v>
      </c>
      <c r="H37" s="21"/>
      <c r="I37" s="22"/>
    </row>
  </sheetData>
  <mergeCells count="35">
    <mergeCell ref="A1:I1"/>
    <mergeCell ref="D36:F36"/>
    <mergeCell ref="H5:I5"/>
    <mergeCell ref="E3:F3"/>
    <mergeCell ref="A3:B3"/>
    <mergeCell ref="G25:I25"/>
    <mergeCell ref="G32:I32"/>
    <mergeCell ref="D29:F29"/>
    <mergeCell ref="G31:I31"/>
    <mergeCell ref="C4:I4"/>
    <mergeCell ref="A5:B5"/>
    <mergeCell ref="D26:F26"/>
    <mergeCell ref="A24:I24"/>
    <mergeCell ref="H3:I3"/>
    <mergeCell ref="A4:B4"/>
    <mergeCell ref="G27:I27"/>
    <mergeCell ref="D31:F31"/>
    <mergeCell ref="A6:B6"/>
    <mergeCell ref="D28:F28"/>
    <mergeCell ref="D37:F37"/>
    <mergeCell ref="G35:I35"/>
    <mergeCell ref="C6:I6"/>
    <mergeCell ref="G26:I26"/>
    <mergeCell ref="D30:F30"/>
    <mergeCell ref="D25:F25"/>
    <mergeCell ref="G29:I29"/>
    <mergeCell ref="D35:F35"/>
    <mergeCell ref="A34:I34"/>
    <mergeCell ref="G36:I36"/>
    <mergeCell ref="D27:F27"/>
    <mergeCell ref="G28:I28"/>
    <mergeCell ref="G37:I37"/>
    <mergeCell ref="D32:F32"/>
    <mergeCell ref="E5:F5"/>
    <mergeCell ref="G30:I30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100</v>
      </c>
      <c r="D3" s="1" t="s">
        <v>11</v>
      </c>
      <c r="E3" s="20" t="s">
        <v>14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101</v>
      </c>
      <c r="D4" s="25"/>
      <c r="E4" s="25"/>
      <c r="F4" s="25"/>
      <c r="G4" s="25"/>
      <c r="H4" s="25"/>
      <c r="I4" s="25"/>
    </row>
    <row r="5" spans="1:9" ht="32" x14ac:dyDescent="0.45">
      <c r="A5" s="26" t="s">
        <v>58</v>
      </c>
      <c r="B5" s="25"/>
      <c r="C5" s="2" t="s">
        <v>404</v>
      </c>
      <c r="D5" s="1" t="s">
        <v>59</v>
      </c>
      <c r="E5" s="24">
        <f>COUNTA(B9:B17)</f>
        <v>9</v>
      </c>
      <c r="F5" s="25"/>
      <c r="G5" s="1" t="s">
        <v>62</v>
      </c>
      <c r="H5" s="20" t="s">
        <v>104</v>
      </c>
      <c r="I5" s="25"/>
    </row>
    <row r="6" spans="1:9" ht="32" customHeight="1" x14ac:dyDescent="0.45">
      <c r="A6" s="26" t="s">
        <v>63</v>
      </c>
      <c r="B6" s="25"/>
      <c r="C6" s="20" t="s">
        <v>105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ht="32" x14ac:dyDescent="0.45">
      <c r="A9" s="14">
        <v>1</v>
      </c>
      <c r="B9" s="15" t="s">
        <v>153</v>
      </c>
      <c r="C9" s="15" t="s">
        <v>154</v>
      </c>
      <c r="D9" s="15" t="s">
        <v>155</v>
      </c>
      <c r="E9" s="14" t="s">
        <v>156</v>
      </c>
      <c r="F9" s="14">
        <v>1</v>
      </c>
      <c r="G9" s="15" t="s">
        <v>103</v>
      </c>
      <c r="H9" s="15"/>
      <c r="I9" s="15"/>
    </row>
    <row r="10" spans="1:9" ht="32" x14ac:dyDescent="0.45">
      <c r="A10" s="14">
        <v>2</v>
      </c>
      <c r="B10" s="15" t="s">
        <v>157</v>
      </c>
      <c r="C10" s="15" t="s">
        <v>219</v>
      </c>
      <c r="D10" s="15" t="s">
        <v>159</v>
      </c>
      <c r="E10" s="14" t="s">
        <v>156</v>
      </c>
      <c r="F10" s="14">
        <v>2</v>
      </c>
      <c r="G10" s="15" t="s">
        <v>103</v>
      </c>
      <c r="H10" s="15"/>
      <c r="I10" s="15"/>
    </row>
    <row r="11" spans="1:9" x14ac:dyDescent="0.45">
      <c r="A11" s="14">
        <v>3</v>
      </c>
      <c r="B11" s="15" t="s">
        <v>352</v>
      </c>
      <c r="C11" s="15" t="s">
        <v>370</v>
      </c>
      <c r="D11" s="15" t="s">
        <v>299</v>
      </c>
      <c r="E11" s="14" t="s">
        <v>156</v>
      </c>
      <c r="F11" s="14">
        <v>3</v>
      </c>
      <c r="G11" s="15" t="s">
        <v>94</v>
      </c>
      <c r="H11" s="15"/>
      <c r="I11" s="15"/>
    </row>
    <row r="12" spans="1:9" x14ac:dyDescent="0.45">
      <c r="A12" s="14">
        <v>4</v>
      </c>
      <c r="B12" s="15" t="s">
        <v>371</v>
      </c>
      <c r="C12" s="15" t="s">
        <v>405</v>
      </c>
      <c r="D12" s="15" t="s">
        <v>222</v>
      </c>
      <c r="E12" s="14" t="s">
        <v>156</v>
      </c>
      <c r="F12" s="14">
        <v>4</v>
      </c>
      <c r="G12" s="15" t="s">
        <v>94</v>
      </c>
      <c r="H12" s="15"/>
      <c r="I12" s="15"/>
    </row>
    <row r="13" spans="1:9" ht="32" x14ac:dyDescent="0.45">
      <c r="A13" s="14">
        <v>5</v>
      </c>
      <c r="B13" s="15" t="s">
        <v>233</v>
      </c>
      <c r="C13" s="15" t="s">
        <v>406</v>
      </c>
      <c r="D13" s="15" t="s">
        <v>235</v>
      </c>
      <c r="E13" s="14" t="s">
        <v>156</v>
      </c>
      <c r="F13" s="14">
        <v>5</v>
      </c>
      <c r="G13" s="15" t="s">
        <v>76</v>
      </c>
      <c r="H13" s="15"/>
      <c r="I13" s="15"/>
    </row>
    <row r="14" spans="1:9" ht="32" x14ac:dyDescent="0.45">
      <c r="A14" s="10">
        <v>6</v>
      </c>
      <c r="B14" s="2" t="s">
        <v>407</v>
      </c>
      <c r="C14" s="2" t="s">
        <v>408</v>
      </c>
      <c r="D14" s="2" t="s">
        <v>196</v>
      </c>
      <c r="E14" s="10" t="s">
        <v>156</v>
      </c>
      <c r="F14" s="10"/>
      <c r="G14" s="2"/>
      <c r="H14" s="2"/>
      <c r="I14" s="2" t="s">
        <v>409</v>
      </c>
    </row>
    <row r="15" spans="1:9" ht="32" x14ac:dyDescent="0.45">
      <c r="A15" s="10">
        <v>7</v>
      </c>
      <c r="B15" s="2" t="s">
        <v>410</v>
      </c>
      <c r="C15" s="2" t="s">
        <v>411</v>
      </c>
      <c r="D15" s="2" t="s">
        <v>196</v>
      </c>
      <c r="E15" s="10" t="s">
        <v>156</v>
      </c>
      <c r="F15" s="10"/>
      <c r="G15" s="2"/>
      <c r="H15" s="2"/>
      <c r="I15" s="2" t="s">
        <v>412</v>
      </c>
    </row>
    <row r="16" spans="1:9" x14ac:dyDescent="0.45">
      <c r="A16" s="10">
        <v>8</v>
      </c>
      <c r="B16" s="2" t="s">
        <v>413</v>
      </c>
      <c r="C16" s="2" t="s">
        <v>414</v>
      </c>
      <c r="D16" s="2" t="s">
        <v>169</v>
      </c>
      <c r="E16" s="10" t="s">
        <v>166</v>
      </c>
      <c r="F16" s="10"/>
      <c r="G16" s="2"/>
      <c r="H16" s="2"/>
      <c r="I16" s="2"/>
    </row>
    <row r="17" spans="1:9" x14ac:dyDescent="0.45">
      <c r="A17" s="10">
        <v>9</v>
      </c>
      <c r="B17" s="2" t="s">
        <v>415</v>
      </c>
      <c r="C17" s="2" t="s">
        <v>416</v>
      </c>
      <c r="D17" s="2" t="s">
        <v>169</v>
      </c>
      <c r="E17" s="10" t="s">
        <v>166</v>
      </c>
      <c r="F17" s="10"/>
      <c r="G17" s="2"/>
      <c r="H17" s="2"/>
      <c r="I17" s="2"/>
    </row>
    <row r="19" spans="1:9" x14ac:dyDescent="0.45">
      <c r="A19" s="27" t="s">
        <v>199</v>
      </c>
      <c r="B19" s="25"/>
      <c r="C19" s="25"/>
      <c r="D19" s="25"/>
      <c r="E19" s="25"/>
      <c r="F19" s="25"/>
      <c r="G19" s="25"/>
      <c r="H19" s="25"/>
      <c r="I19" s="25"/>
    </row>
    <row r="20" spans="1:9" x14ac:dyDescent="0.45">
      <c r="A20" s="3" t="s">
        <v>55</v>
      </c>
      <c r="B20" s="3" t="s">
        <v>200</v>
      </c>
      <c r="C20" s="3" t="s">
        <v>201</v>
      </c>
      <c r="D20" s="23" t="s">
        <v>202</v>
      </c>
      <c r="E20" s="21"/>
      <c r="F20" s="22"/>
      <c r="G20" s="23" t="s">
        <v>18</v>
      </c>
      <c r="H20" s="21"/>
      <c r="I20" s="22"/>
    </row>
    <row r="21" spans="1:9" ht="32" customHeight="1" x14ac:dyDescent="0.45">
      <c r="A21" s="10">
        <v>1</v>
      </c>
      <c r="B21" s="10" t="s">
        <v>35</v>
      </c>
      <c r="C21" s="2" t="s">
        <v>417</v>
      </c>
      <c r="D21" s="20" t="s">
        <v>102</v>
      </c>
      <c r="E21" s="21"/>
      <c r="F21" s="22"/>
      <c r="G21" s="20" t="s">
        <v>204</v>
      </c>
      <c r="H21" s="21"/>
      <c r="I21" s="22"/>
    </row>
    <row r="22" spans="1:9" ht="32" customHeight="1" x14ac:dyDescent="0.45">
      <c r="A22" s="10">
        <v>2</v>
      </c>
      <c r="B22" s="10" t="s">
        <v>229</v>
      </c>
      <c r="C22" s="2" t="s">
        <v>418</v>
      </c>
      <c r="D22" s="20" t="s">
        <v>78</v>
      </c>
      <c r="E22" s="21"/>
      <c r="F22" s="22"/>
      <c r="G22" s="20" t="s">
        <v>419</v>
      </c>
      <c r="H22" s="21"/>
      <c r="I22" s="22"/>
    </row>
    <row r="23" spans="1:9" ht="32" customHeight="1" x14ac:dyDescent="0.45">
      <c r="A23" s="10">
        <v>3</v>
      </c>
      <c r="B23" s="10" t="s">
        <v>229</v>
      </c>
      <c r="C23" s="2" t="s">
        <v>420</v>
      </c>
      <c r="D23" s="20" t="s">
        <v>97</v>
      </c>
      <c r="E23" s="21"/>
      <c r="F23" s="22"/>
      <c r="G23" s="20" t="s">
        <v>421</v>
      </c>
      <c r="H23" s="21"/>
      <c r="I23" s="22"/>
    </row>
    <row r="24" spans="1:9" ht="46" customHeight="1" x14ac:dyDescent="0.45">
      <c r="A24" s="10">
        <v>4</v>
      </c>
      <c r="B24" s="10" t="s">
        <v>205</v>
      </c>
      <c r="C24" s="2" t="s">
        <v>422</v>
      </c>
      <c r="D24" s="20"/>
      <c r="E24" s="21"/>
      <c r="F24" s="22"/>
      <c r="G24" s="20" t="s">
        <v>423</v>
      </c>
      <c r="H24" s="21"/>
      <c r="I24" s="22"/>
    </row>
    <row r="25" spans="1:9" ht="18" customHeight="1" x14ac:dyDescent="0.45">
      <c r="A25" s="10">
        <v>5</v>
      </c>
      <c r="B25" s="10" t="s">
        <v>205</v>
      </c>
      <c r="C25" s="2" t="s">
        <v>424</v>
      </c>
      <c r="D25" s="20"/>
      <c r="E25" s="21"/>
      <c r="F25" s="22"/>
      <c r="G25" s="20" t="s">
        <v>425</v>
      </c>
      <c r="H25" s="21"/>
      <c r="I25" s="22"/>
    </row>
    <row r="26" spans="1:9" ht="18" customHeight="1" x14ac:dyDescent="0.45">
      <c r="A26" s="10">
        <v>6</v>
      </c>
      <c r="B26" s="10" t="s">
        <v>205</v>
      </c>
      <c r="C26" s="2" t="s">
        <v>426</v>
      </c>
      <c r="D26" s="20"/>
      <c r="E26" s="21"/>
      <c r="F26" s="22"/>
      <c r="G26" s="20" t="s">
        <v>427</v>
      </c>
      <c r="H26" s="21"/>
      <c r="I26" s="22"/>
    </row>
    <row r="28" spans="1:9" x14ac:dyDescent="0.45">
      <c r="A28" s="27" t="s">
        <v>212</v>
      </c>
      <c r="B28" s="25"/>
      <c r="C28" s="25"/>
      <c r="D28" s="25"/>
      <c r="E28" s="25"/>
      <c r="F28" s="25"/>
      <c r="G28" s="25"/>
      <c r="H28" s="25"/>
      <c r="I28" s="25"/>
    </row>
    <row r="29" spans="1:9" x14ac:dyDescent="0.45">
      <c r="A29" s="3" t="s">
        <v>55</v>
      </c>
      <c r="B29" s="3" t="s">
        <v>213</v>
      </c>
      <c r="C29" s="3" t="s">
        <v>214</v>
      </c>
      <c r="D29" s="23" t="s">
        <v>215</v>
      </c>
      <c r="E29" s="21"/>
      <c r="F29" s="22"/>
      <c r="G29" s="23" t="s">
        <v>216</v>
      </c>
      <c r="H29" s="21"/>
      <c r="I29" s="22"/>
    </row>
    <row r="30" spans="1:9" ht="32" customHeight="1" x14ac:dyDescent="0.45">
      <c r="A30" s="10">
        <v>1</v>
      </c>
      <c r="B30" s="10" t="s">
        <v>293</v>
      </c>
      <c r="C30" s="2" t="s">
        <v>428</v>
      </c>
      <c r="D30" s="20" t="s">
        <v>429</v>
      </c>
      <c r="E30" s="21"/>
      <c r="F30" s="22"/>
      <c r="G30" s="20" t="s">
        <v>430</v>
      </c>
      <c r="H30" s="21"/>
      <c r="I30" s="22"/>
    </row>
    <row r="31" spans="1:9" ht="32" customHeight="1" x14ac:dyDescent="0.45">
      <c r="A31" s="10">
        <v>2</v>
      </c>
      <c r="B31" s="10" t="s">
        <v>217</v>
      </c>
      <c r="C31" s="2" t="s">
        <v>417</v>
      </c>
      <c r="D31" s="20" t="s">
        <v>102</v>
      </c>
      <c r="E31" s="21"/>
      <c r="F31" s="22"/>
      <c r="G31" s="20" t="s">
        <v>204</v>
      </c>
      <c r="H31" s="21"/>
      <c r="I31" s="22"/>
    </row>
    <row r="32" spans="1:9" ht="46" customHeight="1" x14ac:dyDescent="0.45">
      <c r="A32" s="10">
        <v>3</v>
      </c>
      <c r="B32" s="10" t="s">
        <v>217</v>
      </c>
      <c r="C32" s="2" t="s">
        <v>431</v>
      </c>
      <c r="D32" s="20" t="s">
        <v>432</v>
      </c>
      <c r="E32" s="21"/>
      <c r="F32" s="22"/>
      <c r="G32" s="20" t="s">
        <v>433</v>
      </c>
      <c r="H32" s="21"/>
      <c r="I32" s="22"/>
    </row>
  </sheetData>
  <mergeCells count="35">
    <mergeCell ref="A4:B4"/>
    <mergeCell ref="D31:F31"/>
    <mergeCell ref="D22:F22"/>
    <mergeCell ref="G23:I23"/>
    <mergeCell ref="A1:I1"/>
    <mergeCell ref="H5:I5"/>
    <mergeCell ref="D21:F21"/>
    <mergeCell ref="E3:F3"/>
    <mergeCell ref="A3:B3"/>
    <mergeCell ref="D24:F24"/>
    <mergeCell ref="G25:I25"/>
    <mergeCell ref="G32:I32"/>
    <mergeCell ref="A19:I19"/>
    <mergeCell ref="D29:F29"/>
    <mergeCell ref="D23:F23"/>
    <mergeCell ref="G22:I22"/>
    <mergeCell ref="A28:I28"/>
    <mergeCell ref="G31:I31"/>
    <mergeCell ref="C4:I4"/>
    <mergeCell ref="A5:B5"/>
    <mergeCell ref="D26:F26"/>
    <mergeCell ref="G21:I21"/>
    <mergeCell ref="D20:F20"/>
    <mergeCell ref="H3:I3"/>
    <mergeCell ref="D32:F32"/>
    <mergeCell ref="E5:F5"/>
    <mergeCell ref="G30:I30"/>
    <mergeCell ref="A6:B6"/>
    <mergeCell ref="G24:I24"/>
    <mergeCell ref="C6:I6"/>
    <mergeCell ref="G20:I20"/>
    <mergeCell ref="G26:I26"/>
    <mergeCell ref="D30:F30"/>
    <mergeCell ref="D25:F25"/>
    <mergeCell ref="G29:I29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106</v>
      </c>
      <c r="D3" s="1" t="s">
        <v>11</v>
      </c>
      <c r="E3" s="20" t="s">
        <v>14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107</v>
      </c>
      <c r="D4" s="25"/>
      <c r="E4" s="25"/>
      <c r="F4" s="25"/>
      <c r="G4" s="25"/>
      <c r="H4" s="25"/>
      <c r="I4" s="25"/>
    </row>
    <row r="5" spans="1:9" ht="32" x14ac:dyDescent="0.45">
      <c r="A5" s="26" t="s">
        <v>58</v>
      </c>
      <c r="B5" s="25"/>
      <c r="C5" s="2" t="s">
        <v>434</v>
      </c>
      <c r="D5" s="1" t="s">
        <v>59</v>
      </c>
      <c r="E5" s="24">
        <f>COUNTA(B9:B13)</f>
        <v>5</v>
      </c>
      <c r="F5" s="25"/>
      <c r="G5" s="1" t="s">
        <v>62</v>
      </c>
      <c r="H5" s="20" t="s">
        <v>110</v>
      </c>
      <c r="I5" s="25"/>
    </row>
    <row r="6" spans="1:9" ht="32" customHeight="1" x14ac:dyDescent="0.45">
      <c r="A6" s="26" t="s">
        <v>63</v>
      </c>
      <c r="B6" s="25"/>
      <c r="C6" s="20" t="s">
        <v>105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ht="32" x14ac:dyDescent="0.45">
      <c r="A9" s="14">
        <v>1</v>
      </c>
      <c r="B9" s="15" t="s">
        <v>153</v>
      </c>
      <c r="C9" s="15" t="s">
        <v>154</v>
      </c>
      <c r="D9" s="15" t="s">
        <v>155</v>
      </c>
      <c r="E9" s="14" t="s">
        <v>156</v>
      </c>
      <c r="F9" s="14">
        <v>1</v>
      </c>
      <c r="G9" s="15" t="s">
        <v>109</v>
      </c>
      <c r="H9" s="15"/>
      <c r="I9" s="15"/>
    </row>
    <row r="10" spans="1:9" ht="32" x14ac:dyDescent="0.45">
      <c r="A10" s="14">
        <v>2</v>
      </c>
      <c r="B10" s="15" t="s">
        <v>157</v>
      </c>
      <c r="C10" s="15" t="s">
        <v>219</v>
      </c>
      <c r="D10" s="15" t="s">
        <v>159</v>
      </c>
      <c r="E10" s="14" t="s">
        <v>156</v>
      </c>
      <c r="F10" s="14">
        <v>2</v>
      </c>
      <c r="G10" s="15" t="s">
        <v>109</v>
      </c>
      <c r="H10" s="15"/>
      <c r="I10" s="15"/>
    </row>
    <row r="11" spans="1:9" x14ac:dyDescent="0.45">
      <c r="A11" s="14">
        <v>3</v>
      </c>
      <c r="B11" s="15" t="s">
        <v>352</v>
      </c>
      <c r="C11" s="15" t="s">
        <v>370</v>
      </c>
      <c r="D11" s="15" t="s">
        <v>299</v>
      </c>
      <c r="E11" s="14" t="s">
        <v>156</v>
      </c>
      <c r="F11" s="14">
        <v>3</v>
      </c>
      <c r="G11" s="15" t="s">
        <v>94</v>
      </c>
      <c r="H11" s="15"/>
      <c r="I11" s="15"/>
    </row>
    <row r="12" spans="1:9" x14ac:dyDescent="0.45">
      <c r="A12" s="14">
        <v>4</v>
      </c>
      <c r="B12" s="15" t="s">
        <v>371</v>
      </c>
      <c r="C12" s="15" t="s">
        <v>405</v>
      </c>
      <c r="D12" s="15" t="s">
        <v>222</v>
      </c>
      <c r="E12" s="14" t="s">
        <v>156</v>
      </c>
      <c r="F12" s="14">
        <v>4</v>
      </c>
      <c r="G12" s="15" t="s">
        <v>94</v>
      </c>
      <c r="H12" s="15"/>
      <c r="I12" s="15"/>
    </row>
    <row r="13" spans="1:9" x14ac:dyDescent="0.45">
      <c r="A13" s="14">
        <v>5</v>
      </c>
      <c r="B13" s="15" t="s">
        <v>220</v>
      </c>
      <c r="C13" s="15" t="s">
        <v>435</v>
      </c>
      <c r="D13" s="15" t="s">
        <v>222</v>
      </c>
      <c r="E13" s="14" t="s">
        <v>156</v>
      </c>
      <c r="F13" s="14">
        <v>5</v>
      </c>
      <c r="G13" s="15" t="s">
        <v>70</v>
      </c>
      <c r="H13" s="15"/>
      <c r="I13" s="15"/>
    </row>
    <row r="15" spans="1:9" x14ac:dyDescent="0.45">
      <c r="A15" s="27" t="s">
        <v>199</v>
      </c>
      <c r="B15" s="25"/>
      <c r="C15" s="25"/>
      <c r="D15" s="25"/>
      <c r="E15" s="25"/>
      <c r="F15" s="25"/>
      <c r="G15" s="25"/>
      <c r="H15" s="25"/>
      <c r="I15" s="25"/>
    </row>
    <row r="16" spans="1:9" x14ac:dyDescent="0.45">
      <c r="A16" s="3" t="s">
        <v>55</v>
      </c>
      <c r="B16" s="3" t="s">
        <v>200</v>
      </c>
      <c r="C16" s="3" t="s">
        <v>201</v>
      </c>
      <c r="D16" s="23" t="s">
        <v>202</v>
      </c>
      <c r="E16" s="21"/>
      <c r="F16" s="22"/>
      <c r="G16" s="23" t="s">
        <v>18</v>
      </c>
      <c r="H16" s="21"/>
      <c r="I16" s="22"/>
    </row>
    <row r="17" spans="1:9" ht="32" customHeight="1" x14ac:dyDescent="0.45">
      <c r="A17" s="10">
        <v>1</v>
      </c>
      <c r="B17" s="10" t="s">
        <v>35</v>
      </c>
      <c r="C17" s="2" t="s">
        <v>436</v>
      </c>
      <c r="D17" s="20" t="s">
        <v>108</v>
      </c>
      <c r="E17" s="21"/>
      <c r="F17" s="22"/>
      <c r="G17" s="20" t="s">
        <v>204</v>
      </c>
      <c r="H17" s="21"/>
      <c r="I17" s="22"/>
    </row>
    <row r="18" spans="1:9" ht="32" customHeight="1" x14ac:dyDescent="0.45">
      <c r="A18" s="10">
        <v>2</v>
      </c>
      <c r="B18" s="10" t="s">
        <v>229</v>
      </c>
      <c r="C18" s="2" t="s">
        <v>437</v>
      </c>
      <c r="D18" s="20" t="s">
        <v>72</v>
      </c>
      <c r="E18" s="21"/>
      <c r="F18" s="22"/>
      <c r="G18" s="20" t="s">
        <v>282</v>
      </c>
      <c r="H18" s="21"/>
      <c r="I18" s="22"/>
    </row>
    <row r="19" spans="1:9" ht="32" customHeight="1" x14ac:dyDescent="0.45">
      <c r="A19" s="10">
        <v>3</v>
      </c>
      <c r="B19" s="10" t="s">
        <v>229</v>
      </c>
      <c r="C19" s="2" t="s">
        <v>438</v>
      </c>
      <c r="D19" s="20" t="s">
        <v>97</v>
      </c>
      <c r="E19" s="21"/>
      <c r="F19" s="22"/>
      <c r="G19" s="20" t="s">
        <v>421</v>
      </c>
      <c r="H19" s="21"/>
      <c r="I19" s="22"/>
    </row>
    <row r="21" spans="1:9" x14ac:dyDescent="0.45">
      <c r="A21" s="27" t="s">
        <v>212</v>
      </c>
      <c r="B21" s="25"/>
      <c r="C21" s="25"/>
      <c r="D21" s="25"/>
      <c r="E21" s="25"/>
      <c r="F21" s="25"/>
      <c r="G21" s="25"/>
      <c r="H21" s="25"/>
      <c r="I21" s="25"/>
    </row>
    <row r="22" spans="1:9" x14ac:dyDescent="0.45">
      <c r="A22" s="3" t="s">
        <v>55</v>
      </c>
      <c r="B22" s="3" t="s">
        <v>213</v>
      </c>
      <c r="C22" s="3" t="s">
        <v>214</v>
      </c>
      <c r="D22" s="23" t="s">
        <v>215</v>
      </c>
      <c r="E22" s="21"/>
      <c r="F22" s="22"/>
      <c r="G22" s="23" t="s">
        <v>216</v>
      </c>
      <c r="H22" s="21"/>
      <c r="I22" s="22"/>
    </row>
    <row r="23" spans="1:9" ht="18" customHeight="1" x14ac:dyDescent="0.45">
      <c r="A23" s="10">
        <v>1</v>
      </c>
      <c r="B23" s="10" t="s">
        <v>293</v>
      </c>
      <c r="C23" s="2" t="s">
        <v>439</v>
      </c>
      <c r="D23" s="20" t="s">
        <v>72</v>
      </c>
      <c r="E23" s="21"/>
      <c r="F23" s="22"/>
      <c r="G23" s="20" t="s">
        <v>440</v>
      </c>
      <c r="H23" s="21"/>
      <c r="I23" s="22"/>
    </row>
    <row r="24" spans="1:9" ht="32" customHeight="1" x14ac:dyDescent="0.45">
      <c r="A24" s="10">
        <v>2</v>
      </c>
      <c r="B24" s="10" t="s">
        <v>217</v>
      </c>
      <c r="C24" s="2" t="s">
        <v>436</v>
      </c>
      <c r="D24" s="20" t="s">
        <v>108</v>
      </c>
      <c r="E24" s="21"/>
      <c r="F24" s="22"/>
      <c r="G24" s="20" t="s">
        <v>204</v>
      </c>
      <c r="H24" s="21"/>
      <c r="I24" s="22"/>
    </row>
  </sheetData>
  <mergeCells count="27">
    <mergeCell ref="A1:I1"/>
    <mergeCell ref="H5:I5"/>
    <mergeCell ref="G17:I17"/>
    <mergeCell ref="E3:F3"/>
    <mergeCell ref="A3:B3"/>
    <mergeCell ref="D24:F24"/>
    <mergeCell ref="G16:I16"/>
    <mergeCell ref="D23:F23"/>
    <mergeCell ref="G22:I22"/>
    <mergeCell ref="C4:I4"/>
    <mergeCell ref="A5:B5"/>
    <mergeCell ref="H3:I3"/>
    <mergeCell ref="A4:B4"/>
    <mergeCell ref="A15:I15"/>
    <mergeCell ref="D19:F19"/>
    <mergeCell ref="D22:F22"/>
    <mergeCell ref="G23:I23"/>
    <mergeCell ref="A6:B6"/>
    <mergeCell ref="A21:I21"/>
    <mergeCell ref="G24:I24"/>
    <mergeCell ref="D18:F18"/>
    <mergeCell ref="C6:I6"/>
    <mergeCell ref="G19:I19"/>
    <mergeCell ref="E5:F5"/>
    <mergeCell ref="G18:I18"/>
    <mergeCell ref="D17:F17"/>
    <mergeCell ref="D16:F16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111</v>
      </c>
      <c r="D3" s="1" t="s">
        <v>11</v>
      </c>
      <c r="E3" s="20" t="s">
        <v>14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112</v>
      </c>
      <c r="D4" s="25"/>
      <c r="E4" s="25"/>
      <c r="F4" s="25"/>
      <c r="G4" s="25"/>
      <c r="H4" s="25"/>
      <c r="I4" s="25"/>
    </row>
    <row r="5" spans="1:9" ht="32" x14ac:dyDescent="0.45">
      <c r="A5" s="26" t="s">
        <v>58</v>
      </c>
      <c r="B5" s="25"/>
      <c r="C5" s="2" t="s">
        <v>441</v>
      </c>
      <c r="D5" s="1" t="s">
        <v>59</v>
      </c>
      <c r="E5" s="24">
        <f>COUNTA(B9:B15)</f>
        <v>7</v>
      </c>
      <c r="F5" s="25"/>
      <c r="G5" s="1" t="s">
        <v>62</v>
      </c>
      <c r="H5" s="20" t="s">
        <v>114</v>
      </c>
      <c r="I5" s="25"/>
    </row>
    <row r="6" spans="1:9" ht="32" customHeight="1" x14ac:dyDescent="0.45">
      <c r="A6" s="26" t="s">
        <v>63</v>
      </c>
      <c r="B6" s="25"/>
      <c r="C6" s="20" t="s">
        <v>105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ht="32" x14ac:dyDescent="0.45">
      <c r="A9" s="14">
        <v>1</v>
      </c>
      <c r="B9" s="15" t="s">
        <v>153</v>
      </c>
      <c r="C9" s="15" t="s">
        <v>154</v>
      </c>
      <c r="D9" s="15" t="s">
        <v>155</v>
      </c>
      <c r="E9" s="14" t="s">
        <v>156</v>
      </c>
      <c r="F9" s="14">
        <v>1</v>
      </c>
      <c r="G9" s="15" t="s">
        <v>109</v>
      </c>
      <c r="H9" s="15"/>
      <c r="I9" s="15"/>
    </row>
    <row r="10" spans="1:9" ht="32" x14ac:dyDescent="0.45">
      <c r="A10" s="14">
        <v>2</v>
      </c>
      <c r="B10" s="15" t="s">
        <v>157</v>
      </c>
      <c r="C10" s="15" t="s">
        <v>219</v>
      </c>
      <c r="D10" s="15" t="s">
        <v>159</v>
      </c>
      <c r="E10" s="14" t="s">
        <v>156</v>
      </c>
      <c r="F10" s="14">
        <v>2</v>
      </c>
      <c r="G10" s="15" t="s">
        <v>109</v>
      </c>
      <c r="H10" s="15"/>
      <c r="I10" s="15"/>
    </row>
    <row r="11" spans="1:9" x14ac:dyDescent="0.45">
      <c r="A11" s="14">
        <v>3</v>
      </c>
      <c r="B11" s="15" t="s">
        <v>352</v>
      </c>
      <c r="C11" s="15" t="s">
        <v>370</v>
      </c>
      <c r="D11" s="15" t="s">
        <v>299</v>
      </c>
      <c r="E11" s="14" t="s">
        <v>156</v>
      </c>
      <c r="F11" s="14">
        <v>3</v>
      </c>
      <c r="G11" s="15" t="s">
        <v>94</v>
      </c>
      <c r="H11" s="15"/>
      <c r="I11" s="15"/>
    </row>
    <row r="12" spans="1:9" x14ac:dyDescent="0.45">
      <c r="A12" s="14">
        <v>4</v>
      </c>
      <c r="B12" s="15" t="s">
        <v>371</v>
      </c>
      <c r="C12" s="15" t="s">
        <v>405</v>
      </c>
      <c r="D12" s="15" t="s">
        <v>222</v>
      </c>
      <c r="E12" s="14" t="s">
        <v>156</v>
      </c>
      <c r="F12" s="14">
        <v>4</v>
      </c>
      <c r="G12" s="15" t="s">
        <v>94</v>
      </c>
      <c r="H12" s="15"/>
      <c r="I12" s="15"/>
    </row>
    <row r="13" spans="1:9" x14ac:dyDescent="0.45">
      <c r="A13" s="14">
        <v>5</v>
      </c>
      <c r="B13" s="15" t="s">
        <v>442</v>
      </c>
      <c r="C13" s="15" t="s">
        <v>443</v>
      </c>
      <c r="D13" s="15" t="s">
        <v>222</v>
      </c>
      <c r="E13" s="14" t="s">
        <v>156</v>
      </c>
      <c r="F13" s="14">
        <v>5</v>
      </c>
      <c r="G13" s="15" t="s">
        <v>70</v>
      </c>
      <c r="H13" s="15"/>
      <c r="I13" s="15"/>
    </row>
    <row r="14" spans="1:9" x14ac:dyDescent="0.45">
      <c r="A14" s="14">
        <v>6</v>
      </c>
      <c r="B14" s="15" t="s">
        <v>444</v>
      </c>
      <c r="C14" s="15" t="s">
        <v>445</v>
      </c>
      <c r="D14" s="15" t="s">
        <v>222</v>
      </c>
      <c r="E14" s="14" t="s">
        <v>156</v>
      </c>
      <c r="F14" s="14">
        <v>6</v>
      </c>
      <c r="G14" s="15" t="s">
        <v>70</v>
      </c>
      <c r="H14" s="15"/>
      <c r="I14" s="15"/>
    </row>
    <row r="15" spans="1:9" x14ac:dyDescent="0.45">
      <c r="A15" s="10">
        <v>7</v>
      </c>
      <c r="B15" s="2" t="s">
        <v>446</v>
      </c>
      <c r="C15" s="2" t="s">
        <v>447</v>
      </c>
      <c r="D15" s="2" t="s">
        <v>169</v>
      </c>
      <c r="E15" s="10" t="s">
        <v>156</v>
      </c>
      <c r="F15" s="10"/>
      <c r="G15" s="2"/>
      <c r="H15" s="2"/>
      <c r="I15" s="2" t="s">
        <v>448</v>
      </c>
    </row>
    <row r="17" spans="1:9" x14ac:dyDescent="0.45">
      <c r="A17" s="27" t="s">
        <v>199</v>
      </c>
      <c r="B17" s="25"/>
      <c r="C17" s="25"/>
      <c r="D17" s="25"/>
      <c r="E17" s="25"/>
      <c r="F17" s="25"/>
      <c r="G17" s="25"/>
      <c r="H17" s="25"/>
      <c r="I17" s="25"/>
    </row>
    <row r="18" spans="1:9" x14ac:dyDescent="0.45">
      <c r="A18" s="3" t="s">
        <v>55</v>
      </c>
      <c r="B18" s="3" t="s">
        <v>200</v>
      </c>
      <c r="C18" s="3" t="s">
        <v>201</v>
      </c>
      <c r="D18" s="23" t="s">
        <v>202</v>
      </c>
      <c r="E18" s="21"/>
      <c r="F18" s="22"/>
      <c r="G18" s="23" t="s">
        <v>18</v>
      </c>
      <c r="H18" s="21"/>
      <c r="I18" s="22"/>
    </row>
    <row r="19" spans="1:9" ht="46" customHeight="1" x14ac:dyDescent="0.45">
      <c r="A19" s="10">
        <v>1</v>
      </c>
      <c r="B19" s="10" t="s">
        <v>35</v>
      </c>
      <c r="C19" s="2" t="s">
        <v>449</v>
      </c>
      <c r="D19" s="20" t="s">
        <v>113</v>
      </c>
      <c r="E19" s="21"/>
      <c r="F19" s="22"/>
      <c r="G19" s="20" t="s">
        <v>204</v>
      </c>
      <c r="H19" s="21"/>
      <c r="I19" s="22"/>
    </row>
    <row r="20" spans="1:9" ht="32" customHeight="1" x14ac:dyDescent="0.45">
      <c r="A20" s="10">
        <v>2</v>
      </c>
      <c r="B20" s="10" t="s">
        <v>229</v>
      </c>
      <c r="C20" s="2" t="s">
        <v>450</v>
      </c>
      <c r="D20" s="20" t="s">
        <v>451</v>
      </c>
      <c r="E20" s="21"/>
      <c r="F20" s="22"/>
      <c r="G20" s="20" t="s">
        <v>282</v>
      </c>
      <c r="H20" s="21"/>
      <c r="I20" s="22"/>
    </row>
    <row r="21" spans="1:9" ht="32" customHeight="1" x14ac:dyDescent="0.45">
      <c r="A21" s="10">
        <v>3</v>
      </c>
      <c r="B21" s="10" t="s">
        <v>229</v>
      </c>
      <c r="C21" s="2" t="s">
        <v>452</v>
      </c>
      <c r="D21" s="20" t="s">
        <v>453</v>
      </c>
      <c r="E21" s="21"/>
      <c r="F21" s="22"/>
      <c r="G21" s="20" t="s">
        <v>282</v>
      </c>
      <c r="H21" s="21"/>
      <c r="I21" s="22"/>
    </row>
    <row r="22" spans="1:9" ht="32" customHeight="1" x14ac:dyDescent="0.45">
      <c r="A22" s="10">
        <v>4</v>
      </c>
      <c r="B22" s="10" t="s">
        <v>229</v>
      </c>
      <c r="C22" s="2" t="s">
        <v>454</v>
      </c>
      <c r="D22" s="20" t="s">
        <v>97</v>
      </c>
      <c r="E22" s="21"/>
      <c r="F22" s="22"/>
      <c r="G22" s="20" t="s">
        <v>421</v>
      </c>
      <c r="H22" s="21"/>
      <c r="I22" s="22"/>
    </row>
    <row r="23" spans="1:9" ht="18" customHeight="1" x14ac:dyDescent="0.45">
      <c r="A23" s="10">
        <v>5</v>
      </c>
      <c r="B23" s="10" t="s">
        <v>205</v>
      </c>
      <c r="C23" s="2" t="s">
        <v>455</v>
      </c>
      <c r="D23" s="20"/>
      <c r="E23" s="21"/>
      <c r="F23" s="22"/>
      <c r="G23" s="20" t="s">
        <v>456</v>
      </c>
      <c r="H23" s="21"/>
      <c r="I23" s="22"/>
    </row>
    <row r="24" spans="1:9" ht="18" customHeight="1" x14ac:dyDescent="0.45">
      <c r="A24" s="10">
        <v>6</v>
      </c>
      <c r="B24" s="10" t="s">
        <v>205</v>
      </c>
      <c r="C24" s="2" t="s">
        <v>457</v>
      </c>
      <c r="D24" s="20"/>
      <c r="E24" s="21"/>
      <c r="F24" s="22"/>
      <c r="G24" s="20" t="s">
        <v>458</v>
      </c>
      <c r="H24" s="21"/>
      <c r="I24" s="22"/>
    </row>
    <row r="26" spans="1:9" x14ac:dyDescent="0.45">
      <c r="A26" s="27" t="s">
        <v>212</v>
      </c>
      <c r="B26" s="25"/>
      <c r="C26" s="25"/>
      <c r="D26" s="25"/>
      <c r="E26" s="25"/>
      <c r="F26" s="25"/>
      <c r="G26" s="25"/>
      <c r="H26" s="25"/>
      <c r="I26" s="25"/>
    </row>
    <row r="27" spans="1:9" x14ac:dyDescent="0.45">
      <c r="A27" s="3" t="s">
        <v>55</v>
      </c>
      <c r="B27" s="3" t="s">
        <v>213</v>
      </c>
      <c r="C27" s="3" t="s">
        <v>214</v>
      </c>
      <c r="D27" s="23" t="s">
        <v>215</v>
      </c>
      <c r="E27" s="21"/>
      <c r="F27" s="22"/>
      <c r="G27" s="23" t="s">
        <v>216</v>
      </c>
      <c r="H27" s="21"/>
      <c r="I27" s="22"/>
    </row>
    <row r="28" spans="1:9" ht="18" customHeight="1" x14ac:dyDescent="0.45">
      <c r="A28" s="10">
        <v>1</v>
      </c>
      <c r="B28" s="10" t="s">
        <v>293</v>
      </c>
      <c r="C28" s="2" t="s">
        <v>459</v>
      </c>
      <c r="D28" s="20" t="s">
        <v>451</v>
      </c>
      <c r="E28" s="21"/>
      <c r="F28" s="22"/>
      <c r="G28" s="20" t="s">
        <v>460</v>
      </c>
      <c r="H28" s="21"/>
      <c r="I28" s="22"/>
    </row>
    <row r="29" spans="1:9" ht="18" customHeight="1" x14ac:dyDescent="0.45">
      <c r="A29" s="10">
        <v>2</v>
      </c>
      <c r="B29" s="10" t="s">
        <v>293</v>
      </c>
      <c r="C29" s="2" t="s">
        <v>461</v>
      </c>
      <c r="D29" s="20" t="s">
        <v>453</v>
      </c>
      <c r="E29" s="21"/>
      <c r="F29" s="22"/>
      <c r="G29" s="20" t="s">
        <v>460</v>
      </c>
      <c r="H29" s="21"/>
      <c r="I29" s="22"/>
    </row>
    <row r="30" spans="1:9" ht="46" customHeight="1" x14ac:dyDescent="0.45">
      <c r="A30" s="10">
        <v>3</v>
      </c>
      <c r="B30" s="10" t="s">
        <v>217</v>
      </c>
      <c r="C30" s="2" t="s">
        <v>449</v>
      </c>
      <c r="D30" s="20" t="s">
        <v>113</v>
      </c>
      <c r="E30" s="21"/>
      <c r="F30" s="22"/>
      <c r="G30" s="20" t="s">
        <v>204</v>
      </c>
      <c r="H30" s="21"/>
      <c r="I30" s="22"/>
    </row>
  </sheetData>
  <mergeCells count="35">
    <mergeCell ref="A1:I1"/>
    <mergeCell ref="H5:I5"/>
    <mergeCell ref="D21:F21"/>
    <mergeCell ref="E3:F3"/>
    <mergeCell ref="A3:B3"/>
    <mergeCell ref="D24:F24"/>
    <mergeCell ref="D29:F29"/>
    <mergeCell ref="D23:F23"/>
    <mergeCell ref="G22:I22"/>
    <mergeCell ref="C4:I4"/>
    <mergeCell ref="A5:B5"/>
    <mergeCell ref="D20:F20"/>
    <mergeCell ref="G21:I21"/>
    <mergeCell ref="H3:I3"/>
    <mergeCell ref="A4:B4"/>
    <mergeCell ref="D19:F19"/>
    <mergeCell ref="G27:I27"/>
    <mergeCell ref="D22:F22"/>
    <mergeCell ref="G23:I23"/>
    <mergeCell ref="G30:I30"/>
    <mergeCell ref="A6:B6"/>
    <mergeCell ref="A26:I26"/>
    <mergeCell ref="G24:I24"/>
    <mergeCell ref="D28:F28"/>
    <mergeCell ref="D18:F18"/>
    <mergeCell ref="A17:I17"/>
    <mergeCell ref="C6:I6"/>
    <mergeCell ref="G20:I20"/>
    <mergeCell ref="D30:F30"/>
    <mergeCell ref="G29:I29"/>
    <mergeCell ref="D27:F27"/>
    <mergeCell ref="G28:I28"/>
    <mergeCell ref="G19:I19"/>
    <mergeCell ref="E5:F5"/>
    <mergeCell ref="G18:I18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115</v>
      </c>
      <c r="D3" s="1" t="s">
        <v>11</v>
      </c>
      <c r="E3" s="20" t="s">
        <v>14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116</v>
      </c>
      <c r="D4" s="25"/>
      <c r="E4" s="25"/>
      <c r="F4" s="25"/>
      <c r="G4" s="25"/>
      <c r="H4" s="25"/>
      <c r="I4" s="25"/>
    </row>
    <row r="5" spans="1:9" ht="32" x14ac:dyDescent="0.45">
      <c r="A5" s="26" t="s">
        <v>58</v>
      </c>
      <c r="B5" s="25"/>
      <c r="C5" s="2" t="s">
        <v>462</v>
      </c>
      <c r="D5" s="1" t="s">
        <v>59</v>
      </c>
      <c r="E5" s="24">
        <f>COUNTA(B9:B18)</f>
        <v>10</v>
      </c>
      <c r="F5" s="25"/>
      <c r="G5" s="1" t="s">
        <v>62</v>
      </c>
      <c r="H5" s="20" t="s">
        <v>118</v>
      </c>
      <c r="I5" s="25"/>
    </row>
    <row r="6" spans="1:9" ht="32" customHeight="1" x14ac:dyDescent="0.45">
      <c r="A6" s="26" t="s">
        <v>63</v>
      </c>
      <c r="B6" s="25"/>
      <c r="C6" s="20" t="s">
        <v>105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ht="32" x14ac:dyDescent="0.45">
      <c r="A9" s="14">
        <v>1</v>
      </c>
      <c r="B9" s="15" t="s">
        <v>153</v>
      </c>
      <c r="C9" s="15" t="s">
        <v>154</v>
      </c>
      <c r="D9" s="15" t="s">
        <v>155</v>
      </c>
      <c r="E9" s="14" t="s">
        <v>156</v>
      </c>
      <c r="F9" s="14">
        <v>1</v>
      </c>
      <c r="G9" s="15" t="s">
        <v>103</v>
      </c>
      <c r="H9" s="15"/>
      <c r="I9" s="15"/>
    </row>
    <row r="10" spans="1:9" ht="32" x14ac:dyDescent="0.45">
      <c r="A10" s="14">
        <v>2</v>
      </c>
      <c r="B10" s="15" t="s">
        <v>157</v>
      </c>
      <c r="C10" s="15" t="s">
        <v>219</v>
      </c>
      <c r="D10" s="15" t="s">
        <v>159</v>
      </c>
      <c r="E10" s="14" t="s">
        <v>156</v>
      </c>
      <c r="F10" s="14">
        <v>2</v>
      </c>
      <c r="G10" s="15" t="s">
        <v>103</v>
      </c>
      <c r="H10" s="15"/>
      <c r="I10" s="15"/>
    </row>
    <row r="11" spans="1:9" x14ac:dyDescent="0.45">
      <c r="A11" s="14">
        <v>3</v>
      </c>
      <c r="B11" s="15" t="s">
        <v>352</v>
      </c>
      <c r="C11" s="15" t="s">
        <v>370</v>
      </c>
      <c r="D11" s="15" t="s">
        <v>299</v>
      </c>
      <c r="E11" s="14" t="s">
        <v>156</v>
      </c>
      <c r="F11" s="14">
        <v>3</v>
      </c>
      <c r="G11" s="15" t="s">
        <v>94</v>
      </c>
      <c r="H11" s="15"/>
      <c r="I11" s="15"/>
    </row>
    <row r="12" spans="1:9" x14ac:dyDescent="0.45">
      <c r="A12" s="14">
        <v>4</v>
      </c>
      <c r="B12" s="15" t="s">
        <v>371</v>
      </c>
      <c r="C12" s="15" t="s">
        <v>405</v>
      </c>
      <c r="D12" s="15" t="s">
        <v>222</v>
      </c>
      <c r="E12" s="14" t="s">
        <v>156</v>
      </c>
      <c r="F12" s="14">
        <v>4</v>
      </c>
      <c r="G12" s="15" t="s">
        <v>94</v>
      </c>
      <c r="H12" s="15"/>
      <c r="I12" s="15"/>
    </row>
    <row r="13" spans="1:9" x14ac:dyDescent="0.45">
      <c r="A13" s="14">
        <v>5</v>
      </c>
      <c r="B13" s="15" t="s">
        <v>463</v>
      </c>
      <c r="C13" s="15" t="s">
        <v>464</v>
      </c>
      <c r="D13" s="15" t="s">
        <v>264</v>
      </c>
      <c r="E13" s="14" t="s">
        <v>156</v>
      </c>
      <c r="F13" s="14">
        <v>5</v>
      </c>
      <c r="G13" s="15"/>
      <c r="H13" s="15"/>
      <c r="I13" s="15" t="s">
        <v>373</v>
      </c>
    </row>
    <row r="14" spans="1:9" x14ac:dyDescent="0.45">
      <c r="A14" s="10">
        <v>6</v>
      </c>
      <c r="B14" s="2" t="s">
        <v>233</v>
      </c>
      <c r="C14" s="2" t="s">
        <v>465</v>
      </c>
      <c r="D14" s="2" t="s">
        <v>235</v>
      </c>
      <c r="E14" s="10" t="s">
        <v>156</v>
      </c>
      <c r="F14" s="10"/>
      <c r="G14" s="2" t="s">
        <v>76</v>
      </c>
      <c r="H14" s="2"/>
      <c r="I14" s="2"/>
    </row>
    <row r="15" spans="1:9" x14ac:dyDescent="0.45">
      <c r="A15" s="10">
        <v>7</v>
      </c>
      <c r="B15" s="2" t="s">
        <v>466</v>
      </c>
      <c r="C15" s="2" t="s">
        <v>467</v>
      </c>
      <c r="D15" s="2" t="s">
        <v>196</v>
      </c>
      <c r="E15" s="10" t="s">
        <v>156</v>
      </c>
      <c r="F15" s="10"/>
      <c r="G15" s="2"/>
      <c r="H15" s="2"/>
      <c r="I15" s="2" t="s">
        <v>468</v>
      </c>
    </row>
    <row r="16" spans="1:9" x14ac:dyDescent="0.45">
      <c r="A16" s="10">
        <v>8</v>
      </c>
      <c r="B16" s="2" t="s">
        <v>469</v>
      </c>
      <c r="C16" s="2" t="s">
        <v>470</v>
      </c>
      <c r="D16" s="2" t="s">
        <v>299</v>
      </c>
      <c r="E16" s="10" t="s">
        <v>166</v>
      </c>
      <c r="F16" s="10"/>
      <c r="G16" s="2"/>
      <c r="H16" s="2"/>
      <c r="I16" s="2"/>
    </row>
    <row r="17" spans="1:9" x14ac:dyDescent="0.45">
      <c r="A17" s="10">
        <v>9</v>
      </c>
      <c r="B17" s="2" t="s">
        <v>183</v>
      </c>
      <c r="C17" s="2" t="s">
        <v>184</v>
      </c>
      <c r="D17" s="2" t="s">
        <v>185</v>
      </c>
      <c r="E17" s="10" t="s">
        <v>166</v>
      </c>
      <c r="F17" s="10"/>
      <c r="G17" s="2"/>
      <c r="H17" s="2"/>
      <c r="I17" s="2"/>
    </row>
    <row r="18" spans="1:9" x14ac:dyDescent="0.45">
      <c r="A18" s="10">
        <v>10</v>
      </c>
      <c r="B18" s="2" t="s">
        <v>186</v>
      </c>
      <c r="C18" s="2" t="s">
        <v>187</v>
      </c>
      <c r="D18" s="2" t="s">
        <v>188</v>
      </c>
      <c r="E18" s="10" t="s">
        <v>156</v>
      </c>
      <c r="F18" s="10"/>
      <c r="G18" s="2"/>
      <c r="H18" s="2" t="s">
        <v>189</v>
      </c>
      <c r="I18" s="2"/>
    </row>
    <row r="20" spans="1:9" x14ac:dyDescent="0.45">
      <c r="A20" s="27" t="s">
        <v>199</v>
      </c>
      <c r="B20" s="25"/>
      <c r="C20" s="25"/>
      <c r="D20" s="25"/>
      <c r="E20" s="25"/>
      <c r="F20" s="25"/>
      <c r="G20" s="25"/>
      <c r="H20" s="25"/>
      <c r="I20" s="25"/>
    </row>
    <row r="21" spans="1:9" x14ac:dyDescent="0.45">
      <c r="A21" s="3" t="s">
        <v>55</v>
      </c>
      <c r="B21" s="3" t="s">
        <v>200</v>
      </c>
      <c r="C21" s="3" t="s">
        <v>201</v>
      </c>
      <c r="D21" s="23" t="s">
        <v>202</v>
      </c>
      <c r="E21" s="21"/>
      <c r="F21" s="22"/>
      <c r="G21" s="23" t="s">
        <v>18</v>
      </c>
      <c r="H21" s="21"/>
      <c r="I21" s="22"/>
    </row>
    <row r="22" spans="1:9" ht="32" customHeight="1" x14ac:dyDescent="0.45">
      <c r="A22" s="10">
        <v>1</v>
      </c>
      <c r="B22" s="10" t="s">
        <v>35</v>
      </c>
      <c r="C22" s="2" t="s">
        <v>471</v>
      </c>
      <c r="D22" s="20" t="s">
        <v>117</v>
      </c>
      <c r="E22" s="21"/>
      <c r="F22" s="22"/>
      <c r="G22" s="20" t="s">
        <v>204</v>
      </c>
      <c r="H22" s="21"/>
      <c r="I22" s="22"/>
    </row>
    <row r="23" spans="1:9" ht="32" customHeight="1" x14ac:dyDescent="0.45">
      <c r="A23" s="10">
        <v>2</v>
      </c>
      <c r="B23" s="10" t="s">
        <v>229</v>
      </c>
      <c r="C23" s="2" t="s">
        <v>472</v>
      </c>
      <c r="D23" s="20" t="s">
        <v>78</v>
      </c>
      <c r="E23" s="21"/>
      <c r="F23" s="22"/>
      <c r="G23" s="20" t="s">
        <v>419</v>
      </c>
      <c r="H23" s="21"/>
      <c r="I23" s="22"/>
    </row>
    <row r="24" spans="1:9" ht="32" customHeight="1" x14ac:dyDescent="0.45">
      <c r="A24" s="10">
        <v>3</v>
      </c>
      <c r="B24" s="10" t="s">
        <v>229</v>
      </c>
      <c r="C24" s="2" t="s">
        <v>473</v>
      </c>
      <c r="D24" s="20" t="s">
        <v>97</v>
      </c>
      <c r="E24" s="21"/>
      <c r="F24" s="22"/>
      <c r="G24" s="20" t="s">
        <v>421</v>
      </c>
      <c r="H24" s="21"/>
      <c r="I24" s="22"/>
    </row>
    <row r="25" spans="1:9" ht="18" customHeight="1" x14ac:dyDescent="0.45">
      <c r="A25" s="10">
        <v>4</v>
      </c>
      <c r="B25" s="10" t="s">
        <v>205</v>
      </c>
      <c r="C25" s="2" t="s">
        <v>474</v>
      </c>
      <c r="D25" s="20"/>
      <c r="E25" s="21"/>
      <c r="F25" s="22"/>
      <c r="G25" s="20" t="s">
        <v>475</v>
      </c>
      <c r="H25" s="21"/>
      <c r="I25" s="22"/>
    </row>
    <row r="26" spans="1:9" ht="18" customHeight="1" x14ac:dyDescent="0.45">
      <c r="A26" s="10">
        <v>5</v>
      </c>
      <c r="B26" s="10" t="s">
        <v>205</v>
      </c>
      <c r="C26" s="2" t="s">
        <v>476</v>
      </c>
      <c r="D26" s="20"/>
      <c r="E26" s="21"/>
      <c r="F26" s="22"/>
      <c r="G26" s="20" t="s">
        <v>477</v>
      </c>
      <c r="H26" s="21"/>
      <c r="I26" s="22"/>
    </row>
    <row r="28" spans="1:9" x14ac:dyDescent="0.45">
      <c r="A28" s="27" t="s">
        <v>212</v>
      </c>
      <c r="B28" s="25"/>
      <c r="C28" s="25"/>
      <c r="D28" s="25"/>
      <c r="E28" s="25"/>
      <c r="F28" s="25"/>
      <c r="G28" s="25"/>
      <c r="H28" s="25"/>
      <c r="I28" s="25"/>
    </row>
    <row r="29" spans="1:9" x14ac:dyDescent="0.45">
      <c r="A29" s="3" t="s">
        <v>55</v>
      </c>
      <c r="B29" s="3" t="s">
        <v>213</v>
      </c>
      <c r="C29" s="3" t="s">
        <v>214</v>
      </c>
      <c r="D29" s="23" t="s">
        <v>215</v>
      </c>
      <c r="E29" s="21"/>
      <c r="F29" s="22"/>
      <c r="G29" s="23" t="s">
        <v>216</v>
      </c>
      <c r="H29" s="21"/>
      <c r="I29" s="22"/>
    </row>
    <row r="30" spans="1:9" ht="32" customHeight="1" x14ac:dyDescent="0.45">
      <c r="A30" s="10">
        <v>1</v>
      </c>
      <c r="B30" s="10" t="s">
        <v>293</v>
      </c>
      <c r="C30" s="2" t="s">
        <v>478</v>
      </c>
      <c r="D30" s="20" t="s">
        <v>429</v>
      </c>
      <c r="E30" s="21"/>
      <c r="F30" s="22"/>
      <c r="G30" s="20" t="s">
        <v>479</v>
      </c>
      <c r="H30" s="21"/>
      <c r="I30" s="22"/>
    </row>
    <row r="31" spans="1:9" ht="32" customHeight="1" x14ac:dyDescent="0.45">
      <c r="A31" s="10">
        <v>2</v>
      </c>
      <c r="B31" s="10" t="s">
        <v>217</v>
      </c>
      <c r="C31" s="2" t="s">
        <v>471</v>
      </c>
      <c r="D31" s="20" t="s">
        <v>117</v>
      </c>
      <c r="E31" s="21"/>
      <c r="F31" s="22"/>
      <c r="G31" s="20" t="s">
        <v>204</v>
      </c>
      <c r="H31" s="21"/>
      <c r="I31" s="22"/>
    </row>
  </sheetData>
  <mergeCells count="31">
    <mergeCell ref="A1:I1"/>
    <mergeCell ref="H5:I5"/>
    <mergeCell ref="D21:F21"/>
    <mergeCell ref="E3:F3"/>
    <mergeCell ref="G31:I31"/>
    <mergeCell ref="C4:I4"/>
    <mergeCell ref="A5:B5"/>
    <mergeCell ref="D26:F26"/>
    <mergeCell ref="G21:I21"/>
    <mergeCell ref="A4:B4"/>
    <mergeCell ref="D31:F31"/>
    <mergeCell ref="D22:F22"/>
    <mergeCell ref="G23:I23"/>
    <mergeCell ref="A3:B3"/>
    <mergeCell ref="A20:I20"/>
    <mergeCell ref="D24:F24"/>
    <mergeCell ref="G25:I25"/>
    <mergeCell ref="D29:F29"/>
    <mergeCell ref="D23:F23"/>
    <mergeCell ref="G22:I22"/>
    <mergeCell ref="A28:I28"/>
    <mergeCell ref="H3:I3"/>
    <mergeCell ref="E5:F5"/>
    <mergeCell ref="G30:I30"/>
    <mergeCell ref="A6:B6"/>
    <mergeCell ref="G24:I24"/>
    <mergeCell ref="C6:I6"/>
    <mergeCell ref="G26:I26"/>
    <mergeCell ref="D30:F30"/>
    <mergeCell ref="D25:F25"/>
    <mergeCell ref="G29:I29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119</v>
      </c>
      <c r="D3" s="1" t="s">
        <v>11</v>
      </c>
      <c r="E3" s="20" t="s">
        <v>15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120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480</v>
      </c>
      <c r="D5" s="1" t="s">
        <v>59</v>
      </c>
      <c r="E5" s="24">
        <f>COUNTA(B9:B50)</f>
        <v>42</v>
      </c>
      <c r="F5" s="25"/>
      <c r="G5" s="1" t="s">
        <v>62</v>
      </c>
      <c r="H5" s="20" t="s">
        <v>123</v>
      </c>
      <c r="I5" s="25"/>
    </row>
    <row r="6" spans="1:9" ht="102" customHeight="1" x14ac:dyDescent="0.45">
      <c r="A6" s="26" t="s">
        <v>63</v>
      </c>
      <c r="B6" s="25"/>
      <c r="C6" s="20" t="s">
        <v>124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121</v>
      </c>
      <c r="C9" s="15" t="s">
        <v>481</v>
      </c>
      <c r="D9" s="15" t="s">
        <v>299</v>
      </c>
      <c r="E9" s="14" t="s">
        <v>156</v>
      </c>
      <c r="F9" s="14">
        <v>1</v>
      </c>
      <c r="G9" s="15"/>
      <c r="H9" s="15"/>
      <c r="I9" s="15"/>
    </row>
    <row r="10" spans="1:9" x14ac:dyDescent="0.45">
      <c r="A10" s="10">
        <v>2</v>
      </c>
      <c r="B10" s="2" t="s">
        <v>482</v>
      </c>
      <c r="C10" s="2" t="s">
        <v>483</v>
      </c>
      <c r="D10" s="2" t="s">
        <v>165</v>
      </c>
      <c r="E10" s="10" t="s">
        <v>156</v>
      </c>
      <c r="F10" s="10"/>
      <c r="G10" s="2"/>
      <c r="H10" s="2"/>
      <c r="I10" s="2"/>
    </row>
    <row r="11" spans="1:9" x14ac:dyDescent="0.45">
      <c r="A11" s="10">
        <v>3</v>
      </c>
      <c r="B11" s="2" t="s">
        <v>153</v>
      </c>
      <c r="C11" s="2" t="s">
        <v>154</v>
      </c>
      <c r="D11" s="2" t="s">
        <v>155</v>
      </c>
      <c r="E11" s="10" t="s">
        <v>156</v>
      </c>
      <c r="F11" s="10"/>
      <c r="G11" s="2"/>
      <c r="H11" s="2"/>
      <c r="I11" s="2"/>
    </row>
    <row r="12" spans="1:9" x14ac:dyDescent="0.45">
      <c r="A12" s="10">
        <v>4</v>
      </c>
      <c r="B12" s="2" t="s">
        <v>157</v>
      </c>
      <c r="C12" s="2" t="s">
        <v>484</v>
      </c>
      <c r="D12" s="2" t="s">
        <v>159</v>
      </c>
      <c r="E12" s="10" t="s">
        <v>156</v>
      </c>
      <c r="F12" s="10"/>
      <c r="G12" s="2"/>
      <c r="H12" s="2"/>
      <c r="I12" s="2"/>
    </row>
    <row r="13" spans="1:9" x14ac:dyDescent="0.45">
      <c r="A13" s="10">
        <v>5</v>
      </c>
      <c r="B13" s="2" t="s">
        <v>485</v>
      </c>
      <c r="C13" s="2" t="s">
        <v>486</v>
      </c>
      <c r="D13" s="2" t="s">
        <v>159</v>
      </c>
      <c r="E13" s="10" t="s">
        <v>156</v>
      </c>
      <c r="F13" s="10"/>
      <c r="G13" s="2"/>
      <c r="H13" s="2"/>
      <c r="I13" s="2"/>
    </row>
    <row r="14" spans="1:9" x14ac:dyDescent="0.45">
      <c r="A14" s="10">
        <v>6</v>
      </c>
      <c r="B14" s="2" t="s">
        <v>487</v>
      </c>
      <c r="C14" s="2" t="s">
        <v>488</v>
      </c>
      <c r="D14" s="2" t="s">
        <v>253</v>
      </c>
      <c r="E14" s="10" t="s">
        <v>156</v>
      </c>
      <c r="F14" s="10"/>
      <c r="G14" s="2"/>
      <c r="H14" s="2"/>
      <c r="I14" s="2" t="s">
        <v>489</v>
      </c>
    </row>
    <row r="15" spans="1:9" x14ac:dyDescent="0.45">
      <c r="A15" s="10">
        <v>7</v>
      </c>
      <c r="B15" s="2" t="s">
        <v>490</v>
      </c>
      <c r="C15" s="2" t="s">
        <v>491</v>
      </c>
      <c r="D15" s="2" t="s">
        <v>492</v>
      </c>
      <c r="E15" s="10" t="s">
        <v>166</v>
      </c>
      <c r="F15" s="10"/>
      <c r="G15" s="2"/>
      <c r="H15" s="2"/>
      <c r="I15" s="2"/>
    </row>
    <row r="16" spans="1:9" ht="32" x14ac:dyDescent="0.45">
      <c r="A16" s="10">
        <v>8</v>
      </c>
      <c r="B16" s="2" t="s">
        <v>493</v>
      </c>
      <c r="C16" s="2" t="s">
        <v>494</v>
      </c>
      <c r="D16" s="2" t="s">
        <v>159</v>
      </c>
      <c r="E16" s="10" t="s">
        <v>156</v>
      </c>
      <c r="F16" s="10"/>
      <c r="G16" s="2"/>
      <c r="H16" s="2"/>
      <c r="I16" s="2"/>
    </row>
    <row r="17" spans="1:9" x14ac:dyDescent="0.45">
      <c r="A17" s="10">
        <v>9</v>
      </c>
      <c r="B17" s="2" t="s">
        <v>495</v>
      </c>
      <c r="C17" s="2" t="s">
        <v>496</v>
      </c>
      <c r="D17" s="2" t="s">
        <v>188</v>
      </c>
      <c r="E17" s="10" t="s">
        <v>156</v>
      </c>
      <c r="F17" s="10"/>
      <c r="G17" s="2"/>
      <c r="H17" s="2"/>
      <c r="I17" s="2"/>
    </row>
    <row r="18" spans="1:9" ht="32" x14ac:dyDescent="0.45">
      <c r="A18" s="10">
        <v>10</v>
      </c>
      <c r="B18" s="2" t="s">
        <v>497</v>
      </c>
      <c r="C18" s="2" t="s">
        <v>498</v>
      </c>
      <c r="D18" s="2" t="s">
        <v>227</v>
      </c>
      <c r="E18" s="10" t="s">
        <v>166</v>
      </c>
      <c r="F18" s="10"/>
      <c r="G18" s="2"/>
      <c r="H18" s="2"/>
      <c r="I18" s="2"/>
    </row>
    <row r="19" spans="1:9" x14ac:dyDescent="0.45">
      <c r="A19" s="10">
        <v>11</v>
      </c>
      <c r="B19" s="2" t="s">
        <v>183</v>
      </c>
      <c r="C19" s="2" t="s">
        <v>184</v>
      </c>
      <c r="D19" s="2" t="s">
        <v>185</v>
      </c>
      <c r="E19" s="10" t="s">
        <v>166</v>
      </c>
      <c r="F19" s="10"/>
      <c r="G19" s="2"/>
      <c r="H19" s="2"/>
      <c r="I19" s="2"/>
    </row>
    <row r="20" spans="1:9" x14ac:dyDescent="0.45">
      <c r="A20" s="10">
        <v>12</v>
      </c>
      <c r="B20" s="2" t="s">
        <v>186</v>
      </c>
      <c r="C20" s="2" t="s">
        <v>187</v>
      </c>
      <c r="D20" s="2" t="s">
        <v>188</v>
      </c>
      <c r="E20" s="10" t="s">
        <v>156</v>
      </c>
      <c r="F20" s="10"/>
      <c r="G20" s="2"/>
      <c r="H20" s="2" t="s">
        <v>189</v>
      </c>
      <c r="I20" s="2"/>
    </row>
    <row r="21" spans="1:9" x14ac:dyDescent="0.45">
      <c r="A21" s="10">
        <v>13</v>
      </c>
      <c r="B21" s="2" t="s">
        <v>190</v>
      </c>
      <c r="C21" s="2" t="s">
        <v>191</v>
      </c>
      <c r="D21" s="2" t="s">
        <v>185</v>
      </c>
      <c r="E21" s="10" t="s">
        <v>166</v>
      </c>
      <c r="F21" s="10"/>
      <c r="G21" s="2"/>
      <c r="H21" s="2"/>
      <c r="I21" s="2"/>
    </row>
    <row r="22" spans="1:9" x14ac:dyDescent="0.45">
      <c r="A22" s="10">
        <v>14</v>
      </c>
      <c r="B22" s="2" t="s">
        <v>192</v>
      </c>
      <c r="C22" s="2" t="s">
        <v>193</v>
      </c>
      <c r="D22" s="2" t="s">
        <v>188</v>
      </c>
      <c r="E22" s="10" t="s">
        <v>166</v>
      </c>
      <c r="F22" s="10"/>
      <c r="G22" s="2"/>
      <c r="H22" s="2"/>
      <c r="I22" s="2"/>
    </row>
    <row r="23" spans="1:9" x14ac:dyDescent="0.45">
      <c r="A23" s="10">
        <v>15</v>
      </c>
      <c r="B23" s="2" t="s">
        <v>499</v>
      </c>
      <c r="C23" s="2" t="s">
        <v>500</v>
      </c>
      <c r="D23" s="2" t="s">
        <v>159</v>
      </c>
      <c r="E23" s="10" t="s">
        <v>166</v>
      </c>
      <c r="F23" s="10"/>
      <c r="G23" s="2"/>
      <c r="H23" s="2"/>
      <c r="I23" s="2"/>
    </row>
    <row r="24" spans="1:9" x14ac:dyDescent="0.45">
      <c r="A24" s="10">
        <v>16</v>
      </c>
      <c r="B24" s="2" t="s">
        <v>501</v>
      </c>
      <c r="C24" s="2" t="s">
        <v>502</v>
      </c>
      <c r="D24" s="2" t="s">
        <v>222</v>
      </c>
      <c r="E24" s="10" t="s">
        <v>166</v>
      </c>
      <c r="F24" s="10"/>
      <c r="G24" s="2"/>
      <c r="H24" s="2"/>
      <c r="I24" s="2"/>
    </row>
    <row r="25" spans="1:9" x14ac:dyDescent="0.45">
      <c r="A25" s="10">
        <v>17</v>
      </c>
      <c r="B25" s="2" t="s">
        <v>337</v>
      </c>
      <c r="C25" s="2" t="s">
        <v>503</v>
      </c>
      <c r="D25" s="2" t="s">
        <v>222</v>
      </c>
      <c r="E25" s="10" t="s">
        <v>166</v>
      </c>
      <c r="F25" s="10"/>
      <c r="G25" s="2"/>
      <c r="H25" s="2"/>
      <c r="I25" s="2"/>
    </row>
    <row r="26" spans="1:9" x14ac:dyDescent="0.45">
      <c r="A26" s="10">
        <v>18</v>
      </c>
      <c r="B26" s="2" t="s">
        <v>504</v>
      </c>
      <c r="C26" s="2" t="s">
        <v>505</v>
      </c>
      <c r="D26" s="2" t="s">
        <v>222</v>
      </c>
      <c r="E26" s="10" t="s">
        <v>166</v>
      </c>
      <c r="F26" s="10"/>
      <c r="G26" s="2"/>
      <c r="H26" s="2"/>
      <c r="I26" s="2"/>
    </row>
    <row r="27" spans="1:9" x14ac:dyDescent="0.45">
      <c r="A27" s="10">
        <v>19</v>
      </c>
      <c r="B27" s="2" t="s">
        <v>506</v>
      </c>
      <c r="C27" s="2" t="s">
        <v>507</v>
      </c>
      <c r="D27" s="2" t="s">
        <v>180</v>
      </c>
      <c r="E27" s="10" t="s">
        <v>156</v>
      </c>
      <c r="F27" s="10"/>
      <c r="G27" s="2"/>
      <c r="H27" s="2" t="s">
        <v>508</v>
      </c>
      <c r="I27" s="2" t="s">
        <v>509</v>
      </c>
    </row>
    <row r="28" spans="1:9" x14ac:dyDescent="0.45">
      <c r="A28" s="10">
        <v>20</v>
      </c>
      <c r="B28" s="2" t="s">
        <v>510</v>
      </c>
      <c r="C28" s="2" t="s">
        <v>511</v>
      </c>
      <c r="D28" s="2" t="s">
        <v>155</v>
      </c>
      <c r="E28" s="10" t="s">
        <v>166</v>
      </c>
      <c r="F28" s="10"/>
      <c r="G28" s="2"/>
      <c r="H28" s="2"/>
      <c r="I28" s="2"/>
    </row>
    <row r="29" spans="1:9" x14ac:dyDescent="0.45">
      <c r="A29" s="10">
        <v>21</v>
      </c>
      <c r="B29" s="2" t="s">
        <v>512</v>
      </c>
      <c r="C29" s="2" t="s">
        <v>513</v>
      </c>
      <c r="D29" s="2" t="s">
        <v>159</v>
      </c>
      <c r="E29" s="10" t="s">
        <v>166</v>
      </c>
      <c r="F29" s="10"/>
      <c r="G29" s="2"/>
      <c r="H29" s="2"/>
      <c r="I29" s="2"/>
    </row>
    <row r="30" spans="1:9" x14ac:dyDescent="0.45">
      <c r="A30" s="10">
        <v>22</v>
      </c>
      <c r="B30" s="2" t="s">
        <v>514</v>
      </c>
      <c r="C30" s="2" t="s">
        <v>515</v>
      </c>
      <c r="D30" s="2" t="s">
        <v>155</v>
      </c>
      <c r="E30" s="10" t="s">
        <v>166</v>
      </c>
      <c r="F30" s="10"/>
      <c r="G30" s="2"/>
      <c r="H30" s="2"/>
      <c r="I30" s="2"/>
    </row>
    <row r="31" spans="1:9" x14ac:dyDescent="0.45">
      <c r="A31" s="10">
        <v>23</v>
      </c>
      <c r="B31" s="2" t="s">
        <v>516</v>
      </c>
      <c r="C31" s="2" t="s">
        <v>517</v>
      </c>
      <c r="D31" s="2" t="s">
        <v>518</v>
      </c>
      <c r="E31" s="10" t="s">
        <v>166</v>
      </c>
      <c r="F31" s="10"/>
      <c r="G31" s="2"/>
      <c r="H31" s="2"/>
      <c r="I31" s="2"/>
    </row>
    <row r="32" spans="1:9" x14ac:dyDescent="0.45">
      <c r="A32" s="10">
        <v>24</v>
      </c>
      <c r="B32" s="2" t="s">
        <v>519</v>
      </c>
      <c r="C32" s="2" t="s">
        <v>520</v>
      </c>
      <c r="D32" s="2" t="s">
        <v>492</v>
      </c>
      <c r="E32" s="10" t="s">
        <v>166</v>
      </c>
      <c r="F32" s="10"/>
      <c r="G32" s="2"/>
      <c r="H32" s="2"/>
      <c r="I32" s="2"/>
    </row>
    <row r="33" spans="1:9" ht="32" x14ac:dyDescent="0.45">
      <c r="A33" s="10">
        <v>25</v>
      </c>
      <c r="B33" s="2" t="s">
        <v>521</v>
      </c>
      <c r="C33" s="2" t="s">
        <v>522</v>
      </c>
      <c r="D33" s="2" t="s">
        <v>159</v>
      </c>
      <c r="E33" s="10" t="s">
        <v>166</v>
      </c>
      <c r="F33" s="10"/>
      <c r="G33" s="2"/>
      <c r="H33" s="2"/>
      <c r="I33" s="2"/>
    </row>
    <row r="34" spans="1:9" x14ac:dyDescent="0.45">
      <c r="A34" s="10">
        <v>26</v>
      </c>
      <c r="B34" s="2" t="s">
        <v>523</v>
      </c>
      <c r="C34" s="2" t="s">
        <v>524</v>
      </c>
      <c r="D34" s="2" t="s">
        <v>222</v>
      </c>
      <c r="E34" s="10" t="s">
        <v>166</v>
      </c>
      <c r="F34" s="10"/>
      <c r="G34" s="2"/>
      <c r="H34" s="2"/>
      <c r="I34" s="2"/>
    </row>
    <row r="35" spans="1:9" x14ac:dyDescent="0.45">
      <c r="A35" s="10">
        <v>27</v>
      </c>
      <c r="B35" s="2" t="s">
        <v>525</v>
      </c>
      <c r="C35" s="2" t="s">
        <v>526</v>
      </c>
      <c r="D35" s="2" t="s">
        <v>222</v>
      </c>
      <c r="E35" s="10" t="s">
        <v>166</v>
      </c>
      <c r="F35" s="10"/>
      <c r="G35" s="2"/>
      <c r="H35" s="2"/>
      <c r="I35" s="2"/>
    </row>
    <row r="36" spans="1:9" x14ac:dyDescent="0.45">
      <c r="A36" s="10">
        <v>28</v>
      </c>
      <c r="B36" s="2" t="s">
        <v>527</v>
      </c>
      <c r="C36" s="2" t="s">
        <v>528</v>
      </c>
      <c r="D36" s="2" t="s">
        <v>222</v>
      </c>
      <c r="E36" s="10" t="s">
        <v>166</v>
      </c>
      <c r="F36" s="10"/>
      <c r="G36" s="2"/>
      <c r="H36" s="2"/>
      <c r="I36" s="2"/>
    </row>
    <row r="37" spans="1:9" ht="48" x14ac:dyDescent="0.45">
      <c r="A37" s="10">
        <v>29</v>
      </c>
      <c r="B37" s="2" t="s">
        <v>529</v>
      </c>
      <c r="C37" s="2" t="s">
        <v>530</v>
      </c>
      <c r="D37" s="2" t="s">
        <v>253</v>
      </c>
      <c r="E37" s="10" t="s">
        <v>156</v>
      </c>
      <c r="F37" s="10"/>
      <c r="G37" s="2"/>
      <c r="H37" s="2" t="s">
        <v>175</v>
      </c>
      <c r="I37" s="2"/>
    </row>
    <row r="38" spans="1:9" x14ac:dyDescent="0.45">
      <c r="A38" s="10">
        <v>30</v>
      </c>
      <c r="B38" s="2" t="s">
        <v>194</v>
      </c>
      <c r="C38" s="2" t="s">
        <v>531</v>
      </c>
      <c r="D38" s="2" t="s">
        <v>196</v>
      </c>
      <c r="E38" s="10" t="s">
        <v>166</v>
      </c>
      <c r="F38" s="10"/>
      <c r="G38" s="2"/>
      <c r="H38" s="2"/>
      <c r="I38" s="2" t="s">
        <v>198</v>
      </c>
    </row>
    <row r="39" spans="1:9" x14ac:dyDescent="0.45">
      <c r="A39" s="10">
        <v>31</v>
      </c>
      <c r="B39" s="2" t="s">
        <v>532</v>
      </c>
      <c r="C39" s="2" t="s">
        <v>533</v>
      </c>
      <c r="D39" s="2" t="s">
        <v>222</v>
      </c>
      <c r="E39" s="10" t="s">
        <v>166</v>
      </c>
      <c r="F39" s="10"/>
      <c r="G39" s="2"/>
      <c r="H39" s="2"/>
      <c r="I39" s="2"/>
    </row>
    <row r="40" spans="1:9" x14ac:dyDescent="0.45">
      <c r="A40" s="10">
        <v>32</v>
      </c>
      <c r="B40" s="2" t="s">
        <v>534</v>
      </c>
      <c r="C40" s="2" t="s">
        <v>535</v>
      </c>
      <c r="D40" s="2" t="s">
        <v>222</v>
      </c>
      <c r="E40" s="10" t="s">
        <v>166</v>
      </c>
      <c r="F40" s="10"/>
      <c r="G40" s="2"/>
      <c r="H40" s="2"/>
      <c r="I40" s="2"/>
    </row>
    <row r="41" spans="1:9" x14ac:dyDescent="0.45">
      <c r="A41" s="10">
        <v>33</v>
      </c>
      <c r="B41" s="2" t="s">
        <v>536</v>
      </c>
      <c r="C41" s="2" t="s">
        <v>537</v>
      </c>
      <c r="D41" s="2" t="s">
        <v>222</v>
      </c>
      <c r="E41" s="10" t="s">
        <v>166</v>
      </c>
      <c r="F41" s="10"/>
      <c r="G41" s="2"/>
      <c r="H41" s="2"/>
      <c r="I41" s="2"/>
    </row>
    <row r="42" spans="1:9" x14ac:dyDescent="0.45">
      <c r="A42" s="10">
        <v>34</v>
      </c>
      <c r="B42" s="2" t="s">
        <v>538</v>
      </c>
      <c r="C42" s="2" t="s">
        <v>539</v>
      </c>
      <c r="D42" s="2" t="s">
        <v>188</v>
      </c>
      <c r="E42" s="10" t="s">
        <v>166</v>
      </c>
      <c r="F42" s="10"/>
      <c r="G42" s="2"/>
      <c r="H42" s="2"/>
      <c r="I42" s="2"/>
    </row>
    <row r="43" spans="1:9" x14ac:dyDescent="0.45">
      <c r="A43" s="10">
        <v>35</v>
      </c>
      <c r="B43" s="2" t="s">
        <v>540</v>
      </c>
      <c r="C43" s="2" t="s">
        <v>541</v>
      </c>
      <c r="D43" s="2" t="s">
        <v>159</v>
      </c>
      <c r="E43" s="10" t="s">
        <v>166</v>
      </c>
      <c r="F43" s="10"/>
      <c r="G43" s="2"/>
      <c r="H43" s="2"/>
      <c r="I43" s="2"/>
    </row>
    <row r="44" spans="1:9" x14ac:dyDescent="0.45">
      <c r="A44" s="10">
        <v>36</v>
      </c>
      <c r="B44" s="2" t="s">
        <v>542</v>
      </c>
      <c r="C44" s="2" t="s">
        <v>543</v>
      </c>
      <c r="D44" s="2" t="s">
        <v>188</v>
      </c>
      <c r="E44" s="10" t="s">
        <v>166</v>
      </c>
      <c r="F44" s="10"/>
      <c r="G44" s="2"/>
      <c r="H44" s="2"/>
      <c r="I44" s="2"/>
    </row>
    <row r="45" spans="1:9" ht="32" x14ac:dyDescent="0.45">
      <c r="A45" s="10">
        <v>37</v>
      </c>
      <c r="B45" s="2" t="s">
        <v>544</v>
      </c>
      <c r="C45" s="2" t="s">
        <v>545</v>
      </c>
      <c r="D45" s="2" t="s">
        <v>196</v>
      </c>
      <c r="E45" s="10" t="s">
        <v>166</v>
      </c>
      <c r="F45" s="10"/>
      <c r="G45" s="2"/>
      <c r="H45" s="2"/>
      <c r="I45" s="2" t="s">
        <v>546</v>
      </c>
    </row>
    <row r="46" spans="1:9" x14ac:dyDescent="0.45">
      <c r="A46" s="10">
        <v>38</v>
      </c>
      <c r="B46" s="2" t="s">
        <v>547</v>
      </c>
      <c r="C46" s="2" t="s">
        <v>548</v>
      </c>
      <c r="D46" s="2" t="s">
        <v>159</v>
      </c>
      <c r="E46" s="10" t="s">
        <v>166</v>
      </c>
      <c r="F46" s="10"/>
      <c r="G46" s="2"/>
      <c r="H46" s="2"/>
      <c r="I46" s="2"/>
    </row>
    <row r="47" spans="1:9" x14ac:dyDescent="0.45">
      <c r="A47" s="10">
        <v>39</v>
      </c>
      <c r="B47" s="2" t="s">
        <v>549</v>
      </c>
      <c r="C47" s="2" t="s">
        <v>550</v>
      </c>
      <c r="D47" s="2" t="s">
        <v>299</v>
      </c>
      <c r="E47" s="10" t="s">
        <v>166</v>
      </c>
      <c r="F47" s="10"/>
      <c r="G47" s="2"/>
      <c r="H47" s="2"/>
      <c r="I47" s="2"/>
    </row>
    <row r="48" spans="1:9" ht="32" x14ac:dyDescent="0.45">
      <c r="A48" s="10">
        <v>40</v>
      </c>
      <c r="B48" s="2" t="s">
        <v>551</v>
      </c>
      <c r="C48" s="2" t="s">
        <v>552</v>
      </c>
      <c r="D48" s="2" t="s">
        <v>299</v>
      </c>
      <c r="E48" s="10" t="s">
        <v>166</v>
      </c>
      <c r="F48" s="10"/>
      <c r="G48" s="2"/>
      <c r="H48" s="2"/>
      <c r="I48" s="2"/>
    </row>
    <row r="49" spans="1:9" x14ac:dyDescent="0.45">
      <c r="A49" s="10">
        <v>41</v>
      </c>
      <c r="B49" s="2" t="s">
        <v>553</v>
      </c>
      <c r="C49" s="2" t="s">
        <v>554</v>
      </c>
      <c r="D49" s="2" t="s">
        <v>188</v>
      </c>
      <c r="E49" s="10" t="s">
        <v>166</v>
      </c>
      <c r="F49" s="10"/>
      <c r="G49" s="2"/>
      <c r="H49" s="2"/>
      <c r="I49" s="2"/>
    </row>
    <row r="50" spans="1:9" x14ac:dyDescent="0.45">
      <c r="A50" s="10">
        <v>42</v>
      </c>
      <c r="B50" s="2" t="s">
        <v>555</v>
      </c>
      <c r="C50" s="2" t="s">
        <v>556</v>
      </c>
      <c r="D50" s="2" t="s">
        <v>557</v>
      </c>
      <c r="E50" s="10" t="s">
        <v>166</v>
      </c>
      <c r="F50" s="10"/>
      <c r="G50" s="2"/>
      <c r="H50" s="2"/>
      <c r="I50" s="2"/>
    </row>
    <row r="52" spans="1:9" x14ac:dyDescent="0.45">
      <c r="A52" s="27" t="s">
        <v>199</v>
      </c>
      <c r="B52" s="25"/>
      <c r="C52" s="25"/>
      <c r="D52" s="25"/>
      <c r="E52" s="25"/>
      <c r="F52" s="25"/>
      <c r="G52" s="25"/>
      <c r="H52" s="25"/>
      <c r="I52" s="25"/>
    </row>
    <row r="53" spans="1:9" x14ac:dyDescent="0.45">
      <c r="A53" s="3" t="s">
        <v>55</v>
      </c>
      <c r="B53" s="3" t="s">
        <v>200</v>
      </c>
      <c r="C53" s="3" t="s">
        <v>201</v>
      </c>
      <c r="D53" s="23" t="s">
        <v>202</v>
      </c>
      <c r="E53" s="21"/>
      <c r="F53" s="22"/>
      <c r="G53" s="23" t="s">
        <v>18</v>
      </c>
      <c r="H53" s="21"/>
      <c r="I53" s="22"/>
    </row>
    <row r="54" spans="1:9" ht="18" customHeight="1" x14ac:dyDescent="0.45">
      <c r="A54" s="10">
        <v>1</v>
      </c>
      <c r="B54" s="10" t="s">
        <v>35</v>
      </c>
      <c r="C54" s="2" t="s">
        <v>558</v>
      </c>
      <c r="D54" s="20" t="s">
        <v>121</v>
      </c>
      <c r="E54" s="21"/>
      <c r="F54" s="22"/>
      <c r="G54" s="20" t="s">
        <v>204</v>
      </c>
      <c r="H54" s="21"/>
      <c r="I54" s="22"/>
    </row>
    <row r="55" spans="1:9" ht="18" customHeight="1" x14ac:dyDescent="0.45">
      <c r="A55" s="10">
        <v>2</v>
      </c>
      <c r="B55" s="10" t="s">
        <v>217</v>
      </c>
      <c r="C55" s="2" t="s">
        <v>559</v>
      </c>
      <c r="D55" s="20" t="s">
        <v>560</v>
      </c>
      <c r="E55" s="21"/>
      <c r="F55" s="22"/>
      <c r="G55" s="20" t="s">
        <v>318</v>
      </c>
      <c r="H55" s="21"/>
      <c r="I55" s="22"/>
    </row>
    <row r="56" spans="1:9" ht="18" customHeight="1" x14ac:dyDescent="0.45">
      <c r="A56" s="10">
        <v>3</v>
      </c>
      <c r="B56" s="10" t="s">
        <v>205</v>
      </c>
      <c r="C56" s="2" t="s">
        <v>561</v>
      </c>
      <c r="D56" s="20"/>
      <c r="E56" s="21"/>
      <c r="F56" s="22"/>
      <c r="G56" s="20" t="s">
        <v>211</v>
      </c>
      <c r="H56" s="21"/>
      <c r="I56" s="22"/>
    </row>
    <row r="57" spans="1:9" ht="18" customHeight="1" x14ac:dyDescent="0.45">
      <c r="A57" s="10">
        <v>4</v>
      </c>
      <c r="B57" s="10" t="s">
        <v>205</v>
      </c>
      <c r="C57" s="2" t="s">
        <v>562</v>
      </c>
      <c r="D57" s="20"/>
      <c r="E57" s="21"/>
      <c r="F57" s="22"/>
      <c r="G57" s="20" t="s">
        <v>563</v>
      </c>
      <c r="H57" s="21"/>
      <c r="I57" s="22"/>
    </row>
    <row r="58" spans="1:9" ht="18" customHeight="1" x14ac:dyDescent="0.45">
      <c r="A58" s="10">
        <v>5</v>
      </c>
      <c r="B58" s="10" t="s">
        <v>205</v>
      </c>
      <c r="C58" s="2" t="s">
        <v>564</v>
      </c>
      <c r="D58" s="20"/>
      <c r="E58" s="21"/>
      <c r="F58" s="22"/>
      <c r="G58" s="20" t="s">
        <v>565</v>
      </c>
      <c r="H58" s="21"/>
      <c r="I58" s="22"/>
    </row>
    <row r="59" spans="1:9" ht="18" customHeight="1" x14ac:dyDescent="0.45">
      <c r="A59" s="10">
        <v>6</v>
      </c>
      <c r="B59" s="10" t="s">
        <v>205</v>
      </c>
      <c r="C59" s="2" t="s">
        <v>566</v>
      </c>
      <c r="D59" s="20"/>
      <c r="E59" s="21"/>
      <c r="F59" s="22"/>
      <c r="G59" s="20" t="s">
        <v>567</v>
      </c>
      <c r="H59" s="21"/>
      <c r="I59" s="22"/>
    </row>
    <row r="61" spans="1:9" x14ac:dyDescent="0.45">
      <c r="A61" s="27" t="s">
        <v>212</v>
      </c>
      <c r="B61" s="25"/>
      <c r="C61" s="25"/>
      <c r="D61" s="25"/>
      <c r="E61" s="25"/>
      <c r="F61" s="25"/>
      <c r="G61" s="25"/>
      <c r="H61" s="25"/>
      <c r="I61" s="25"/>
    </row>
    <row r="62" spans="1:9" x14ac:dyDescent="0.45">
      <c r="A62" s="3" t="s">
        <v>55</v>
      </c>
      <c r="B62" s="3" t="s">
        <v>213</v>
      </c>
      <c r="C62" s="3" t="s">
        <v>214</v>
      </c>
      <c r="D62" s="23" t="s">
        <v>215</v>
      </c>
      <c r="E62" s="21"/>
      <c r="F62" s="22"/>
      <c r="G62" s="23" t="s">
        <v>216</v>
      </c>
      <c r="H62" s="21"/>
      <c r="I62" s="22"/>
    </row>
    <row r="63" spans="1:9" ht="32" customHeight="1" x14ac:dyDescent="0.45">
      <c r="A63" s="10">
        <v>1</v>
      </c>
      <c r="B63" s="10" t="s">
        <v>293</v>
      </c>
      <c r="C63" s="2" t="s">
        <v>568</v>
      </c>
      <c r="D63" s="20" t="s">
        <v>569</v>
      </c>
      <c r="E63" s="21"/>
      <c r="F63" s="22"/>
      <c r="G63" s="20" t="s">
        <v>570</v>
      </c>
      <c r="H63" s="21"/>
      <c r="I63" s="22"/>
    </row>
    <row r="64" spans="1:9" ht="18" customHeight="1" x14ac:dyDescent="0.45">
      <c r="A64" s="10">
        <v>2</v>
      </c>
      <c r="B64" s="10" t="s">
        <v>217</v>
      </c>
      <c r="C64" s="2" t="s">
        <v>558</v>
      </c>
      <c r="D64" s="20" t="s">
        <v>121</v>
      </c>
      <c r="E64" s="21"/>
      <c r="F64" s="22"/>
      <c r="G64" s="20" t="s">
        <v>204</v>
      </c>
      <c r="H64" s="21"/>
      <c r="I64" s="22"/>
    </row>
    <row r="65" spans="1:9" ht="32" customHeight="1" x14ac:dyDescent="0.45">
      <c r="A65" s="10">
        <v>3</v>
      </c>
      <c r="B65" s="10" t="s">
        <v>217</v>
      </c>
      <c r="C65" s="2" t="s">
        <v>559</v>
      </c>
      <c r="D65" s="20" t="s">
        <v>571</v>
      </c>
      <c r="E65" s="21"/>
      <c r="F65" s="22"/>
      <c r="G65" s="20" t="s">
        <v>572</v>
      </c>
      <c r="H65" s="21"/>
      <c r="I65" s="22"/>
    </row>
  </sheetData>
  <mergeCells count="35">
    <mergeCell ref="A1:I1"/>
    <mergeCell ref="H5:I5"/>
    <mergeCell ref="A61:I61"/>
    <mergeCell ref="E3:F3"/>
    <mergeCell ref="A3:B3"/>
    <mergeCell ref="D55:F55"/>
    <mergeCell ref="G63:I63"/>
    <mergeCell ref="A52:I52"/>
    <mergeCell ref="D64:F64"/>
    <mergeCell ref="G54:I54"/>
    <mergeCell ref="C4:I4"/>
    <mergeCell ref="A5:B5"/>
    <mergeCell ref="D54:F54"/>
    <mergeCell ref="D57:F57"/>
    <mergeCell ref="G56:I56"/>
    <mergeCell ref="D59:F59"/>
    <mergeCell ref="G59:I59"/>
    <mergeCell ref="D63:F63"/>
    <mergeCell ref="H3:I3"/>
    <mergeCell ref="A4:B4"/>
    <mergeCell ref="A6:B6"/>
    <mergeCell ref="G58:I58"/>
    <mergeCell ref="G65:I65"/>
    <mergeCell ref="D62:F62"/>
    <mergeCell ref="D56:F56"/>
    <mergeCell ref="G55:I55"/>
    <mergeCell ref="D58:F58"/>
    <mergeCell ref="C6:I6"/>
    <mergeCell ref="G64:I64"/>
    <mergeCell ref="D65:F65"/>
    <mergeCell ref="G57:I57"/>
    <mergeCell ref="G53:I53"/>
    <mergeCell ref="G62:I62"/>
    <mergeCell ref="E5:F5"/>
    <mergeCell ref="D53:F53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125</v>
      </c>
      <c r="D3" s="1" t="s">
        <v>11</v>
      </c>
      <c r="E3" s="20" t="s">
        <v>15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126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573</v>
      </c>
      <c r="D5" s="1" t="s">
        <v>59</v>
      </c>
      <c r="E5" s="24">
        <f>COUNTA(B9:B34)</f>
        <v>26</v>
      </c>
      <c r="F5" s="25"/>
      <c r="G5" s="1" t="s">
        <v>62</v>
      </c>
      <c r="H5" s="20" t="s">
        <v>129</v>
      </c>
      <c r="I5" s="25"/>
    </row>
    <row r="6" spans="1:9" ht="60" customHeight="1" x14ac:dyDescent="0.45">
      <c r="A6" s="26" t="s">
        <v>63</v>
      </c>
      <c r="B6" s="25"/>
      <c r="C6" s="20" t="s">
        <v>130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127</v>
      </c>
      <c r="C9" s="15" t="s">
        <v>574</v>
      </c>
      <c r="D9" s="15" t="s">
        <v>299</v>
      </c>
      <c r="E9" s="14" t="s">
        <v>156</v>
      </c>
      <c r="F9" s="14">
        <v>1</v>
      </c>
      <c r="G9" s="15"/>
      <c r="H9" s="15"/>
      <c r="I9" s="15"/>
    </row>
    <row r="10" spans="1:9" x14ac:dyDescent="0.45">
      <c r="A10" s="10">
        <v>2</v>
      </c>
      <c r="B10" s="2" t="s">
        <v>153</v>
      </c>
      <c r="C10" s="2" t="s">
        <v>154</v>
      </c>
      <c r="D10" s="2" t="s">
        <v>155</v>
      </c>
      <c r="E10" s="10" t="s">
        <v>156</v>
      </c>
      <c r="F10" s="10"/>
      <c r="G10" s="2"/>
      <c r="H10" s="2"/>
      <c r="I10" s="2"/>
    </row>
    <row r="11" spans="1:9" x14ac:dyDescent="0.45">
      <c r="A11" s="10">
        <v>3</v>
      </c>
      <c r="B11" s="2" t="s">
        <v>157</v>
      </c>
      <c r="C11" s="2" t="s">
        <v>575</v>
      </c>
      <c r="D11" s="2" t="s">
        <v>159</v>
      </c>
      <c r="E11" s="10" t="s">
        <v>156</v>
      </c>
      <c r="F11" s="10"/>
      <c r="G11" s="2"/>
      <c r="H11" s="2"/>
      <c r="I11" s="2"/>
    </row>
    <row r="12" spans="1:9" ht="48" x14ac:dyDescent="0.45">
      <c r="A12" s="10">
        <v>4</v>
      </c>
      <c r="B12" s="2" t="s">
        <v>576</v>
      </c>
      <c r="C12" s="2" t="s">
        <v>577</v>
      </c>
      <c r="D12" s="2" t="s">
        <v>376</v>
      </c>
      <c r="E12" s="10" t="s">
        <v>156</v>
      </c>
      <c r="F12" s="10"/>
      <c r="G12" s="2"/>
      <c r="H12" s="2"/>
      <c r="I12" s="2"/>
    </row>
    <row r="13" spans="1:9" ht="32" x14ac:dyDescent="0.45">
      <c r="A13" s="10">
        <v>5</v>
      </c>
      <c r="B13" s="2" t="s">
        <v>578</v>
      </c>
      <c r="C13" s="2" t="s">
        <v>579</v>
      </c>
      <c r="D13" s="2" t="s">
        <v>159</v>
      </c>
      <c r="E13" s="10" t="s">
        <v>156</v>
      </c>
      <c r="F13" s="10"/>
      <c r="G13" s="2"/>
      <c r="H13" s="2"/>
      <c r="I13" s="2"/>
    </row>
    <row r="14" spans="1:9" x14ac:dyDescent="0.45">
      <c r="A14" s="10">
        <v>6</v>
      </c>
      <c r="B14" s="2" t="s">
        <v>580</v>
      </c>
      <c r="C14" s="2" t="s">
        <v>581</v>
      </c>
      <c r="D14" s="2" t="s">
        <v>518</v>
      </c>
      <c r="E14" s="10" t="s">
        <v>166</v>
      </c>
      <c r="F14" s="10"/>
      <c r="G14" s="2"/>
      <c r="H14" s="2"/>
      <c r="I14" s="2"/>
    </row>
    <row r="15" spans="1:9" ht="32" x14ac:dyDescent="0.45">
      <c r="A15" s="10">
        <v>7</v>
      </c>
      <c r="B15" s="2" t="s">
        <v>374</v>
      </c>
      <c r="C15" s="2" t="s">
        <v>582</v>
      </c>
      <c r="D15" s="2" t="s">
        <v>583</v>
      </c>
      <c r="E15" s="10" t="s">
        <v>156</v>
      </c>
      <c r="F15" s="10"/>
      <c r="G15" s="2"/>
      <c r="H15" s="2"/>
      <c r="I15" s="2"/>
    </row>
    <row r="16" spans="1:9" ht="32" x14ac:dyDescent="0.45">
      <c r="A16" s="10">
        <v>8</v>
      </c>
      <c r="B16" s="2" t="s">
        <v>584</v>
      </c>
      <c r="C16" s="2" t="s">
        <v>585</v>
      </c>
      <c r="D16" s="2" t="s">
        <v>583</v>
      </c>
      <c r="E16" s="10" t="s">
        <v>166</v>
      </c>
      <c r="F16" s="10"/>
      <c r="G16" s="2"/>
      <c r="H16" s="2"/>
      <c r="I16" s="2"/>
    </row>
    <row r="17" spans="1:9" x14ac:dyDescent="0.45">
      <c r="A17" s="10">
        <v>9</v>
      </c>
      <c r="B17" s="2" t="s">
        <v>586</v>
      </c>
      <c r="C17" s="2" t="s">
        <v>587</v>
      </c>
      <c r="D17" s="2" t="s">
        <v>588</v>
      </c>
      <c r="E17" s="10" t="s">
        <v>166</v>
      </c>
      <c r="F17" s="10"/>
      <c r="G17" s="2"/>
      <c r="H17" s="2"/>
      <c r="I17" s="2"/>
    </row>
    <row r="18" spans="1:9" x14ac:dyDescent="0.45">
      <c r="A18" s="10">
        <v>10</v>
      </c>
      <c r="B18" s="2" t="s">
        <v>589</v>
      </c>
      <c r="C18" s="2" t="s">
        <v>590</v>
      </c>
      <c r="D18" s="2" t="s">
        <v>222</v>
      </c>
      <c r="E18" s="10" t="s">
        <v>166</v>
      </c>
      <c r="F18" s="10"/>
      <c r="G18" s="2"/>
      <c r="H18" s="2"/>
      <c r="I18" s="2"/>
    </row>
    <row r="19" spans="1:9" x14ac:dyDescent="0.45">
      <c r="A19" s="10">
        <v>11</v>
      </c>
      <c r="B19" s="2" t="s">
        <v>591</v>
      </c>
      <c r="C19" s="2" t="s">
        <v>592</v>
      </c>
      <c r="D19" s="2" t="s">
        <v>222</v>
      </c>
      <c r="E19" s="10" t="s">
        <v>166</v>
      </c>
      <c r="F19" s="10"/>
      <c r="G19" s="2"/>
      <c r="H19" s="2"/>
      <c r="I19" s="2"/>
    </row>
    <row r="20" spans="1:9" x14ac:dyDescent="0.45">
      <c r="A20" s="10">
        <v>12</v>
      </c>
      <c r="B20" s="2" t="s">
        <v>183</v>
      </c>
      <c r="C20" s="2" t="s">
        <v>184</v>
      </c>
      <c r="D20" s="2" t="s">
        <v>185</v>
      </c>
      <c r="E20" s="10" t="s">
        <v>166</v>
      </c>
      <c r="F20" s="10"/>
      <c r="G20" s="2"/>
      <c r="H20" s="2"/>
      <c r="I20" s="2"/>
    </row>
    <row r="21" spans="1:9" x14ac:dyDescent="0.45">
      <c r="A21" s="10">
        <v>13</v>
      </c>
      <c r="B21" s="2" t="s">
        <v>186</v>
      </c>
      <c r="C21" s="2" t="s">
        <v>187</v>
      </c>
      <c r="D21" s="2" t="s">
        <v>188</v>
      </c>
      <c r="E21" s="10" t="s">
        <v>156</v>
      </c>
      <c r="F21" s="10"/>
      <c r="G21" s="2"/>
      <c r="H21" s="2" t="s">
        <v>189</v>
      </c>
      <c r="I21" s="2"/>
    </row>
    <row r="22" spans="1:9" x14ac:dyDescent="0.45">
      <c r="A22" s="10">
        <v>14</v>
      </c>
      <c r="B22" s="2" t="s">
        <v>190</v>
      </c>
      <c r="C22" s="2" t="s">
        <v>191</v>
      </c>
      <c r="D22" s="2" t="s">
        <v>185</v>
      </c>
      <c r="E22" s="10" t="s">
        <v>166</v>
      </c>
      <c r="F22" s="10"/>
      <c r="G22" s="2"/>
      <c r="H22" s="2"/>
      <c r="I22" s="2"/>
    </row>
    <row r="23" spans="1:9" x14ac:dyDescent="0.45">
      <c r="A23" s="10">
        <v>15</v>
      </c>
      <c r="B23" s="2" t="s">
        <v>192</v>
      </c>
      <c r="C23" s="2" t="s">
        <v>193</v>
      </c>
      <c r="D23" s="2" t="s">
        <v>188</v>
      </c>
      <c r="E23" s="10" t="s">
        <v>166</v>
      </c>
      <c r="F23" s="10"/>
      <c r="G23" s="2"/>
      <c r="H23" s="2"/>
      <c r="I23" s="2"/>
    </row>
    <row r="24" spans="1:9" x14ac:dyDescent="0.45">
      <c r="A24" s="10">
        <v>16</v>
      </c>
      <c r="B24" s="2" t="s">
        <v>493</v>
      </c>
      <c r="C24" s="2" t="s">
        <v>593</v>
      </c>
      <c r="D24" s="2" t="s">
        <v>159</v>
      </c>
      <c r="E24" s="10" t="s">
        <v>156</v>
      </c>
      <c r="F24" s="10"/>
      <c r="G24" s="2"/>
      <c r="H24" s="2"/>
      <c r="I24" s="2"/>
    </row>
    <row r="25" spans="1:9" ht="32" x14ac:dyDescent="0.45">
      <c r="A25" s="10">
        <v>17</v>
      </c>
      <c r="B25" s="2" t="s">
        <v>594</v>
      </c>
      <c r="C25" s="2" t="s">
        <v>595</v>
      </c>
      <c r="D25" s="2" t="s">
        <v>376</v>
      </c>
      <c r="E25" s="10" t="s">
        <v>166</v>
      </c>
      <c r="F25" s="10"/>
      <c r="G25" s="2"/>
      <c r="H25" s="2"/>
      <c r="I25" s="2"/>
    </row>
    <row r="26" spans="1:9" ht="32" x14ac:dyDescent="0.45">
      <c r="A26" s="10">
        <v>18</v>
      </c>
      <c r="B26" s="2" t="s">
        <v>596</v>
      </c>
      <c r="C26" s="2" t="s">
        <v>597</v>
      </c>
      <c r="D26" s="2" t="s">
        <v>155</v>
      </c>
      <c r="E26" s="10" t="s">
        <v>166</v>
      </c>
      <c r="F26" s="10"/>
      <c r="G26" s="2"/>
      <c r="H26" s="2"/>
      <c r="I26" s="2"/>
    </row>
    <row r="27" spans="1:9" x14ac:dyDescent="0.45">
      <c r="A27" s="10">
        <v>19</v>
      </c>
      <c r="B27" s="2" t="s">
        <v>598</v>
      </c>
      <c r="C27" s="2" t="s">
        <v>599</v>
      </c>
      <c r="D27" s="2" t="s">
        <v>155</v>
      </c>
      <c r="E27" s="10" t="s">
        <v>166</v>
      </c>
      <c r="F27" s="10"/>
      <c r="G27" s="2"/>
      <c r="H27" s="2"/>
      <c r="I27" s="2"/>
    </row>
    <row r="28" spans="1:9" x14ac:dyDescent="0.45">
      <c r="A28" s="10">
        <v>20</v>
      </c>
      <c r="B28" s="2" t="s">
        <v>600</v>
      </c>
      <c r="C28" s="2" t="s">
        <v>601</v>
      </c>
      <c r="D28" s="2" t="s">
        <v>602</v>
      </c>
      <c r="E28" s="10" t="s">
        <v>166</v>
      </c>
      <c r="F28" s="10"/>
      <c r="G28" s="2"/>
      <c r="H28" s="2"/>
      <c r="I28" s="2" t="s">
        <v>603</v>
      </c>
    </row>
    <row r="29" spans="1:9" x14ac:dyDescent="0.45">
      <c r="A29" s="10">
        <v>21</v>
      </c>
      <c r="B29" s="2" t="s">
        <v>604</v>
      </c>
      <c r="C29" s="2" t="s">
        <v>605</v>
      </c>
      <c r="D29" s="2" t="s">
        <v>602</v>
      </c>
      <c r="E29" s="10" t="s">
        <v>166</v>
      </c>
      <c r="F29" s="10"/>
      <c r="G29" s="2"/>
      <c r="H29" s="2"/>
      <c r="I29" s="2" t="s">
        <v>603</v>
      </c>
    </row>
    <row r="30" spans="1:9" ht="32" x14ac:dyDescent="0.45">
      <c r="A30" s="10">
        <v>22</v>
      </c>
      <c r="B30" s="2" t="s">
        <v>606</v>
      </c>
      <c r="C30" s="2" t="s">
        <v>607</v>
      </c>
      <c r="D30" s="2" t="s">
        <v>608</v>
      </c>
      <c r="E30" s="10" t="s">
        <v>156</v>
      </c>
      <c r="F30" s="10"/>
      <c r="G30" s="2"/>
      <c r="H30" s="2" t="s">
        <v>609</v>
      </c>
      <c r="I30" s="2" t="s">
        <v>610</v>
      </c>
    </row>
    <row r="31" spans="1:9" x14ac:dyDescent="0.45">
      <c r="A31" s="10">
        <v>23</v>
      </c>
      <c r="B31" s="2" t="s">
        <v>611</v>
      </c>
      <c r="C31" s="2" t="s">
        <v>612</v>
      </c>
      <c r="D31" s="2" t="s">
        <v>588</v>
      </c>
      <c r="E31" s="10" t="s">
        <v>166</v>
      </c>
      <c r="F31" s="10"/>
      <c r="G31" s="2"/>
      <c r="H31" s="2"/>
      <c r="I31" s="2" t="s">
        <v>613</v>
      </c>
    </row>
    <row r="32" spans="1:9" x14ac:dyDescent="0.45">
      <c r="A32" s="10">
        <v>24</v>
      </c>
      <c r="B32" s="2" t="s">
        <v>614</v>
      </c>
      <c r="C32" s="2" t="s">
        <v>615</v>
      </c>
      <c r="D32" s="2" t="s">
        <v>165</v>
      </c>
      <c r="E32" s="10" t="s">
        <v>166</v>
      </c>
      <c r="F32" s="10"/>
      <c r="G32" s="2"/>
      <c r="H32" s="2"/>
      <c r="I32" s="2"/>
    </row>
    <row r="33" spans="1:9" x14ac:dyDescent="0.45">
      <c r="A33" s="10">
        <v>25</v>
      </c>
      <c r="B33" s="2" t="s">
        <v>616</v>
      </c>
      <c r="C33" s="2" t="s">
        <v>617</v>
      </c>
      <c r="D33" s="2" t="s">
        <v>376</v>
      </c>
      <c r="E33" s="10" t="s">
        <v>166</v>
      </c>
      <c r="F33" s="10"/>
      <c r="G33" s="2"/>
      <c r="H33" s="2"/>
      <c r="I33" s="2"/>
    </row>
    <row r="34" spans="1:9" ht="32" x14ac:dyDescent="0.45">
      <c r="A34" s="10">
        <v>26</v>
      </c>
      <c r="B34" s="2" t="s">
        <v>618</v>
      </c>
      <c r="C34" s="2" t="s">
        <v>619</v>
      </c>
      <c r="D34" s="2" t="s">
        <v>376</v>
      </c>
      <c r="E34" s="10" t="s">
        <v>166</v>
      </c>
      <c r="F34" s="10"/>
      <c r="G34" s="2"/>
      <c r="H34" s="2"/>
      <c r="I34" s="2"/>
    </row>
    <row r="36" spans="1:9" x14ac:dyDescent="0.45">
      <c r="A36" s="27" t="s">
        <v>199</v>
      </c>
      <c r="B36" s="25"/>
      <c r="C36" s="25"/>
      <c r="D36" s="25"/>
      <c r="E36" s="25"/>
      <c r="F36" s="25"/>
      <c r="G36" s="25"/>
      <c r="H36" s="25"/>
      <c r="I36" s="25"/>
    </row>
    <row r="37" spans="1:9" x14ac:dyDescent="0.45">
      <c r="A37" s="3" t="s">
        <v>55</v>
      </c>
      <c r="B37" s="3" t="s">
        <v>200</v>
      </c>
      <c r="C37" s="3" t="s">
        <v>201</v>
      </c>
      <c r="D37" s="23" t="s">
        <v>202</v>
      </c>
      <c r="E37" s="21"/>
      <c r="F37" s="22"/>
      <c r="G37" s="23" t="s">
        <v>18</v>
      </c>
      <c r="H37" s="21"/>
      <c r="I37" s="22"/>
    </row>
    <row r="38" spans="1:9" ht="18" customHeight="1" x14ac:dyDescent="0.45">
      <c r="A38" s="10">
        <v>1</v>
      </c>
      <c r="B38" s="10" t="s">
        <v>35</v>
      </c>
      <c r="C38" s="2" t="s">
        <v>620</v>
      </c>
      <c r="D38" s="20" t="s">
        <v>127</v>
      </c>
      <c r="E38" s="21"/>
      <c r="F38" s="22"/>
      <c r="G38" s="20" t="s">
        <v>204</v>
      </c>
      <c r="H38" s="21"/>
      <c r="I38" s="22"/>
    </row>
    <row r="39" spans="1:9" ht="32" customHeight="1" x14ac:dyDescent="0.45">
      <c r="A39" s="10">
        <v>2</v>
      </c>
      <c r="B39" s="10" t="s">
        <v>217</v>
      </c>
      <c r="C39" s="2" t="s">
        <v>621</v>
      </c>
      <c r="D39" s="20" t="s">
        <v>142</v>
      </c>
      <c r="E39" s="21"/>
      <c r="F39" s="22"/>
      <c r="G39" s="20" t="s">
        <v>318</v>
      </c>
      <c r="H39" s="21"/>
      <c r="I39" s="22"/>
    </row>
    <row r="40" spans="1:9" ht="32" customHeight="1" x14ac:dyDescent="0.45">
      <c r="A40" s="10">
        <v>3</v>
      </c>
      <c r="B40" s="10" t="s">
        <v>205</v>
      </c>
      <c r="C40" s="2" t="s">
        <v>622</v>
      </c>
      <c r="D40" s="20"/>
      <c r="E40" s="21"/>
      <c r="F40" s="22"/>
      <c r="G40" s="20" t="s">
        <v>623</v>
      </c>
      <c r="H40" s="21"/>
      <c r="I40" s="22"/>
    </row>
    <row r="41" spans="1:9" ht="74" customHeight="1" x14ac:dyDescent="0.45">
      <c r="A41" s="10">
        <v>4</v>
      </c>
      <c r="B41" s="10" t="s">
        <v>205</v>
      </c>
      <c r="C41" s="2" t="s">
        <v>624</v>
      </c>
      <c r="D41" s="20"/>
      <c r="E41" s="21"/>
      <c r="F41" s="22"/>
      <c r="G41" s="20" t="s">
        <v>625</v>
      </c>
      <c r="H41" s="21"/>
      <c r="I41" s="22"/>
    </row>
    <row r="42" spans="1:9" ht="18" customHeight="1" x14ac:dyDescent="0.45">
      <c r="A42" s="10">
        <v>5</v>
      </c>
      <c r="B42" s="10" t="s">
        <v>205</v>
      </c>
      <c r="C42" s="2" t="s">
        <v>626</v>
      </c>
      <c r="D42" s="20"/>
      <c r="E42" s="21"/>
      <c r="F42" s="22"/>
      <c r="G42" s="20" t="s">
        <v>627</v>
      </c>
      <c r="H42" s="21"/>
      <c r="I42" s="22"/>
    </row>
    <row r="43" spans="1:9" ht="18" customHeight="1" x14ac:dyDescent="0.45">
      <c r="A43" s="10">
        <v>6</v>
      </c>
      <c r="B43" s="10" t="s">
        <v>205</v>
      </c>
      <c r="C43" s="2" t="s">
        <v>628</v>
      </c>
      <c r="D43" s="20"/>
      <c r="E43" s="21"/>
      <c r="F43" s="22"/>
      <c r="G43" s="20" t="s">
        <v>629</v>
      </c>
      <c r="H43" s="21"/>
      <c r="I43" s="22"/>
    </row>
    <row r="45" spans="1:9" x14ac:dyDescent="0.45">
      <c r="A45" s="27" t="s">
        <v>212</v>
      </c>
      <c r="B45" s="25"/>
      <c r="C45" s="25"/>
      <c r="D45" s="25"/>
      <c r="E45" s="25"/>
      <c r="F45" s="25"/>
      <c r="G45" s="25"/>
      <c r="H45" s="25"/>
      <c r="I45" s="25"/>
    </row>
    <row r="46" spans="1:9" x14ac:dyDescent="0.45">
      <c r="A46" s="3" t="s">
        <v>55</v>
      </c>
      <c r="B46" s="3" t="s">
        <v>213</v>
      </c>
      <c r="C46" s="3" t="s">
        <v>214</v>
      </c>
      <c r="D46" s="23" t="s">
        <v>215</v>
      </c>
      <c r="E46" s="21"/>
      <c r="F46" s="22"/>
      <c r="G46" s="23" t="s">
        <v>216</v>
      </c>
      <c r="H46" s="21"/>
      <c r="I46" s="22"/>
    </row>
    <row r="47" spans="1:9" ht="18" customHeight="1" x14ac:dyDescent="0.45">
      <c r="A47" s="10">
        <v>1</v>
      </c>
      <c r="B47" s="10" t="s">
        <v>293</v>
      </c>
      <c r="C47" s="2" t="s">
        <v>630</v>
      </c>
      <c r="D47" s="20" t="s">
        <v>631</v>
      </c>
      <c r="E47" s="21"/>
      <c r="F47" s="22"/>
      <c r="G47" s="20" t="s">
        <v>632</v>
      </c>
      <c r="H47" s="21"/>
      <c r="I47" s="22"/>
    </row>
    <row r="48" spans="1:9" ht="18" customHeight="1" x14ac:dyDescent="0.45">
      <c r="A48" s="10">
        <v>2</v>
      </c>
      <c r="B48" s="10" t="s">
        <v>293</v>
      </c>
      <c r="C48" s="2" t="s">
        <v>633</v>
      </c>
      <c r="D48" s="20" t="s">
        <v>634</v>
      </c>
      <c r="E48" s="21"/>
      <c r="F48" s="22"/>
      <c r="G48" s="20" t="s">
        <v>635</v>
      </c>
      <c r="H48" s="21"/>
      <c r="I48" s="22"/>
    </row>
    <row r="49" spans="1:9" ht="32" customHeight="1" x14ac:dyDescent="0.45">
      <c r="A49" s="10">
        <v>3</v>
      </c>
      <c r="B49" s="10" t="s">
        <v>293</v>
      </c>
      <c r="C49" s="2" t="s">
        <v>636</v>
      </c>
      <c r="D49" s="20" t="s">
        <v>637</v>
      </c>
      <c r="E49" s="21"/>
      <c r="F49" s="22"/>
      <c r="G49" s="20" t="s">
        <v>638</v>
      </c>
      <c r="H49" s="21"/>
      <c r="I49" s="22"/>
    </row>
    <row r="50" spans="1:9" ht="18" customHeight="1" x14ac:dyDescent="0.45">
      <c r="A50" s="10">
        <v>4</v>
      </c>
      <c r="B50" s="10" t="s">
        <v>217</v>
      </c>
      <c r="C50" s="2" t="s">
        <v>620</v>
      </c>
      <c r="D50" s="20" t="s">
        <v>127</v>
      </c>
      <c r="E50" s="21"/>
      <c r="F50" s="22"/>
      <c r="G50" s="20" t="s">
        <v>204</v>
      </c>
      <c r="H50" s="21"/>
      <c r="I50" s="22"/>
    </row>
    <row r="51" spans="1:9" ht="32" customHeight="1" x14ac:dyDescent="0.45">
      <c r="A51" s="10">
        <v>5</v>
      </c>
      <c r="B51" s="10" t="s">
        <v>217</v>
      </c>
      <c r="C51" s="2" t="s">
        <v>621</v>
      </c>
      <c r="D51" s="20" t="s">
        <v>142</v>
      </c>
      <c r="E51" s="21"/>
      <c r="F51" s="22"/>
      <c r="G51" s="20" t="s">
        <v>324</v>
      </c>
      <c r="H51" s="21"/>
      <c r="I51" s="22"/>
    </row>
  </sheetData>
  <mergeCells count="39">
    <mergeCell ref="A1:I1"/>
    <mergeCell ref="G39:I39"/>
    <mergeCell ref="A45:I45"/>
    <mergeCell ref="H5:I5"/>
    <mergeCell ref="G48:I48"/>
    <mergeCell ref="E3:F3"/>
    <mergeCell ref="A4:B4"/>
    <mergeCell ref="G42:I42"/>
    <mergeCell ref="A36:I36"/>
    <mergeCell ref="D46:F46"/>
    <mergeCell ref="D40:F40"/>
    <mergeCell ref="A3:B3"/>
    <mergeCell ref="G51:I51"/>
    <mergeCell ref="D42:F42"/>
    <mergeCell ref="G47:I47"/>
    <mergeCell ref="D38:F38"/>
    <mergeCell ref="D51:F51"/>
    <mergeCell ref="G50:I50"/>
    <mergeCell ref="G41:I41"/>
    <mergeCell ref="C4:I4"/>
    <mergeCell ref="A5:B5"/>
    <mergeCell ref="G46:I46"/>
    <mergeCell ref="G40:I40"/>
    <mergeCell ref="D49:F49"/>
    <mergeCell ref="D50:F50"/>
    <mergeCell ref="G43:I43"/>
    <mergeCell ref="H3:I3"/>
    <mergeCell ref="G49:I49"/>
    <mergeCell ref="D47:F47"/>
    <mergeCell ref="A6:B6"/>
    <mergeCell ref="D43:F43"/>
    <mergeCell ref="D37:F37"/>
    <mergeCell ref="C6:I6"/>
    <mergeCell ref="D39:F39"/>
    <mergeCell ref="G38:I38"/>
    <mergeCell ref="D41:F41"/>
    <mergeCell ref="G37:I37"/>
    <mergeCell ref="E5:F5"/>
    <mergeCell ref="D48:F48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122</v>
      </c>
      <c r="D3" s="1" t="s">
        <v>11</v>
      </c>
      <c r="E3" s="20" t="s">
        <v>15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131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639</v>
      </c>
      <c r="D5" s="1" t="s">
        <v>59</v>
      </c>
      <c r="E5" s="24">
        <f>COUNTA(B9:B24)</f>
        <v>16</v>
      </c>
      <c r="F5" s="25"/>
      <c r="G5" s="1" t="s">
        <v>62</v>
      </c>
      <c r="H5" s="20" t="s">
        <v>134</v>
      </c>
      <c r="I5" s="25"/>
    </row>
    <row r="6" spans="1:9" ht="32" customHeight="1" x14ac:dyDescent="0.45">
      <c r="A6" s="26" t="s">
        <v>63</v>
      </c>
      <c r="B6" s="25"/>
      <c r="C6" s="20" t="s">
        <v>135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121</v>
      </c>
      <c r="C9" s="15" t="s">
        <v>640</v>
      </c>
      <c r="D9" s="15" t="s">
        <v>299</v>
      </c>
      <c r="E9" s="14" t="s">
        <v>156</v>
      </c>
      <c r="F9" s="14">
        <v>1</v>
      </c>
      <c r="G9" s="15" t="s">
        <v>119</v>
      </c>
      <c r="H9" s="15"/>
      <c r="I9" s="15"/>
    </row>
    <row r="10" spans="1:9" x14ac:dyDescent="0.45">
      <c r="A10" s="14">
        <v>2</v>
      </c>
      <c r="B10" s="15" t="s">
        <v>641</v>
      </c>
      <c r="C10" s="15" t="s">
        <v>642</v>
      </c>
      <c r="D10" s="15" t="s">
        <v>222</v>
      </c>
      <c r="E10" s="14" t="s">
        <v>156</v>
      </c>
      <c r="F10" s="14">
        <v>2</v>
      </c>
      <c r="G10" s="15"/>
      <c r="H10" s="15"/>
      <c r="I10" s="15"/>
    </row>
    <row r="11" spans="1:9" x14ac:dyDescent="0.45">
      <c r="A11" s="10">
        <v>3</v>
      </c>
      <c r="B11" s="2" t="s">
        <v>643</v>
      </c>
      <c r="C11" s="2" t="s">
        <v>644</v>
      </c>
      <c r="D11" s="2" t="s">
        <v>222</v>
      </c>
      <c r="E11" s="10" t="s">
        <v>156</v>
      </c>
      <c r="F11" s="10"/>
      <c r="G11" s="2"/>
      <c r="H11" s="2"/>
      <c r="I11" s="2"/>
    </row>
    <row r="12" spans="1:9" x14ac:dyDescent="0.45">
      <c r="A12" s="10">
        <v>4</v>
      </c>
      <c r="B12" s="2" t="s">
        <v>645</v>
      </c>
      <c r="C12" s="2" t="s">
        <v>646</v>
      </c>
      <c r="D12" s="2" t="s">
        <v>222</v>
      </c>
      <c r="E12" s="10" t="s">
        <v>156</v>
      </c>
      <c r="F12" s="10"/>
      <c r="G12" s="2"/>
      <c r="H12" s="2"/>
      <c r="I12" s="2"/>
    </row>
    <row r="13" spans="1:9" x14ac:dyDescent="0.45">
      <c r="A13" s="10">
        <v>5</v>
      </c>
      <c r="B13" s="2" t="s">
        <v>647</v>
      </c>
      <c r="C13" s="2" t="s">
        <v>648</v>
      </c>
      <c r="D13" s="2" t="s">
        <v>222</v>
      </c>
      <c r="E13" s="10" t="s">
        <v>166</v>
      </c>
      <c r="F13" s="10"/>
      <c r="G13" s="2"/>
      <c r="H13" s="2"/>
      <c r="I13" s="2"/>
    </row>
    <row r="14" spans="1:9" x14ac:dyDescent="0.45">
      <c r="A14" s="10">
        <v>6</v>
      </c>
      <c r="B14" s="2" t="s">
        <v>649</v>
      </c>
      <c r="C14" s="2" t="s">
        <v>650</v>
      </c>
      <c r="D14" s="2" t="s">
        <v>222</v>
      </c>
      <c r="E14" s="10" t="s">
        <v>166</v>
      </c>
      <c r="F14" s="10"/>
      <c r="G14" s="2"/>
      <c r="H14" s="2"/>
      <c r="I14" s="2"/>
    </row>
    <row r="15" spans="1:9" x14ac:dyDescent="0.45">
      <c r="A15" s="10">
        <v>7</v>
      </c>
      <c r="B15" s="2" t="s">
        <v>651</v>
      </c>
      <c r="C15" s="2" t="s">
        <v>652</v>
      </c>
      <c r="D15" s="2" t="s">
        <v>608</v>
      </c>
      <c r="E15" s="10" t="s">
        <v>156</v>
      </c>
      <c r="F15" s="10"/>
      <c r="G15" s="2"/>
      <c r="H15" s="2"/>
      <c r="I15" s="2" t="s">
        <v>653</v>
      </c>
    </row>
    <row r="16" spans="1:9" x14ac:dyDescent="0.45">
      <c r="A16" s="10">
        <v>8</v>
      </c>
      <c r="B16" s="2" t="s">
        <v>654</v>
      </c>
      <c r="C16" s="2" t="s">
        <v>655</v>
      </c>
      <c r="D16" s="2" t="s">
        <v>196</v>
      </c>
      <c r="E16" s="10" t="s">
        <v>166</v>
      </c>
      <c r="F16" s="10"/>
      <c r="G16" s="2"/>
      <c r="H16" s="2"/>
      <c r="I16" s="2"/>
    </row>
    <row r="17" spans="1:9" x14ac:dyDescent="0.45">
      <c r="A17" s="10">
        <v>9</v>
      </c>
      <c r="B17" s="2" t="s">
        <v>656</v>
      </c>
      <c r="C17" s="2" t="s">
        <v>657</v>
      </c>
      <c r="D17" s="2" t="s">
        <v>222</v>
      </c>
      <c r="E17" s="10" t="s">
        <v>166</v>
      </c>
      <c r="F17" s="10"/>
      <c r="G17" s="2"/>
      <c r="H17" s="2"/>
      <c r="I17" s="2"/>
    </row>
    <row r="18" spans="1:9" x14ac:dyDescent="0.45">
      <c r="A18" s="10">
        <v>10</v>
      </c>
      <c r="B18" s="2" t="s">
        <v>658</v>
      </c>
      <c r="C18" s="2" t="s">
        <v>659</v>
      </c>
      <c r="D18" s="2" t="s">
        <v>222</v>
      </c>
      <c r="E18" s="10" t="s">
        <v>166</v>
      </c>
      <c r="F18" s="10"/>
      <c r="G18" s="2"/>
      <c r="H18" s="2"/>
      <c r="I18" s="2"/>
    </row>
    <row r="19" spans="1:9" x14ac:dyDescent="0.45">
      <c r="A19" s="10">
        <v>11</v>
      </c>
      <c r="B19" s="2" t="s">
        <v>660</v>
      </c>
      <c r="C19" s="2" t="s">
        <v>661</v>
      </c>
      <c r="D19" s="2" t="s">
        <v>155</v>
      </c>
      <c r="E19" s="10" t="s">
        <v>166</v>
      </c>
      <c r="F19" s="10"/>
      <c r="G19" s="2"/>
      <c r="H19" s="2"/>
      <c r="I19" s="2"/>
    </row>
    <row r="20" spans="1:9" x14ac:dyDescent="0.45">
      <c r="A20" s="10">
        <v>12</v>
      </c>
      <c r="B20" s="2" t="s">
        <v>662</v>
      </c>
      <c r="C20" s="2" t="s">
        <v>663</v>
      </c>
      <c r="D20" s="2" t="s">
        <v>222</v>
      </c>
      <c r="E20" s="10" t="s">
        <v>166</v>
      </c>
      <c r="F20" s="10"/>
      <c r="G20" s="2"/>
      <c r="H20" s="2"/>
      <c r="I20" s="2"/>
    </row>
    <row r="21" spans="1:9" x14ac:dyDescent="0.45">
      <c r="A21" s="10">
        <v>13</v>
      </c>
      <c r="B21" s="2" t="s">
        <v>664</v>
      </c>
      <c r="C21" s="2" t="s">
        <v>665</v>
      </c>
      <c r="D21" s="2" t="s">
        <v>222</v>
      </c>
      <c r="E21" s="10" t="s">
        <v>166</v>
      </c>
      <c r="F21" s="10"/>
      <c r="G21" s="2"/>
      <c r="H21" s="2"/>
      <c r="I21" s="2"/>
    </row>
    <row r="22" spans="1:9" x14ac:dyDescent="0.45">
      <c r="A22" s="10">
        <v>14</v>
      </c>
      <c r="B22" s="2" t="s">
        <v>666</v>
      </c>
      <c r="C22" s="2" t="s">
        <v>667</v>
      </c>
      <c r="D22" s="2" t="s">
        <v>608</v>
      </c>
      <c r="E22" s="10" t="s">
        <v>166</v>
      </c>
      <c r="F22" s="10"/>
      <c r="G22" s="2"/>
      <c r="H22" s="2"/>
      <c r="I22" s="2" t="s">
        <v>653</v>
      </c>
    </row>
    <row r="23" spans="1:9" x14ac:dyDescent="0.45">
      <c r="A23" s="10">
        <v>15</v>
      </c>
      <c r="B23" s="2" t="s">
        <v>668</v>
      </c>
      <c r="C23" s="2" t="s">
        <v>669</v>
      </c>
      <c r="D23" s="2" t="s">
        <v>222</v>
      </c>
      <c r="E23" s="10" t="s">
        <v>166</v>
      </c>
      <c r="F23" s="10"/>
      <c r="G23" s="2"/>
      <c r="H23" s="2"/>
      <c r="I23" s="2"/>
    </row>
    <row r="24" spans="1:9" x14ac:dyDescent="0.45">
      <c r="A24" s="10">
        <v>16</v>
      </c>
      <c r="B24" s="2" t="s">
        <v>527</v>
      </c>
      <c r="C24" s="2" t="s">
        <v>670</v>
      </c>
      <c r="D24" s="2" t="s">
        <v>222</v>
      </c>
      <c r="E24" s="10" t="s">
        <v>166</v>
      </c>
      <c r="F24" s="10"/>
      <c r="G24" s="2"/>
      <c r="H24" s="2"/>
      <c r="I24" s="2"/>
    </row>
    <row r="26" spans="1:9" x14ac:dyDescent="0.45">
      <c r="A26" s="27" t="s">
        <v>199</v>
      </c>
      <c r="B26" s="25"/>
      <c r="C26" s="25"/>
      <c r="D26" s="25"/>
      <c r="E26" s="25"/>
      <c r="F26" s="25"/>
      <c r="G26" s="25"/>
      <c r="H26" s="25"/>
      <c r="I26" s="25"/>
    </row>
    <row r="27" spans="1:9" x14ac:dyDescent="0.45">
      <c r="A27" s="3" t="s">
        <v>55</v>
      </c>
      <c r="B27" s="3" t="s">
        <v>200</v>
      </c>
      <c r="C27" s="3" t="s">
        <v>201</v>
      </c>
      <c r="D27" s="23" t="s">
        <v>202</v>
      </c>
      <c r="E27" s="21"/>
      <c r="F27" s="22"/>
      <c r="G27" s="23" t="s">
        <v>18</v>
      </c>
      <c r="H27" s="21"/>
      <c r="I27" s="22"/>
    </row>
    <row r="28" spans="1:9" ht="18" customHeight="1" x14ac:dyDescent="0.45">
      <c r="A28" s="10">
        <v>1</v>
      </c>
      <c r="B28" s="10" t="s">
        <v>35</v>
      </c>
      <c r="C28" s="2" t="s">
        <v>671</v>
      </c>
      <c r="D28" s="20" t="s">
        <v>132</v>
      </c>
      <c r="E28" s="21"/>
      <c r="F28" s="22"/>
      <c r="G28" s="20" t="s">
        <v>204</v>
      </c>
      <c r="H28" s="21"/>
      <c r="I28" s="22"/>
    </row>
    <row r="29" spans="1:9" ht="18" customHeight="1" x14ac:dyDescent="0.45">
      <c r="A29" s="10">
        <v>2</v>
      </c>
      <c r="B29" s="10" t="s">
        <v>217</v>
      </c>
      <c r="C29" s="2" t="s">
        <v>672</v>
      </c>
      <c r="D29" s="20" t="s">
        <v>673</v>
      </c>
      <c r="E29" s="21"/>
      <c r="F29" s="22"/>
      <c r="G29" s="20" t="s">
        <v>318</v>
      </c>
      <c r="H29" s="21"/>
      <c r="I29" s="22"/>
    </row>
    <row r="30" spans="1:9" ht="32" customHeight="1" x14ac:dyDescent="0.45">
      <c r="A30" s="10">
        <v>3</v>
      </c>
      <c r="B30" s="10" t="s">
        <v>229</v>
      </c>
      <c r="C30" s="2" t="s">
        <v>674</v>
      </c>
      <c r="D30" s="20" t="s">
        <v>121</v>
      </c>
      <c r="E30" s="21"/>
      <c r="F30" s="22"/>
      <c r="G30" s="20" t="s">
        <v>675</v>
      </c>
      <c r="H30" s="21"/>
      <c r="I30" s="22"/>
    </row>
    <row r="31" spans="1:9" ht="18" customHeight="1" x14ac:dyDescent="0.45">
      <c r="A31" s="10">
        <v>4</v>
      </c>
      <c r="B31" s="10" t="s">
        <v>205</v>
      </c>
      <c r="C31" s="2" t="s">
        <v>676</v>
      </c>
      <c r="D31" s="20"/>
      <c r="E31" s="21"/>
      <c r="F31" s="22"/>
      <c r="G31" s="20" t="s">
        <v>677</v>
      </c>
      <c r="H31" s="21"/>
      <c r="I31" s="22"/>
    </row>
    <row r="32" spans="1:9" ht="18" customHeight="1" x14ac:dyDescent="0.45">
      <c r="A32" s="10">
        <v>5</v>
      </c>
      <c r="B32" s="10" t="s">
        <v>205</v>
      </c>
      <c r="C32" s="2" t="s">
        <v>678</v>
      </c>
      <c r="D32" s="20"/>
      <c r="E32" s="21"/>
      <c r="F32" s="22"/>
      <c r="G32" s="20" t="s">
        <v>679</v>
      </c>
      <c r="H32" s="21"/>
      <c r="I32" s="22"/>
    </row>
    <row r="34" spans="1:9" x14ac:dyDescent="0.45">
      <c r="A34" s="27" t="s">
        <v>212</v>
      </c>
      <c r="B34" s="25"/>
      <c r="C34" s="25"/>
      <c r="D34" s="25"/>
      <c r="E34" s="25"/>
      <c r="F34" s="25"/>
      <c r="G34" s="25"/>
      <c r="H34" s="25"/>
      <c r="I34" s="25"/>
    </row>
    <row r="35" spans="1:9" x14ac:dyDescent="0.45">
      <c r="A35" s="3" t="s">
        <v>55</v>
      </c>
      <c r="B35" s="3" t="s">
        <v>213</v>
      </c>
      <c r="C35" s="3" t="s">
        <v>214</v>
      </c>
      <c r="D35" s="23" t="s">
        <v>215</v>
      </c>
      <c r="E35" s="21"/>
      <c r="F35" s="22"/>
      <c r="G35" s="23" t="s">
        <v>216</v>
      </c>
      <c r="H35" s="21"/>
      <c r="I35" s="22"/>
    </row>
    <row r="36" spans="1:9" ht="18" customHeight="1" x14ac:dyDescent="0.45">
      <c r="A36" s="10">
        <v>1</v>
      </c>
      <c r="B36" s="10" t="s">
        <v>217</v>
      </c>
      <c r="C36" s="2" t="s">
        <v>671</v>
      </c>
      <c r="D36" s="20" t="s">
        <v>132</v>
      </c>
      <c r="E36" s="21"/>
      <c r="F36" s="22"/>
      <c r="G36" s="20" t="s">
        <v>204</v>
      </c>
      <c r="H36" s="21"/>
      <c r="I36" s="22"/>
    </row>
    <row r="37" spans="1:9" ht="18" customHeight="1" x14ac:dyDescent="0.45">
      <c r="A37" s="10">
        <v>2</v>
      </c>
      <c r="B37" s="10" t="s">
        <v>217</v>
      </c>
      <c r="C37" s="2" t="s">
        <v>672</v>
      </c>
      <c r="D37" s="20" t="s">
        <v>673</v>
      </c>
      <c r="E37" s="21"/>
      <c r="F37" s="22"/>
      <c r="G37" s="20" t="s">
        <v>324</v>
      </c>
      <c r="H37" s="21"/>
      <c r="I37" s="22"/>
    </row>
  </sheetData>
  <mergeCells count="31">
    <mergeCell ref="G36:I36"/>
    <mergeCell ref="G27:I27"/>
    <mergeCell ref="D31:F31"/>
    <mergeCell ref="A1:I1"/>
    <mergeCell ref="D36:F36"/>
    <mergeCell ref="H5:I5"/>
    <mergeCell ref="E3:F3"/>
    <mergeCell ref="A3:B3"/>
    <mergeCell ref="G32:I32"/>
    <mergeCell ref="D29:F29"/>
    <mergeCell ref="G31:I31"/>
    <mergeCell ref="C4:I4"/>
    <mergeCell ref="A5:B5"/>
    <mergeCell ref="H3:I3"/>
    <mergeCell ref="A4:B4"/>
    <mergeCell ref="D27:F27"/>
    <mergeCell ref="G28:I28"/>
    <mergeCell ref="G37:I37"/>
    <mergeCell ref="D32:F32"/>
    <mergeCell ref="E5:F5"/>
    <mergeCell ref="G30:I30"/>
    <mergeCell ref="A26:I26"/>
    <mergeCell ref="A6:B6"/>
    <mergeCell ref="D28:F28"/>
    <mergeCell ref="D37:F37"/>
    <mergeCell ref="G35:I35"/>
    <mergeCell ref="C6:I6"/>
    <mergeCell ref="D30:F30"/>
    <mergeCell ref="G29:I29"/>
    <mergeCell ref="D35:F35"/>
    <mergeCell ref="A34:I34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133</v>
      </c>
      <c r="D3" s="1" t="s">
        <v>11</v>
      </c>
      <c r="E3" s="20" t="s">
        <v>15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136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680</v>
      </c>
      <c r="D5" s="1" t="s">
        <v>59</v>
      </c>
      <c r="E5" s="24">
        <f>COUNTA(B9:B14)</f>
        <v>6</v>
      </c>
      <c r="F5" s="25"/>
      <c r="G5" s="1" t="s">
        <v>62</v>
      </c>
      <c r="H5" s="20" t="s">
        <v>139</v>
      </c>
      <c r="I5" s="25"/>
    </row>
    <row r="6" spans="1:9" ht="32" customHeight="1" x14ac:dyDescent="0.45">
      <c r="A6" s="26" t="s">
        <v>63</v>
      </c>
      <c r="B6" s="25"/>
      <c r="C6" s="20" t="s">
        <v>135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121</v>
      </c>
      <c r="C9" s="15" t="s">
        <v>681</v>
      </c>
      <c r="D9" s="15" t="s">
        <v>299</v>
      </c>
      <c r="E9" s="14" t="s">
        <v>156</v>
      </c>
      <c r="F9" s="14">
        <v>1</v>
      </c>
      <c r="G9" s="15" t="s">
        <v>122</v>
      </c>
      <c r="H9" s="15"/>
      <c r="I9" s="15"/>
    </row>
    <row r="10" spans="1:9" x14ac:dyDescent="0.45">
      <c r="A10" s="14">
        <v>2</v>
      </c>
      <c r="B10" s="15" t="s">
        <v>641</v>
      </c>
      <c r="C10" s="15" t="s">
        <v>682</v>
      </c>
      <c r="D10" s="15" t="s">
        <v>222</v>
      </c>
      <c r="E10" s="14" t="s">
        <v>156</v>
      </c>
      <c r="F10" s="14">
        <v>2</v>
      </c>
      <c r="G10" s="15" t="s">
        <v>122</v>
      </c>
      <c r="H10" s="15"/>
      <c r="I10" s="15"/>
    </row>
    <row r="11" spans="1:9" x14ac:dyDescent="0.45">
      <c r="A11" s="14">
        <v>3</v>
      </c>
      <c r="B11" s="15" t="s">
        <v>127</v>
      </c>
      <c r="C11" s="15" t="s">
        <v>683</v>
      </c>
      <c r="D11" s="15" t="s">
        <v>299</v>
      </c>
      <c r="E11" s="14" t="s">
        <v>156</v>
      </c>
      <c r="F11" s="14">
        <v>3</v>
      </c>
      <c r="G11" s="15" t="s">
        <v>125</v>
      </c>
      <c r="H11" s="15"/>
      <c r="I11" s="15"/>
    </row>
    <row r="12" spans="1:9" x14ac:dyDescent="0.45">
      <c r="A12" s="10">
        <v>4</v>
      </c>
      <c r="B12" s="2" t="s">
        <v>684</v>
      </c>
      <c r="C12" s="2" t="s">
        <v>685</v>
      </c>
      <c r="D12" s="2" t="s">
        <v>169</v>
      </c>
      <c r="E12" s="10" t="s">
        <v>166</v>
      </c>
      <c r="F12" s="10"/>
      <c r="G12" s="2"/>
      <c r="H12" s="2"/>
      <c r="I12" s="2"/>
    </row>
    <row r="13" spans="1:9" x14ac:dyDescent="0.45">
      <c r="A13" s="10">
        <v>5</v>
      </c>
      <c r="B13" s="2" t="s">
        <v>686</v>
      </c>
      <c r="C13" s="2" t="s">
        <v>687</v>
      </c>
      <c r="D13" s="2" t="s">
        <v>608</v>
      </c>
      <c r="E13" s="10" t="s">
        <v>156</v>
      </c>
      <c r="F13" s="10"/>
      <c r="G13" s="2"/>
      <c r="H13" s="2"/>
      <c r="I13" s="2" t="s">
        <v>688</v>
      </c>
    </row>
    <row r="14" spans="1:9" x14ac:dyDescent="0.45">
      <c r="A14" s="10">
        <v>6</v>
      </c>
      <c r="B14" s="2" t="s">
        <v>666</v>
      </c>
      <c r="C14" s="2" t="s">
        <v>689</v>
      </c>
      <c r="D14" s="2" t="s">
        <v>608</v>
      </c>
      <c r="E14" s="10" t="s">
        <v>166</v>
      </c>
      <c r="F14" s="10"/>
      <c r="G14" s="2"/>
      <c r="H14" s="2"/>
      <c r="I14" s="2" t="s">
        <v>653</v>
      </c>
    </row>
    <row r="16" spans="1:9" x14ac:dyDescent="0.45">
      <c r="A16" s="27" t="s">
        <v>199</v>
      </c>
      <c r="B16" s="25"/>
      <c r="C16" s="25"/>
      <c r="D16" s="25"/>
      <c r="E16" s="25"/>
      <c r="F16" s="25"/>
      <c r="G16" s="25"/>
      <c r="H16" s="25"/>
      <c r="I16" s="25"/>
    </row>
    <row r="17" spans="1:9" x14ac:dyDescent="0.45">
      <c r="A17" s="3" t="s">
        <v>55</v>
      </c>
      <c r="B17" s="3" t="s">
        <v>200</v>
      </c>
      <c r="C17" s="3" t="s">
        <v>201</v>
      </c>
      <c r="D17" s="23" t="s">
        <v>202</v>
      </c>
      <c r="E17" s="21"/>
      <c r="F17" s="22"/>
      <c r="G17" s="23" t="s">
        <v>18</v>
      </c>
      <c r="H17" s="21"/>
      <c r="I17" s="22"/>
    </row>
    <row r="18" spans="1:9" ht="18" customHeight="1" x14ac:dyDescent="0.45">
      <c r="A18" s="10">
        <v>1</v>
      </c>
      <c r="B18" s="10" t="s">
        <v>35</v>
      </c>
      <c r="C18" s="2" t="s">
        <v>690</v>
      </c>
      <c r="D18" s="20" t="s">
        <v>137</v>
      </c>
      <c r="E18" s="21"/>
      <c r="F18" s="22"/>
      <c r="G18" s="20" t="s">
        <v>204</v>
      </c>
      <c r="H18" s="21"/>
      <c r="I18" s="22"/>
    </row>
    <row r="19" spans="1:9" ht="32" customHeight="1" x14ac:dyDescent="0.45">
      <c r="A19" s="10">
        <v>2</v>
      </c>
      <c r="B19" s="10" t="s">
        <v>229</v>
      </c>
      <c r="C19" s="2" t="s">
        <v>691</v>
      </c>
      <c r="D19" s="20" t="s">
        <v>132</v>
      </c>
      <c r="E19" s="21"/>
      <c r="F19" s="22"/>
      <c r="G19" s="20" t="s">
        <v>692</v>
      </c>
      <c r="H19" s="21"/>
      <c r="I19" s="22"/>
    </row>
    <row r="20" spans="1:9" ht="32" customHeight="1" x14ac:dyDescent="0.45">
      <c r="A20" s="10">
        <v>3</v>
      </c>
      <c r="B20" s="10" t="s">
        <v>229</v>
      </c>
      <c r="C20" s="2" t="s">
        <v>693</v>
      </c>
      <c r="D20" s="20" t="s">
        <v>127</v>
      </c>
      <c r="E20" s="21"/>
      <c r="F20" s="22"/>
      <c r="G20" s="20" t="s">
        <v>694</v>
      </c>
      <c r="H20" s="21"/>
      <c r="I20" s="22"/>
    </row>
    <row r="21" spans="1:9" ht="18" customHeight="1" x14ac:dyDescent="0.45">
      <c r="A21" s="10">
        <v>4</v>
      </c>
      <c r="B21" s="10" t="s">
        <v>205</v>
      </c>
      <c r="C21" s="2" t="s">
        <v>695</v>
      </c>
      <c r="D21" s="20"/>
      <c r="E21" s="21"/>
      <c r="F21" s="22"/>
      <c r="G21" s="20" t="s">
        <v>677</v>
      </c>
      <c r="H21" s="21"/>
      <c r="I21" s="22"/>
    </row>
    <row r="22" spans="1:9" ht="32" customHeight="1" x14ac:dyDescent="0.45">
      <c r="A22" s="10">
        <v>5</v>
      </c>
      <c r="B22" s="10" t="s">
        <v>205</v>
      </c>
      <c r="C22" s="2" t="s">
        <v>696</v>
      </c>
      <c r="D22" s="20"/>
      <c r="E22" s="21"/>
      <c r="F22" s="22"/>
      <c r="G22" s="20" t="s">
        <v>697</v>
      </c>
      <c r="H22" s="21"/>
      <c r="I22" s="22"/>
    </row>
    <row r="23" spans="1:9" ht="18" customHeight="1" x14ac:dyDescent="0.45">
      <c r="A23" s="10">
        <v>6</v>
      </c>
      <c r="B23" s="10" t="s">
        <v>205</v>
      </c>
      <c r="C23" s="2" t="s">
        <v>698</v>
      </c>
      <c r="D23" s="20"/>
      <c r="E23" s="21"/>
      <c r="F23" s="22"/>
      <c r="G23" s="20" t="s">
        <v>699</v>
      </c>
      <c r="H23" s="21"/>
      <c r="I23" s="22"/>
    </row>
    <row r="25" spans="1:9" x14ac:dyDescent="0.45">
      <c r="A25" s="27" t="s">
        <v>212</v>
      </c>
      <c r="B25" s="25"/>
      <c r="C25" s="25"/>
      <c r="D25" s="25"/>
      <c r="E25" s="25"/>
      <c r="F25" s="25"/>
      <c r="G25" s="25"/>
      <c r="H25" s="25"/>
      <c r="I25" s="25"/>
    </row>
    <row r="26" spans="1:9" x14ac:dyDescent="0.45">
      <c r="A26" s="3" t="s">
        <v>55</v>
      </c>
      <c r="B26" s="3" t="s">
        <v>213</v>
      </c>
      <c r="C26" s="3" t="s">
        <v>214</v>
      </c>
      <c r="D26" s="23" t="s">
        <v>215</v>
      </c>
      <c r="E26" s="21"/>
      <c r="F26" s="22"/>
      <c r="G26" s="23" t="s">
        <v>216</v>
      </c>
      <c r="H26" s="21"/>
      <c r="I26" s="22"/>
    </row>
    <row r="27" spans="1:9" ht="18" customHeight="1" x14ac:dyDescent="0.45">
      <c r="A27" s="10">
        <v>1</v>
      </c>
      <c r="B27" s="10" t="s">
        <v>293</v>
      </c>
      <c r="C27" s="2" t="s">
        <v>700</v>
      </c>
      <c r="D27" s="20" t="s">
        <v>701</v>
      </c>
      <c r="E27" s="21"/>
      <c r="F27" s="22"/>
      <c r="G27" s="20" t="s">
        <v>702</v>
      </c>
      <c r="H27" s="21"/>
      <c r="I27" s="22"/>
    </row>
    <row r="28" spans="1:9" ht="18" customHeight="1" x14ac:dyDescent="0.45">
      <c r="A28" s="10">
        <v>2</v>
      </c>
      <c r="B28" s="10" t="s">
        <v>293</v>
      </c>
      <c r="C28" s="2" t="s">
        <v>703</v>
      </c>
      <c r="D28" s="20" t="s">
        <v>127</v>
      </c>
      <c r="E28" s="21"/>
      <c r="F28" s="22"/>
      <c r="G28" s="20" t="s">
        <v>704</v>
      </c>
      <c r="H28" s="21"/>
      <c r="I28" s="22"/>
    </row>
    <row r="29" spans="1:9" ht="18" customHeight="1" x14ac:dyDescent="0.45">
      <c r="A29" s="10">
        <v>3</v>
      </c>
      <c r="B29" s="10" t="s">
        <v>217</v>
      </c>
      <c r="C29" s="2" t="s">
        <v>690</v>
      </c>
      <c r="D29" s="20" t="s">
        <v>137</v>
      </c>
      <c r="E29" s="21"/>
      <c r="F29" s="22"/>
      <c r="G29" s="20" t="s">
        <v>204</v>
      </c>
      <c r="H29" s="21"/>
      <c r="I29" s="22"/>
    </row>
  </sheetData>
  <mergeCells count="35">
    <mergeCell ref="A1:I1"/>
    <mergeCell ref="H5:I5"/>
    <mergeCell ref="G17:I17"/>
    <mergeCell ref="D21:F21"/>
    <mergeCell ref="E3:F3"/>
    <mergeCell ref="A16:I16"/>
    <mergeCell ref="G29:I29"/>
    <mergeCell ref="A3:B3"/>
    <mergeCell ref="D29:F29"/>
    <mergeCell ref="D23:F23"/>
    <mergeCell ref="G22:I22"/>
    <mergeCell ref="C4:I4"/>
    <mergeCell ref="A5:B5"/>
    <mergeCell ref="D26:F26"/>
    <mergeCell ref="D20:F20"/>
    <mergeCell ref="G21:I21"/>
    <mergeCell ref="H3:I3"/>
    <mergeCell ref="A4:B4"/>
    <mergeCell ref="D19:F19"/>
    <mergeCell ref="G27:I27"/>
    <mergeCell ref="D22:F22"/>
    <mergeCell ref="G23:I23"/>
    <mergeCell ref="A25:I25"/>
    <mergeCell ref="D27:F27"/>
    <mergeCell ref="G28:I28"/>
    <mergeCell ref="G19:I19"/>
    <mergeCell ref="E5:F5"/>
    <mergeCell ref="G18:I18"/>
    <mergeCell ref="D17:F17"/>
    <mergeCell ref="A6:B6"/>
    <mergeCell ref="D28:F28"/>
    <mergeCell ref="D18:F18"/>
    <mergeCell ref="C6:I6"/>
    <mergeCell ref="G20:I20"/>
    <mergeCell ref="G26:I26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58" customWidth="1"/>
    <col min="4" max="4" width="20" customWidth="1"/>
    <col min="5" max="5" width="7" customWidth="1"/>
    <col min="6" max="6" width="5" customWidth="1"/>
    <col min="7" max="7" width="22" customWidth="1"/>
    <col min="8" max="8" width="18" customWidth="1"/>
    <col min="9" max="9" width="26" customWidth="1"/>
  </cols>
  <sheetData>
    <row r="1" spans="1:9" ht="26" customHeight="1" x14ac:dyDescent="0.45">
      <c r="A1" s="19" t="s">
        <v>145</v>
      </c>
      <c r="B1" s="18"/>
      <c r="C1" s="18"/>
      <c r="D1" s="18"/>
      <c r="E1" s="18"/>
      <c r="F1" s="18"/>
      <c r="G1" s="18"/>
      <c r="H1" s="18"/>
      <c r="I1" s="18"/>
    </row>
    <row r="2" spans="1:9" x14ac:dyDescent="0.45">
      <c r="I2" s="13" t="s">
        <v>146</v>
      </c>
    </row>
    <row r="3" spans="1:9" x14ac:dyDescent="0.45">
      <c r="A3" s="26" t="s">
        <v>56</v>
      </c>
      <c r="B3" s="25"/>
      <c r="C3" s="4" t="s">
        <v>140</v>
      </c>
      <c r="D3" s="1" t="s">
        <v>11</v>
      </c>
      <c r="E3" s="20" t="s">
        <v>15</v>
      </c>
      <c r="F3" s="25"/>
      <c r="G3" s="1" t="s">
        <v>147</v>
      </c>
      <c r="H3" s="20" t="s">
        <v>148</v>
      </c>
      <c r="I3" s="25"/>
    </row>
    <row r="4" spans="1:9" ht="18" customHeight="1" x14ac:dyDescent="0.45">
      <c r="A4" s="26" t="s">
        <v>57</v>
      </c>
      <c r="B4" s="25"/>
      <c r="C4" s="20" t="s">
        <v>141</v>
      </c>
      <c r="D4" s="25"/>
      <c r="E4" s="25"/>
      <c r="F4" s="25"/>
      <c r="G4" s="25"/>
      <c r="H4" s="25"/>
      <c r="I4" s="25"/>
    </row>
    <row r="5" spans="1:9" x14ac:dyDescent="0.45">
      <c r="A5" s="26" t="s">
        <v>58</v>
      </c>
      <c r="B5" s="25"/>
      <c r="C5" s="2" t="s">
        <v>705</v>
      </c>
      <c r="D5" s="1" t="s">
        <v>59</v>
      </c>
      <c r="E5" s="24">
        <f>COUNTA(B9:B22)</f>
        <v>14</v>
      </c>
      <c r="F5" s="25"/>
      <c r="G5" s="1" t="s">
        <v>62</v>
      </c>
      <c r="H5" s="20" t="s">
        <v>143</v>
      </c>
      <c r="I5" s="25"/>
    </row>
    <row r="6" spans="1:9" ht="32" customHeight="1" x14ac:dyDescent="0.45">
      <c r="A6" s="26" t="s">
        <v>63</v>
      </c>
      <c r="B6" s="25"/>
      <c r="C6" s="20" t="s">
        <v>144</v>
      </c>
      <c r="D6" s="25"/>
      <c r="E6" s="25"/>
      <c r="F6" s="25"/>
      <c r="G6" s="25"/>
      <c r="H6" s="25"/>
      <c r="I6" s="25"/>
    </row>
    <row r="8" spans="1:9" x14ac:dyDescent="0.45">
      <c r="A8" s="3" t="s">
        <v>55</v>
      </c>
      <c r="B8" s="3" t="s">
        <v>150</v>
      </c>
      <c r="C8" s="3" t="s">
        <v>151</v>
      </c>
      <c r="D8" s="3" t="s">
        <v>31</v>
      </c>
      <c r="E8" s="3" t="s">
        <v>33</v>
      </c>
      <c r="F8" s="3" t="s">
        <v>35</v>
      </c>
      <c r="G8" s="3" t="s">
        <v>37</v>
      </c>
      <c r="H8" s="3" t="s">
        <v>152</v>
      </c>
      <c r="I8" s="3" t="s">
        <v>39</v>
      </c>
    </row>
    <row r="9" spans="1:9" x14ac:dyDescent="0.45">
      <c r="A9" s="14">
        <v>1</v>
      </c>
      <c r="B9" s="15" t="s">
        <v>153</v>
      </c>
      <c r="C9" s="15" t="s">
        <v>154</v>
      </c>
      <c r="D9" s="15" t="s">
        <v>155</v>
      </c>
      <c r="E9" s="14" t="s">
        <v>156</v>
      </c>
      <c r="F9" s="14">
        <v>1</v>
      </c>
      <c r="G9" s="15" t="s">
        <v>125</v>
      </c>
      <c r="H9" s="15"/>
      <c r="I9" s="15"/>
    </row>
    <row r="10" spans="1:9" x14ac:dyDescent="0.45">
      <c r="A10" s="14">
        <v>2</v>
      </c>
      <c r="B10" s="15" t="s">
        <v>157</v>
      </c>
      <c r="C10" s="15" t="s">
        <v>575</v>
      </c>
      <c r="D10" s="15" t="s">
        <v>159</v>
      </c>
      <c r="E10" s="14" t="s">
        <v>156</v>
      </c>
      <c r="F10" s="14">
        <v>2</v>
      </c>
      <c r="G10" s="15" t="s">
        <v>125</v>
      </c>
      <c r="H10" s="15"/>
      <c r="I10" s="15"/>
    </row>
    <row r="11" spans="1:9" x14ac:dyDescent="0.45">
      <c r="A11" s="14">
        <v>3</v>
      </c>
      <c r="B11" s="15" t="s">
        <v>493</v>
      </c>
      <c r="C11" s="15" t="s">
        <v>706</v>
      </c>
      <c r="D11" s="15" t="s">
        <v>159</v>
      </c>
      <c r="E11" s="14" t="s">
        <v>156</v>
      </c>
      <c r="F11" s="14">
        <v>3</v>
      </c>
      <c r="G11" s="15" t="s">
        <v>125</v>
      </c>
      <c r="H11" s="15"/>
      <c r="I11" s="15"/>
    </row>
    <row r="12" spans="1:9" x14ac:dyDescent="0.45">
      <c r="A12" s="14">
        <v>4</v>
      </c>
      <c r="B12" s="15" t="s">
        <v>576</v>
      </c>
      <c r="C12" s="15" t="s">
        <v>707</v>
      </c>
      <c r="D12" s="15" t="s">
        <v>376</v>
      </c>
      <c r="E12" s="14" t="s">
        <v>156</v>
      </c>
      <c r="F12" s="14">
        <v>4</v>
      </c>
      <c r="G12" s="15" t="s">
        <v>125</v>
      </c>
      <c r="H12" s="15"/>
      <c r="I12" s="15"/>
    </row>
    <row r="13" spans="1:9" x14ac:dyDescent="0.45">
      <c r="A13" s="10">
        <v>5</v>
      </c>
      <c r="B13" s="2" t="s">
        <v>708</v>
      </c>
      <c r="C13" s="2" t="s">
        <v>709</v>
      </c>
      <c r="D13" s="2" t="s">
        <v>169</v>
      </c>
      <c r="E13" s="10" t="s">
        <v>166</v>
      </c>
      <c r="F13" s="10"/>
      <c r="G13" s="2"/>
      <c r="H13" s="2"/>
      <c r="I13" s="2"/>
    </row>
    <row r="14" spans="1:9" x14ac:dyDescent="0.45">
      <c r="A14" s="10">
        <v>6</v>
      </c>
      <c r="B14" s="2" t="s">
        <v>710</v>
      </c>
      <c r="C14" s="2" t="s">
        <v>711</v>
      </c>
      <c r="D14" s="2" t="s">
        <v>169</v>
      </c>
      <c r="E14" s="10" t="s">
        <v>166</v>
      </c>
      <c r="F14" s="10"/>
      <c r="G14" s="2"/>
      <c r="H14" s="2"/>
      <c r="I14" s="2"/>
    </row>
    <row r="15" spans="1:9" x14ac:dyDescent="0.45">
      <c r="A15" s="10">
        <v>7</v>
      </c>
      <c r="B15" s="2" t="s">
        <v>586</v>
      </c>
      <c r="C15" s="2" t="s">
        <v>712</v>
      </c>
      <c r="D15" s="2" t="s">
        <v>588</v>
      </c>
      <c r="E15" s="10" t="s">
        <v>166</v>
      </c>
      <c r="F15" s="10"/>
      <c r="G15" s="2"/>
      <c r="H15" s="2"/>
      <c r="I15" s="2"/>
    </row>
    <row r="16" spans="1:9" x14ac:dyDescent="0.45">
      <c r="A16" s="10">
        <v>8</v>
      </c>
      <c r="B16" s="2" t="s">
        <v>713</v>
      </c>
      <c r="C16" s="2" t="s">
        <v>714</v>
      </c>
      <c r="D16" s="2" t="s">
        <v>608</v>
      </c>
      <c r="E16" s="10" t="s">
        <v>156</v>
      </c>
      <c r="F16" s="10"/>
      <c r="G16" s="2"/>
      <c r="H16" s="2" t="s">
        <v>609</v>
      </c>
      <c r="I16" s="2" t="s">
        <v>610</v>
      </c>
    </row>
    <row r="17" spans="1:9" x14ac:dyDescent="0.45">
      <c r="A17" s="10">
        <v>9</v>
      </c>
      <c r="B17" s="2" t="s">
        <v>715</v>
      </c>
      <c r="C17" s="2" t="s">
        <v>716</v>
      </c>
      <c r="D17" s="2" t="s">
        <v>376</v>
      </c>
      <c r="E17" s="10" t="s">
        <v>166</v>
      </c>
      <c r="F17" s="10"/>
      <c r="G17" s="2"/>
      <c r="H17" s="2"/>
      <c r="I17" s="2"/>
    </row>
    <row r="18" spans="1:9" x14ac:dyDescent="0.45">
      <c r="A18" s="10">
        <v>10</v>
      </c>
      <c r="B18" s="2" t="s">
        <v>616</v>
      </c>
      <c r="C18" s="2" t="s">
        <v>617</v>
      </c>
      <c r="D18" s="2" t="s">
        <v>376</v>
      </c>
      <c r="E18" s="10" t="s">
        <v>166</v>
      </c>
      <c r="F18" s="10"/>
      <c r="G18" s="2"/>
      <c r="H18" s="2"/>
      <c r="I18" s="2"/>
    </row>
    <row r="19" spans="1:9" x14ac:dyDescent="0.45">
      <c r="A19" s="10">
        <v>11</v>
      </c>
      <c r="B19" s="2" t="s">
        <v>183</v>
      </c>
      <c r="C19" s="2" t="s">
        <v>184</v>
      </c>
      <c r="D19" s="2" t="s">
        <v>185</v>
      </c>
      <c r="E19" s="10" t="s">
        <v>166</v>
      </c>
      <c r="F19" s="10"/>
      <c r="G19" s="2"/>
      <c r="H19" s="2"/>
      <c r="I19" s="2"/>
    </row>
    <row r="20" spans="1:9" x14ac:dyDescent="0.45">
      <c r="A20" s="10">
        <v>12</v>
      </c>
      <c r="B20" s="2" t="s">
        <v>186</v>
      </c>
      <c r="C20" s="2" t="s">
        <v>187</v>
      </c>
      <c r="D20" s="2" t="s">
        <v>188</v>
      </c>
      <c r="E20" s="10" t="s">
        <v>156</v>
      </c>
      <c r="F20" s="10"/>
      <c r="G20" s="2"/>
      <c r="H20" s="2" t="s">
        <v>189</v>
      </c>
      <c r="I20" s="2"/>
    </row>
    <row r="21" spans="1:9" x14ac:dyDescent="0.45">
      <c r="A21" s="10">
        <v>13</v>
      </c>
      <c r="B21" s="2" t="s">
        <v>190</v>
      </c>
      <c r="C21" s="2" t="s">
        <v>191</v>
      </c>
      <c r="D21" s="2" t="s">
        <v>185</v>
      </c>
      <c r="E21" s="10" t="s">
        <v>166</v>
      </c>
      <c r="F21" s="10"/>
      <c r="G21" s="2"/>
      <c r="H21" s="2"/>
      <c r="I21" s="2"/>
    </row>
    <row r="22" spans="1:9" x14ac:dyDescent="0.45">
      <c r="A22" s="10">
        <v>14</v>
      </c>
      <c r="B22" s="2" t="s">
        <v>192</v>
      </c>
      <c r="C22" s="2" t="s">
        <v>193</v>
      </c>
      <c r="D22" s="2" t="s">
        <v>188</v>
      </c>
      <c r="E22" s="10" t="s">
        <v>166</v>
      </c>
      <c r="F22" s="10"/>
      <c r="G22" s="2"/>
      <c r="H22" s="2"/>
      <c r="I22" s="2"/>
    </row>
    <row r="24" spans="1:9" x14ac:dyDescent="0.45">
      <c r="A24" s="27" t="s">
        <v>199</v>
      </c>
      <c r="B24" s="25"/>
      <c r="C24" s="25"/>
      <c r="D24" s="25"/>
      <c r="E24" s="25"/>
      <c r="F24" s="25"/>
      <c r="G24" s="25"/>
      <c r="H24" s="25"/>
      <c r="I24" s="25"/>
    </row>
    <row r="25" spans="1:9" x14ac:dyDescent="0.45">
      <c r="A25" s="3" t="s">
        <v>55</v>
      </c>
      <c r="B25" s="3" t="s">
        <v>200</v>
      </c>
      <c r="C25" s="3" t="s">
        <v>201</v>
      </c>
      <c r="D25" s="23" t="s">
        <v>202</v>
      </c>
      <c r="E25" s="21"/>
      <c r="F25" s="22"/>
      <c r="G25" s="23" t="s">
        <v>18</v>
      </c>
      <c r="H25" s="21"/>
      <c r="I25" s="22"/>
    </row>
    <row r="26" spans="1:9" ht="32" customHeight="1" x14ac:dyDescent="0.45">
      <c r="A26" s="10">
        <v>1</v>
      </c>
      <c r="B26" s="10" t="s">
        <v>35</v>
      </c>
      <c r="C26" s="2" t="s">
        <v>717</v>
      </c>
      <c r="D26" s="20" t="s">
        <v>142</v>
      </c>
      <c r="E26" s="21"/>
      <c r="F26" s="22"/>
      <c r="G26" s="20" t="s">
        <v>204</v>
      </c>
      <c r="H26" s="21"/>
      <c r="I26" s="22"/>
    </row>
    <row r="27" spans="1:9" ht="32" customHeight="1" x14ac:dyDescent="0.45">
      <c r="A27" s="10">
        <v>2</v>
      </c>
      <c r="B27" s="10" t="s">
        <v>229</v>
      </c>
      <c r="C27" s="2" t="s">
        <v>718</v>
      </c>
      <c r="D27" s="20" t="s">
        <v>142</v>
      </c>
      <c r="E27" s="21"/>
      <c r="F27" s="22"/>
      <c r="G27" s="20" t="s">
        <v>719</v>
      </c>
      <c r="H27" s="21"/>
      <c r="I27" s="22"/>
    </row>
    <row r="28" spans="1:9" ht="18" customHeight="1" x14ac:dyDescent="0.45">
      <c r="A28" s="10">
        <v>3</v>
      </c>
      <c r="B28" s="10" t="s">
        <v>205</v>
      </c>
      <c r="C28" s="2" t="s">
        <v>720</v>
      </c>
      <c r="D28" s="20"/>
      <c r="E28" s="21"/>
      <c r="F28" s="22"/>
      <c r="G28" s="20" t="s">
        <v>721</v>
      </c>
      <c r="H28" s="21"/>
      <c r="I28" s="22"/>
    </row>
    <row r="29" spans="1:9" ht="18" customHeight="1" x14ac:dyDescent="0.45">
      <c r="A29" s="10">
        <v>4</v>
      </c>
      <c r="B29" s="10" t="s">
        <v>205</v>
      </c>
      <c r="C29" s="2" t="s">
        <v>722</v>
      </c>
      <c r="D29" s="20"/>
      <c r="E29" s="21"/>
      <c r="F29" s="22"/>
      <c r="G29" s="20" t="s">
        <v>723</v>
      </c>
      <c r="H29" s="21"/>
      <c r="I29" s="22"/>
    </row>
    <row r="30" spans="1:9" ht="18" customHeight="1" x14ac:dyDescent="0.45">
      <c r="A30" s="10">
        <v>5</v>
      </c>
      <c r="B30" s="10" t="s">
        <v>205</v>
      </c>
      <c r="C30" s="2" t="s">
        <v>724</v>
      </c>
      <c r="D30" s="20"/>
      <c r="E30" s="21"/>
      <c r="F30" s="22"/>
      <c r="G30" s="20" t="s">
        <v>725</v>
      </c>
      <c r="H30" s="21"/>
      <c r="I30" s="22"/>
    </row>
    <row r="31" spans="1:9" ht="18" customHeight="1" x14ac:dyDescent="0.45">
      <c r="A31" s="10">
        <v>6</v>
      </c>
      <c r="B31" s="10" t="s">
        <v>205</v>
      </c>
      <c r="C31" s="2" t="s">
        <v>726</v>
      </c>
      <c r="D31" s="20"/>
      <c r="E31" s="21"/>
      <c r="F31" s="22"/>
      <c r="G31" s="20" t="s">
        <v>727</v>
      </c>
      <c r="H31" s="21"/>
      <c r="I31" s="22"/>
    </row>
    <row r="33" spans="1:9" x14ac:dyDescent="0.45">
      <c r="A33" s="27" t="s">
        <v>212</v>
      </c>
      <c r="B33" s="25"/>
      <c r="C33" s="25"/>
      <c r="D33" s="25"/>
      <c r="E33" s="25"/>
      <c r="F33" s="25"/>
      <c r="G33" s="25"/>
      <c r="H33" s="25"/>
      <c r="I33" s="25"/>
    </row>
    <row r="34" spans="1:9" x14ac:dyDescent="0.45">
      <c r="A34" s="3" t="s">
        <v>55</v>
      </c>
      <c r="B34" s="3" t="s">
        <v>213</v>
      </c>
      <c r="C34" s="3" t="s">
        <v>214</v>
      </c>
      <c r="D34" s="23" t="s">
        <v>215</v>
      </c>
      <c r="E34" s="21"/>
      <c r="F34" s="22"/>
      <c r="G34" s="23" t="s">
        <v>216</v>
      </c>
      <c r="H34" s="21"/>
      <c r="I34" s="22"/>
    </row>
    <row r="35" spans="1:9" ht="32" customHeight="1" x14ac:dyDescent="0.45">
      <c r="A35" s="10">
        <v>1</v>
      </c>
      <c r="B35" s="10" t="s">
        <v>217</v>
      </c>
      <c r="C35" s="2" t="s">
        <v>717</v>
      </c>
      <c r="D35" s="20" t="s">
        <v>142</v>
      </c>
      <c r="E35" s="21"/>
      <c r="F35" s="22"/>
      <c r="G35" s="20" t="s">
        <v>204</v>
      </c>
      <c r="H35" s="21"/>
      <c r="I35" s="22"/>
    </row>
  </sheetData>
  <mergeCells count="31">
    <mergeCell ref="A1:I1"/>
    <mergeCell ref="H5:I5"/>
    <mergeCell ref="E3:F3"/>
    <mergeCell ref="A3:B3"/>
    <mergeCell ref="G25:I25"/>
    <mergeCell ref="D29:F29"/>
    <mergeCell ref="G31:I31"/>
    <mergeCell ref="C4:I4"/>
    <mergeCell ref="A5:B5"/>
    <mergeCell ref="D26:F26"/>
    <mergeCell ref="A24:I24"/>
    <mergeCell ref="H3:I3"/>
    <mergeCell ref="A4:B4"/>
    <mergeCell ref="G27:I27"/>
    <mergeCell ref="D31:F31"/>
    <mergeCell ref="A6:B6"/>
    <mergeCell ref="D28:F28"/>
    <mergeCell ref="A33:I33"/>
    <mergeCell ref="G35:I35"/>
    <mergeCell ref="C6:I6"/>
    <mergeCell ref="G26:I26"/>
    <mergeCell ref="D30:F30"/>
    <mergeCell ref="D25:F25"/>
    <mergeCell ref="G29:I29"/>
    <mergeCell ref="D35:F35"/>
    <mergeCell ref="D34:F34"/>
    <mergeCell ref="D27:F27"/>
    <mergeCell ref="G28:I28"/>
    <mergeCell ref="E5:F5"/>
    <mergeCell ref="G34:I34"/>
    <mergeCell ref="G30:I30"/>
  </mergeCells>
  <phoneticPr fontId="9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showGridLines="0" workbookViewId="0">
      <pane ySplit="23" topLeftCell="A24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30" customWidth="1"/>
    <col min="4" max="4" width="40" customWidth="1"/>
    <col min="5" max="5" width="22" customWidth="1"/>
    <col min="6" max="6" width="40" customWidth="1"/>
    <col min="7" max="7" width="14" customWidth="1"/>
    <col min="8" max="8" width="44" customWidth="1"/>
  </cols>
  <sheetData>
    <row r="1" spans="1:8" ht="26" customHeight="1" x14ac:dyDescent="0.45">
      <c r="A1" s="19" t="s">
        <v>728</v>
      </c>
      <c r="B1" s="18"/>
      <c r="C1" s="18"/>
      <c r="D1" s="18"/>
      <c r="E1" s="18"/>
      <c r="F1" s="18"/>
      <c r="G1" s="18"/>
      <c r="H1" s="18"/>
    </row>
    <row r="3" spans="1:8" x14ac:dyDescent="0.45">
      <c r="B3" s="16" t="s">
        <v>729</v>
      </c>
    </row>
    <row r="4" spans="1:8" x14ac:dyDescent="0.45">
      <c r="B4" s="16" t="s">
        <v>730</v>
      </c>
    </row>
    <row r="5" spans="1:8" x14ac:dyDescent="0.45">
      <c r="B5" s="16" t="s">
        <v>731</v>
      </c>
    </row>
    <row r="6" spans="1:8" x14ac:dyDescent="0.45">
      <c r="B6" s="16" t="s">
        <v>732</v>
      </c>
    </row>
    <row r="7" spans="1:8" x14ac:dyDescent="0.45">
      <c r="B7" s="16" t="s">
        <v>733</v>
      </c>
    </row>
    <row r="8" spans="1:8" x14ac:dyDescent="0.45">
      <c r="B8" s="16" t="s">
        <v>734</v>
      </c>
    </row>
    <row r="9" spans="1:8" x14ac:dyDescent="0.45">
      <c r="B9" s="16" t="s">
        <v>735</v>
      </c>
    </row>
    <row r="10" spans="1:8" x14ac:dyDescent="0.45">
      <c r="B10" s="16" t="s">
        <v>736</v>
      </c>
    </row>
    <row r="11" spans="1:8" x14ac:dyDescent="0.45">
      <c r="B11" s="16" t="s">
        <v>737</v>
      </c>
    </row>
    <row r="12" spans="1:8" x14ac:dyDescent="0.45">
      <c r="B12" s="16" t="s">
        <v>738</v>
      </c>
    </row>
    <row r="13" spans="1:8" x14ac:dyDescent="0.45">
      <c r="B13" s="16" t="s">
        <v>739</v>
      </c>
    </row>
    <row r="14" spans="1:8" x14ac:dyDescent="0.45">
      <c r="B14" s="16"/>
    </row>
    <row r="15" spans="1:8" x14ac:dyDescent="0.45">
      <c r="B15" s="16" t="s">
        <v>740</v>
      </c>
    </row>
    <row r="16" spans="1:8" x14ac:dyDescent="0.45">
      <c r="B16" s="16" t="s">
        <v>741</v>
      </c>
    </row>
    <row r="17" spans="1:8" x14ac:dyDescent="0.45">
      <c r="B17" s="16" t="s">
        <v>742</v>
      </c>
    </row>
    <row r="18" spans="1:8" x14ac:dyDescent="0.45">
      <c r="B18" s="16" t="s">
        <v>743</v>
      </c>
    </row>
    <row r="19" spans="1:8" x14ac:dyDescent="0.45">
      <c r="B19" s="16" t="s">
        <v>744</v>
      </c>
    </row>
    <row r="20" spans="1:8" x14ac:dyDescent="0.45">
      <c r="B20" s="16"/>
    </row>
    <row r="21" spans="1:8" x14ac:dyDescent="0.45">
      <c r="B21" s="16" t="s">
        <v>745</v>
      </c>
    </row>
    <row r="23" spans="1:8" x14ac:dyDescent="0.45">
      <c r="A23" s="3" t="s">
        <v>55</v>
      </c>
      <c r="B23" s="3" t="s">
        <v>746</v>
      </c>
      <c r="C23" s="3" t="s">
        <v>747</v>
      </c>
      <c r="D23" s="3" t="s">
        <v>748</v>
      </c>
      <c r="E23" s="3" t="s">
        <v>749</v>
      </c>
      <c r="F23" s="3" t="s">
        <v>750</v>
      </c>
      <c r="G23" s="3" t="s">
        <v>751</v>
      </c>
      <c r="H23" s="3" t="s">
        <v>617</v>
      </c>
    </row>
    <row r="24" spans="1:8" x14ac:dyDescent="0.45">
      <c r="A24" s="10">
        <v>1</v>
      </c>
      <c r="B24" s="2" t="s">
        <v>70</v>
      </c>
      <c r="C24" s="2" t="s">
        <v>230</v>
      </c>
      <c r="D24" s="2" t="s">
        <v>66</v>
      </c>
      <c r="E24" s="2" t="s">
        <v>64</v>
      </c>
      <c r="F24" s="2" t="s">
        <v>66</v>
      </c>
      <c r="G24" s="10" t="s">
        <v>752</v>
      </c>
      <c r="H24" s="2" t="s">
        <v>753</v>
      </c>
    </row>
    <row r="25" spans="1:8" ht="32" x14ac:dyDescent="0.45">
      <c r="A25" s="10">
        <v>2</v>
      </c>
      <c r="B25" s="2" t="s">
        <v>76</v>
      </c>
      <c r="C25" s="2" t="s">
        <v>281</v>
      </c>
      <c r="D25" s="2" t="s">
        <v>72</v>
      </c>
      <c r="E25" s="2" t="s">
        <v>70</v>
      </c>
      <c r="F25" s="2" t="s">
        <v>72</v>
      </c>
      <c r="G25" s="10" t="s">
        <v>754</v>
      </c>
      <c r="H25" s="2" t="s">
        <v>755</v>
      </c>
    </row>
    <row r="26" spans="1:8" x14ac:dyDescent="0.45">
      <c r="A26" s="10">
        <v>3</v>
      </c>
      <c r="B26" s="2" t="s">
        <v>82</v>
      </c>
      <c r="C26" s="2" t="s">
        <v>319</v>
      </c>
      <c r="D26" s="2" t="s">
        <v>66</v>
      </c>
      <c r="E26" s="2" t="s">
        <v>64</v>
      </c>
      <c r="F26" s="2" t="s">
        <v>66</v>
      </c>
      <c r="G26" s="10" t="s">
        <v>752</v>
      </c>
      <c r="H26" s="2" t="s">
        <v>753</v>
      </c>
    </row>
    <row r="27" spans="1:8" x14ac:dyDescent="0.45">
      <c r="A27" s="10">
        <v>4</v>
      </c>
      <c r="B27" s="2" t="s">
        <v>85</v>
      </c>
      <c r="C27" s="2" t="s">
        <v>345</v>
      </c>
      <c r="D27" s="2" t="s">
        <v>84</v>
      </c>
      <c r="E27" s="2" t="s">
        <v>82</v>
      </c>
      <c r="F27" s="2" t="s">
        <v>84</v>
      </c>
      <c r="G27" s="10" t="s">
        <v>752</v>
      </c>
      <c r="H27" s="2" t="s">
        <v>753</v>
      </c>
    </row>
    <row r="28" spans="1:8" x14ac:dyDescent="0.45">
      <c r="A28" s="10">
        <v>5</v>
      </c>
      <c r="B28" s="2" t="s">
        <v>91</v>
      </c>
      <c r="C28" s="2" t="s">
        <v>366</v>
      </c>
      <c r="D28" s="2" t="s">
        <v>66</v>
      </c>
      <c r="E28" s="2" t="s">
        <v>64</v>
      </c>
      <c r="F28" s="2" t="s">
        <v>66</v>
      </c>
      <c r="G28" s="10" t="s">
        <v>752</v>
      </c>
      <c r="H28" s="2" t="s">
        <v>753</v>
      </c>
    </row>
    <row r="29" spans="1:8" x14ac:dyDescent="0.45">
      <c r="A29" s="10">
        <v>6</v>
      </c>
      <c r="B29" s="2" t="s">
        <v>94</v>
      </c>
      <c r="C29" s="2" t="s">
        <v>389</v>
      </c>
      <c r="D29" s="2" t="s">
        <v>93</v>
      </c>
      <c r="E29" s="2" t="s">
        <v>91</v>
      </c>
      <c r="F29" s="2" t="s">
        <v>93</v>
      </c>
      <c r="G29" s="10" t="s">
        <v>752</v>
      </c>
      <c r="H29" s="2" t="s">
        <v>753</v>
      </c>
    </row>
    <row r="30" spans="1:8" ht="32" x14ac:dyDescent="0.45">
      <c r="A30" s="10">
        <v>7</v>
      </c>
      <c r="B30" s="2" t="s">
        <v>100</v>
      </c>
      <c r="C30" s="2" t="s">
        <v>418</v>
      </c>
      <c r="D30" s="2" t="s">
        <v>78</v>
      </c>
      <c r="E30" s="2" t="s">
        <v>76</v>
      </c>
      <c r="F30" s="2" t="s">
        <v>78</v>
      </c>
      <c r="G30" s="10" t="s">
        <v>754</v>
      </c>
      <c r="H30" s="2" t="s">
        <v>755</v>
      </c>
    </row>
    <row r="31" spans="1:8" x14ac:dyDescent="0.45">
      <c r="A31" s="10">
        <v>8</v>
      </c>
      <c r="B31" s="2" t="s">
        <v>100</v>
      </c>
      <c r="C31" s="2" t="s">
        <v>420</v>
      </c>
      <c r="D31" s="2" t="s">
        <v>97</v>
      </c>
      <c r="E31" s="2" t="s">
        <v>94</v>
      </c>
      <c r="F31" s="2" t="s">
        <v>97</v>
      </c>
      <c r="G31" s="10" t="s">
        <v>752</v>
      </c>
      <c r="H31" s="2" t="s">
        <v>753</v>
      </c>
    </row>
    <row r="32" spans="1:8" ht="32" x14ac:dyDescent="0.45">
      <c r="A32" s="10">
        <v>9</v>
      </c>
      <c r="B32" s="2" t="s">
        <v>106</v>
      </c>
      <c r="C32" s="2" t="s">
        <v>437</v>
      </c>
      <c r="D32" s="2" t="s">
        <v>72</v>
      </c>
      <c r="E32" s="2" t="s">
        <v>70</v>
      </c>
      <c r="F32" s="2" t="s">
        <v>72</v>
      </c>
      <c r="G32" s="10" t="s">
        <v>754</v>
      </c>
      <c r="H32" s="2" t="s">
        <v>755</v>
      </c>
    </row>
    <row r="33" spans="1:8" x14ac:dyDescent="0.45">
      <c r="A33" s="10">
        <v>10</v>
      </c>
      <c r="B33" s="2" t="s">
        <v>106</v>
      </c>
      <c r="C33" s="2" t="s">
        <v>438</v>
      </c>
      <c r="D33" s="2" t="s">
        <v>97</v>
      </c>
      <c r="E33" s="2" t="s">
        <v>94</v>
      </c>
      <c r="F33" s="2" t="s">
        <v>97</v>
      </c>
      <c r="G33" s="10" t="s">
        <v>752</v>
      </c>
      <c r="H33" s="2" t="s">
        <v>753</v>
      </c>
    </row>
    <row r="34" spans="1:8" ht="32" x14ac:dyDescent="0.45">
      <c r="A34" s="10">
        <v>11</v>
      </c>
      <c r="B34" s="2" t="s">
        <v>111</v>
      </c>
      <c r="C34" s="2" t="s">
        <v>450</v>
      </c>
      <c r="D34" s="2" t="s">
        <v>451</v>
      </c>
      <c r="E34" s="2" t="s">
        <v>70</v>
      </c>
      <c r="F34" s="2" t="s">
        <v>72</v>
      </c>
      <c r="G34" s="10" t="s">
        <v>754</v>
      </c>
      <c r="H34" s="2" t="s">
        <v>755</v>
      </c>
    </row>
    <row r="35" spans="1:8" ht="32" x14ac:dyDescent="0.45">
      <c r="A35" s="10">
        <v>12</v>
      </c>
      <c r="B35" s="2" t="s">
        <v>111</v>
      </c>
      <c r="C35" s="2" t="s">
        <v>452</v>
      </c>
      <c r="D35" s="2" t="s">
        <v>453</v>
      </c>
      <c r="E35" s="2" t="s">
        <v>70</v>
      </c>
      <c r="F35" s="2" t="s">
        <v>72</v>
      </c>
      <c r="G35" s="10" t="s">
        <v>754</v>
      </c>
      <c r="H35" s="2" t="s">
        <v>755</v>
      </c>
    </row>
    <row r="36" spans="1:8" x14ac:dyDescent="0.45">
      <c r="A36" s="10">
        <v>13</v>
      </c>
      <c r="B36" s="2" t="s">
        <v>111</v>
      </c>
      <c r="C36" s="2" t="s">
        <v>454</v>
      </c>
      <c r="D36" s="2" t="s">
        <v>97</v>
      </c>
      <c r="E36" s="2" t="s">
        <v>94</v>
      </c>
      <c r="F36" s="2" t="s">
        <v>97</v>
      </c>
      <c r="G36" s="10" t="s">
        <v>752</v>
      </c>
      <c r="H36" s="2" t="s">
        <v>753</v>
      </c>
    </row>
    <row r="37" spans="1:8" ht="32" x14ac:dyDescent="0.45">
      <c r="A37" s="10">
        <v>14</v>
      </c>
      <c r="B37" s="2" t="s">
        <v>115</v>
      </c>
      <c r="C37" s="2" t="s">
        <v>472</v>
      </c>
      <c r="D37" s="2" t="s">
        <v>78</v>
      </c>
      <c r="E37" s="2" t="s">
        <v>76</v>
      </c>
      <c r="F37" s="2" t="s">
        <v>78</v>
      </c>
      <c r="G37" s="10" t="s">
        <v>754</v>
      </c>
      <c r="H37" s="2" t="s">
        <v>755</v>
      </c>
    </row>
    <row r="38" spans="1:8" x14ac:dyDescent="0.45">
      <c r="A38" s="10">
        <v>15</v>
      </c>
      <c r="B38" s="2" t="s">
        <v>115</v>
      </c>
      <c r="C38" s="2" t="s">
        <v>473</v>
      </c>
      <c r="D38" s="2" t="s">
        <v>97</v>
      </c>
      <c r="E38" s="2" t="s">
        <v>94</v>
      </c>
      <c r="F38" s="2" t="s">
        <v>97</v>
      </c>
      <c r="G38" s="10" t="s">
        <v>752</v>
      </c>
      <c r="H38" s="2" t="s">
        <v>753</v>
      </c>
    </row>
    <row r="39" spans="1:8" x14ac:dyDescent="0.45">
      <c r="A39" s="10">
        <v>16</v>
      </c>
      <c r="B39" s="2" t="s">
        <v>122</v>
      </c>
      <c r="C39" s="2" t="s">
        <v>674</v>
      </c>
      <c r="D39" s="2" t="s">
        <v>121</v>
      </c>
      <c r="E39" s="2" t="s">
        <v>119</v>
      </c>
      <c r="F39" s="2" t="s">
        <v>121</v>
      </c>
      <c r="G39" s="10" t="s">
        <v>752</v>
      </c>
      <c r="H39" s="2" t="s">
        <v>753</v>
      </c>
    </row>
    <row r="40" spans="1:8" x14ac:dyDescent="0.45">
      <c r="A40" s="10">
        <v>17</v>
      </c>
      <c r="B40" s="2" t="s">
        <v>133</v>
      </c>
      <c r="C40" s="2" t="s">
        <v>691</v>
      </c>
      <c r="D40" s="2" t="s">
        <v>132</v>
      </c>
      <c r="E40" s="2" t="s">
        <v>122</v>
      </c>
      <c r="F40" s="2" t="s">
        <v>132</v>
      </c>
      <c r="G40" s="10" t="s">
        <v>752</v>
      </c>
      <c r="H40" s="2" t="s">
        <v>753</v>
      </c>
    </row>
    <row r="41" spans="1:8" ht="32" x14ac:dyDescent="0.45">
      <c r="A41" s="10">
        <v>18</v>
      </c>
      <c r="B41" s="2" t="s">
        <v>133</v>
      </c>
      <c r="C41" s="2" t="s">
        <v>693</v>
      </c>
      <c r="D41" s="2" t="s">
        <v>127</v>
      </c>
      <c r="E41" s="2" t="s">
        <v>125</v>
      </c>
      <c r="F41" s="2" t="s">
        <v>127</v>
      </c>
      <c r="G41" s="10" t="s">
        <v>754</v>
      </c>
      <c r="H41" s="2" t="s">
        <v>755</v>
      </c>
    </row>
    <row r="42" spans="1:8" x14ac:dyDescent="0.45">
      <c r="A42" s="10">
        <v>19</v>
      </c>
      <c r="B42" s="2" t="s">
        <v>140</v>
      </c>
      <c r="C42" s="2" t="s">
        <v>718</v>
      </c>
      <c r="D42" s="2" t="s">
        <v>142</v>
      </c>
      <c r="E42" s="2" t="s">
        <v>125</v>
      </c>
      <c r="F42" s="2" t="s">
        <v>142</v>
      </c>
      <c r="G42" s="10" t="s">
        <v>752</v>
      </c>
      <c r="H42" s="2" t="s">
        <v>753</v>
      </c>
    </row>
  </sheetData>
  <mergeCells count="1">
    <mergeCell ref="A1:H1"/>
  </mergeCells>
  <phoneticPr fontId="9" type="noConversion"/>
  <printOptions horizontalCentered="1"/>
  <pageMargins left="0.75" right="0.75" top="1" bottom="1" header="0.5" footer="0.5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showGridLines="0" workbookViewId="0"/>
  </sheetViews>
  <sheetFormatPr defaultRowHeight="17" x14ac:dyDescent="0.45"/>
  <cols>
    <col min="1" max="1" width="5" customWidth="1"/>
    <col min="2" max="2" width="20" customWidth="1"/>
    <col min="3" max="3" width="36" customWidth="1"/>
    <col min="4" max="6" width="8" customWidth="1"/>
    <col min="7" max="7" width="34" customWidth="1"/>
    <col min="8" max="8" width="44" customWidth="1"/>
  </cols>
  <sheetData>
    <row r="1" spans="1:8" ht="26" customHeight="1" x14ac:dyDescent="0.45">
      <c r="A1" s="19" t="s">
        <v>25</v>
      </c>
      <c r="B1" s="18"/>
      <c r="C1" s="18"/>
      <c r="D1" s="18"/>
      <c r="E1" s="18"/>
      <c r="F1" s="18"/>
      <c r="G1" s="18"/>
      <c r="H1" s="18"/>
    </row>
    <row r="3" spans="1:8" x14ac:dyDescent="0.45">
      <c r="A3" s="3" t="s">
        <v>55</v>
      </c>
      <c r="B3" s="3" t="s">
        <v>25</v>
      </c>
      <c r="C3" s="3" t="s">
        <v>756</v>
      </c>
      <c r="D3" s="3" t="s">
        <v>757</v>
      </c>
      <c r="E3" s="3" t="s">
        <v>758</v>
      </c>
      <c r="F3" s="3" t="s">
        <v>759</v>
      </c>
      <c r="G3" s="3" t="s">
        <v>760</v>
      </c>
      <c r="H3" s="3" t="s">
        <v>617</v>
      </c>
    </row>
    <row r="4" spans="1:8" x14ac:dyDescent="0.45">
      <c r="A4" s="10">
        <v>1</v>
      </c>
      <c r="B4" s="2" t="s">
        <v>84</v>
      </c>
      <c r="C4" s="2" t="s">
        <v>761</v>
      </c>
      <c r="D4" s="10">
        <v>1</v>
      </c>
      <c r="E4" s="10">
        <v>1</v>
      </c>
      <c r="F4" s="10">
        <v>20</v>
      </c>
      <c r="G4" s="2" t="s">
        <v>762</v>
      </c>
      <c r="H4" s="2"/>
    </row>
    <row r="5" spans="1:8" x14ac:dyDescent="0.45">
      <c r="A5" s="10">
        <v>2</v>
      </c>
      <c r="B5" s="2" t="s">
        <v>352</v>
      </c>
      <c r="C5" s="2" t="s">
        <v>763</v>
      </c>
      <c r="D5" s="10">
        <v>1</v>
      </c>
      <c r="E5" s="10">
        <v>1</v>
      </c>
      <c r="F5" s="10">
        <v>20</v>
      </c>
      <c r="G5" s="2" t="s">
        <v>762</v>
      </c>
      <c r="H5" s="2"/>
    </row>
    <row r="6" spans="1:8" x14ac:dyDescent="0.45">
      <c r="A6" s="10">
        <v>3</v>
      </c>
      <c r="B6" s="2" t="s">
        <v>469</v>
      </c>
      <c r="C6" s="2" t="s">
        <v>764</v>
      </c>
      <c r="D6" s="10">
        <v>1</v>
      </c>
      <c r="E6" s="10">
        <v>1</v>
      </c>
      <c r="F6" s="10">
        <v>20</v>
      </c>
      <c r="G6" s="2" t="s">
        <v>762</v>
      </c>
      <c r="H6" s="2" t="s">
        <v>765</v>
      </c>
    </row>
    <row r="7" spans="1:8" x14ac:dyDescent="0.45">
      <c r="A7" s="10">
        <v>4</v>
      </c>
      <c r="B7" s="2" t="s">
        <v>121</v>
      </c>
      <c r="C7" s="2" t="s">
        <v>766</v>
      </c>
      <c r="D7" s="10">
        <v>1</v>
      </c>
      <c r="E7" s="10">
        <v>1</v>
      </c>
      <c r="F7" s="10">
        <v>20</v>
      </c>
      <c r="G7" s="2" t="s">
        <v>767</v>
      </c>
      <c r="H7" s="2"/>
    </row>
    <row r="8" spans="1:8" x14ac:dyDescent="0.45">
      <c r="A8" s="10">
        <v>5</v>
      </c>
      <c r="B8" s="2" t="s">
        <v>127</v>
      </c>
      <c r="C8" s="2" t="s">
        <v>768</v>
      </c>
      <c r="D8" s="10">
        <v>1</v>
      </c>
      <c r="E8" s="10">
        <v>1</v>
      </c>
      <c r="F8" s="10">
        <v>20</v>
      </c>
      <c r="G8" s="2" t="s">
        <v>769</v>
      </c>
      <c r="H8" s="2"/>
    </row>
    <row r="10" spans="1:8" x14ac:dyDescent="0.45">
      <c r="A10" s="28" t="s">
        <v>770</v>
      </c>
      <c r="B10" s="18"/>
      <c r="C10" s="18"/>
      <c r="D10" s="18"/>
      <c r="E10" s="18"/>
      <c r="F10" s="18"/>
      <c r="G10" s="18"/>
      <c r="H10" s="18"/>
    </row>
  </sheetData>
  <mergeCells count="2">
    <mergeCell ref="A10:H10"/>
    <mergeCell ref="A1:H1"/>
  </mergeCells>
  <phoneticPr fontId="9" type="noConversion"/>
  <printOptions horizontalCentered="1"/>
  <pageMargins left="0.75" right="0.75" top="1" bottom="1" header="0.5" footer="0.5"/>
  <pageSetup paperSize="9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7"/>
  <sheetViews>
    <sheetView showGridLines="0" workbookViewId="0"/>
  </sheetViews>
  <sheetFormatPr defaultRowHeight="17" x14ac:dyDescent="0.45"/>
  <cols>
    <col min="1" max="1" width="5" customWidth="1"/>
    <col min="2" max="2" width="12" customWidth="1"/>
    <col min="3" max="4" width="46" customWidth="1"/>
    <col min="5" max="5" width="72" customWidth="1"/>
  </cols>
  <sheetData>
    <row r="1" spans="1:5" ht="26" customHeight="1" x14ac:dyDescent="0.45">
      <c r="A1" s="19" t="s">
        <v>27</v>
      </c>
      <c r="B1" s="18"/>
      <c r="C1" s="18"/>
      <c r="D1" s="18"/>
      <c r="E1" s="18"/>
    </row>
    <row r="3" spans="1:5" x14ac:dyDescent="0.45">
      <c r="A3" s="27" t="s">
        <v>771</v>
      </c>
      <c r="B3" s="25"/>
      <c r="C3" s="25"/>
      <c r="D3" s="25"/>
      <c r="E3" s="25"/>
    </row>
    <row r="4" spans="1:5" x14ac:dyDescent="0.45">
      <c r="A4" s="3" t="s">
        <v>55</v>
      </c>
      <c r="B4" s="3" t="s">
        <v>772</v>
      </c>
      <c r="C4" s="3" t="s">
        <v>773</v>
      </c>
      <c r="D4" s="3" t="s">
        <v>774</v>
      </c>
      <c r="E4" s="3" t="s">
        <v>775</v>
      </c>
    </row>
    <row r="5" spans="1:5" ht="32" x14ac:dyDescent="0.45">
      <c r="A5" s="10">
        <v>1</v>
      </c>
      <c r="B5" s="10" t="s">
        <v>776</v>
      </c>
      <c r="C5" s="2" t="s">
        <v>777</v>
      </c>
      <c r="D5" s="2" t="s">
        <v>778</v>
      </c>
      <c r="E5" s="2" t="s">
        <v>779</v>
      </c>
    </row>
    <row r="6" spans="1:5" ht="32" x14ac:dyDescent="0.45">
      <c r="A6" s="10">
        <v>2</v>
      </c>
      <c r="B6" s="10" t="s">
        <v>776</v>
      </c>
      <c r="C6" s="2" t="s">
        <v>780</v>
      </c>
      <c r="D6" s="2" t="s">
        <v>778</v>
      </c>
      <c r="E6" s="2" t="s">
        <v>781</v>
      </c>
    </row>
    <row r="7" spans="1:5" ht="32" x14ac:dyDescent="0.45">
      <c r="A7" s="10">
        <v>3</v>
      </c>
      <c r="B7" s="10" t="s">
        <v>782</v>
      </c>
      <c r="C7" s="2" t="s">
        <v>783</v>
      </c>
      <c r="D7" s="2" t="s">
        <v>784</v>
      </c>
      <c r="E7" s="2" t="s">
        <v>785</v>
      </c>
    </row>
    <row r="8" spans="1:5" ht="32" x14ac:dyDescent="0.45">
      <c r="A8" s="10">
        <v>4</v>
      </c>
      <c r="B8" s="10" t="s">
        <v>782</v>
      </c>
      <c r="C8" s="2" t="s">
        <v>786</v>
      </c>
      <c r="D8" s="2" t="s">
        <v>787</v>
      </c>
      <c r="E8" s="2" t="s">
        <v>788</v>
      </c>
    </row>
    <row r="9" spans="1:5" ht="32" x14ac:dyDescent="0.45">
      <c r="A9" s="10">
        <v>5</v>
      </c>
      <c r="B9" s="10" t="s">
        <v>789</v>
      </c>
      <c r="C9" s="2" t="s">
        <v>790</v>
      </c>
      <c r="D9" s="2" t="s">
        <v>791</v>
      </c>
      <c r="E9" s="2" t="s">
        <v>792</v>
      </c>
    </row>
    <row r="10" spans="1:5" ht="32" x14ac:dyDescent="0.45">
      <c r="A10" s="10">
        <v>6</v>
      </c>
      <c r="B10" s="10" t="s">
        <v>789</v>
      </c>
      <c r="C10" s="2" t="s">
        <v>793</v>
      </c>
      <c r="D10" s="2" t="s">
        <v>794</v>
      </c>
      <c r="E10" s="2" t="s">
        <v>795</v>
      </c>
    </row>
    <row r="11" spans="1:5" ht="32" x14ac:dyDescent="0.45">
      <c r="A11" s="10">
        <v>7</v>
      </c>
      <c r="B11" s="10" t="s">
        <v>789</v>
      </c>
      <c r="C11" s="2" t="s">
        <v>796</v>
      </c>
      <c r="D11" s="2" t="s">
        <v>794</v>
      </c>
      <c r="E11" s="2" t="s">
        <v>797</v>
      </c>
    </row>
    <row r="12" spans="1:5" ht="32" x14ac:dyDescent="0.45">
      <c r="A12" s="10">
        <v>8</v>
      </c>
      <c r="B12" s="10" t="s">
        <v>6</v>
      </c>
      <c r="C12" s="2" t="s">
        <v>798</v>
      </c>
      <c r="D12" s="2" t="s">
        <v>799</v>
      </c>
      <c r="E12" s="2" t="s">
        <v>800</v>
      </c>
    </row>
    <row r="14" spans="1:5" x14ac:dyDescent="0.45">
      <c r="A14" s="27" t="s">
        <v>801</v>
      </c>
      <c r="B14" s="25"/>
      <c r="C14" s="25"/>
      <c r="D14" s="25"/>
      <c r="E14" s="25"/>
    </row>
    <row r="15" spans="1:5" x14ac:dyDescent="0.45">
      <c r="A15" s="3" t="s">
        <v>55</v>
      </c>
      <c r="B15" s="3" t="s">
        <v>802</v>
      </c>
      <c r="C15" s="3" t="s">
        <v>803</v>
      </c>
      <c r="D15" s="3" t="s">
        <v>804</v>
      </c>
      <c r="E15" s="3" t="s">
        <v>805</v>
      </c>
    </row>
    <row r="16" spans="1:5" ht="32" x14ac:dyDescent="0.45">
      <c r="A16" s="10">
        <v>1</v>
      </c>
      <c r="B16" s="10" t="s">
        <v>806</v>
      </c>
      <c r="C16" s="2" t="s">
        <v>807</v>
      </c>
      <c r="D16" s="2" t="s">
        <v>808</v>
      </c>
      <c r="E16" s="2" t="s">
        <v>809</v>
      </c>
    </row>
    <row r="17" spans="1:5" ht="32" x14ac:dyDescent="0.45">
      <c r="A17" s="10">
        <v>2</v>
      </c>
      <c r="B17" s="10" t="s">
        <v>789</v>
      </c>
      <c r="C17" s="2" t="s">
        <v>810</v>
      </c>
      <c r="D17" s="2" t="s">
        <v>811</v>
      </c>
      <c r="E17" s="2" t="s">
        <v>812</v>
      </c>
    </row>
    <row r="19" spans="1:5" x14ac:dyDescent="0.45">
      <c r="A19" s="27" t="s">
        <v>813</v>
      </c>
      <c r="B19" s="25"/>
      <c r="C19" s="25"/>
      <c r="D19" s="25"/>
      <c r="E19" s="25"/>
    </row>
    <row r="20" spans="1:5" x14ac:dyDescent="0.45">
      <c r="A20" s="3" t="s">
        <v>55</v>
      </c>
      <c r="B20" s="3" t="s">
        <v>814</v>
      </c>
      <c r="C20" s="3" t="s">
        <v>815</v>
      </c>
      <c r="D20" s="3" t="s">
        <v>816</v>
      </c>
      <c r="E20" s="3" t="s">
        <v>18</v>
      </c>
    </row>
    <row r="21" spans="1:5" ht="32" x14ac:dyDescent="0.45">
      <c r="A21" s="10">
        <v>1</v>
      </c>
      <c r="B21" s="10" t="s">
        <v>817</v>
      </c>
      <c r="C21" s="2" t="s">
        <v>818</v>
      </c>
      <c r="D21" s="2" t="s">
        <v>819</v>
      </c>
      <c r="E21" s="2" t="s">
        <v>820</v>
      </c>
    </row>
    <row r="22" spans="1:5" ht="32" x14ac:dyDescent="0.45">
      <c r="A22" s="10">
        <v>2</v>
      </c>
      <c r="B22" s="10" t="s">
        <v>817</v>
      </c>
      <c r="C22" s="2" t="s">
        <v>821</v>
      </c>
      <c r="D22" s="2" t="s">
        <v>819</v>
      </c>
      <c r="E22" s="2" t="s">
        <v>822</v>
      </c>
    </row>
    <row r="23" spans="1:5" x14ac:dyDescent="0.45">
      <c r="A23" s="10">
        <v>3</v>
      </c>
      <c r="B23" s="10" t="s">
        <v>776</v>
      </c>
      <c r="C23" s="2" t="s">
        <v>762</v>
      </c>
      <c r="D23" s="2" t="s">
        <v>819</v>
      </c>
      <c r="E23" s="2" t="s">
        <v>823</v>
      </c>
    </row>
    <row r="24" spans="1:5" x14ac:dyDescent="0.45">
      <c r="A24" s="10">
        <v>4</v>
      </c>
      <c r="B24" s="10" t="s">
        <v>776</v>
      </c>
      <c r="C24" s="2" t="s">
        <v>824</v>
      </c>
      <c r="D24" s="2" t="s">
        <v>825</v>
      </c>
      <c r="E24" s="2" t="s">
        <v>826</v>
      </c>
    </row>
    <row r="25" spans="1:5" x14ac:dyDescent="0.45">
      <c r="A25" s="10">
        <v>5</v>
      </c>
      <c r="B25" s="10" t="s">
        <v>776</v>
      </c>
      <c r="C25" s="2" t="s">
        <v>827</v>
      </c>
      <c r="D25" s="2" t="s">
        <v>828</v>
      </c>
      <c r="E25" s="2" t="s">
        <v>829</v>
      </c>
    </row>
    <row r="26" spans="1:5" x14ac:dyDescent="0.45">
      <c r="A26" s="10">
        <v>6</v>
      </c>
      <c r="B26" s="10" t="s">
        <v>830</v>
      </c>
      <c r="C26" s="2" t="s">
        <v>831</v>
      </c>
      <c r="D26" s="2" t="s">
        <v>64</v>
      </c>
      <c r="E26" s="2" t="s">
        <v>832</v>
      </c>
    </row>
    <row r="27" spans="1:5" x14ac:dyDescent="0.45">
      <c r="A27" s="10">
        <v>7</v>
      </c>
      <c r="B27" s="10" t="s">
        <v>830</v>
      </c>
      <c r="C27" s="2" t="s">
        <v>833</v>
      </c>
      <c r="D27" s="2" t="s">
        <v>64</v>
      </c>
      <c r="E27" s="2" t="s">
        <v>834</v>
      </c>
    </row>
    <row r="28" spans="1:5" x14ac:dyDescent="0.45">
      <c r="A28" s="10">
        <v>8</v>
      </c>
      <c r="B28" s="10" t="s">
        <v>806</v>
      </c>
      <c r="C28" s="2" t="s">
        <v>767</v>
      </c>
      <c r="D28" s="2" t="s">
        <v>119</v>
      </c>
      <c r="E28" s="2" t="s">
        <v>835</v>
      </c>
    </row>
    <row r="29" spans="1:5" ht="32" x14ac:dyDescent="0.45">
      <c r="A29" s="10">
        <v>9</v>
      </c>
      <c r="B29" s="10" t="s">
        <v>806</v>
      </c>
      <c r="C29" s="2" t="s">
        <v>769</v>
      </c>
      <c r="D29" s="2" t="s">
        <v>836</v>
      </c>
      <c r="E29" s="2" t="s">
        <v>837</v>
      </c>
    </row>
    <row r="30" spans="1:5" x14ac:dyDescent="0.45">
      <c r="A30" s="10">
        <v>10</v>
      </c>
      <c r="B30" s="10" t="s">
        <v>806</v>
      </c>
      <c r="C30" s="2" t="s">
        <v>838</v>
      </c>
      <c r="D30" s="2" t="s">
        <v>140</v>
      </c>
      <c r="E30" s="2" t="s">
        <v>839</v>
      </c>
    </row>
    <row r="31" spans="1:5" x14ac:dyDescent="0.45">
      <c r="A31" s="10">
        <v>11</v>
      </c>
      <c r="B31" s="10" t="s">
        <v>806</v>
      </c>
      <c r="C31" s="2" t="s">
        <v>840</v>
      </c>
      <c r="D31" s="2" t="s">
        <v>119</v>
      </c>
      <c r="E31" s="2" t="s">
        <v>841</v>
      </c>
    </row>
    <row r="32" spans="1:5" x14ac:dyDescent="0.45">
      <c r="A32" s="10">
        <v>12</v>
      </c>
      <c r="B32" s="10" t="s">
        <v>842</v>
      </c>
      <c r="C32" s="2" t="s">
        <v>843</v>
      </c>
      <c r="D32" s="2" t="s">
        <v>64</v>
      </c>
      <c r="E32" s="2" t="s">
        <v>844</v>
      </c>
    </row>
    <row r="33" spans="1:5" ht="32" x14ac:dyDescent="0.45">
      <c r="A33" s="10">
        <v>13</v>
      </c>
      <c r="B33" s="10" t="s">
        <v>782</v>
      </c>
      <c r="C33" s="2" t="s">
        <v>845</v>
      </c>
      <c r="D33" s="2" t="s">
        <v>119</v>
      </c>
      <c r="E33" s="2" t="s">
        <v>846</v>
      </c>
    </row>
    <row r="34" spans="1:5" x14ac:dyDescent="0.45">
      <c r="A34" s="10">
        <v>14</v>
      </c>
      <c r="B34" s="10" t="s">
        <v>782</v>
      </c>
      <c r="C34" s="2" t="s">
        <v>847</v>
      </c>
      <c r="D34" s="2" t="s">
        <v>119</v>
      </c>
      <c r="E34" s="2" t="s">
        <v>848</v>
      </c>
    </row>
    <row r="35" spans="1:5" x14ac:dyDescent="0.45">
      <c r="A35" s="10">
        <v>15</v>
      </c>
      <c r="B35" s="10" t="s">
        <v>782</v>
      </c>
      <c r="C35" s="2" t="s">
        <v>849</v>
      </c>
      <c r="D35" s="2" t="s">
        <v>798</v>
      </c>
      <c r="E35" s="2" t="s">
        <v>850</v>
      </c>
    </row>
    <row r="36" spans="1:5" x14ac:dyDescent="0.45">
      <c r="A36" s="10">
        <v>16</v>
      </c>
      <c r="B36" s="10" t="s">
        <v>782</v>
      </c>
      <c r="C36" s="2" t="s">
        <v>851</v>
      </c>
      <c r="D36" s="2" t="s">
        <v>140</v>
      </c>
      <c r="E36" s="2" t="s">
        <v>852</v>
      </c>
    </row>
    <row r="37" spans="1:5" x14ac:dyDescent="0.45">
      <c r="A37" s="10">
        <v>17</v>
      </c>
      <c r="B37" s="10" t="s">
        <v>782</v>
      </c>
      <c r="C37" s="2" t="s">
        <v>853</v>
      </c>
      <c r="D37" s="2" t="s">
        <v>786</v>
      </c>
      <c r="E37" s="2" t="s">
        <v>854</v>
      </c>
    </row>
    <row r="38" spans="1:5" x14ac:dyDescent="0.45">
      <c r="A38" s="10">
        <v>18</v>
      </c>
      <c r="B38" s="10" t="s">
        <v>782</v>
      </c>
      <c r="C38" s="2" t="s">
        <v>855</v>
      </c>
      <c r="D38" s="2" t="s">
        <v>790</v>
      </c>
      <c r="E38" s="2" t="s">
        <v>856</v>
      </c>
    </row>
    <row r="39" spans="1:5" ht="32" x14ac:dyDescent="0.45">
      <c r="A39" s="10">
        <v>19</v>
      </c>
      <c r="B39" s="10" t="s">
        <v>782</v>
      </c>
      <c r="C39" s="2" t="s">
        <v>857</v>
      </c>
      <c r="D39" s="2" t="s">
        <v>858</v>
      </c>
      <c r="E39" s="2" t="s">
        <v>859</v>
      </c>
    </row>
    <row r="40" spans="1:5" x14ac:dyDescent="0.45">
      <c r="A40" s="10">
        <v>20</v>
      </c>
      <c r="B40" s="10" t="s">
        <v>789</v>
      </c>
      <c r="C40" s="2" t="s">
        <v>860</v>
      </c>
      <c r="D40" s="2" t="s">
        <v>861</v>
      </c>
      <c r="E40" s="2" t="s">
        <v>862</v>
      </c>
    </row>
    <row r="41" spans="1:5" x14ac:dyDescent="0.45">
      <c r="A41" s="10">
        <v>21</v>
      </c>
      <c r="B41" s="10" t="s">
        <v>789</v>
      </c>
      <c r="C41" s="2" t="s">
        <v>863</v>
      </c>
      <c r="D41" s="2" t="s">
        <v>864</v>
      </c>
      <c r="E41" s="2" t="s">
        <v>865</v>
      </c>
    </row>
    <row r="42" spans="1:5" x14ac:dyDescent="0.45">
      <c r="A42" s="10">
        <v>22</v>
      </c>
      <c r="B42" s="10" t="s">
        <v>789</v>
      </c>
      <c r="C42" s="2" t="s">
        <v>866</v>
      </c>
      <c r="D42" s="2" t="s">
        <v>867</v>
      </c>
      <c r="E42" s="2" t="s">
        <v>868</v>
      </c>
    </row>
    <row r="43" spans="1:5" ht="32" x14ac:dyDescent="0.45">
      <c r="A43" s="10">
        <v>23</v>
      </c>
      <c r="B43" s="10" t="s">
        <v>789</v>
      </c>
      <c r="C43" s="2" t="s">
        <v>869</v>
      </c>
      <c r="D43" s="2" t="s">
        <v>870</v>
      </c>
      <c r="E43" s="2" t="s">
        <v>871</v>
      </c>
    </row>
    <row r="44" spans="1:5" x14ac:dyDescent="0.45">
      <c r="A44" s="10">
        <v>24</v>
      </c>
      <c r="B44" s="10" t="s">
        <v>789</v>
      </c>
      <c r="C44" s="2" t="s">
        <v>872</v>
      </c>
      <c r="D44" s="2" t="s">
        <v>861</v>
      </c>
      <c r="E44" s="2" t="s">
        <v>873</v>
      </c>
    </row>
    <row r="45" spans="1:5" ht="32" x14ac:dyDescent="0.45">
      <c r="A45" s="10">
        <v>25</v>
      </c>
      <c r="B45" s="10" t="s">
        <v>789</v>
      </c>
      <c r="C45" s="2" t="s">
        <v>874</v>
      </c>
      <c r="D45" s="2" t="s">
        <v>119</v>
      </c>
      <c r="E45" s="2" t="s">
        <v>875</v>
      </c>
    </row>
    <row r="46" spans="1:5" x14ac:dyDescent="0.45">
      <c r="A46" s="10">
        <v>26</v>
      </c>
      <c r="B46" s="10" t="s">
        <v>6</v>
      </c>
      <c r="C46" s="2" t="s">
        <v>876</v>
      </c>
      <c r="D46" s="2" t="s">
        <v>798</v>
      </c>
      <c r="E46" s="2" t="s">
        <v>877</v>
      </c>
    </row>
    <row r="47" spans="1:5" ht="32" x14ac:dyDescent="0.45">
      <c r="A47" s="10">
        <v>27</v>
      </c>
      <c r="B47" s="10" t="s">
        <v>6</v>
      </c>
      <c r="C47" s="2" t="s">
        <v>878</v>
      </c>
      <c r="D47" s="2" t="s">
        <v>879</v>
      </c>
      <c r="E47" s="2" t="s">
        <v>880</v>
      </c>
    </row>
  </sheetData>
  <mergeCells count="4">
    <mergeCell ref="A19:E19"/>
    <mergeCell ref="A14:E14"/>
    <mergeCell ref="A1:E1"/>
    <mergeCell ref="A3:E3"/>
  </mergeCells>
  <phoneticPr fontId="9" type="noConversion"/>
  <printOptions horizontalCentered="1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개요</vt:lpstr>
      <vt:lpstr>테이블 목록</vt:lpstr>
      <vt:lpstr>TQP_GDS_MAP</vt:lpstr>
      <vt:lpstr>TQP_GDS_LAYER</vt:lpstr>
      <vt:lpstr>TQP_GDS_PLACED_EL</vt:lpstr>
      <vt:lpstr>TQP_GDS_IMPORT_JOB</vt:lpstr>
      <vt:lpstr>TQP_GDS_IMPORT_BATCH</vt:lpstr>
      <vt:lpstr>TQP_GDS_CHAIN</vt:lpstr>
      <vt:lpstr>TQP_GDS_CHAIN_VER</vt:lpstr>
      <vt:lpstr>TQP_GDS_CHAIN_MEMBER</vt:lpstr>
      <vt:lpstr>TQP_GDS_CHAIN_LAYER</vt:lpstr>
      <vt:lpstr>TQP_GDS_CHAIN_RULE</vt:lpstr>
      <vt:lpstr>TQP_GDS_CHAIN_EDIT</vt:lpstr>
      <vt:lpstr>TQP_GDS_SRC_FILE</vt:lpstr>
      <vt:lpstr>TQP_GDS_ET_ITEM</vt:lpstr>
      <vt:lpstr>TQP_GDS_ET_DIE</vt:lpstr>
      <vt:lpstr>TQP_GDS_ET_VALUE</vt:lpstr>
      <vt:lpstr>TQP_GDS_ET_LIMIT</vt:lpstr>
      <vt:lpstr>관계(FK)</vt:lpstr>
      <vt:lpstr>시퀀스</vt:lpstr>
      <vt:lpstr>변경 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BJ</cp:lastModifiedBy>
  <dcterms:created xsi:type="dcterms:W3CDTF">2026-10-15T06:56:18Z</dcterms:created>
  <dcterms:modified xsi:type="dcterms:W3CDTF">2026-10-15T06:56:33Z</dcterms:modified>
</cp:coreProperties>
</file>