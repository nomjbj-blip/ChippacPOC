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_프로젝트 문서\18.스테츠칩팩_POC\ChippacPOC\문서\자료\04_시스템_개발자료\"/>
    </mc:Choice>
  </mc:AlternateContent>
  <bookViews>
    <workbookView xWindow="0" yWindow="0" windowWidth="28800" windowHeight="16240"/>
  </bookViews>
  <sheets>
    <sheet name="개요" sheetId="1" r:id="rId1"/>
    <sheet name="테이블 목록" sheetId="2" r:id="rId2"/>
    <sheet name="TD_08EYP1" sheetId="3" r:id="rId3"/>
    <sheet name="TD_52PX" sheetId="4" r:id="rId4"/>
    <sheet name="TD_89CP" sheetId="5" r:id="rId5"/>
    <sheet name="TD_KA36_CP2" sheetId="6" r:id="rId6"/>
    <sheet name="TQP_BINDESC" sheetId="7" r:id="rId7"/>
    <sheet name="TQP_CHANGE_HIS" sheetId="8" r:id="rId8"/>
    <sheet name="TQP_CUSTOMER" sheetId="9" r:id="rId9"/>
    <sheet name="TQP_DATA_TABLES" sheetId="10" r:id="rId10"/>
    <sheet name="TQP_FOI_DIE" sheetId="11" r:id="rId11"/>
    <sheet name="TQP_FOI_IMAGES" sheetId="12" r:id="rId12"/>
    <sheet name="TQP_LOT" sheetId="13" r:id="rId13"/>
    <sheet name="TQP_LOT_SUM" sheetId="14" r:id="rId14"/>
    <sheet name="TQP_MAPCFG" sheetId="15" r:id="rId15"/>
    <sheet name="TQP_MAPDEF" sheetId="16" r:id="rId16"/>
    <sheet name="TQP_MAPDEF_DIE" sheetId="17" r:id="rId17"/>
    <sheet name="TQP_PARASPEC" sheetId="18" r:id="rId18"/>
    <sheet name="TQP_PCM_INPUT_HIS" sheetId="19" r:id="rId19"/>
    <sheet name="TQP_PRODUCT" sheetId="20" r:id="rId20"/>
    <sheet name="TQP_PROGRAM" sheetId="21" r:id="rId21"/>
    <sheet name="TQP_USEMAP" sheetId="22" r:id="rId22"/>
    <sheet name="TQP_VISUALINSPSPEC" sheetId="23" r:id="rId23"/>
    <sheet name="TQP_WAFER" sheetId="24" r:id="rId24"/>
    <sheet name="TQP_WAFER_SUM" sheetId="25" r:id="rId25"/>
    <sheet name="관계(논리)" sheetId="26" r:id="rId26"/>
    <sheet name="시퀀스" sheetId="27" r:id="rId27"/>
  </sheets>
  <calcPr calcId="162913"/>
</workbook>
</file>

<file path=xl/calcChain.xml><?xml version="1.0" encoding="utf-8"?>
<calcChain xmlns="http://schemas.openxmlformats.org/spreadsheetml/2006/main">
  <c r="E5" i="25" l="1"/>
  <c r="E5" i="24"/>
  <c r="E5" i="23"/>
  <c r="E5" i="22"/>
  <c r="E5" i="21"/>
  <c r="E22" i="2" s="1"/>
  <c r="E5" i="20"/>
  <c r="E21" i="2" s="1"/>
  <c r="E5" i="19"/>
  <c r="E20" i="2" s="1"/>
  <c r="E5" i="18"/>
  <c r="E5" i="17"/>
  <c r="E5" i="16"/>
  <c r="E5" i="15"/>
  <c r="E16" i="2" s="1"/>
  <c r="E5" i="14"/>
  <c r="E15" i="2" s="1"/>
  <c r="E5" i="13"/>
  <c r="E14" i="2" s="1"/>
  <c r="E5" i="12"/>
  <c r="E13" i="2" s="1"/>
  <c r="E5" i="11"/>
  <c r="E12" i="2" s="1"/>
  <c r="E5" i="10"/>
  <c r="E11" i="2" s="1"/>
  <c r="E5" i="9"/>
  <c r="E10" i="2" s="1"/>
  <c r="E5" i="8"/>
  <c r="E9" i="2" s="1"/>
  <c r="E5" i="7"/>
  <c r="E8" i="2" s="1"/>
  <c r="E5" i="6"/>
  <c r="E7" i="2" s="1"/>
  <c r="E5" i="5"/>
  <c r="E6" i="2" s="1"/>
  <c r="E5" i="4"/>
  <c r="E5" i="2" s="1"/>
  <c r="E5" i="3"/>
  <c r="K26" i="2"/>
  <c r="J26" i="2"/>
  <c r="I26" i="2"/>
  <c r="E26" i="2"/>
  <c r="K25" i="2"/>
  <c r="J25" i="2"/>
  <c r="I25" i="2"/>
  <c r="E25" i="2"/>
  <c r="K24" i="2"/>
  <c r="J24" i="2"/>
  <c r="I24" i="2"/>
  <c r="E24" i="2"/>
  <c r="K23" i="2"/>
  <c r="J23" i="2"/>
  <c r="I23" i="2"/>
  <c r="E23" i="2"/>
  <c r="K22" i="2"/>
  <c r="J22" i="2"/>
  <c r="I22" i="2"/>
  <c r="K21" i="2"/>
  <c r="J21" i="2"/>
  <c r="I21" i="2"/>
  <c r="K20" i="2"/>
  <c r="J20" i="2"/>
  <c r="I20" i="2"/>
  <c r="K19" i="2"/>
  <c r="J19" i="2"/>
  <c r="I19" i="2"/>
  <c r="E19" i="2"/>
  <c r="K18" i="2"/>
  <c r="J18" i="2"/>
  <c r="I18" i="2"/>
  <c r="E18" i="2"/>
  <c r="K17" i="2"/>
  <c r="J17" i="2"/>
  <c r="I17" i="2"/>
  <c r="E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E4" i="2"/>
  <c r="C13" i="1"/>
  <c r="I27" i="2" l="1"/>
  <c r="C15" i="1" s="1"/>
  <c r="J27" i="2"/>
  <c r="C16" i="1" s="1"/>
  <c r="K27" i="2"/>
  <c r="C17" i="1" s="1"/>
  <c r="E27" i="2"/>
  <c r="C14" i="1" s="1"/>
</calcChain>
</file>

<file path=xl/sharedStrings.xml><?xml version="1.0" encoding="utf-8"?>
<sst xmlns="http://schemas.openxmlformats.org/spreadsheetml/2006/main" count="3348" uniqueCount="896">
  <si>
    <t>SCK 분석시스템 구축 POC - YMS 테이블 명세서</t>
  </si>
  <si>
    <t>대상 시스템</t>
  </si>
  <si>
    <t>DACrux DMS / YMS (SCK 분석시스템 구축 POC)</t>
  </si>
  <si>
    <t>영역</t>
  </si>
  <si>
    <t>YMS - 수율 관리 (Lot / Wafer / Bin / Program / Map / Spec) + Program 별 Die 측정 데이터(TD_*)</t>
  </si>
  <si>
    <t>기준 DB</t>
  </si>
  <si>
    <t>로컬 개발 DB (Oracle 19c, 스키마 DMSMGR, 문자셋 AL32UTF8)</t>
  </si>
  <si>
    <t>조회 일자</t>
  </si>
  <si>
    <t>2026-10-15</t>
  </si>
  <si>
    <t>작성 근거</t>
  </si>
  <si>
    <t>DB 메타데이터 (컬럼 / 주석 / 제약 / 인덱스 / 시퀀스) + Query XML (DMS/08_DBQuery/ORACLE) / C# 소스 + 같은 제품을 쓴 다른 프로젝트의 테이블 정의서 + 이 프로젝트 설계 문서</t>
  </si>
  <si>
    <t>대상 범위</t>
  </si>
  <si>
    <t>테이블 23개 (이름 접두어 TQP_ / TD_). POC 신규 테이블(TQP_GDS_*)은 POC 테이블 명세서에 따로 있다.</t>
  </si>
  <si>
    <t>제외</t>
  </si>
  <si>
    <t>소스(Query XML / C#)에서 쓰지 않는 테이블: TQP_ZONE</t>
  </si>
  <si>
    <t>집계</t>
  </si>
  <si>
    <t>값</t>
  </si>
  <si>
    <t>테이블 수</t>
  </si>
  <si>
    <t>컬럼 수</t>
  </si>
  <si>
    <t>근거: 설계 문서</t>
  </si>
  <si>
    <t>근거: 소스</t>
  </si>
  <si>
    <t>근거: 이름 추정</t>
  </si>
  <si>
    <t>시트</t>
  </si>
  <si>
    <t>내용</t>
  </si>
  <si>
    <t>테이블 목록</t>
  </si>
  <si>
    <t>테이블 요약 (테이블명을 누르면 해당 시트로 이동, 근거별 행 수)</t>
  </si>
  <si>
    <t>테이블별 시트</t>
  </si>
  <si>
    <t>컬럼 / 제약 조건 / 인덱스</t>
  </si>
  <si>
    <t>관계(논리)</t>
  </si>
  <si>
    <t>Query XML / 소스의 조인으로 확인한 테이블 관계 (DB FK 없음)</t>
  </si>
  <si>
    <t>시퀀스</t>
  </si>
  <si>
    <t>이 영역 테이블이 쓰는 시퀀스</t>
  </si>
  <si>
    <t>표기 기준</t>
  </si>
  <si>
    <t>설명</t>
  </si>
  <si>
    <t>데이터 타입</t>
  </si>
  <si>
    <t>VARCHAR2(n CHAR) = 글자 수 기준, VARCHAR2(n) = byte 기준</t>
  </si>
  <si>
    <t>NULL / PK</t>
  </si>
  <si>
    <t>NULL: N = NOT NULL (필수), Y = NULL 허용. PK: 기본 키 안 순서 (노란 행)</t>
  </si>
  <si>
    <t>반복 컬럼</t>
  </si>
  <si>
    <t>같은 접두어 + 번호가 이어지는 컬럼은 한 줄로 묶었다 (회색 행, 예: BIN001 ~ BIN151). No 는 첫 ~ 끝 컬럼 순번</t>
  </si>
  <si>
    <t>참조 (논리)</t>
  </si>
  <si>
    <t>조인으로 확인한 부모 테이블. DB FK 는 없다</t>
  </si>
  <si>
    <t>근거</t>
  </si>
  <si>
    <t>설계 문서 = 이 프로젝트 설계 문서 (문서/설계) / 소스 = Query XML / C# 소스에서 쓰임을 확인 / 이름 추정 = 근거 자료 없이 컬럼 이름과 값으로 추정 - 확인 필요</t>
  </si>
  <si>
    <t>참고</t>
  </si>
  <si>
    <t>참고 1</t>
  </si>
  <si>
    <t>TQP_WAFER 의 많은 컬럼(HANDLER_ID / T7SCRIBE / TWFLAGS 등)은 이관(TestDataMigration) 데이터에만 값이 있고 현재 적재(CP / PCM / AVI / E-Test)는 채우지 않는다. 이 컬럼들은 컬럼 이름과 STDF 항목 기준으로 추정했다 (설명에 STDF 항목 표기).</t>
  </si>
  <si>
    <t>참고 2</t>
  </si>
  <si>
    <t>TD_* 는 Program 별로 자동 생성되는 Die 측정 데이터 테이블이다 (TQP_DATA_TABLES 에 등록, Parameter 컬럼 이름 = TQP_PARASPEC.PARAM_NAME). E-Test 업로드가 만드는 TD_&lt;Device&gt;_&lt;공정&gt;(예: TD_OMM_TSVET)의 Parameter 컬럼은 E-Test 등록 Parameter 헤더 원문으로 설명을 적는다. 기존 TD 4개는 고정 컬럼만 있다.</t>
  </si>
  <si>
    <t>참고 3</t>
  </si>
  <si>
    <t>Lot 수율 계산이 경로마다 다르다: Summary 적재 = BIN1 합 / 측정 Die 합 (Lot 의 BIN0 ~ 99 만 채움), Wafer 삭제 뒤 재생성 = Wafer 수율 평균.</t>
  </si>
  <si>
    <t>참고 4</t>
  </si>
  <si>
    <t>TQP_PRODUCT.MAPID 는 적재 경로마다 넣는 값이 다르다 (CP = MES MAT_ID, Scope 업로드 = DEVICE_ALIAS).</t>
  </si>
  <si>
    <t>참고 5</t>
  </si>
  <si>
    <t>TQP_MAPDEF_DIE 는 적재(INSERT)하는 코드가 없다. TQP_CUSTOMER / TQP_FOI_DIE / TQP_FOI_IMAGES / TQP_PCM_INPUT_HIS / TQP_VISUALINSPSPEC 는 로컬 DB 에 데이터가 없어 소스로만 확인했다.</t>
  </si>
  <si>
    <t>참고 6</t>
  </si>
  <si>
    <t>조회 시점에 DB 에 없는 데이터 테이블: TD_OMM_TSVET (E-Test 업로드 때 생기고 데이터를 지우면 함께 삭제되는 TD_* 테이블)</t>
  </si>
  <si>
    <t>참고 7</t>
  </si>
  <si>
    <t>DB 에 기본 키(PK)가 없는 테이블 4개: TD_52PX, TQP_FOI_IMAGES, TQP_MAPDEF, TQP_VISUALINSPSPEC</t>
  </si>
  <si>
    <t>YMS 테이블 목록</t>
  </si>
  <si>
    <t>No</t>
  </si>
  <si>
    <t>테이블명</t>
  </si>
  <si>
    <t>테이블 설명</t>
  </si>
  <si>
    <t>기본 키 (PK)</t>
  </si>
  <si>
    <t>사용 기능</t>
  </si>
  <si>
    <t>관련 테이블 (논리)</t>
  </si>
  <si>
    <t>Query XML</t>
  </si>
  <si>
    <t>TD_08EYP1</t>
  </si>
  <si>
    <t>Program 08EYP1 Die 데이터 (POSTLASER, Device EY08, PST 파일)</t>
  </si>
  <si>
    <t>WAFER_SEQ, DIE_NUM</t>
  </si>
  <si>
    <t>CP DataService 적재 (PST 파일), TEST Analysis 화면 (Map View / Gallery / Report)</t>
  </si>
  <si>
    <t>TQP_BINDESC, TQP_WAFER</t>
  </si>
  <si>
    <t>TD_52PX</t>
  </si>
  <si>
    <t>Program 52PX Die 데이터 (POSTLASER, Device PX52, PST 파일)</t>
  </si>
  <si>
    <t>TD_89CP</t>
  </si>
  <si>
    <t>Program 89CP Die 데이터 (MULTIPROBE, Device CP89, CP3 파일)</t>
  </si>
  <si>
    <t>CP DataService 적재 (CP3 파일), TEST Analysis 화면 (Map View / Gallery / Report)</t>
  </si>
  <si>
    <t>TD_KA36_CP2</t>
  </si>
  <si>
    <t>Program KA36_CP2 Die 데이터 (MULTIPROBE, Device KA36, CP3 파일)</t>
  </si>
  <si>
    <t>TQP_BINDESC</t>
  </si>
  <si>
    <t>Program 별 Bin 정의 (Bin 이름 / 양품 여부 / Map 색)</t>
  </si>
  <si>
    <t>PROGRAM, BIN</t>
  </si>
  <si>
    <t>Bin Define (frmSetupBin), 요약 수율 Good Bin, Map Bin 색 / 분포, E-Test YMS 적재 Bin 등록, DMS Defect-Test 매칭</t>
  </si>
  <si>
    <t>TD_08EYP1, TD_52PX, TD_89CP, TD_KA36_CP2, TD_OMM_TSVET, TQP_FOI_DIE, TQP_PROGRAM, TQP_WAFER_SUM</t>
  </si>
  <si>
    <t>TQP_BINDESC.xml</t>
  </si>
  <si>
    <t>TQP_CHANGE_HIS</t>
  </si>
  <si>
    <t>YMS Test 데이터 수정 / 삭제 이력</t>
  </si>
  <si>
    <t>TRAN_KEY</t>
  </si>
  <si>
    <t>TEST Data Maint (frmTestDataMaint) 변경 이력 기록 / 조회</t>
  </si>
  <si>
    <t>TQP_CHANGE_HIS.xml</t>
  </si>
  <si>
    <t>TQP_CUSTOMER</t>
  </si>
  <si>
    <t>고객 정보 (이전 MAP Parser 용, 현재 데이터 / 화면 없음)</t>
  </si>
  <si>
    <t>CUSTOMER_ID</t>
  </si>
  <si>
    <t>YMS MAP Parser (YMSFileMonitor) 고객 조회, ProbeAdmin 고객 관리 함수 (화면 호출 없음)</t>
  </si>
  <si>
    <t>TQP_CUSTOMER.xml</t>
  </si>
  <si>
    <t>TQP_DATA_TABLES</t>
  </si>
  <si>
    <t>Program 별 Die 측정 데이터 테이블(TD_*) 목록</t>
  </si>
  <si>
    <t>FACTORY, PROGRAM, TABLE_NAME</t>
  </si>
  <si>
    <t>TD 테이블 생성 때 등록 (TD_TABLE.CreateNewTable), Wafer 데이터 조회 / 삭제 때 TD 테이블 찾기</t>
  </si>
  <si>
    <t>TQP_PARASPEC, TQP_WAFER</t>
  </si>
  <si>
    <t>TQP_DATA_TABLES.xml</t>
  </si>
  <si>
    <t>TQP_FOI_DIE</t>
  </si>
  <si>
    <t>AVI / Scope 외관검사 Die 결과 (Die 별 Bin / 이미지)</t>
  </si>
  <si>
    <t>AVI DataService 적재, Scope 수동 업로드 (TestCommon.ScopeDataSet), AVI Cum Map / FOI Cum Report 조회</t>
  </si>
  <si>
    <t>TQP_BINDESC, TQP_WAFER, TQP_WAFER_SUM</t>
  </si>
  <si>
    <t>TQP_FOI_DIE.xml</t>
  </si>
  <si>
    <t>TQP_FOI_IMAGES</t>
  </si>
  <si>
    <t>Scope 외관검사 이미지 목록 (Die 위치 별)</t>
  </si>
  <si>
    <t>Scope 수동 업로드 (TestCommon.ScopeDataSet), FOI 이미지 조회 (ProbeMapAnalysis)</t>
  </si>
  <si>
    <t>TQP_WAFER_SUM</t>
  </si>
  <si>
    <t>TQP_FOI_IMAGES.xml</t>
  </si>
  <si>
    <t>TQP_LOT</t>
  </si>
  <si>
    <t>YMS Test Lot 정보 (Factory + TestArea + Lot + Program 당 1건)</t>
  </si>
  <si>
    <t>FACTORY, LOT_SEQ</t>
  </si>
  <si>
    <t>CP / PCM / AVI DataService 적재, E-Test 업로드 YMS 적재, TEST Data Maint, TEST Analysis 조회 조건, RPNet TSK Map 생성</t>
  </si>
  <si>
    <t>TQC_LOT_STS, TQP_LOT_SUM, TQP_MAPDEF, TQP_PRODUCT, TQP_WAFER, TQP_WAFER_SUM</t>
  </si>
  <si>
    <t>TQP_LOT.xml</t>
  </si>
  <si>
    <t>TQP_LOT_SUM</t>
  </si>
  <si>
    <t>Lot 별 Test 요약 (Wafer 요약을 Lot 으로 집계)</t>
  </si>
  <si>
    <t>LOT_SEQ</t>
  </si>
  <si>
    <t>적재 후 요약 생성 (TestCommon.SummaryData), Wafer 삭제 후 재생성 (TestDataMaint), Lot 목록 조회 (DataSelect.GetLotList)</t>
  </si>
  <si>
    <t>TQP_LOT_SUM.xml</t>
  </si>
  <si>
    <t>TQP_MAPCFG</t>
  </si>
  <si>
    <t>Map 좌표 보정 설정 (TestArea + Device + Program 별 방향 / 회전 / 이동)</t>
  </si>
  <si>
    <t>MAP_CFG_SEQ</t>
  </si>
  <si>
    <t>Map Control 저장 (ProbeMapAnalysis), Map Control Update (frmMapConfigUpdate), CP 적재 좌표 보정 (GetCorrectionData)</t>
  </si>
  <si>
    <t>TQP_WAFER, TQP_WAFER_SUM</t>
  </si>
  <si>
    <t>TQP_MAPCFG.xml</t>
  </si>
  <si>
    <t>TQP_MAPDEF</t>
  </si>
  <si>
    <t>Wafer Map 기준 정보 (Map ID 별 Wafer / Die 크기 / 원점 / 방향)</t>
  </si>
  <si>
    <t>Map Define, File Map Setup, Wafer Map View, TEST Map 그리기, Wafer 요약 NETDIE, KLARF 업로드 Map 기준, RPNet TSK Map 생성</t>
  </si>
  <si>
    <t>TQP_LOT, TQP_MAPDEF_DIE, TQP_PRODUCT, TQP_USEMAP, TQP_WAFER_SUM</t>
  </si>
  <si>
    <t>TQP_MAPDEF.xml</t>
  </si>
  <si>
    <t>TQP_MAPDEF_DIE</t>
  </si>
  <si>
    <t>Map 정의 Die / Shot 위치 (Mark Die 표시 / Shot Map 용)</t>
  </si>
  <si>
    <t>FACTORY, MAPID, DIE_TYPE, DIE_NO</t>
  </si>
  <si>
    <t>TEST Map View / Map Edit Mark Die 표시, Shot Map View, DMS Defect Map (GET_MAPDEF_DIE_DM)</t>
  </si>
  <si>
    <t>TQP_PARASPEC</t>
  </si>
  <si>
    <t>Program 별 Parameter 정의와 Spec (TD 테이블 컬럼 목록 겸용)</t>
  </si>
  <si>
    <t>FACTORY, PROGRAM, PROGRAM_REV, PARAM_NAME</t>
  </si>
  <si>
    <t>TD 컬럼 자동 등록 (TD_TABLE), Program Parameter Spec Define, Map View / Param Analysis / PCM Report Spec 표시, E-Test LSL / USL 보정</t>
  </si>
  <si>
    <t>TQP_DATA_TABLES, TQP_WAFER</t>
  </si>
  <si>
    <t>TQP_PARASPEC.xml</t>
  </si>
  <si>
    <t>TQP_PCM_INPUT_HIS</t>
  </si>
  <si>
    <t>PCM 설비 Probe Card / 작업자 입력 이력</t>
  </si>
  <si>
    <t>FACTORY, EQUIP_ID, INPUT_TIME</t>
  </si>
  <si>
    <t>PCM Equip Status (frmPcmEquipStatus) 입력 / 조회, Probe Card 사용 시간 계산 (TQC_EQUIP.xml)</t>
  </si>
  <si>
    <t>TQC_EQUIP</t>
  </si>
  <si>
    <t>TQP_PCM_INPUT_HIS.xml</t>
  </si>
  <si>
    <t>TQP_PRODUCT</t>
  </si>
  <si>
    <t>Wafer Map 별 Product 관리 (Product 와 Map ID 연결)</t>
  </si>
  <si>
    <t>FACTORY, PRODUCT</t>
  </si>
  <si>
    <t>적재 때 자동 등록 (TestCommon.InsertProductInfo), Device 조회 조건, Wafer 조회 (SELECT_WAFER_INFO_05 / 06), YMS MAP Parser</t>
  </si>
  <si>
    <t>TQP_LOT, TQP_MAPDEF, TQP_PROGRAM</t>
  </si>
  <si>
    <t>TQP_PRODUCT.xml</t>
  </si>
  <si>
    <t>TQP_PROGRAM</t>
  </si>
  <si>
    <t>Test Program 정보 (Program 별 TestArea / Device)</t>
  </si>
  <si>
    <t>FACTORY, PROGRAM, TESTAREA, DEVICE</t>
  </si>
  <si>
    <t>적재 때 자동 등록 (TestCommon.InsertProgramInfo), TestArea / Program 조회 조건 목록, Program Define, Standard Report</t>
  </si>
  <si>
    <t>TQP_BINDESC, TQP_PRODUCT</t>
  </si>
  <si>
    <t>TQP_PROGRAM.xml</t>
  </si>
  <si>
    <t>TQP_USEMAP</t>
  </si>
  <si>
    <t>Map 의 Die 목록 (Die Index / 사용 구분)</t>
  </si>
  <si>
    <t>FACTORY, MAPID, PROGRAM_REV, X, Y</t>
  </si>
  <si>
    <t>Map Define / File Map Setup 저장 (CreateUseMap), Wafer Map View, KLARF 업로드 Map 기준, AVI Map 조회</t>
  </si>
  <si>
    <t>TQP_USEMAP.xml</t>
  </si>
  <si>
    <t>TQP_VISUALINSPSPEC</t>
  </si>
  <si>
    <t>육안 / 외관검사 불량 코드(Bin) 정의 (검사 유형 별)</t>
  </si>
  <si>
    <t>Visual Inspection Define (frmVisualInspDefine), 육안검사 Map 편집 단축키, AVI / IQC Bin 분포 (T_AVI_TABLE.xml)</t>
  </si>
  <si>
    <t>TQP_VISUALINSPSPEC.xml</t>
  </si>
  <si>
    <t>TQP_WAFER</t>
  </si>
  <si>
    <t>YMS Test Wafer 정보 (Wafer 1회 측정 = 1건, 재측정은 PROBE_CNT 로 구분)</t>
  </si>
  <si>
    <t>FACTORY, WAFER_SEQ</t>
  </si>
  <si>
    <t>CP / PCM / AVI DataService 적재, E-Test 업로드 YMS 적재, Scope 수동 업로드, TEST Data Maint, Param Analysis / Test Report 조회, RPNet TSK Map 생성</t>
  </si>
  <si>
    <t>TD_08EYP1, TD_52PX, TD_89CP, TD_KA36_CP2, TD_OMM_TSVET, TQP_DATA_TABLES, TQP_FOI_DIE, TQP_LOT, TQP_MAPCFG, TQP_PARASPEC, TQP_WAFER_SUM</t>
  </si>
  <si>
    <t>TQP_WAFER.xml</t>
  </si>
  <si>
    <t>Wafer 별 Test 요약 (수율 / Bin 별 Die 수, 분석 화면 Wafer 목록)</t>
  </si>
  <si>
    <t>FACILITY, WAFER_SEQ</t>
  </si>
  <si>
    <t>적재 후 요약 생성 (TestCommon.SummaryData), TEST Analysis Wafer 선택 목록, Yield / Wafer Cum / Wafer Bin Report, Map Control Update, DMS Defect-Test 매칭</t>
  </si>
  <si>
    <t>TQP_BINDESC, TQP_FOI_DIE, TQP_FOI_IMAGES, TQP_LOT, TQP_MAPCFG, TQP_MAPDEF, TQP_WAFER</t>
  </si>
  <si>
    <t>TQP_WAFER_SUM.xml</t>
  </si>
  <si>
    <t>합계</t>
  </si>
  <si>
    <t>테이블 명세서</t>
  </si>
  <si>
    <t>&lt;- 테이블 목록</t>
  </si>
  <si>
    <t>YMS</t>
  </si>
  <si>
    <t>스키마</t>
  </si>
  <si>
    <t>DMSMGR</t>
  </si>
  <si>
    <t>SYS_C008190 (WAFER_SEQ, DIE_NUM)</t>
  </si>
  <si>
    <t>컬럼명</t>
  </si>
  <si>
    <t>컬럼 설명</t>
  </si>
  <si>
    <t>NULL</t>
  </si>
  <si>
    <t>PK</t>
  </si>
  <si>
    <t>기본값</t>
  </si>
  <si>
    <t>WAFER_SEQ</t>
  </si>
  <si>
    <t>Wafer 번호 (TQP_WAFER.WAFER_SEQ)</t>
  </si>
  <si>
    <t>NUMBER</t>
  </si>
  <si>
    <t>N</t>
  </si>
  <si>
    <t>소스</t>
  </si>
  <si>
    <t>DIE_NUM</t>
  </si>
  <si>
    <t>Die 순번 (파일 Die 행 순서 1 ~ N)</t>
  </si>
  <si>
    <t>DIEPROBE_CNT</t>
  </si>
  <si>
    <t>Die 재측정 순번 (적재 때 0)</t>
  </si>
  <si>
    <t>Y</t>
  </si>
  <si>
    <t>X</t>
  </si>
  <si>
    <t>Die X Index (CP 파일 좌표, Map 보정 설정이 있으면 적용)</t>
  </si>
  <si>
    <t>Die Y Index (CP 파일 좌표, Map 보정 설정이 있으면 적용)</t>
  </si>
  <si>
    <t>BIN</t>
  </si>
  <si>
    <t>Die Bin 번호 (TQP_BINDESC.BIN, 요약은 0 ~ 99 만 집계)</t>
  </si>
  <si>
    <t>제약 조건</t>
  </si>
  <si>
    <t>구분</t>
  </si>
  <si>
    <t>제약 이름</t>
  </si>
  <si>
    <t>컬럼</t>
  </si>
  <si>
    <t>SYS_C008190</t>
  </si>
  <si>
    <t>기본 키</t>
  </si>
  <si>
    <t>인덱스</t>
  </si>
  <si>
    <t>유일</t>
  </si>
  <si>
    <t>인덱스 이름</t>
  </si>
  <si>
    <t>용도</t>
  </si>
  <si>
    <t>UNIQUE</t>
  </si>
  <si>
    <t>(없음)</t>
  </si>
  <si>
    <t>-</t>
  </si>
  <si>
    <t>SYS_C008142 (WAFER_SEQ, DIE_NUM)</t>
  </si>
  <si>
    <t>SYS_C008142</t>
  </si>
  <si>
    <t>SYS_C008120 (WAFER_SEQ, DIE_NUM)</t>
  </si>
  <si>
    <t>SYS_C008120</t>
  </si>
  <si>
    <t>PK_TQP_BINDESC (PROGRAM, BIN)</t>
  </si>
  <si>
    <t>PROGRAM</t>
  </si>
  <si>
    <t>Test Program (TQP_PROGRAM.PROGRAM, AVI 는 'AVI')</t>
  </si>
  <si>
    <t>VARCHAR2(50)</t>
  </si>
  <si>
    <t>Bin 번호 (TD 테이블 BIN 값)</t>
  </si>
  <si>
    <t>BIN_GROUP</t>
  </si>
  <si>
    <t>Bin 그룹 (옛 조회 쿼리 주석상 Hard Bin, 현재 저장 안 함)</t>
  </si>
  <si>
    <t>BIN_NAME</t>
  </si>
  <si>
    <t>Bin 이름 (E-Test 는 'HW2 SW2001' 형식)</t>
  </si>
  <si>
    <t>VARCHAR2(30)</t>
  </si>
  <si>
    <t>CHAR_BIN</t>
  </si>
  <si>
    <t>Map 표시 문자 (AVI 는 원본 Bin 문자)</t>
  </si>
  <si>
    <t>HIGH_GEC</t>
  </si>
  <si>
    <t>양품 Bin 여부 (Y = Good, 수율 GEC 계산)</t>
  </si>
  <si>
    <t>CHAR(1)</t>
  </si>
  <si>
    <t>DISPLAY</t>
  </si>
  <si>
    <t>표시 여부 (Y / N)</t>
  </si>
  <si>
    <t>UPPER_LIMIT_CNT</t>
  </si>
  <si>
    <t>Bin Die 수 상한 (Bin 분포 조회에 표시)</t>
  </si>
  <si>
    <t>LOWER_LIMIT_CNT</t>
  </si>
  <si>
    <t>Bin Die 수 하한 (Bin 분포 조회에 표시)</t>
  </si>
  <si>
    <t>COLOR</t>
  </si>
  <si>
    <t>Map 표시 색 (HTML '#RRGGBB')</t>
  </si>
  <si>
    <t>VARCHAR2(9)</t>
  </si>
  <si>
    <t>DESCRIPTION</t>
  </si>
  <si>
    <t>Bin 설명 (E-Test 는 HW / SW Bin 설명)</t>
  </si>
  <si>
    <t>VARCHAR2(100)</t>
  </si>
  <si>
    <t>PK_TQP_BINDESC</t>
  </si>
  <si>
    <t>PK_TQP_CHANGE_HIS (TRAN_KEY)</t>
  </si>
  <si>
    <t>이력 키 = 변경 시각 (SYSTIMESTAMP 'YYYYMMDDHH24MISSFF')</t>
  </si>
  <si>
    <t>VARCHAR2(20)</t>
  </si>
  <si>
    <t>FACTORY</t>
  </si>
  <si>
    <t>Factory (로그인 Factory)</t>
  </si>
  <si>
    <t>TESTAREA</t>
  </si>
  <si>
    <t>TestArea (화면 선택값)</t>
  </si>
  <si>
    <t>PRODUCT</t>
  </si>
  <si>
    <t>Device (화면 선택값)</t>
  </si>
  <si>
    <t>Test Program (화면 선택값)</t>
  </si>
  <si>
    <t>LOT_ID</t>
  </si>
  <si>
    <t>Lot ID (화면 선택값)</t>
  </si>
  <si>
    <t>WAFER_ID</t>
  </si>
  <si>
    <t>Wafer ID (화면 표시 'ID (재측정 순번)' 형식)</t>
  </si>
  <si>
    <t>TRAN_USER</t>
  </si>
  <si>
    <t>변경한 사용자 ID</t>
  </si>
  <si>
    <t>TRAN_USER_IP</t>
  </si>
  <si>
    <t>변경한 PC IP</t>
  </si>
  <si>
    <t>TRAN_CATEGORY</t>
  </si>
  <si>
    <t>변경 대상 (RAWDATA / WAFER / LOT / FILE_UPLOAD)</t>
  </si>
  <si>
    <t>TRAN_TYPE</t>
  </si>
  <si>
    <t>변경 유형 (INSERT / UPDATE / DELETE / CHANGE_PROGRAM)</t>
  </si>
  <si>
    <t>TRAN_COUNT</t>
  </si>
  <si>
    <t>변경 건수 (RAWDATA 는 수정 행 수, 그 외 1)</t>
  </si>
  <si>
    <t>PREV_VALUE</t>
  </si>
  <si>
    <t>변경 전 값 (Lot / Wafer ID, Program 등)</t>
  </si>
  <si>
    <t>CURR_VALUE</t>
  </si>
  <si>
    <t>변경 후 값</t>
  </si>
  <si>
    <t>USER_COMMENT</t>
  </si>
  <si>
    <t>사용자 입력 변경 사유</t>
  </si>
  <si>
    <t>VARCHAR2(200)</t>
  </si>
  <si>
    <t>PK_TQP_CHANGE_HIS</t>
  </si>
  <si>
    <t>PK_TQP_CUSTOMER (CUSTOMER_ID)</t>
  </si>
  <si>
    <t>고객 ID (MAP Parser 가 TQP_PRODUCT.CUSTOMER_ID 로 복사)</t>
  </si>
  <si>
    <t>CUSTOMER_NAME</t>
  </si>
  <si>
    <t>고객 이름</t>
  </si>
  <si>
    <t>이름 추정</t>
  </si>
  <si>
    <t>CUSTOMER_DESC</t>
  </si>
  <si>
    <t>고객 설명</t>
  </si>
  <si>
    <t>DATA_SERVICE</t>
  </si>
  <si>
    <t>Data 서비스 사용 여부 (숫자 1자리)</t>
  </si>
  <si>
    <t>NUMBER(1)</t>
  </si>
  <si>
    <t>USER_COUNT</t>
  </si>
  <si>
    <t>사용자 수</t>
  </si>
  <si>
    <t>NUMBER(2)</t>
  </si>
  <si>
    <t>EXPIRE_DATE</t>
  </si>
  <si>
    <t>만료 일자</t>
  </si>
  <si>
    <t>DATE</t>
  </si>
  <si>
    <t>FTPSITE</t>
  </si>
  <si>
    <t>FTP 서버 주소</t>
  </si>
  <si>
    <t>FTPUSER</t>
  </si>
  <si>
    <t>FTP 사용자</t>
  </si>
  <si>
    <t>FTPPASSWORD</t>
  </si>
  <si>
    <t>FTP 비밀번호 (평문 컬럼)</t>
  </si>
  <si>
    <t>FTPPATH</t>
  </si>
  <si>
    <t>FTP 경로</t>
  </si>
  <si>
    <t>SENDTIME</t>
  </si>
  <si>
    <t>전송 시각 설정</t>
  </si>
  <si>
    <t>AVIFORMAT</t>
  </si>
  <si>
    <t>AVI 결과 파일 형식</t>
  </si>
  <si>
    <t>EDSFORMAT</t>
  </si>
  <si>
    <t>EDS 결과 파일 형식</t>
  </si>
  <si>
    <t>INKLESSFORMAT</t>
  </si>
  <si>
    <t>Inkless Map 파일 형식</t>
  </si>
  <si>
    <t>RAWDATA</t>
  </si>
  <si>
    <t>Raw Data 형식 / 경로</t>
  </si>
  <si>
    <t>PK_TQP_CUSTOMER</t>
  </si>
  <si>
    <t>PK_TQP_DATA_TABLES (FACTORY, PROGRAM, TABLE_NAME)</t>
  </si>
  <si>
    <t>Factory (예 SCK)</t>
  </si>
  <si>
    <t>VARCHAR2(14)</t>
  </si>
  <si>
    <t>Test Program (TQP_PROGRAM.PROGRAM)</t>
  </si>
  <si>
    <t>TABLE_NAME</t>
  </si>
  <si>
    <t>TD 테이블 이름 (TD_&lt;PROGRAM&gt;, 900 컬럼 넘으면 A / B 접미어)</t>
  </si>
  <si>
    <t>PK_TQP_DATA_TABLES</t>
  </si>
  <si>
    <t>TQP_FOI_DIE_PK (WAFER_SEQ, DIE_NUM)</t>
  </si>
  <si>
    <t>Die 순번 (적재 행 순서 1 ~ N)</t>
  </si>
  <si>
    <t>TEST_AREA</t>
  </si>
  <si>
    <t>TestArea ('AVI' 고정)</t>
  </si>
  <si>
    <t>Die 재측정 순번 (0 고정)</t>
  </si>
  <si>
    <t>Die X Index</t>
  </si>
  <si>
    <t>Die Y Index</t>
  </si>
  <si>
    <t>외관검사 Bin (숫자 아닌 원본 Bin 은 99, Scope Bin 우선)</t>
  </si>
  <si>
    <t>BIN_CHAR</t>
  </si>
  <si>
    <t>원본 Bin 문자</t>
  </si>
  <si>
    <t>IMAGE_PATH</t>
  </si>
  <si>
    <t>Scope 이미지 경로</t>
  </si>
  <si>
    <t>THUMB_PATH</t>
  </si>
  <si>
    <t>썸네일 경로 (현재 비움)</t>
  </si>
  <si>
    <t>IMAGE_FILE_NAME</t>
  </si>
  <si>
    <t>Scope 이미지 파일 이름</t>
  </si>
  <si>
    <t>THUMB_FILENAME</t>
  </si>
  <si>
    <t>썸네일 파일 이름 (현재 비움)</t>
  </si>
  <si>
    <t>TQP_FOI_DIE_PK</t>
  </si>
  <si>
    <t>IDX_TQP_FOI_DIE_01</t>
  </si>
  <si>
    <t>이미지 Die 의 Bin</t>
  </si>
  <si>
    <t>서버 이미지 경로</t>
  </si>
  <si>
    <t>로컬 이미지 파일 이름</t>
  </si>
  <si>
    <t>IDX_TQP_FOI_IMAGES_01</t>
  </si>
  <si>
    <t>PK_TQP_LOT (FACTORY, LOT_SEQ)</t>
  </si>
  <si>
    <t>Factory (서비스 / 로그인 Factory, 예 SCK)</t>
  </si>
  <si>
    <t>VARCHAR2(10)</t>
  </si>
  <si>
    <t>TQP_MAPDEF, TQP_PRODUCT</t>
  </si>
  <si>
    <t>Lot 번호 (LOT_SEQ 시퀀스, DMS TQD_LOT 과 같은 시퀀스)</t>
  </si>
  <si>
    <t>NUMBER(15)</t>
  </si>
  <si>
    <t>Lot ID (STDF MIR.LOT_ID)</t>
  </si>
  <si>
    <t>TQC_LOT_STS</t>
  </si>
  <si>
    <t>LOT_TYPE</t>
  </si>
  <si>
    <t>Lot 유형 (이관 컬럼, 현재 값 없음)</t>
  </si>
  <si>
    <t>FABLOT</t>
  </si>
  <si>
    <t>Fab Lot ID (이관 데이터만 값 있음)</t>
  </si>
  <si>
    <t>Test 공정 (MULTIPROBE / PARAMETRIC / POSTLASER / AVI / TSVET 등)</t>
  </si>
  <si>
    <t>TEST_TYPE</t>
  </si>
  <si>
    <t>Test 유형 (이관 데이터만, STDF MIR.TEST_COD)</t>
  </si>
  <si>
    <t>LOG_POINT</t>
  </si>
  <si>
    <t>Log Point (이관 데이터만 값 있음)</t>
  </si>
  <si>
    <t>OPERATION</t>
  </si>
  <si>
    <t>공정 Operation (현재 값 없음)</t>
  </si>
  <si>
    <t>Test Program (TQP_PROGRAM.PROGRAM, E-Test 는 Device_공정)</t>
  </si>
  <si>
    <t>DEVICE</t>
  </si>
  <si>
    <t>Device (CP / PCM: MES MAT_ID, E-Test: 파일 Device)</t>
  </si>
  <si>
    <t>SMS_DEVICE</t>
  </si>
  <si>
    <t>SMS Device (이관 데이터만 값 있음)</t>
  </si>
  <si>
    <t>SMS_ITEM_ID</t>
  </si>
  <si>
    <t>SMS Item ID (이관 컬럼)</t>
  </si>
  <si>
    <t>DEVICE_ALIAS</t>
  </si>
  <si>
    <t>Device Alias = Map ID (CP: MES MASK_ID, E-Test: Map ID)</t>
  </si>
  <si>
    <t>FAMILY</t>
  </si>
  <si>
    <t>Device Family (STDF MIR.FAMLY_ID, 현재 값 없음)</t>
  </si>
  <si>
    <t>START_TIME</t>
  </si>
  <si>
    <t>Lot 시작 일시 (처음 적재한 Wafer 의 시작 일시)</t>
  </si>
  <si>
    <t>END_TIME</t>
  </si>
  <si>
    <t>Lot 종료 일시 (마지막 적재 Wafer 의 종료 일시로 갱신)</t>
  </si>
  <si>
    <t>WAFER_DIAM</t>
  </si>
  <si>
    <t>Wafer 지름 mm (200 / 300, E-Test 는 Map WAFER_SIZE / 1000)</t>
  </si>
  <si>
    <t>COMMENTS</t>
  </si>
  <si>
    <t>비고 (이관 컬럼, 현재 값 없음)</t>
  </si>
  <si>
    <t>VARCHAR2(40)</t>
  </si>
  <si>
    <t>MERGE_FLAG</t>
  </si>
  <si>
    <t>Merge 여부 (이관 컬럼, 현재 값 없음)</t>
  </si>
  <si>
    <t>21 ~ 25</t>
  </si>
  <si>
    <t>CMF_FIELD01 ~ CMF_FIELD05 (5개)</t>
  </si>
  <si>
    <t>사용자 정의 필드 01 ~ 05 (현재 미사용)</t>
  </si>
  <si>
    <t>OLD_LOT_SEQ</t>
  </si>
  <si>
    <t>이전 YMS LOT_SEQ (이관 원본 LOT.LOT_SEQ)</t>
  </si>
  <si>
    <t>NUMBER(10)</t>
  </si>
  <si>
    <t>PK_TQP_LOT</t>
  </si>
  <si>
    <t>IDX_TQP_LOT_01</t>
  </si>
  <si>
    <t>IDX_TQP_LOT_02</t>
  </si>
  <si>
    <t>END_TIME, TEST_AREA</t>
  </si>
  <si>
    <t>PK_TQP_LOT_SUM (LOT_SEQ)</t>
  </si>
  <si>
    <t>CUSTOMER</t>
  </si>
  <si>
    <t>고객 (생성 때 'DB', CP 적재는 MES Lot 고객으로 갱신)</t>
  </si>
  <si>
    <t>FACILITY</t>
  </si>
  <si>
    <t>Device (TQP_LOT.DEVICE)</t>
  </si>
  <si>
    <t>Device Alias = Map ID</t>
  </si>
  <si>
    <t>TestArea</t>
  </si>
  <si>
    <t>Test Program</t>
  </si>
  <si>
    <t>MOTHER_LOT_ID</t>
  </si>
  <si>
    <t>모 Lot ID (LOT_ID 와 같은 값 저장)</t>
  </si>
  <si>
    <t>Lot ID</t>
  </si>
  <si>
    <t>Lot 번호 (TQP_LOT.LOT_SEQ)</t>
  </si>
  <si>
    <t>Lot 첫 Wafer 시작 일시 (Wafer 요약 MIN)</t>
  </si>
  <si>
    <t>Lot 마지막 Wafer 종료 일시 (Wafer 요약 MAX)</t>
  </si>
  <si>
    <t>LOSS_DIE</t>
  </si>
  <si>
    <t>Loss Die 수 합 (Wafer 요약 LOSS_DIE 합)</t>
  </si>
  <si>
    <t>TESTED_DIE</t>
  </si>
  <si>
    <t>측정 Die 수 합</t>
  </si>
  <si>
    <t>YIELD</t>
  </si>
  <si>
    <t>Lot 수율 % (BIN1 합 / 측정 Die 합 x 100)</t>
  </si>
  <si>
    <t>FTA</t>
  </si>
  <si>
    <t>FTA 수치 (용도 미확인, 값 없음)</t>
  </si>
  <si>
    <t>GEC</t>
  </si>
  <si>
    <t>Good Die 수 합</t>
  </si>
  <si>
    <t>WAFERS</t>
  </si>
  <si>
    <t>Wafer 수 (PROBE_CNT 0 기준)</t>
  </si>
  <si>
    <t>18 ~ 168</t>
  </si>
  <si>
    <t>BIN0 ~ BIN150 (151개)</t>
  </si>
  <si>
    <t>Bin 번호별 Die 수 합 (BIN0 ~ BIN150, 생성 때 Bin 0 ~ 99 만 채움)</t>
  </si>
  <si>
    <t>PK_TQP_LOT_SUM</t>
  </si>
  <si>
    <t>TQP_MAPCFG_PK (MAP_CFG_SEQ)</t>
  </si>
  <si>
    <t>보정 설정 번호 (MAP_CFG_SEQ 시퀀스)</t>
  </si>
  <si>
    <t>REV_NO</t>
  </si>
  <si>
    <t>보정 설정 Revision (같은 TestArea / Device / Program 안)</t>
  </si>
  <si>
    <t>적용 TestArea</t>
  </si>
  <si>
    <t>적용 Device Alias (Map ID)</t>
  </si>
  <si>
    <t>적용 Program ('%' 패턴 가능, 'ALL' = 전체)</t>
  </si>
  <si>
    <t>ALTER_DIRECTION</t>
  </si>
  <si>
    <t>좌표 뒤집기 (LL 그대로 / TL Y 반전 / LR X 반전 / TR X / Y 반전)</t>
  </si>
  <si>
    <t>ALTER_ANGLE</t>
  </si>
  <si>
    <t>회전 각도 (0 / 90 / 270)</t>
  </si>
  <si>
    <t>ALTER_INDEX_X</t>
  </si>
  <si>
    <t>X Index 이동량</t>
  </si>
  <si>
    <t>ALTER_INDEX_Y</t>
  </si>
  <si>
    <t>Y Index 이동량</t>
  </si>
  <si>
    <t>CREATE_USER</t>
  </si>
  <si>
    <t>생성 사용자 ID</t>
  </si>
  <si>
    <t>CREATE_TIME</t>
  </si>
  <si>
    <t>생성 일시</t>
  </si>
  <si>
    <t>UPDATE_USER</t>
  </si>
  <si>
    <t>수정 사용자 ID</t>
  </si>
  <si>
    <t>UPDATE_TIME</t>
  </si>
  <si>
    <t>수정 일시</t>
  </si>
  <si>
    <t>사용자 설명 (삭제 때 사유 기록)</t>
  </si>
  <si>
    <t>VARCHAR2(500)</t>
  </si>
  <si>
    <t>DELETE_FLAG</t>
  </si>
  <si>
    <t>삭제 여부 (Y 삭제, 기본 N)</t>
  </si>
  <si>
    <t>VARCHAR2(1)</t>
  </si>
  <si>
    <t>'N'</t>
  </si>
  <si>
    <t>TQP_MAPCFG_PK</t>
  </si>
  <si>
    <t>IDX_TQP_MAPCFG_01</t>
  </si>
  <si>
    <t>TESTAREA, DEVICE_ALIAS, PROGRAM</t>
  </si>
  <si>
    <t>PK_TQP_MAPCFG</t>
  </si>
  <si>
    <t>Factory (기본값 'SCK')</t>
  </si>
  <si>
    <t>'SCK'</t>
  </si>
  <si>
    <t>MAPID</t>
  </si>
  <si>
    <t>Map ID (= TQP_LOT.DEVICE_ALIAS / TQP_PRODUCT.MAPID)</t>
  </si>
  <si>
    <t>WAFER_SIZE</t>
  </si>
  <si>
    <t>Wafer 지름 µm (200000 / 300000)</t>
  </si>
  <si>
    <t>설계 문서</t>
  </si>
  <si>
    <t>CHIP_SIZE_X</t>
  </si>
  <si>
    <t>Die 크기(Pitch) X, µm</t>
  </si>
  <si>
    <t>CHIP_SIZE_Y</t>
  </si>
  <si>
    <t>Die 크기(Pitch) Y, µm</t>
  </si>
  <si>
    <t>ORIGIN_MICRO_X</t>
  </si>
  <si>
    <t>원점 위치 X, µm (KLARF SampleCenterLocation X)</t>
  </si>
  <si>
    <t>ORIGIN_MICRO_Y</t>
  </si>
  <si>
    <t>원점 Y 저장값 µm (= CHIP_SIZE_Y - 원점 Y, 조회 때 되돌림)</t>
  </si>
  <si>
    <t>ORIGIN_INDEX_X</t>
  </si>
  <si>
    <t>원점 Die X Index (TQD_SETUP.DIE_ORIGIN_X 와 같음)</t>
  </si>
  <si>
    <t>ORIGIN_INDEX_Y</t>
  </si>
  <si>
    <t>원점 Die Y Index (TQD_SETUP.DIE_ORIGIN_Y 와 같음)</t>
  </si>
  <si>
    <t>FIRST_MICRO_X</t>
  </si>
  <si>
    <t>첫 Die 위치 X, µm (첫 Die Index x Die 크기)</t>
  </si>
  <si>
    <t>FIRST_MICRO_Y</t>
  </si>
  <si>
    <t>첫 Die 위치 Y, µm (첫 Die Index x Die 크기)</t>
  </si>
  <si>
    <t>FIRST_INDEX_X</t>
  </si>
  <si>
    <t>첫 Die X Index</t>
  </si>
  <si>
    <t>FIRST_INDEX_Y</t>
  </si>
  <si>
    <t>첫 Die Y Index</t>
  </si>
  <si>
    <t>EDGE_SIZE</t>
  </si>
  <si>
    <t>Edge 제외 폭, mm (기존 2.5 ~ 5)</t>
  </si>
  <si>
    <t>ANGLE</t>
  </si>
  <si>
    <t>Notch 방향 각도 (0 아래 / 90 왼쪽 / 180 위 / 270 오른쪽)</t>
  </si>
  <si>
    <t>NETDIE</t>
  </si>
  <si>
    <t>Map 사용 Die 수 (Wafer 요약 수율 분모)</t>
  </si>
  <si>
    <t>NETSHOT</t>
  </si>
  <si>
    <t>Shot 수 (현재 저장 안 함, 기존 Map 값만 있음)</t>
  </si>
  <si>
    <t>NOTCH_TYPE</t>
  </si>
  <si>
    <t>Notch 종류 (0 Notch / 1 Flat)</t>
  </si>
  <si>
    <t>ST_START</t>
  </si>
  <si>
    <t>Shot 시작 위치 코드 (현재 저장 때 0)</t>
  </si>
  <si>
    <t>ST_INTYPE</t>
  </si>
  <si>
    <t>Shot 입력 방식 (현재 저장 때 0)</t>
  </si>
  <si>
    <t>ST_XCNT</t>
  </si>
  <si>
    <t>Shot 당 X Die 수 (현재 저장 때 0)</t>
  </si>
  <si>
    <t>NUMBER(5)</t>
  </si>
  <si>
    <t>ST_YCNT</t>
  </si>
  <si>
    <t>Shot 당 Y Die 수 (현재 저장 때 0)</t>
  </si>
  <si>
    <t>ST_START_X</t>
  </si>
  <si>
    <t>Shot 시작 X Index (현재 저장 때 0)</t>
  </si>
  <si>
    <t>ST_START_Y</t>
  </si>
  <si>
    <t>Shot 시작 Y Index (현재 저장 때 0)</t>
  </si>
  <si>
    <t>DIE_INDEX_MIN_X</t>
  </si>
  <si>
    <t>Die X Index 최소값 (Wafer 전체 격자)</t>
  </si>
  <si>
    <t>DIE_INDEX_MAX_X</t>
  </si>
  <si>
    <t>Die X Index 최대값 (Wafer 전체 격자)</t>
  </si>
  <si>
    <t>DIE_INDEX_MIN_Y</t>
  </si>
  <si>
    <t>Die Y Index 최소값 (Wafer 전체 격자)</t>
  </si>
  <si>
    <t>DIE_INDEX_MAX_Y</t>
  </si>
  <si>
    <t>Die Y Index 최대값 (Wafer 전체 격자)</t>
  </si>
  <si>
    <t>XY_DIRECTION</t>
  </si>
  <si>
    <t>Index 방향 (0 LeftTop / 1 LeftBottom / 2 RightBottom / 3 RightTop)</t>
  </si>
  <si>
    <t>0</t>
  </si>
  <si>
    <t>REFERENCEDIE_SETTING</t>
  </si>
  <si>
    <t>기준 Die 설정 (TSK Map 헤더 값, 원점 계산 방식, 기본 2)</t>
  </si>
  <si>
    <t>2</t>
  </si>
  <si>
    <t>삭제 여부 (Y 삭제 또는 사용자 Map, 기본 N)</t>
  </si>
  <si>
    <t>INSERT_TIME</t>
  </si>
  <si>
    <t>INSERT_USER</t>
  </si>
  <si>
    <t>USER_REF_X</t>
  </si>
  <si>
    <t>사용자 지정 X Ref Vector, mm (RPNet TSK Map 생성, 없으면 계산)</t>
  </si>
  <si>
    <t>NUMBER(15,5)</t>
  </si>
  <si>
    <t>USER_REF_Y</t>
  </si>
  <si>
    <t>사용자 지정 Y Ref Vector, mm (RPNet TSK Map 생성, 없으면 계산)</t>
  </si>
  <si>
    <t>PK_TQP_MAPDEF_DIE (FACTORY, MAPID, DIE_TYPE, DIE_NO)</t>
  </si>
  <si>
    <t>Map ID (TQP_MAPDEF.MAPID)</t>
  </si>
  <si>
    <t>DIE_TYPE</t>
  </si>
  <si>
    <t>구분 (DIE = Map Die / SHOT = Shot)</t>
  </si>
  <si>
    <t>DIE_NO</t>
  </si>
  <si>
    <t>Die / Shot 번호</t>
  </si>
  <si>
    <t>INDEX_X</t>
  </si>
  <si>
    <t>INDEX_Y</t>
  </si>
  <si>
    <t>PK_TQP_MAPDEF_DIE</t>
  </si>
  <si>
    <t>IDX_TQP_MAPDEF_DIE_01</t>
  </si>
  <si>
    <t>PK_TQP_PARASPEC (FACTORY, PROGRAM, PROGRAM_REV, PARAM_NAME)</t>
  </si>
  <si>
    <t>PROGRAM_REV</t>
  </si>
  <si>
    <t>Parameter 정의 Revision (현재 0, TQP_WAFER.PROGRAM_REV 와 연결)</t>
  </si>
  <si>
    <t>PARAM_INDEX</t>
  </si>
  <si>
    <t>TD 테이블 안 컬럼 순번 (1부터, 이관 데이터는 X -1 / Y 0)</t>
  </si>
  <si>
    <t>PARAM_NAME</t>
  </si>
  <si>
    <t>Parameter 이름 = TD 테이블 컬럼 이름 (X / Y / BIN 포함)</t>
  </si>
  <si>
    <t>USER_PROGRAM_NAME</t>
  </si>
  <si>
    <t>사용자 Parameter 이름 (화면 'User Parameter Name', 값 없음)</t>
  </si>
  <si>
    <t>PARAM_TYPE</t>
  </si>
  <si>
    <t>값 형식 (FLOAT / INT, X / Y / BIN 은 INT)</t>
  </si>
  <si>
    <t>PARAM_DESC</t>
  </si>
  <si>
    <t>Parameter 설명 (E-Test 는 파일 헤더 원문)</t>
  </si>
  <si>
    <t>Parameter 컬럼이 있는 TD 테이블 이름</t>
  </si>
  <si>
    <t>DECIMAL_PLACES</t>
  </si>
  <si>
    <t>표시 소수 자리수 (자동 등록 0)</t>
  </si>
  <si>
    <t>RUNTIME_DEFINED</t>
  </si>
  <si>
    <t>적재 중 자동 등록 여부 (자동 등록 1)</t>
  </si>
  <si>
    <t>UOM</t>
  </si>
  <si>
    <t>단위 (예 V / uA)</t>
  </si>
  <si>
    <t>LSL</t>
  </si>
  <si>
    <t>Spec 하한 (Map Spec 색 / 차트 선)</t>
  </si>
  <si>
    <t>TARGET</t>
  </si>
  <si>
    <t>목표값 (PCM Report 표시)</t>
  </si>
  <si>
    <t>USL</t>
  </si>
  <si>
    <t>Spec 상한 (Map Spec 색 / 차트 선)</t>
  </si>
  <si>
    <t>LCL</t>
  </si>
  <si>
    <t>관리 하한 (Map View / PCM Report 표시)</t>
  </si>
  <si>
    <t>UCL</t>
  </si>
  <si>
    <t>관리 상한 (Map View / PCM Report 표시)</t>
  </si>
  <si>
    <t>LOL</t>
  </si>
  <si>
    <t>Outlier 하한 추정 (설정 화면 속성만, 값 없음)</t>
  </si>
  <si>
    <t>UOL</t>
  </si>
  <si>
    <t>Outlier 상한 추정 (설정 화면 속성만, 값 없음)</t>
  </si>
  <si>
    <t>LTL</t>
  </si>
  <si>
    <t>Test Limit 하한 (Map View 표시, FAB2 PCM 재측정 값 치환 판정)</t>
  </si>
  <si>
    <t>UTL</t>
  </si>
  <si>
    <t>Test Limit 상한 (Map View 표시, FAB2 PCM 재측정 값 치환 판정)</t>
  </si>
  <si>
    <t>TEST_LOW</t>
  </si>
  <si>
    <t>통계 대상 값 하한 (밖의 값은 통계 제외)</t>
  </si>
  <si>
    <t>TEST_HIGH</t>
  </si>
  <si>
    <t>통계 대상 값 상한 (밖의 값은 통계 제외)</t>
  </si>
  <si>
    <t>PPD_SEQ</t>
  </si>
  <si>
    <t>이전 YMS Parameter 정의 번호 (이관 원본 PROGRAM_PARM_DEF.PPD_SEQ)</t>
  </si>
  <si>
    <t>USE_FLAG</t>
  </si>
  <si>
    <t>사용 여부 (Y / N, 기본 Y)</t>
  </si>
  <si>
    <t>'Y'</t>
  </si>
  <si>
    <t>ITEM_LEVEL</t>
  </si>
  <si>
    <t>Parameter 등급 (이관 값 WAC / IWAC / ENG / MON, 소스 미사용)</t>
  </si>
  <si>
    <t>VARCHAR2(5)</t>
  </si>
  <si>
    <t>PK_TQP_PARASPEC</t>
  </si>
  <si>
    <t>IDX_TQP_PARASPEC_01</t>
  </si>
  <si>
    <t>TABLE_NAME, PROGRAM</t>
  </si>
  <si>
    <t>PK_TQP_PCM_INPUT_HIS (FACTORY, EQUIP_ID, INPUT_TIME)</t>
  </si>
  <si>
    <t>EQUIP_ID</t>
  </si>
  <si>
    <t>PCM 설비 ID (TQC_EQUIP.EQUIP_ID)</t>
  </si>
  <si>
    <t>INPUT_TIME</t>
  </si>
  <si>
    <t>입력 일시 (SYSDATE)</t>
  </si>
  <si>
    <t>PROBE_CARD</t>
  </si>
  <si>
    <t>입력한 Probe Card ID</t>
  </si>
  <si>
    <t>OPERATOR</t>
  </si>
  <si>
    <t>입력한 작업자</t>
  </si>
  <si>
    <t>INPUT_USER_ID</t>
  </si>
  <si>
    <t>입력한 로그인 사용자 ID</t>
  </si>
  <si>
    <t>7 ~ 11</t>
  </si>
  <si>
    <t>CMF_01 ~ CMF_05 (5개)</t>
  </si>
  <si>
    <t>PK_TQP_PCM_INPUT_HIS</t>
  </si>
  <si>
    <t>PK_TQP_PRODUCT (FACTORY, PRODUCT)</t>
  </si>
  <si>
    <t>Product (보통 Device Alias = MES MASK_ID, E-Test: Device)</t>
  </si>
  <si>
    <t>고객 ID (MAP Parser 만 채움, 현재 값 없음)</t>
  </si>
  <si>
    <t>CUSTOMER_PROD</t>
  </si>
  <si>
    <t>고객 제품명 (현재 값 없음)</t>
  </si>
  <si>
    <t>Wafer Map ID (TQP_MAPDEF.MAPID, 보통 PRODUCT 와 같음)</t>
  </si>
  <si>
    <t>삭제(숨김) 여부 (Y 숨김, 기본 N)</t>
  </si>
  <si>
    <t>PK_TQP_PRODUCT</t>
  </si>
  <si>
    <t>PK_TQP_PROGRAM (FACTORY, PROGRAM, TESTAREA, DEVICE)</t>
  </si>
  <si>
    <t>Test Program 이름 (TD 테이블 = TD_&lt;PROGRAM&gt;)</t>
  </si>
  <si>
    <t>TestArea (MULTIPROBE / PARAMETRIC / TSVET 등)</t>
  </si>
  <si>
    <t>Device (TQP_PRODUCT.PRODUCT, CP / PCM 은 MES MASK_ID)</t>
  </si>
  <si>
    <t>9 ~ 18</t>
  </si>
  <si>
    <t>CMF_FIELD01 ~ CMF_FIELD10 (10개)</t>
  </si>
  <si>
    <t>사용자 정의 필드 (01 ~ 05 문자, 06 ~ 10 숫자, 미사용)</t>
  </si>
  <si>
    <t>NUMBER / VARCHAR2(40)</t>
  </si>
  <si>
    <t>PK_TQP_PROGRAM</t>
  </si>
  <si>
    <t>TQP_USEMAP_PK (FACTORY, MAPID, PROGRAM_REV, X, Y)</t>
  </si>
  <si>
    <t>Program Revision (저장 때 0 고정)</t>
  </si>
  <si>
    <t>Die X Index (TQP_MAPDEF.XY_DIRECTION 기준 번호)</t>
  </si>
  <si>
    <t>Die Y Index (TQP_MAPDEF.XY_DIRECTION 기준 번호)</t>
  </si>
  <si>
    <t>USECODE</t>
  </si>
  <si>
    <t>Die 사용 구분 (1 사용 / -1 제거 / 0 Skip / 2 Mark)</t>
  </si>
  <si>
    <t>Die 순번 (저장 행 순서 1 ~ N, 방향 순서 아님)</t>
  </si>
  <si>
    <t>TQP_USEMAP_PK</t>
  </si>
  <si>
    <t>INSPTYPE</t>
  </si>
  <si>
    <t>검사 유형 (기본 VI, IQC / OQC / AVI)</t>
  </si>
  <si>
    <t>불량 코드 Bin 번호</t>
  </si>
  <si>
    <t>Bin 이름 ('NOTUSE' 는 목록 제외)</t>
  </si>
  <si>
    <t>Map 표시 색</t>
  </si>
  <si>
    <t>CREATE_DATE</t>
  </si>
  <si>
    <t>EDIT_DATE</t>
  </si>
  <si>
    <t>Bin 설명 (Map 편집 콤보 표시)</t>
  </si>
  <si>
    <t>KEYMAP</t>
  </si>
  <si>
    <t>Map 편집 단축키 (1 ~ 0 / F1 ~ F9)</t>
  </si>
  <si>
    <t>SYS_C008141</t>
  </si>
  <si>
    <t>INSPTYPE, BIN</t>
  </si>
  <si>
    <t>중복 금지</t>
  </si>
  <si>
    <t>PK_TQP_WAFER (FACTORY, WAFER_SEQ)</t>
  </si>
  <si>
    <t>TQP_LOT, TQP_PARASPEC</t>
  </si>
  <si>
    <t>Wafer 번호 (WAFER_SEQ 시퀀스, DMS TQD_WAFER 와 같은 시퀀스)</t>
  </si>
  <si>
    <t>Wafer ID (Lot ID-Slot 2자리, 예 188648-17)</t>
  </si>
  <si>
    <t>PROBE_CNT</t>
  </si>
  <si>
    <t>재측정 순번 (0 = 최신, 새 측정이 들어오면 이전 행 +1)</t>
  </si>
  <si>
    <t>Wafer 시험 시작 일시 (STDF WIR.START_T)</t>
  </si>
  <si>
    <t>Wafer 시험 종료 일시 (STDF WRR.FINISH_T)</t>
  </si>
  <si>
    <t>LOAD_TIME</t>
  </si>
  <si>
    <t>YMS 적재 일시 (MERGE 때 SYSDATE)</t>
  </si>
  <si>
    <t>TESTER</t>
  </si>
  <si>
    <t>Tester ID (CP: 파일 Tester 또는 설비 ID, PCM: 설비 ID)</t>
  </si>
  <si>
    <t>PROBER</t>
  </si>
  <si>
    <t>Prober ID (CP 파일 값 / PCM ProbeID)</t>
  </si>
  <si>
    <t>Probe Card ID (STDF SDR.CARD_ID)</t>
  </si>
  <si>
    <t>HANDLER_ID</t>
  </si>
  <si>
    <t>Handler ID (이관 데이터만, STDF SDR.HAND_ID)</t>
  </si>
  <si>
    <t>작업자 (STDF MIR.OPER_NAM, AVI 는 'Parser')</t>
  </si>
  <si>
    <t>Test Program (TQP_PROGRAM.PROGRAM, STDF MIR.JOB_NAM)</t>
  </si>
  <si>
    <t>TQP_PARASPEC, TQP_DATA_TABLES</t>
  </si>
  <si>
    <t>Parameter 정의 Revision (TQP_PARASPEC.PROGRAM_REV, 현재 0)</t>
  </si>
  <si>
    <t>START_QTY</t>
  </si>
  <si>
    <t>시작 수량 (CP / AVI: 측정 Die 수, PCM / E-Test: -1)</t>
  </si>
  <si>
    <t>PARENT</t>
  </si>
  <si>
    <t>부모 Wafer (이관 컬럼, 값 없음)</t>
  </si>
  <si>
    <t>FLAGS</t>
  </si>
  <si>
    <t>Wafer Flag (이관 데이터 0)</t>
  </si>
  <si>
    <t>SCREEN_FLAG</t>
  </si>
  <si>
    <t>Screen 여부 (이관 컬럼, 값 없음)</t>
  </si>
  <si>
    <t>SCRAP_FLAG</t>
  </si>
  <si>
    <t>Scrap 여부 (이관 컬럼, 값 없음)</t>
  </si>
  <si>
    <t>DGRADE_FLAG</t>
  </si>
  <si>
    <t>Downgrade 여부 (이관 컬럼, 값 없음)</t>
  </si>
  <si>
    <t>VENDOR_ID</t>
  </si>
  <si>
    <t>Vendor ID (AVI / Scope 는 'Unknown', 그 외 비움)</t>
  </si>
  <si>
    <t>LOADBD</t>
  </si>
  <si>
    <t>Load Board ID (STDF SDR.LOAD_ID)</t>
  </si>
  <si>
    <t>HOSTNAME</t>
  </si>
  <si>
    <t>Tester Host 이름 (STDF MIR.NODE_NAM, 이관 값 EDAS)</t>
  </si>
  <si>
    <t>TESTHEAD</t>
  </si>
  <si>
    <t>Test Head 번호 (STDF WIR.HEAD_NUM, 이관 값 1)</t>
  </si>
  <si>
    <t>SW_REV</t>
  </si>
  <si>
    <t>Tester S/W 버전 (STDF MIR.EXEC_VER)</t>
  </si>
  <si>
    <t>USP_REV</t>
  </si>
  <si>
    <t>사용자 Program Revision (STDF MIR.JOB_REV 대응 추정)</t>
  </si>
  <si>
    <t>MAX_X</t>
  </si>
  <si>
    <t>Die X Index 최대값</t>
  </si>
  <si>
    <t>MAX_Y</t>
  </si>
  <si>
    <t>Die Y Index 최대값</t>
  </si>
  <si>
    <t>WAF_FLAT</t>
  </si>
  <si>
    <t>Flat / Notch 방향 (0 고정, Fab2 MEMS PCM 만 각도, STDF WCR.WF_FLAT)</t>
  </si>
  <si>
    <t>비고 (E-Test: Lot-Wafer No 원문, AVI: 'Parsing')</t>
  </si>
  <si>
    <t>VARCHAR2(256)</t>
  </si>
  <si>
    <t>SCRIBE_LOT</t>
  </si>
  <si>
    <t>Scribe Lot (적재 때 LOT_ID 저장, Lot ID 변경 때 같이 변경)</t>
  </si>
  <si>
    <t>TEMP</t>
  </si>
  <si>
    <t>시험 온도 (PCM 파일 값, STDF MIR.TST_TEMP)</t>
  </si>
  <si>
    <t>TEMP_TYPE</t>
  </si>
  <si>
    <t>온도 구분 (이관 컬럼, 값 없음)</t>
  </si>
  <si>
    <t>OVERDRIVE</t>
  </si>
  <si>
    <t>Probe Overdrive (PCM 파일 값)</t>
  </si>
  <si>
    <t>PGMPATH</t>
  </si>
  <si>
    <t>원본 파일 백업 폴더 상대 경로 (적재 파서 FtpRelativePath)</t>
  </si>
  <si>
    <t>VARCHAR2(1000)</t>
  </si>
  <si>
    <t>SPC_FLAG</t>
  </si>
  <si>
    <t>SPC 결과 Flag (이관 컬럼, 값 없음)</t>
  </si>
  <si>
    <t>SPC_RULE</t>
  </si>
  <si>
    <t>적용 SPC Rule (이관 컬럼, 값 없음)</t>
  </si>
  <si>
    <t>DATA_SOURCE</t>
  </si>
  <si>
    <t>원본 파일 이름 (예 188648w17.cp3, 이관 데이터는 ascii2tf)</t>
  </si>
  <si>
    <t>LOT_MODE</t>
  </si>
  <si>
    <t>Lot 모드 (이관 값 PRODUCTION, STDF MIR.MODE_COD)</t>
  </si>
  <si>
    <t>IMMED_REPROBE</t>
  </si>
  <si>
    <t>즉시 재Probe 정보 (이관 컬럼)</t>
  </si>
  <si>
    <t>DELAYED_REPROBE</t>
  </si>
  <si>
    <t>지연 재Probe 정보 (이관 컬럼)</t>
  </si>
  <si>
    <t>TRUNCATION</t>
  </si>
  <si>
    <t>Truncation 정보 (이관 컬럼, 값 없음)</t>
  </si>
  <si>
    <t>REF_DIE_X</t>
  </si>
  <si>
    <t>기준 Die X Index (이관 값 0)</t>
  </si>
  <si>
    <t>REF_DIE_Y</t>
  </si>
  <si>
    <t>기준 Die Y Index (이관 값 0)</t>
  </si>
  <si>
    <t>T7SCRIBE</t>
  </si>
  <si>
    <t>SEMI T7 형식 Wafer Scribe ID (이관 컬럼)</t>
  </si>
  <si>
    <t>M12SCRIBE</t>
  </si>
  <si>
    <t>SEMI M12 형식 Wafer Scribe ID (이관 컬럼)</t>
  </si>
  <si>
    <t>Merge 여부 (이관 값 Y)</t>
  </si>
  <si>
    <t>TWFLAGS</t>
  </si>
  <si>
    <t>이전 시스템 Wafer Flag (이관 값 2)</t>
  </si>
  <si>
    <t>TFVERSION</t>
  </si>
  <si>
    <t>원본 Test 파일(TF) 형식 버전 (CP 파서 TFVersion, 이관 값 9)</t>
  </si>
  <si>
    <t>ESDA_ID</t>
  </si>
  <si>
    <t>ESDA ID (이관 컬럼, 값 없음)</t>
  </si>
  <si>
    <t>WAF_DIAM_MEAS</t>
  </si>
  <si>
    <t>측정 Wafer 지름 (STDF WCR.WAFR_SIZ 대응, 이관 값 0)</t>
  </si>
  <si>
    <t>XREF_VECTOR_MEAS</t>
  </si>
  <si>
    <t>X Ref Vector 측정값 (이관 값 0)</t>
  </si>
  <si>
    <t>YREF_VECTOR_MEAS</t>
  </si>
  <si>
    <t>Y Ref Vector 측정값 (이관 값 0)</t>
  </si>
  <si>
    <t>SETUP_TIMESIZE</t>
  </si>
  <si>
    <t>Program Setup 시각 (STDF MIR.SETUP_T 대응 추정)</t>
  </si>
  <si>
    <t>LOTDEF_DATABASE</t>
  </si>
  <si>
    <t>Lot 정의 DB 이름 (이관 컬럼)</t>
  </si>
  <si>
    <t>MAXSITE</t>
  </si>
  <si>
    <t>최대 Site 수 (PCM: Die 당 Site 수 최대, STDF SDR.SITE_CNT)</t>
  </si>
  <si>
    <t>AC_RULE_SEQ</t>
  </si>
  <si>
    <t>AC Rule 번호 (이관 컬럼)</t>
  </si>
  <si>
    <t>PROBECARD_TOUCHDOWNS</t>
  </si>
  <si>
    <t>Probe Card Touchdown 수 (이관 값 5, AVI / Scope -1)</t>
  </si>
  <si>
    <t>STEPSIZE_X</t>
  </si>
  <si>
    <t>Prober Step 크기 X (STDF WCR.DIE_WID, 이관 값 0)</t>
  </si>
  <si>
    <t>STEPSIZE_Y</t>
  </si>
  <si>
    <t>Prober Step 크기 Y (STDF WCR.DIE_HT, 이관 값 0)</t>
  </si>
  <si>
    <t>BURNIN_TYPE</t>
  </si>
  <si>
    <t>Burn-in 구분 (STDF MIR.BURN_TIM 대응 추정)</t>
  </si>
  <si>
    <t>PROGRAM_MODE</t>
  </si>
  <si>
    <t>Program 모드 (이관 컬럼)</t>
  </si>
  <si>
    <t>LOTCONTROL_MODE</t>
  </si>
  <si>
    <t>Lot Control 모드 (이관 컬럼)</t>
  </si>
  <si>
    <t>LC_FLAGS</t>
  </si>
  <si>
    <t>Lot Control Flag (이관 값 0)</t>
  </si>
  <si>
    <t>AC_FLAGS</t>
  </si>
  <si>
    <t>AC Flag (이관 값 0)</t>
  </si>
  <si>
    <t>SMSFAMILY_NAME</t>
  </si>
  <si>
    <t>SMS Family 이름 (STDF MIR.FAMLY_ID 대응, AVI / Scope 'Unknown')</t>
  </si>
  <si>
    <t>LOT_CLOSE</t>
  </si>
  <si>
    <t>Lot Close 정보 (이관 컬럼)</t>
  </si>
  <si>
    <t>SPC_ENABLE</t>
  </si>
  <si>
    <t>SPC 사용 여부 (이관 컬럼)</t>
  </si>
  <si>
    <t>SPC_STATUS</t>
  </si>
  <si>
    <t>SPC 상태 (이관 컬럼)</t>
  </si>
  <si>
    <t>SCREEN_TYPE</t>
  </si>
  <si>
    <t>Screen 구분 (이관 컬럼)</t>
  </si>
  <si>
    <t>NUM_DIE</t>
  </si>
  <si>
    <t>적재 Die 수 (TD 테이블 행 수)</t>
  </si>
  <si>
    <t>TW_VALID_DATA_CNT</t>
  </si>
  <si>
    <t>유효 데이터 Die 수 (이관 값 = NUM_DIE)</t>
  </si>
  <si>
    <t>DATATYPE_FLAG</t>
  </si>
  <si>
    <t>데이터 유형 Flag (이관 값 1)</t>
  </si>
  <si>
    <t>FORCE_SPCFAIL</t>
  </si>
  <si>
    <t>SPC Fail 강제 여부 (이관 컬럼)</t>
  </si>
  <si>
    <t>LOTINFO_SEQ</t>
  </si>
  <si>
    <t>Lot 정보 번호 (이관 컬럼)</t>
  </si>
  <si>
    <t>AC_DIE_CNT</t>
  </si>
  <si>
    <t>AC Die 수 (이관 컬럼)</t>
  </si>
  <si>
    <t>MOD_TIME</t>
  </si>
  <si>
    <t>원본 데이터 수정 일시 (이관 컬럼)</t>
  </si>
  <si>
    <t>OLD_WAFER_SEQ</t>
  </si>
  <si>
    <t>이전 YMS WAFER_SEQ (이관 원본 WAFER.WAFER_SEQ)</t>
  </si>
  <si>
    <t>적용한 Map 보정 설정 번호 (TQP_MAPCFG.MAP_CFG_SEQ)</t>
  </si>
  <si>
    <t>PK_TQP_WAFER</t>
  </si>
  <si>
    <t>SYS_C008135</t>
  </si>
  <si>
    <t>LOT_SEQ, WAFER_ID, START_TIME, PROBE_CNT</t>
  </si>
  <si>
    <t>TQP_WAFER_IDX01</t>
  </si>
  <si>
    <t>FACTORY, PROGRAM, PROGRAM_REV</t>
  </si>
  <si>
    <t>TQP_WAFER_IDX02</t>
  </si>
  <si>
    <t>TQP_WAFER_IDX03</t>
  </si>
  <si>
    <t>TQP_WAFER_IDX04</t>
  </si>
  <si>
    <t>TQP_WAFER_IDX05</t>
  </si>
  <si>
    <t>START_TIME, LOT_SEQ</t>
  </si>
  <si>
    <t>PK_TQP_WAFER_SUM (FACILITY, WAFER_SEQ)</t>
  </si>
  <si>
    <t>Factory (TQP_WAFER.FACTORY, 예 SCK)</t>
  </si>
  <si>
    <t>Device Alias = Map ID (TQP_LOT 값, CP 는 MES MASK_ID 로 갱신)</t>
  </si>
  <si>
    <t>TestArea (TQP_LOT.TEST_AREA)</t>
  </si>
  <si>
    <t>Test Program (TQP_LOT.PROGRAM)</t>
  </si>
  <si>
    <t>TQP_WAFER, TQP_LOT</t>
  </si>
  <si>
    <t>Wafer ID</t>
  </si>
  <si>
    <t>Tester ID (TQP_WAFER 값)</t>
  </si>
  <si>
    <t>Probe Card ID (TQP_WAFER 값)</t>
  </si>
  <si>
    <t>작업자 (TQP_WAFER 값)</t>
  </si>
  <si>
    <t>재측정 순번 (0 = 최신, 목록은 0 만 조회)</t>
  </si>
  <si>
    <t>Map 사용 Die 수 (TQP_MAPDEF.NETDIE, 수율 분모)</t>
  </si>
  <si>
    <t>Wafer 시험 시작 일시</t>
  </si>
  <si>
    <t>Wafer 시험 종료 일시 (목록 기간 조회 기준)</t>
  </si>
  <si>
    <t>WAFER_CAT</t>
  </si>
  <si>
    <t>Wafer 분류 (요약 생성 때 0 고정)</t>
  </si>
  <si>
    <t>Loss Die 수 (갱신 함수만 있고 화면 호출 없음)</t>
  </si>
  <si>
    <t>측정 Die 수 (TD BIN 0 ~ 99 Die 합)</t>
  </si>
  <si>
    <t>수율 % (GEC / NETDIE x 100, 1.5배 넘게 다르면 측정 Die 수 기준)</t>
  </si>
  <si>
    <t>Good Die 수 (HIGH_GEC = Y Bin 합, Bin 정의 없으면 BIN1)</t>
  </si>
  <si>
    <t>26 ~ 176</t>
  </si>
  <si>
    <t>Bin 번호별 Die 수 (BIN0 = Bin 0 ~ BIN150, 요약은 Bin 0 ~ 99 만 집계)</t>
  </si>
  <si>
    <t>PK_TQP_WAFER_SUM</t>
  </si>
  <si>
    <t>IDX_TQP_WAFER_SUM_01</t>
  </si>
  <si>
    <t>END_TIME, DEVICE_ALIAS, TESTAREA, PROGRAM, LOT_ID, WAFER_ID</t>
  </si>
  <si>
    <t>IDX_TQP_WAFER_SUM_02</t>
  </si>
  <si>
    <t>END_TIME, TESTAREA, PROGRAM, LOT_ID, WAFER_ID</t>
  </si>
  <si>
    <t>IDX_TQP_WAFER_SUM_03</t>
  </si>
  <si>
    <t>IDX_TQP_WAFER_SUM_04</t>
  </si>
  <si>
    <t>IDX_TQP_WAFER_SUM_05</t>
  </si>
  <si>
    <t>IDX_TQP_WAFER_SUM_06</t>
  </si>
  <si>
    <t>IDX_TQP_WAFER_SUM_07</t>
  </si>
  <si>
    <t>테이블 관계 (논리)</t>
  </si>
  <si>
    <t>이 영역의 테이블에는 DB FK 가 없다. Query XML / 소스의 조인 조건으로 확인한 관계만 적는다. [다른 영역] = 부모 또는 자식이 이 명세서 밖의 테이블.</t>
  </si>
  <si>
    <t>자식 테이블</t>
  </si>
  <si>
    <t>자식 컬럼</t>
  </si>
  <si>
    <t>부모 테이블</t>
  </si>
  <si>
    <t>부모 컬럼</t>
  </si>
  <si>
    <t>근거 / 비고</t>
  </si>
  <si>
    <t>Lot 의 Wafer (TQP_WAFER.xml SELECT_WAFER_INFO_02 / TD_TABLE.xml GET_PCM_DATA)</t>
  </si>
  <si>
    <t>LOT_SEQ, WAFER_SEQ</t>
  </si>
  <si>
    <t>Wafer 요약 1:1 (TQP_WAFER_SUM.xml GET_WAFER_LOT_INFO)</t>
  </si>
  <si>
    <t>FACILITY, LOT_SEQ</t>
  </si>
  <si>
    <t>Wafer 요약의 Lot (TD_TABLE.xml GET_TEST_DATA)</t>
  </si>
  <si>
    <t>Lot 요약 1:1, TQP_WAFER_SUM 을 같은 LOT_SEQ 로 집계 (TQP_LOT_SUM.xml INSERT_LOT_SUMMARY / TestCommon.SummaryData)</t>
  </si>
  <si>
    <t>FACTORY, DEVICE_ALIAS</t>
  </si>
  <si>
    <t>FACTORY, MAPID</t>
  </si>
  <si>
    <t>Lot 의 Wafer Map, NETDIE 조회 (TQP_WAFER.xml GET_WAFER_SUMMARY_INFO [WSEQ], 외부 조인)</t>
  </si>
  <si>
    <t>Lot 의 Product (TQP_WAFER.xml SELECT_WAFER_INFO_05 / 06)</t>
  </si>
  <si>
    <t>LOT_NO</t>
  </si>
  <si>
    <t>[다른 영역] MES Lot 상태 (TQD_DEFECT_DIE.xml INSERT_DATA, CP 적재 때 MASK_ID / MAT_ID / CUSTOMER 조회)</t>
  </si>
  <si>
    <t>Wafer 가 쓴 Parameter 정의 (TQP_PARASPEC.xml GET_BIN_TTABLE / SELECT_PARA_ITEM)</t>
  </si>
  <si>
    <t>Wafer 의 TD 테이블 찾기 (TQP_DATA_TABLES.xml SELECT_TABLE_BY_WAFER)</t>
  </si>
  <si>
    <t>적용한 Map 보정 설정 (TestCommon.WaferConfigSeqUpdate / TQP_MAPCFG.xml SELECT_MAPCFG_SEQ)</t>
  </si>
  <si>
    <t>적용한 Map 보정 설정 (TestCommon.WaferConfigSeqUpdate)</t>
  </si>
  <si>
    <t>Wafer 요약의 Map (TQD_DEFECT_DIE.xml SELECT_DEFECT_DIE / TQC_LOSS_YIELD_SUM.xml)</t>
  </si>
  <si>
    <t>Program 의 Bin 정의 (TQD_STEP.xml SELECT_TST_BIN_INFO / TQC_LOSS_YIELD_SUM.xml INSERT_TQC_MATCH_SUM)</t>
  </si>
  <si>
    <t>PROGRAM, TABLE_NAME</t>
  </si>
  <si>
    <t>Parameter 가 있는 TD 테이블 (TQP_PARASPEC.xml SELECT_PARA_SPEC_02)</t>
  </si>
  <si>
    <t>Program 의 Device (TQP_PROGRAM.xml SELECT_CONDITION_DEVICE / SELECT_CONDITION_PROGRAM)</t>
  </si>
  <si>
    <t>Program 의 Bin 정의 (TQP_PROGRAM.xml SELECT_PROGRAM_NOT_EXIST_BIN)</t>
  </si>
  <si>
    <t>Product 의 Wafer Map (TQP_MAPDEF.xml GET_MAPDEF_BY_LOTID)</t>
  </si>
  <si>
    <t>Map 의 Die 목록, 같은 Map ID 로 저장 / 조회 (MapCreationService SetMapDef -&gt; CreateUseMap, TQP_MAPDEF.xml SELECT_MAP_DIE_SOURCE)</t>
  </si>
  <si>
    <t>Map 의 Mark Die / Shot, 같은 Map ID 로 조회 (ProbeMapAnalysis GET_MAPDEF_MAP + GET_MAPDEF_DIE)</t>
  </si>
  <si>
    <t>외관검사 Die 의 Wafer (TQP_WAFER_SUM.xml INSERT_TQP_WAFER_SUM_01)</t>
  </si>
  <si>
    <t>외관검사 Die 조회 (TQP_FOI_DIE.xml SELECT_FOI_MAP_MULTI_RAW / SELECT_FOI_MAP_MULTI_IMAGE)</t>
  </si>
  <si>
    <t>PROGRAM = 'AVI' 조건 (TQP_FOI_DIE.xml SELECT_AVI_BIN_SUMMARY, 외부 조인)</t>
  </si>
  <si>
    <t>이미지의 Wafer (TQP_FOI_IMAGES.xml SELECT_TQP_FOI_IMAGES_MULTI)</t>
  </si>
  <si>
    <t>[다른 영역] PCM 설비 Probe Card 사용 시간 계산 (TQC_EQUIP.xml SELECT_PCM_EQUIP_STATUS)</t>
  </si>
  <si>
    <t>Die 데이터의 Wafer (TD_TABLE.xml GET_PCM_DATA / SELECT_ALL_DATA), 테이블은 TQP_DATA_TABLES 에 등록</t>
  </si>
  <si>
    <t>PROGRAM = '08EYP1' 조건 (TD_TABLE.xml GET_BIN_XY_DATA_SINGLE, 외부 조인)</t>
  </si>
  <si>
    <t>PROGRAM = '52PX' 조건 (TD_TABLE.xml GET_BIN_XY_DATA_SINGLE, 외부 조인)</t>
  </si>
  <si>
    <t>PROGRAM = '89CP' 조건 (TD_TABLE.xml GET_BIN_XY_DATA_SINGLE, 외부 조인)</t>
  </si>
  <si>
    <t>PROGRAM = 'KA36_CP2' 조건 (TD_TABLE.xml GET_BIN_XY_DATA_SINGLE, 외부 조인)</t>
  </si>
  <si>
    <t>TD_OMM_TSVET</t>
  </si>
  <si>
    <t>PROGRAM = 'OMM_TSVET' 조건 (TD_TABLE.xml GET_BIN_XY_DATA_SINGLE, 외부 조인)</t>
  </si>
  <si>
    <t>사용 Query XML</t>
  </si>
  <si>
    <t>시작</t>
  </si>
  <si>
    <t>증가</t>
  </si>
  <si>
    <t>CACHE</t>
  </si>
  <si>
    <t>비고</t>
  </si>
  <si>
    <t>TQD_LOT.xml, TQP_LOT.xml, TQP_WAFER_SUM.xml, T_AVI_TABLE.xml</t>
  </si>
  <si>
    <t>DMS / YMS 가 같은 시퀀스를 쓴다 (번호가 서로 겹치지 않음)</t>
  </si>
  <si>
    <t>TQD_WAFER.xml, TQP_WAFER.xml, TQP_WAFER_SUM.xml, T_AVI_TABLE.xml, T_PRB.xml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</si>
</sst>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&quot;개&quot;"/>
    <numFmt numFmtId="177" formatCode="0&quot;행  - 이 프로젝트 설계 문서 (문서/설계)&quot;"/>
    <numFmt numFmtId="178" formatCode="0&quot;행  - Query XML / C# 소스에서 쓰임을 확인&quot;"/>
    <numFmt numFmtId="179" formatCode="0&quot;행  - 근거 자료 없이 컬럼 이름과 값으로 추정 - 확인 필요&quot;"/>
  </numFmts>
  <fonts count="9" x14ac:knownFonts="1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u/>
      <sz val="10"/>
      <color rgb="FF0563C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u/>
      <sz val="10"/>
      <color rgb="FF0563C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76" fontId="4" fillId="0" borderId="1" xfId="0" applyNumberFormat="1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left" vertical="center"/>
    </xf>
    <xf numFmtId="178" fontId="4" fillId="0" borderId="1" xfId="0" applyNumberFormat="1" applyFont="1" applyBorder="1" applyAlignment="1">
      <alignment horizontal="left" vertical="center"/>
    </xf>
    <xf numFmtId="179" fontId="4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39"/>
  <sheetViews>
    <sheetView showGridLines="0" tabSelected="1" workbookViewId="0"/>
  </sheetViews>
  <sheetFormatPr defaultRowHeight="17" x14ac:dyDescent="0.45"/>
  <cols>
    <col min="1" max="1" width="4" customWidth="1"/>
    <col min="2" max="2" width="22" customWidth="1"/>
    <col min="3" max="3" width="90" customWidth="1"/>
  </cols>
  <sheetData>
    <row r="2" spans="2:3" ht="32" customHeight="1" x14ac:dyDescent="0.45">
      <c r="B2" s="18" t="s">
        <v>0</v>
      </c>
      <c r="C2" s="19"/>
    </row>
    <row r="4" spans="2:3" x14ac:dyDescent="0.45">
      <c r="B4" s="1" t="s">
        <v>1</v>
      </c>
      <c r="C4" s="2" t="s">
        <v>2</v>
      </c>
    </row>
    <row r="5" spans="2:3" x14ac:dyDescent="0.45">
      <c r="B5" s="1" t="s">
        <v>3</v>
      </c>
      <c r="C5" s="2" t="s">
        <v>4</v>
      </c>
    </row>
    <row r="6" spans="2:3" x14ac:dyDescent="0.45">
      <c r="B6" s="1" t="s">
        <v>5</v>
      </c>
      <c r="C6" s="2" t="s">
        <v>6</v>
      </c>
    </row>
    <row r="7" spans="2:3" x14ac:dyDescent="0.45">
      <c r="B7" s="1" t="s">
        <v>7</v>
      </c>
      <c r="C7" s="2" t="s">
        <v>8</v>
      </c>
    </row>
    <row r="8" spans="2:3" ht="32" x14ac:dyDescent="0.45">
      <c r="B8" s="1" t="s">
        <v>9</v>
      </c>
      <c r="C8" s="2" t="s">
        <v>10</v>
      </c>
    </row>
    <row r="9" spans="2:3" x14ac:dyDescent="0.45">
      <c r="B9" s="1" t="s">
        <v>11</v>
      </c>
      <c r="C9" s="2" t="s">
        <v>12</v>
      </c>
    </row>
    <row r="10" spans="2:3" x14ac:dyDescent="0.45">
      <c r="B10" s="1" t="s">
        <v>13</v>
      </c>
      <c r="C10" s="2" t="s">
        <v>14</v>
      </c>
    </row>
    <row r="12" spans="2:3" x14ac:dyDescent="0.45">
      <c r="B12" s="3" t="s">
        <v>15</v>
      </c>
      <c r="C12" s="3" t="s">
        <v>16</v>
      </c>
    </row>
    <row r="13" spans="2:3" x14ac:dyDescent="0.45">
      <c r="B13" s="4" t="s">
        <v>17</v>
      </c>
      <c r="C13" s="5">
        <f>COUNTA('테이블 목록'!B4:B26)</f>
        <v>23</v>
      </c>
    </row>
    <row r="14" spans="2:3" x14ac:dyDescent="0.45">
      <c r="B14" s="4" t="s">
        <v>18</v>
      </c>
      <c r="C14" s="5">
        <f>'테이블 목록'!E27</f>
        <v>677</v>
      </c>
    </row>
    <row r="15" spans="2:3" x14ac:dyDescent="0.45">
      <c r="B15" s="4" t="s">
        <v>19</v>
      </c>
      <c r="C15" s="6">
        <f>'테이블 목록'!I27</f>
        <v>9</v>
      </c>
    </row>
    <row r="16" spans="2:3" x14ac:dyDescent="0.45">
      <c r="B16" s="4" t="s">
        <v>20</v>
      </c>
      <c r="C16" s="7">
        <f>'테이블 목록'!J27</f>
        <v>255</v>
      </c>
    </row>
    <row r="17" spans="2:3" x14ac:dyDescent="0.45">
      <c r="B17" s="4" t="s">
        <v>21</v>
      </c>
      <c r="C17" s="8">
        <f>'테이블 목록'!K27</f>
        <v>96</v>
      </c>
    </row>
    <row r="19" spans="2:3" x14ac:dyDescent="0.45">
      <c r="B19" s="3" t="s">
        <v>22</v>
      </c>
      <c r="C19" s="3" t="s">
        <v>23</v>
      </c>
    </row>
    <row r="20" spans="2:3" x14ac:dyDescent="0.45">
      <c r="B20" s="9" t="s">
        <v>24</v>
      </c>
      <c r="C20" s="2" t="s">
        <v>25</v>
      </c>
    </row>
    <row r="21" spans="2:3" x14ac:dyDescent="0.45">
      <c r="B21" s="4" t="s">
        <v>26</v>
      </c>
      <c r="C21" s="2" t="s">
        <v>27</v>
      </c>
    </row>
    <row r="22" spans="2:3" x14ac:dyDescent="0.45">
      <c r="B22" s="9" t="s">
        <v>28</v>
      </c>
      <c r="C22" s="2" t="s">
        <v>29</v>
      </c>
    </row>
    <row r="23" spans="2:3" x14ac:dyDescent="0.45">
      <c r="B23" s="9" t="s">
        <v>30</v>
      </c>
      <c r="C23" s="2" t="s">
        <v>31</v>
      </c>
    </row>
    <row r="25" spans="2:3" x14ac:dyDescent="0.45">
      <c r="B25" s="3" t="s">
        <v>32</v>
      </c>
      <c r="C25" s="3" t="s">
        <v>33</v>
      </c>
    </row>
    <row r="26" spans="2:3" x14ac:dyDescent="0.45">
      <c r="B26" s="4" t="s">
        <v>34</v>
      </c>
      <c r="C26" s="2" t="s">
        <v>35</v>
      </c>
    </row>
    <row r="27" spans="2:3" x14ac:dyDescent="0.45">
      <c r="B27" s="4" t="s">
        <v>36</v>
      </c>
      <c r="C27" s="2" t="s">
        <v>37</v>
      </c>
    </row>
    <row r="28" spans="2:3" x14ac:dyDescent="0.45">
      <c r="B28" s="4" t="s">
        <v>38</v>
      </c>
      <c r="C28" s="2" t="s">
        <v>39</v>
      </c>
    </row>
    <row r="29" spans="2:3" x14ac:dyDescent="0.45">
      <c r="B29" s="4" t="s">
        <v>40</v>
      </c>
      <c r="C29" s="2" t="s">
        <v>41</v>
      </c>
    </row>
    <row r="30" spans="2:3" ht="32" x14ac:dyDescent="0.45">
      <c r="B30" s="4" t="s">
        <v>42</v>
      </c>
      <c r="C30" s="2" t="s">
        <v>43</v>
      </c>
    </row>
    <row r="32" spans="2:3" x14ac:dyDescent="0.45">
      <c r="B32" s="3" t="s">
        <v>44</v>
      </c>
      <c r="C32" s="3" t="s">
        <v>23</v>
      </c>
    </row>
    <row r="33" spans="2:3" ht="48" x14ac:dyDescent="0.45">
      <c r="B33" s="4" t="s">
        <v>45</v>
      </c>
      <c r="C33" s="2" t="s">
        <v>46</v>
      </c>
    </row>
    <row r="34" spans="2:3" ht="48" x14ac:dyDescent="0.45">
      <c r="B34" s="4" t="s">
        <v>47</v>
      </c>
      <c r="C34" s="2" t="s">
        <v>48</v>
      </c>
    </row>
    <row r="35" spans="2:3" ht="32" x14ac:dyDescent="0.45">
      <c r="B35" s="4" t="s">
        <v>49</v>
      </c>
      <c r="C35" s="2" t="s">
        <v>50</v>
      </c>
    </row>
    <row r="36" spans="2:3" x14ac:dyDescent="0.45">
      <c r="B36" s="4" t="s">
        <v>51</v>
      </c>
      <c r="C36" s="2" t="s">
        <v>52</v>
      </c>
    </row>
    <row r="37" spans="2:3" ht="32" x14ac:dyDescent="0.45">
      <c r="B37" s="4" t="s">
        <v>53</v>
      </c>
      <c r="C37" s="2" t="s">
        <v>54</v>
      </c>
    </row>
    <row r="38" spans="2:3" ht="32" x14ac:dyDescent="0.45">
      <c r="B38" s="4" t="s">
        <v>55</v>
      </c>
      <c r="C38" s="2" t="s">
        <v>56</v>
      </c>
    </row>
    <row r="39" spans="2:3" x14ac:dyDescent="0.45">
      <c r="B39" s="4" t="s">
        <v>57</v>
      </c>
      <c r="C39" s="2" t="s">
        <v>58</v>
      </c>
    </row>
  </sheetData>
  <mergeCells count="1">
    <mergeCell ref="B2:C2"/>
  </mergeCells>
  <phoneticPr fontId="8" type="noConversion"/>
  <hyperlinks>
    <hyperlink ref="B20" location="'테이블 목록'!A1" display="테이블 목록"/>
    <hyperlink ref="B22" location="'관계(논리)'!A1" display="관계(논리)"/>
    <hyperlink ref="B23" location="'시퀀스'!A1" display="시퀀스"/>
  </hyperlinks>
  <printOptions horizontalCentered="1"/>
  <pageMargins left="0.75" right="0.75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5" customWidth="1"/>
    <col min="2" max="2" width="24" customWidth="1"/>
    <col min="3" max="3" width="50" customWidth="1"/>
    <col min="4" max="4" width="30" customWidth="1"/>
    <col min="5" max="5" width="8" customWidth="1"/>
    <col min="6" max="6" width="36" customWidth="1"/>
    <col min="7" max="7" width="30" customWidth="1"/>
    <col min="8" max="8" width="24" customWidth="1"/>
    <col min="9" max="11" width="9" customWidth="1"/>
  </cols>
  <sheetData>
    <row r="1" spans="1:11" ht="26" customHeight="1" x14ac:dyDescent="0.45">
      <c r="A1" s="20" t="s">
        <v>59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1" ht="32" x14ac:dyDescent="0.45">
      <c r="A3" s="3" t="s">
        <v>60</v>
      </c>
      <c r="B3" s="3" t="s">
        <v>61</v>
      </c>
      <c r="C3" s="3" t="s">
        <v>62</v>
      </c>
      <c r="D3" s="3" t="s">
        <v>63</v>
      </c>
      <c r="E3" s="3" t="s">
        <v>18</v>
      </c>
      <c r="F3" s="3" t="s">
        <v>64</v>
      </c>
      <c r="G3" s="3" t="s">
        <v>65</v>
      </c>
      <c r="H3" s="3" t="s">
        <v>66</v>
      </c>
      <c r="I3" s="3" t="s">
        <v>19</v>
      </c>
      <c r="J3" s="3" t="s">
        <v>20</v>
      </c>
      <c r="K3" s="3" t="s">
        <v>21</v>
      </c>
    </row>
    <row r="4" spans="1:11" ht="32" x14ac:dyDescent="0.45">
      <c r="A4" s="10">
        <v>1</v>
      </c>
      <c r="B4" s="11" t="s">
        <v>67</v>
      </c>
      <c r="C4" s="2" t="s">
        <v>68</v>
      </c>
      <c r="D4" s="2" t="s">
        <v>69</v>
      </c>
      <c r="E4" s="10">
        <f>TD_08EYP1!E5</f>
        <v>6</v>
      </c>
      <c r="F4" s="2" t="s">
        <v>70</v>
      </c>
      <c r="G4" s="2" t="s">
        <v>71</v>
      </c>
      <c r="H4" s="2"/>
      <c r="I4" s="10">
        <f>COUNTIF(TD_08EYP1!I9:I14,"설계 문서")</f>
        <v>0</v>
      </c>
      <c r="J4" s="10">
        <f>COUNTIF(TD_08EYP1!I9:I14,"소스")</f>
        <v>6</v>
      </c>
      <c r="K4" s="10">
        <f>COUNTIF(TD_08EYP1!I9:I14,"이름 추정")</f>
        <v>0</v>
      </c>
    </row>
    <row r="5" spans="1:11" ht="32" x14ac:dyDescent="0.45">
      <c r="A5" s="10">
        <v>2</v>
      </c>
      <c r="B5" s="11" t="s">
        <v>72</v>
      </c>
      <c r="C5" s="2" t="s">
        <v>73</v>
      </c>
      <c r="D5" s="2"/>
      <c r="E5" s="10">
        <f>TD_52PX!E5</f>
        <v>6</v>
      </c>
      <c r="F5" s="2" t="s">
        <v>70</v>
      </c>
      <c r="G5" s="2" t="s">
        <v>71</v>
      </c>
      <c r="H5" s="2"/>
      <c r="I5" s="10">
        <f>COUNTIF(TD_52PX!I9:I14,"설계 문서")</f>
        <v>0</v>
      </c>
      <c r="J5" s="10">
        <f>COUNTIF(TD_52PX!I9:I14,"소스")</f>
        <v>6</v>
      </c>
      <c r="K5" s="10">
        <f>COUNTIF(TD_52PX!I9:I14,"이름 추정")</f>
        <v>0</v>
      </c>
    </row>
    <row r="6" spans="1:11" ht="32" x14ac:dyDescent="0.45">
      <c r="A6" s="10">
        <v>3</v>
      </c>
      <c r="B6" s="11" t="s">
        <v>74</v>
      </c>
      <c r="C6" s="2" t="s">
        <v>75</v>
      </c>
      <c r="D6" s="2" t="s">
        <v>69</v>
      </c>
      <c r="E6" s="10">
        <f>TD_89CP!E5</f>
        <v>6</v>
      </c>
      <c r="F6" s="2" t="s">
        <v>76</v>
      </c>
      <c r="G6" s="2" t="s">
        <v>71</v>
      </c>
      <c r="H6" s="2"/>
      <c r="I6" s="10">
        <f>COUNTIF(TD_89CP!I9:I14,"설계 문서")</f>
        <v>0</v>
      </c>
      <c r="J6" s="10">
        <f>COUNTIF(TD_89CP!I9:I14,"소스")</f>
        <v>6</v>
      </c>
      <c r="K6" s="10">
        <f>COUNTIF(TD_89CP!I9:I14,"이름 추정")</f>
        <v>0</v>
      </c>
    </row>
    <row r="7" spans="1:11" ht="32" x14ac:dyDescent="0.45">
      <c r="A7" s="10">
        <v>4</v>
      </c>
      <c r="B7" s="11" t="s">
        <v>77</v>
      </c>
      <c r="C7" s="2" t="s">
        <v>78</v>
      </c>
      <c r="D7" s="2" t="s">
        <v>69</v>
      </c>
      <c r="E7" s="10">
        <f>TD_KA36_CP2!E5</f>
        <v>6</v>
      </c>
      <c r="F7" s="2" t="s">
        <v>76</v>
      </c>
      <c r="G7" s="2" t="s">
        <v>71</v>
      </c>
      <c r="H7" s="2"/>
      <c r="I7" s="10">
        <f>COUNTIF(TD_KA36_CP2!I9:I14,"설계 문서")</f>
        <v>0</v>
      </c>
      <c r="J7" s="10">
        <f>COUNTIF(TD_KA36_CP2!I9:I14,"소스")</f>
        <v>6</v>
      </c>
      <c r="K7" s="10">
        <f>COUNTIF(TD_KA36_CP2!I9:I14,"이름 추정")</f>
        <v>0</v>
      </c>
    </row>
    <row r="8" spans="1:11" ht="64" x14ac:dyDescent="0.45">
      <c r="A8" s="10">
        <v>5</v>
      </c>
      <c r="B8" s="11" t="s">
        <v>79</v>
      </c>
      <c r="C8" s="2" t="s">
        <v>80</v>
      </c>
      <c r="D8" s="2" t="s">
        <v>81</v>
      </c>
      <c r="E8" s="10">
        <f>TQP_BINDESC!E5</f>
        <v>11</v>
      </c>
      <c r="F8" s="2" t="s">
        <v>82</v>
      </c>
      <c r="G8" s="2" t="s">
        <v>83</v>
      </c>
      <c r="H8" s="2" t="s">
        <v>84</v>
      </c>
      <c r="I8" s="10">
        <f>COUNTIF(TQP_BINDESC!I9:I19,"설계 문서")</f>
        <v>0</v>
      </c>
      <c r="J8" s="10">
        <f>COUNTIF(TQP_BINDESC!I9:I19,"소스")</f>
        <v>11</v>
      </c>
      <c r="K8" s="10">
        <f>COUNTIF(TQP_BINDESC!I9:I19,"이름 추정")</f>
        <v>0</v>
      </c>
    </row>
    <row r="9" spans="1:11" ht="32" x14ac:dyDescent="0.45">
      <c r="A9" s="10">
        <v>6</v>
      </c>
      <c r="B9" s="11" t="s">
        <v>85</v>
      </c>
      <c r="C9" s="2" t="s">
        <v>86</v>
      </c>
      <c r="D9" s="2" t="s">
        <v>87</v>
      </c>
      <c r="E9" s="10">
        <f>TQP_CHANGE_HIS!E5</f>
        <v>15</v>
      </c>
      <c r="F9" s="2" t="s">
        <v>88</v>
      </c>
      <c r="G9" s="2"/>
      <c r="H9" s="2" t="s">
        <v>89</v>
      </c>
      <c r="I9" s="10">
        <f>COUNTIF(TQP_CHANGE_HIS!I9:I23,"설계 문서")</f>
        <v>0</v>
      </c>
      <c r="J9" s="10">
        <f>COUNTIF(TQP_CHANGE_HIS!I9:I23,"소스")</f>
        <v>15</v>
      </c>
      <c r="K9" s="10">
        <f>COUNTIF(TQP_CHANGE_HIS!I9:I23,"이름 추정")</f>
        <v>0</v>
      </c>
    </row>
    <row r="10" spans="1:11" ht="32" x14ac:dyDescent="0.45">
      <c r="A10" s="10">
        <v>7</v>
      </c>
      <c r="B10" s="11" t="s">
        <v>90</v>
      </c>
      <c r="C10" s="2" t="s">
        <v>91</v>
      </c>
      <c r="D10" s="2" t="s">
        <v>92</v>
      </c>
      <c r="E10" s="10">
        <f>TQP_CUSTOMER!E5</f>
        <v>15</v>
      </c>
      <c r="F10" s="2" t="s">
        <v>93</v>
      </c>
      <c r="G10" s="2"/>
      <c r="H10" s="2" t="s">
        <v>94</v>
      </c>
      <c r="I10" s="10">
        <f>COUNTIF(TQP_CUSTOMER!I9:I23,"설계 문서")</f>
        <v>0</v>
      </c>
      <c r="J10" s="10">
        <f>COUNTIF(TQP_CUSTOMER!I9:I23,"소스")</f>
        <v>1</v>
      </c>
      <c r="K10" s="10">
        <f>COUNTIF(TQP_CUSTOMER!I9:I23,"이름 추정")</f>
        <v>14</v>
      </c>
    </row>
    <row r="11" spans="1:11" ht="48" x14ac:dyDescent="0.45">
      <c r="A11" s="10">
        <v>8</v>
      </c>
      <c r="B11" s="11" t="s">
        <v>95</v>
      </c>
      <c r="C11" s="2" t="s">
        <v>96</v>
      </c>
      <c r="D11" s="2" t="s">
        <v>97</v>
      </c>
      <c r="E11" s="10">
        <f>TQP_DATA_TABLES!E5</f>
        <v>3</v>
      </c>
      <c r="F11" s="2" t="s">
        <v>98</v>
      </c>
      <c r="G11" s="2" t="s">
        <v>99</v>
      </c>
      <c r="H11" s="2" t="s">
        <v>100</v>
      </c>
      <c r="I11" s="10">
        <f>COUNTIF(TQP_DATA_TABLES!I9:I11,"설계 문서")</f>
        <v>0</v>
      </c>
      <c r="J11" s="10">
        <f>COUNTIF(TQP_DATA_TABLES!I9:I11,"소스")</f>
        <v>3</v>
      </c>
      <c r="K11" s="10">
        <f>COUNTIF(TQP_DATA_TABLES!I9:I11,"이름 추정")</f>
        <v>0</v>
      </c>
    </row>
    <row r="12" spans="1:11" ht="48" x14ac:dyDescent="0.45">
      <c r="A12" s="10">
        <v>9</v>
      </c>
      <c r="B12" s="11" t="s">
        <v>101</v>
      </c>
      <c r="C12" s="2" t="s">
        <v>102</v>
      </c>
      <c r="D12" s="2" t="s">
        <v>69</v>
      </c>
      <c r="E12" s="10">
        <f>TQP_FOI_DIE!E5</f>
        <v>12</v>
      </c>
      <c r="F12" s="2" t="s">
        <v>103</v>
      </c>
      <c r="G12" s="2" t="s">
        <v>104</v>
      </c>
      <c r="H12" s="2" t="s">
        <v>105</v>
      </c>
      <c r="I12" s="10">
        <f>COUNTIF(TQP_FOI_DIE!I9:I20,"설계 문서")</f>
        <v>0</v>
      </c>
      <c r="J12" s="10">
        <f>COUNTIF(TQP_FOI_DIE!I9:I20,"소스")</f>
        <v>12</v>
      </c>
      <c r="K12" s="10">
        <f>COUNTIF(TQP_FOI_DIE!I9:I20,"이름 추정")</f>
        <v>0</v>
      </c>
    </row>
    <row r="13" spans="1:11" ht="48" x14ac:dyDescent="0.45">
      <c r="A13" s="10">
        <v>10</v>
      </c>
      <c r="B13" s="11" t="s">
        <v>106</v>
      </c>
      <c r="C13" s="2" t="s">
        <v>107</v>
      </c>
      <c r="D13" s="2"/>
      <c r="E13" s="10">
        <f>TQP_FOI_IMAGES!E5</f>
        <v>8</v>
      </c>
      <c r="F13" s="2" t="s">
        <v>108</v>
      </c>
      <c r="G13" s="2" t="s">
        <v>109</v>
      </c>
      <c r="H13" s="2" t="s">
        <v>110</v>
      </c>
      <c r="I13" s="10">
        <f>COUNTIF(TQP_FOI_IMAGES!I9:I16,"설계 문서")</f>
        <v>0</v>
      </c>
      <c r="J13" s="10">
        <f>COUNTIF(TQP_FOI_IMAGES!I9:I16,"소스")</f>
        <v>8</v>
      </c>
      <c r="K13" s="10">
        <f>COUNTIF(TQP_FOI_IMAGES!I9:I16,"이름 추정")</f>
        <v>0</v>
      </c>
    </row>
    <row r="14" spans="1:11" ht="48" x14ac:dyDescent="0.45">
      <c r="A14" s="10">
        <v>11</v>
      </c>
      <c r="B14" s="11" t="s">
        <v>111</v>
      </c>
      <c r="C14" s="2" t="s">
        <v>112</v>
      </c>
      <c r="D14" s="2" t="s">
        <v>113</v>
      </c>
      <c r="E14" s="10">
        <f>TQP_LOT!E5</f>
        <v>26</v>
      </c>
      <c r="F14" s="2" t="s">
        <v>114</v>
      </c>
      <c r="G14" s="2" t="s">
        <v>115</v>
      </c>
      <c r="H14" s="2" t="s">
        <v>116</v>
      </c>
      <c r="I14" s="10">
        <f>COUNTIF(TQP_LOT!I9:I30,"설계 문서")</f>
        <v>0</v>
      </c>
      <c r="J14" s="10">
        <f>COUNTIF(TQP_LOT!I9:I30,"소스")</f>
        <v>11</v>
      </c>
      <c r="K14" s="10">
        <f>COUNTIF(TQP_LOT!I9:I30,"이름 추정")</f>
        <v>11</v>
      </c>
    </row>
    <row r="15" spans="1:11" ht="64" x14ac:dyDescent="0.45">
      <c r="A15" s="10">
        <v>12</v>
      </c>
      <c r="B15" s="11" t="s">
        <v>117</v>
      </c>
      <c r="C15" s="2" t="s">
        <v>118</v>
      </c>
      <c r="D15" s="2" t="s">
        <v>119</v>
      </c>
      <c r="E15" s="10">
        <f>TQP_LOT_SUM!E5</f>
        <v>168</v>
      </c>
      <c r="F15" s="2" t="s">
        <v>120</v>
      </c>
      <c r="G15" s="2" t="s">
        <v>111</v>
      </c>
      <c r="H15" s="2" t="s">
        <v>121</v>
      </c>
      <c r="I15" s="10">
        <f>COUNTIF(TQP_LOT_SUM!I9:I26,"설계 문서")</f>
        <v>0</v>
      </c>
      <c r="J15" s="10">
        <f>COUNTIF(TQP_LOT_SUM!I9:I26,"소스")</f>
        <v>17</v>
      </c>
      <c r="K15" s="10">
        <f>COUNTIF(TQP_LOT_SUM!I9:I26,"이름 추정")</f>
        <v>1</v>
      </c>
    </row>
    <row r="16" spans="1:11" ht="48" x14ac:dyDescent="0.45">
      <c r="A16" s="10">
        <v>13</v>
      </c>
      <c r="B16" s="11" t="s">
        <v>122</v>
      </c>
      <c r="C16" s="2" t="s">
        <v>123</v>
      </c>
      <c r="D16" s="2" t="s">
        <v>124</v>
      </c>
      <c r="E16" s="10">
        <f>TQP_MAPCFG!E5</f>
        <v>15</v>
      </c>
      <c r="F16" s="2" t="s">
        <v>125</v>
      </c>
      <c r="G16" s="2" t="s">
        <v>126</v>
      </c>
      <c r="H16" s="2" t="s">
        <v>127</v>
      </c>
      <c r="I16" s="10">
        <f>COUNTIF(TQP_MAPCFG!I9:I23,"설계 문서")</f>
        <v>0</v>
      </c>
      <c r="J16" s="10">
        <f>COUNTIF(TQP_MAPCFG!I9:I23,"소스")</f>
        <v>15</v>
      </c>
      <c r="K16" s="10">
        <f>COUNTIF(TQP_MAPCFG!I9:I23,"이름 추정")</f>
        <v>0</v>
      </c>
    </row>
    <row r="17" spans="1:11" ht="48" x14ac:dyDescent="0.45">
      <c r="A17" s="10">
        <v>14</v>
      </c>
      <c r="B17" s="11" t="s">
        <v>128</v>
      </c>
      <c r="C17" s="2" t="s">
        <v>129</v>
      </c>
      <c r="D17" s="2"/>
      <c r="E17" s="10">
        <f>TQP_MAPDEF!E5</f>
        <v>37</v>
      </c>
      <c r="F17" s="2" t="s">
        <v>130</v>
      </c>
      <c r="G17" s="2" t="s">
        <v>131</v>
      </c>
      <c r="H17" s="2" t="s">
        <v>132</v>
      </c>
      <c r="I17" s="10">
        <f>COUNTIF(TQP_MAPDEF!I9:I45,"설계 문서")</f>
        <v>9</v>
      </c>
      <c r="J17" s="10">
        <f>COUNTIF(TQP_MAPDEF!I9:I45,"소스")</f>
        <v>21</v>
      </c>
      <c r="K17" s="10">
        <f>COUNTIF(TQP_MAPDEF!I9:I45,"이름 추정")</f>
        <v>7</v>
      </c>
    </row>
    <row r="18" spans="1:11" ht="48" x14ac:dyDescent="0.45">
      <c r="A18" s="10">
        <v>15</v>
      </c>
      <c r="B18" s="11" t="s">
        <v>133</v>
      </c>
      <c r="C18" s="2" t="s">
        <v>134</v>
      </c>
      <c r="D18" s="2" t="s">
        <v>135</v>
      </c>
      <c r="E18" s="10">
        <f>TQP_MAPDEF_DIE!E5</f>
        <v>6</v>
      </c>
      <c r="F18" s="2" t="s">
        <v>136</v>
      </c>
      <c r="G18" s="2" t="s">
        <v>128</v>
      </c>
      <c r="H18" s="2"/>
      <c r="I18" s="10">
        <f>COUNTIF(TQP_MAPDEF_DIE!I9:I14,"설계 문서")</f>
        <v>0</v>
      </c>
      <c r="J18" s="10">
        <f>COUNTIF(TQP_MAPDEF_DIE!I9:I14,"소스")</f>
        <v>6</v>
      </c>
      <c r="K18" s="10">
        <f>COUNTIF(TQP_MAPDEF_DIE!I9:I14,"이름 추정")</f>
        <v>0</v>
      </c>
    </row>
    <row r="19" spans="1:11" ht="64" x14ac:dyDescent="0.45">
      <c r="A19" s="10">
        <v>16</v>
      </c>
      <c r="B19" s="11" t="s">
        <v>137</v>
      </c>
      <c r="C19" s="2" t="s">
        <v>138</v>
      </c>
      <c r="D19" s="2" t="s">
        <v>139</v>
      </c>
      <c r="E19" s="10">
        <f>TQP_PARASPEC!E5</f>
        <v>30</v>
      </c>
      <c r="F19" s="2" t="s">
        <v>140</v>
      </c>
      <c r="G19" s="2" t="s">
        <v>141</v>
      </c>
      <c r="H19" s="2" t="s">
        <v>142</v>
      </c>
      <c r="I19" s="10">
        <f>COUNTIF(TQP_PARASPEC!I9:I38,"설계 문서")</f>
        <v>0</v>
      </c>
      <c r="J19" s="10">
        <f>COUNTIF(TQP_PARASPEC!I9:I38,"소스")</f>
        <v>27</v>
      </c>
      <c r="K19" s="10">
        <f>COUNTIF(TQP_PARASPEC!I9:I38,"이름 추정")</f>
        <v>3</v>
      </c>
    </row>
    <row r="20" spans="1:11" ht="48" x14ac:dyDescent="0.45">
      <c r="A20" s="10">
        <v>17</v>
      </c>
      <c r="B20" s="11" t="s">
        <v>143</v>
      </c>
      <c r="C20" s="2" t="s">
        <v>144</v>
      </c>
      <c r="D20" s="2" t="s">
        <v>145</v>
      </c>
      <c r="E20" s="10">
        <f>TQP_PCM_INPUT_HIS!E5</f>
        <v>11</v>
      </c>
      <c r="F20" s="2" t="s">
        <v>146</v>
      </c>
      <c r="G20" s="2" t="s">
        <v>147</v>
      </c>
      <c r="H20" s="2" t="s">
        <v>148</v>
      </c>
      <c r="I20" s="10">
        <f>COUNTIF(TQP_PCM_INPUT_HIS!I9:I15,"설계 문서")</f>
        <v>0</v>
      </c>
      <c r="J20" s="10">
        <f>COUNTIF(TQP_PCM_INPUT_HIS!I9:I15,"소스")</f>
        <v>6</v>
      </c>
      <c r="K20" s="10">
        <f>COUNTIF(TQP_PCM_INPUT_HIS!I9:I15,"이름 추정")</f>
        <v>1</v>
      </c>
    </row>
    <row r="21" spans="1:11" ht="64" x14ac:dyDescent="0.45">
      <c r="A21" s="10">
        <v>18</v>
      </c>
      <c r="B21" s="11" t="s">
        <v>149</v>
      </c>
      <c r="C21" s="2" t="s">
        <v>150</v>
      </c>
      <c r="D21" s="2" t="s">
        <v>151</v>
      </c>
      <c r="E21" s="10">
        <f>TQP_PRODUCT!E5</f>
        <v>6</v>
      </c>
      <c r="F21" s="2" t="s">
        <v>152</v>
      </c>
      <c r="G21" s="2" t="s">
        <v>153</v>
      </c>
      <c r="H21" s="2" t="s">
        <v>154</v>
      </c>
      <c r="I21" s="10">
        <f>COUNTIF(TQP_PRODUCT!I9:I14,"설계 문서")</f>
        <v>0</v>
      </c>
      <c r="J21" s="10">
        <f>COUNTIF(TQP_PRODUCT!I9:I14,"소스")</f>
        <v>5</v>
      </c>
      <c r="K21" s="10">
        <f>COUNTIF(TQP_PRODUCT!I9:I14,"이름 추정")</f>
        <v>1</v>
      </c>
    </row>
    <row r="22" spans="1:11" ht="64" x14ac:dyDescent="0.45">
      <c r="A22" s="10">
        <v>19</v>
      </c>
      <c r="B22" s="11" t="s">
        <v>155</v>
      </c>
      <c r="C22" s="2" t="s">
        <v>156</v>
      </c>
      <c r="D22" s="2" t="s">
        <v>157</v>
      </c>
      <c r="E22" s="10">
        <f>TQP_PROGRAM!E5</f>
        <v>18</v>
      </c>
      <c r="F22" s="2" t="s">
        <v>158</v>
      </c>
      <c r="G22" s="2" t="s">
        <v>159</v>
      </c>
      <c r="H22" s="2" t="s">
        <v>160</v>
      </c>
      <c r="I22" s="10">
        <f>COUNTIF(TQP_PROGRAM!I9:I17,"설계 문서")</f>
        <v>0</v>
      </c>
      <c r="J22" s="10">
        <f>COUNTIF(TQP_PROGRAM!I9:I17,"소스")</f>
        <v>6</v>
      </c>
      <c r="K22" s="10">
        <f>COUNTIF(TQP_PROGRAM!I9:I17,"이름 추정")</f>
        <v>3</v>
      </c>
    </row>
    <row r="23" spans="1:11" ht="48" x14ac:dyDescent="0.45">
      <c r="A23" s="10">
        <v>20</v>
      </c>
      <c r="B23" s="11" t="s">
        <v>161</v>
      </c>
      <c r="C23" s="2" t="s">
        <v>162</v>
      </c>
      <c r="D23" s="2" t="s">
        <v>163</v>
      </c>
      <c r="E23" s="10">
        <f>TQP_USEMAP!E5</f>
        <v>7</v>
      </c>
      <c r="F23" s="2" t="s">
        <v>164</v>
      </c>
      <c r="G23" s="2" t="s">
        <v>128</v>
      </c>
      <c r="H23" s="2" t="s">
        <v>165</v>
      </c>
      <c r="I23" s="10">
        <f>COUNTIF(TQP_USEMAP!I9:I15,"설계 문서")</f>
        <v>0</v>
      </c>
      <c r="J23" s="10">
        <f>COUNTIF(TQP_USEMAP!I9:I15,"소스")</f>
        <v>7</v>
      </c>
      <c r="K23" s="10">
        <f>COUNTIF(TQP_USEMAP!I9:I15,"이름 추정")</f>
        <v>0</v>
      </c>
    </row>
    <row r="24" spans="1:11" ht="48" x14ac:dyDescent="0.45">
      <c r="A24" s="10">
        <v>21</v>
      </c>
      <c r="B24" s="11" t="s">
        <v>166</v>
      </c>
      <c r="C24" s="2" t="s">
        <v>167</v>
      </c>
      <c r="D24" s="2"/>
      <c r="E24" s="10">
        <f>TQP_VISUALINSPSPEC!E5</f>
        <v>8</v>
      </c>
      <c r="F24" s="2" t="s">
        <v>168</v>
      </c>
      <c r="G24" s="2"/>
      <c r="H24" s="2" t="s">
        <v>169</v>
      </c>
      <c r="I24" s="10">
        <f>COUNTIF(TQP_VISUALINSPSPEC!I9:I16,"설계 문서")</f>
        <v>0</v>
      </c>
      <c r="J24" s="10">
        <f>COUNTIF(TQP_VISUALINSPSPEC!I9:I16,"소스")</f>
        <v>6</v>
      </c>
      <c r="K24" s="10">
        <f>COUNTIF(TQP_VISUALINSPSPEC!I9:I16,"이름 추정")</f>
        <v>2</v>
      </c>
    </row>
    <row r="25" spans="1:11" ht="80" x14ac:dyDescent="0.45">
      <c r="A25" s="10">
        <v>22</v>
      </c>
      <c r="B25" s="11" t="s">
        <v>170</v>
      </c>
      <c r="C25" s="2" t="s">
        <v>171</v>
      </c>
      <c r="D25" s="2" t="s">
        <v>172</v>
      </c>
      <c r="E25" s="10">
        <f>TQP_WAFER!E5</f>
        <v>81</v>
      </c>
      <c r="F25" s="2" t="s">
        <v>173</v>
      </c>
      <c r="G25" s="2" t="s">
        <v>174</v>
      </c>
      <c r="H25" s="2" t="s">
        <v>175</v>
      </c>
      <c r="I25" s="10">
        <f>COUNTIF(TQP_WAFER!I9:I89,"설계 문서")</f>
        <v>0</v>
      </c>
      <c r="J25" s="10">
        <f>COUNTIF(TQP_WAFER!I9:I89,"소스")</f>
        <v>30</v>
      </c>
      <c r="K25" s="10">
        <f>COUNTIF(TQP_WAFER!I9:I89,"이름 추정")</f>
        <v>51</v>
      </c>
    </row>
    <row r="26" spans="1:11" ht="80" x14ac:dyDescent="0.45">
      <c r="A26" s="10">
        <v>23</v>
      </c>
      <c r="B26" s="11" t="s">
        <v>109</v>
      </c>
      <c r="C26" s="2" t="s">
        <v>176</v>
      </c>
      <c r="D26" s="2" t="s">
        <v>177</v>
      </c>
      <c r="E26" s="10">
        <f>TQP_WAFER_SUM!E5</f>
        <v>176</v>
      </c>
      <c r="F26" s="2" t="s">
        <v>178</v>
      </c>
      <c r="G26" s="2" t="s">
        <v>179</v>
      </c>
      <c r="H26" s="2" t="s">
        <v>180</v>
      </c>
      <c r="I26" s="10">
        <f>COUNTIF(TQP_WAFER_SUM!I9:I34,"설계 문서")</f>
        <v>0</v>
      </c>
      <c r="J26" s="10">
        <f>COUNTIF(TQP_WAFER_SUM!I9:I34,"소스")</f>
        <v>24</v>
      </c>
      <c r="K26" s="10">
        <f>COUNTIF(TQP_WAFER_SUM!I9:I34,"이름 추정")</f>
        <v>2</v>
      </c>
    </row>
    <row r="27" spans="1:11" x14ac:dyDescent="0.45">
      <c r="D27" s="12" t="s">
        <v>181</v>
      </c>
      <c r="E27" s="12">
        <f>SUM(E4:E26)</f>
        <v>677</v>
      </c>
      <c r="I27" s="12">
        <f>SUM(I4:I26)</f>
        <v>9</v>
      </c>
      <c r="J27" s="12">
        <f>SUM(J4:J26)</f>
        <v>255</v>
      </c>
      <c r="K27" s="12">
        <f>SUM(K4:K26)</f>
        <v>96</v>
      </c>
    </row>
  </sheetData>
  <mergeCells count="1">
    <mergeCell ref="A1:K1"/>
  </mergeCells>
  <phoneticPr fontId="8" type="noConversion"/>
  <hyperlinks>
    <hyperlink ref="B4" location="'TD_08EYP1'!A1" display="TD_08EYP1"/>
    <hyperlink ref="B5" location="'TD_52PX'!A1" display="TD_52PX"/>
    <hyperlink ref="B6" location="'TD_89CP'!A1" display="TD_89CP"/>
    <hyperlink ref="B7" location="'TD_KA36_CP2'!A1" display="TD_KA36_CP2"/>
    <hyperlink ref="B8" location="'TQP_BINDESC'!A1" display="TQP_BINDESC"/>
    <hyperlink ref="B9" location="'TQP_CHANGE_HIS'!A1" display="TQP_CHANGE_HIS"/>
    <hyperlink ref="B10" location="'TQP_CUSTOMER'!A1" display="TQP_CUSTOMER"/>
    <hyperlink ref="B11" location="'TQP_DATA_TABLES'!A1" display="TQP_DATA_TABLES"/>
    <hyperlink ref="B12" location="'TQP_FOI_DIE'!A1" display="TQP_FOI_DIE"/>
    <hyperlink ref="B13" location="'TQP_FOI_IMAGES'!A1" display="TQP_FOI_IMAGES"/>
    <hyperlink ref="B14" location="'TQP_LOT'!A1" display="TQP_LOT"/>
    <hyperlink ref="B15" location="'TQP_LOT_SUM'!A1" display="TQP_LOT_SUM"/>
    <hyperlink ref="B16" location="'TQP_MAPCFG'!A1" display="TQP_MAPCFG"/>
    <hyperlink ref="B17" location="'TQP_MAPDEF'!A1" display="TQP_MAPDEF"/>
    <hyperlink ref="B18" location="'TQP_MAPDEF_DIE'!A1" display="TQP_MAPDEF_DIE"/>
    <hyperlink ref="B19" location="'TQP_PARASPEC'!A1" display="TQP_PARASPEC"/>
    <hyperlink ref="B20" location="'TQP_PCM_INPUT_HIS'!A1" display="TQP_PCM_INPUT_HIS"/>
    <hyperlink ref="B21" location="'TQP_PRODUCT'!A1" display="TQP_PRODUCT"/>
    <hyperlink ref="B22" location="'TQP_PROGRAM'!A1" display="TQP_PROGRAM"/>
    <hyperlink ref="B23" location="'TQP_USEMAP'!A1" display="TQP_USEMAP"/>
    <hyperlink ref="B24" location="'TQP_VISUALINSPSPEC'!A1" display="TQP_VISUALINSPSPEC"/>
    <hyperlink ref="B25" location="'TQP_WAFER'!A1" display="TQP_WAFER"/>
    <hyperlink ref="B26" location="'TQP_WAFER_SUM'!A1" display="TQP_WAFER_SUM"/>
  </hyperlinks>
  <printOptions horizontalCentered="1"/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67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68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187</v>
      </c>
      <c r="D5" s="1" t="s">
        <v>18</v>
      </c>
      <c r="E5" s="21">
        <f>SUM(J9:J14)</f>
        <v>6</v>
      </c>
      <c r="F5" s="22"/>
      <c r="G5" s="1" t="s">
        <v>66</v>
      </c>
      <c r="H5" s="23"/>
      <c r="I5" s="22"/>
    </row>
    <row r="6" spans="1:10" ht="18" customHeight="1" x14ac:dyDescent="0.45">
      <c r="A6" s="27" t="s">
        <v>64</v>
      </c>
      <c r="B6" s="22"/>
      <c r="C6" s="23" t="s">
        <v>70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193</v>
      </c>
      <c r="C9" s="15" t="s">
        <v>194</v>
      </c>
      <c r="D9" s="15" t="s">
        <v>195</v>
      </c>
      <c r="E9" s="14" t="s">
        <v>196</v>
      </c>
      <c r="F9" s="14">
        <v>1</v>
      </c>
      <c r="G9" s="15" t="s">
        <v>170</v>
      </c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198</v>
      </c>
      <c r="C10" s="15" t="s">
        <v>199</v>
      </c>
      <c r="D10" s="15" t="s">
        <v>195</v>
      </c>
      <c r="E10" s="14" t="s">
        <v>196</v>
      </c>
      <c r="F10" s="14">
        <v>2</v>
      </c>
      <c r="G10" s="15"/>
      <c r="H10" s="15"/>
      <c r="I10" s="14" t="s">
        <v>197</v>
      </c>
      <c r="J10" s="15">
        <v>1</v>
      </c>
    </row>
    <row r="11" spans="1:10" x14ac:dyDescent="0.45">
      <c r="A11" s="10">
        <v>3</v>
      </c>
      <c r="B11" s="2" t="s">
        <v>200</v>
      </c>
      <c r="C11" s="2" t="s">
        <v>201</v>
      </c>
      <c r="D11" s="2" t="s">
        <v>195</v>
      </c>
      <c r="E11" s="10" t="s">
        <v>202</v>
      </c>
      <c r="F11" s="10"/>
      <c r="G11" s="2"/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203</v>
      </c>
      <c r="C12" s="2" t="s">
        <v>204</v>
      </c>
      <c r="D12" s="2" t="s">
        <v>195</v>
      </c>
      <c r="E12" s="10" t="s">
        <v>202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202</v>
      </c>
      <c r="C13" s="2" t="s">
        <v>205</v>
      </c>
      <c r="D13" s="2" t="s">
        <v>195</v>
      </c>
      <c r="E13" s="10" t="s">
        <v>202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206</v>
      </c>
      <c r="C14" s="2" t="s">
        <v>207</v>
      </c>
      <c r="D14" s="2" t="s">
        <v>195</v>
      </c>
      <c r="E14" s="10" t="s">
        <v>202</v>
      </c>
      <c r="F14" s="10"/>
      <c r="G14" s="2" t="s">
        <v>79</v>
      </c>
      <c r="H14" s="2"/>
      <c r="I14" s="10" t="s">
        <v>197</v>
      </c>
      <c r="J14" s="2">
        <v>1</v>
      </c>
    </row>
    <row r="16" spans="1:10" x14ac:dyDescent="0.45">
      <c r="A16" s="28" t="s">
        <v>208</v>
      </c>
      <c r="B16" s="22"/>
      <c r="C16" s="22"/>
      <c r="D16" s="22"/>
      <c r="E16" s="22"/>
      <c r="F16" s="22"/>
      <c r="G16" s="22"/>
      <c r="H16" s="22"/>
      <c r="I16" s="22"/>
    </row>
    <row r="17" spans="1:9" x14ac:dyDescent="0.45">
      <c r="A17" s="3" t="s">
        <v>60</v>
      </c>
      <c r="B17" s="3" t="s">
        <v>209</v>
      </c>
      <c r="C17" s="3" t="s">
        <v>210</v>
      </c>
      <c r="D17" s="26" t="s">
        <v>211</v>
      </c>
      <c r="E17" s="24"/>
      <c r="F17" s="25"/>
      <c r="G17" s="26" t="s">
        <v>23</v>
      </c>
      <c r="H17" s="24"/>
      <c r="I17" s="25"/>
    </row>
    <row r="18" spans="1:9" ht="18" customHeight="1" x14ac:dyDescent="0.45">
      <c r="A18" s="10">
        <v>1</v>
      </c>
      <c r="B18" s="10" t="s">
        <v>191</v>
      </c>
      <c r="C18" s="2" t="s">
        <v>212</v>
      </c>
      <c r="D18" s="23" t="s">
        <v>69</v>
      </c>
      <c r="E18" s="24"/>
      <c r="F18" s="25"/>
      <c r="G18" s="23" t="s">
        <v>213</v>
      </c>
      <c r="H18" s="24"/>
      <c r="I18" s="25"/>
    </row>
    <row r="20" spans="1:9" x14ac:dyDescent="0.45">
      <c r="A20" s="28" t="s">
        <v>214</v>
      </c>
      <c r="B20" s="22"/>
      <c r="C20" s="22"/>
      <c r="D20" s="22"/>
      <c r="E20" s="22"/>
      <c r="F20" s="22"/>
      <c r="G20" s="22"/>
      <c r="H20" s="22"/>
      <c r="I20" s="22"/>
    </row>
    <row r="21" spans="1:9" x14ac:dyDescent="0.45">
      <c r="A21" s="3" t="s">
        <v>60</v>
      </c>
      <c r="B21" s="3" t="s">
        <v>215</v>
      </c>
      <c r="C21" s="3" t="s">
        <v>216</v>
      </c>
      <c r="D21" s="26" t="s">
        <v>211</v>
      </c>
      <c r="E21" s="24"/>
      <c r="F21" s="25"/>
      <c r="G21" s="26" t="s">
        <v>217</v>
      </c>
      <c r="H21" s="24"/>
      <c r="I21" s="25"/>
    </row>
    <row r="22" spans="1:9" ht="18" customHeight="1" x14ac:dyDescent="0.45">
      <c r="A22" s="10">
        <v>1</v>
      </c>
      <c r="B22" s="10" t="s">
        <v>218</v>
      </c>
      <c r="C22" s="2" t="s">
        <v>212</v>
      </c>
      <c r="D22" s="23" t="s">
        <v>69</v>
      </c>
      <c r="E22" s="24"/>
      <c r="F22" s="25"/>
      <c r="G22" s="23" t="s">
        <v>213</v>
      </c>
      <c r="H22" s="24"/>
      <c r="I22" s="25"/>
    </row>
  </sheetData>
  <mergeCells count="21">
    <mergeCell ref="A1:I1"/>
    <mergeCell ref="H5:I5"/>
    <mergeCell ref="G17:I17"/>
    <mergeCell ref="D21:F21"/>
    <mergeCell ref="E3:F3"/>
    <mergeCell ref="A16:I16"/>
    <mergeCell ref="A3:B3"/>
    <mergeCell ref="A20:I20"/>
    <mergeCell ref="G22:I22"/>
    <mergeCell ref="C4:I4"/>
    <mergeCell ref="A5:B5"/>
    <mergeCell ref="G21:I21"/>
    <mergeCell ref="H3:I3"/>
    <mergeCell ref="A4:B4"/>
    <mergeCell ref="D22:F22"/>
    <mergeCell ref="E5:F5"/>
    <mergeCell ref="G18:I18"/>
    <mergeCell ref="D17:F17"/>
    <mergeCell ref="A6:B6"/>
    <mergeCell ref="D18:F18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72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73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219</v>
      </c>
      <c r="D5" s="1" t="s">
        <v>18</v>
      </c>
      <c r="E5" s="21">
        <f>SUM(J9:J14)</f>
        <v>6</v>
      </c>
      <c r="F5" s="22"/>
      <c r="G5" s="1" t="s">
        <v>66</v>
      </c>
      <c r="H5" s="23"/>
      <c r="I5" s="22"/>
    </row>
    <row r="6" spans="1:10" ht="18" customHeight="1" x14ac:dyDescent="0.45">
      <c r="A6" s="27" t="s">
        <v>64</v>
      </c>
      <c r="B6" s="22"/>
      <c r="C6" s="23" t="s">
        <v>70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0">
        <v>1</v>
      </c>
      <c r="B9" s="2" t="s">
        <v>193</v>
      </c>
      <c r="C9" s="2" t="s">
        <v>194</v>
      </c>
      <c r="D9" s="2" t="s">
        <v>195</v>
      </c>
      <c r="E9" s="10" t="s">
        <v>202</v>
      </c>
      <c r="F9" s="10"/>
      <c r="G9" s="2" t="s">
        <v>170</v>
      </c>
      <c r="H9" s="2"/>
      <c r="I9" s="10" t="s">
        <v>197</v>
      </c>
      <c r="J9" s="2">
        <v>1</v>
      </c>
    </row>
    <row r="10" spans="1:10" x14ac:dyDescent="0.45">
      <c r="A10" s="10">
        <v>2</v>
      </c>
      <c r="B10" s="2" t="s">
        <v>198</v>
      </c>
      <c r="C10" s="2" t="s">
        <v>199</v>
      </c>
      <c r="D10" s="2" t="s">
        <v>195</v>
      </c>
      <c r="E10" s="10" t="s">
        <v>202</v>
      </c>
      <c r="F10" s="10"/>
      <c r="G10" s="2"/>
      <c r="H10" s="2"/>
      <c r="I10" s="10" t="s">
        <v>197</v>
      </c>
      <c r="J10" s="2">
        <v>1</v>
      </c>
    </row>
    <row r="11" spans="1:10" x14ac:dyDescent="0.45">
      <c r="A11" s="10">
        <v>3</v>
      </c>
      <c r="B11" s="2" t="s">
        <v>200</v>
      </c>
      <c r="C11" s="2" t="s">
        <v>201</v>
      </c>
      <c r="D11" s="2" t="s">
        <v>195</v>
      </c>
      <c r="E11" s="10" t="s">
        <v>202</v>
      </c>
      <c r="F11" s="10"/>
      <c r="G11" s="2"/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203</v>
      </c>
      <c r="C12" s="2" t="s">
        <v>204</v>
      </c>
      <c r="D12" s="2" t="s">
        <v>195</v>
      </c>
      <c r="E12" s="10" t="s">
        <v>202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202</v>
      </c>
      <c r="C13" s="2" t="s">
        <v>205</v>
      </c>
      <c r="D13" s="2" t="s">
        <v>195</v>
      </c>
      <c r="E13" s="10" t="s">
        <v>202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206</v>
      </c>
      <c r="C14" s="2" t="s">
        <v>207</v>
      </c>
      <c r="D14" s="2" t="s">
        <v>195</v>
      </c>
      <c r="E14" s="10" t="s">
        <v>202</v>
      </c>
      <c r="F14" s="10"/>
      <c r="G14" s="2" t="s">
        <v>79</v>
      </c>
      <c r="H14" s="2"/>
      <c r="I14" s="10" t="s">
        <v>197</v>
      </c>
      <c r="J14" s="2">
        <v>1</v>
      </c>
    </row>
    <row r="16" spans="1:10" x14ac:dyDescent="0.45">
      <c r="A16" s="28" t="s">
        <v>208</v>
      </c>
      <c r="B16" s="22"/>
      <c r="C16" s="22"/>
      <c r="D16" s="22"/>
      <c r="E16" s="22"/>
      <c r="F16" s="22"/>
      <c r="G16" s="22"/>
      <c r="H16" s="22"/>
      <c r="I16" s="22"/>
    </row>
    <row r="17" spans="1:9" x14ac:dyDescent="0.45">
      <c r="A17" s="3" t="s">
        <v>60</v>
      </c>
      <c r="B17" s="3" t="s">
        <v>209</v>
      </c>
      <c r="C17" s="3" t="s">
        <v>210</v>
      </c>
      <c r="D17" s="26" t="s">
        <v>211</v>
      </c>
      <c r="E17" s="24"/>
      <c r="F17" s="25"/>
      <c r="G17" s="26" t="s">
        <v>23</v>
      </c>
      <c r="H17" s="24"/>
      <c r="I17" s="25"/>
    </row>
    <row r="18" spans="1:9" x14ac:dyDescent="0.45">
      <c r="A18" s="10" t="s">
        <v>220</v>
      </c>
      <c r="B18" s="10" t="s">
        <v>220</v>
      </c>
      <c r="C18" s="2" t="s">
        <v>219</v>
      </c>
      <c r="D18" s="23"/>
      <c r="E18" s="24"/>
      <c r="F18" s="25"/>
      <c r="G18" s="23"/>
      <c r="H18" s="24"/>
      <c r="I18" s="25"/>
    </row>
    <row r="20" spans="1:9" x14ac:dyDescent="0.45">
      <c r="A20" s="28" t="s">
        <v>214</v>
      </c>
      <c r="B20" s="22"/>
      <c r="C20" s="22"/>
      <c r="D20" s="22"/>
      <c r="E20" s="22"/>
      <c r="F20" s="22"/>
      <c r="G20" s="22"/>
      <c r="H20" s="22"/>
      <c r="I20" s="22"/>
    </row>
    <row r="21" spans="1:9" x14ac:dyDescent="0.45">
      <c r="A21" s="3" t="s">
        <v>60</v>
      </c>
      <c r="B21" s="3" t="s">
        <v>215</v>
      </c>
      <c r="C21" s="3" t="s">
        <v>216</v>
      </c>
      <c r="D21" s="26" t="s">
        <v>211</v>
      </c>
      <c r="E21" s="24"/>
      <c r="F21" s="25"/>
      <c r="G21" s="26" t="s">
        <v>217</v>
      </c>
      <c r="H21" s="24"/>
      <c r="I21" s="25"/>
    </row>
    <row r="22" spans="1:9" x14ac:dyDescent="0.45">
      <c r="A22" s="10" t="s">
        <v>220</v>
      </c>
      <c r="B22" s="10" t="s">
        <v>220</v>
      </c>
      <c r="C22" s="2" t="s">
        <v>219</v>
      </c>
      <c r="D22" s="23"/>
      <c r="E22" s="24"/>
      <c r="F22" s="25"/>
      <c r="G22" s="23"/>
      <c r="H22" s="24"/>
      <c r="I22" s="25"/>
    </row>
  </sheetData>
  <mergeCells count="21">
    <mergeCell ref="A1:I1"/>
    <mergeCell ref="H5:I5"/>
    <mergeCell ref="G17:I17"/>
    <mergeCell ref="D21:F21"/>
    <mergeCell ref="E3:F3"/>
    <mergeCell ref="A16:I16"/>
    <mergeCell ref="A3:B3"/>
    <mergeCell ref="A20:I20"/>
    <mergeCell ref="G22:I22"/>
    <mergeCell ref="C4:I4"/>
    <mergeCell ref="A5:B5"/>
    <mergeCell ref="G21:I21"/>
    <mergeCell ref="H3:I3"/>
    <mergeCell ref="A4:B4"/>
    <mergeCell ref="D22:F22"/>
    <mergeCell ref="E5:F5"/>
    <mergeCell ref="G18:I18"/>
    <mergeCell ref="D17:F17"/>
    <mergeCell ref="A6:B6"/>
    <mergeCell ref="D18:F18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74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75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221</v>
      </c>
      <c r="D5" s="1" t="s">
        <v>18</v>
      </c>
      <c r="E5" s="21">
        <f>SUM(J9:J14)</f>
        <v>6</v>
      </c>
      <c r="F5" s="22"/>
      <c r="G5" s="1" t="s">
        <v>66</v>
      </c>
      <c r="H5" s="23"/>
      <c r="I5" s="22"/>
    </row>
    <row r="6" spans="1:10" ht="18" customHeight="1" x14ac:dyDescent="0.45">
      <c r="A6" s="27" t="s">
        <v>64</v>
      </c>
      <c r="B6" s="22"/>
      <c r="C6" s="23" t="s">
        <v>76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193</v>
      </c>
      <c r="C9" s="15" t="s">
        <v>194</v>
      </c>
      <c r="D9" s="15" t="s">
        <v>195</v>
      </c>
      <c r="E9" s="14" t="s">
        <v>196</v>
      </c>
      <c r="F9" s="14">
        <v>1</v>
      </c>
      <c r="G9" s="15" t="s">
        <v>170</v>
      </c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198</v>
      </c>
      <c r="C10" s="15" t="s">
        <v>199</v>
      </c>
      <c r="D10" s="15" t="s">
        <v>195</v>
      </c>
      <c r="E10" s="14" t="s">
        <v>196</v>
      </c>
      <c r="F10" s="14">
        <v>2</v>
      </c>
      <c r="G10" s="15"/>
      <c r="H10" s="15"/>
      <c r="I10" s="14" t="s">
        <v>197</v>
      </c>
      <c r="J10" s="15">
        <v>1</v>
      </c>
    </row>
    <row r="11" spans="1:10" x14ac:dyDescent="0.45">
      <c r="A11" s="10">
        <v>3</v>
      </c>
      <c r="B11" s="2" t="s">
        <v>200</v>
      </c>
      <c r="C11" s="2" t="s">
        <v>201</v>
      </c>
      <c r="D11" s="2" t="s">
        <v>195</v>
      </c>
      <c r="E11" s="10" t="s">
        <v>202</v>
      </c>
      <c r="F11" s="10"/>
      <c r="G11" s="2"/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203</v>
      </c>
      <c r="C12" s="2" t="s">
        <v>204</v>
      </c>
      <c r="D12" s="2" t="s">
        <v>195</v>
      </c>
      <c r="E12" s="10" t="s">
        <v>202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202</v>
      </c>
      <c r="C13" s="2" t="s">
        <v>205</v>
      </c>
      <c r="D13" s="2" t="s">
        <v>195</v>
      </c>
      <c r="E13" s="10" t="s">
        <v>202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206</v>
      </c>
      <c r="C14" s="2" t="s">
        <v>207</v>
      </c>
      <c r="D14" s="2" t="s">
        <v>195</v>
      </c>
      <c r="E14" s="10" t="s">
        <v>202</v>
      </c>
      <c r="F14" s="10"/>
      <c r="G14" s="2" t="s">
        <v>79</v>
      </c>
      <c r="H14" s="2"/>
      <c r="I14" s="10" t="s">
        <v>197</v>
      </c>
      <c r="J14" s="2">
        <v>1</v>
      </c>
    </row>
    <row r="16" spans="1:10" x14ac:dyDescent="0.45">
      <c r="A16" s="28" t="s">
        <v>208</v>
      </c>
      <c r="B16" s="22"/>
      <c r="C16" s="22"/>
      <c r="D16" s="22"/>
      <c r="E16" s="22"/>
      <c r="F16" s="22"/>
      <c r="G16" s="22"/>
      <c r="H16" s="22"/>
      <c r="I16" s="22"/>
    </row>
    <row r="17" spans="1:9" x14ac:dyDescent="0.45">
      <c r="A17" s="3" t="s">
        <v>60</v>
      </c>
      <c r="B17" s="3" t="s">
        <v>209</v>
      </c>
      <c r="C17" s="3" t="s">
        <v>210</v>
      </c>
      <c r="D17" s="26" t="s">
        <v>211</v>
      </c>
      <c r="E17" s="24"/>
      <c r="F17" s="25"/>
      <c r="G17" s="26" t="s">
        <v>23</v>
      </c>
      <c r="H17" s="24"/>
      <c r="I17" s="25"/>
    </row>
    <row r="18" spans="1:9" ht="18" customHeight="1" x14ac:dyDescent="0.45">
      <c r="A18" s="10">
        <v>1</v>
      </c>
      <c r="B18" s="10" t="s">
        <v>191</v>
      </c>
      <c r="C18" s="2" t="s">
        <v>222</v>
      </c>
      <c r="D18" s="23" t="s">
        <v>69</v>
      </c>
      <c r="E18" s="24"/>
      <c r="F18" s="25"/>
      <c r="G18" s="23" t="s">
        <v>213</v>
      </c>
      <c r="H18" s="24"/>
      <c r="I18" s="25"/>
    </row>
    <row r="20" spans="1:9" x14ac:dyDescent="0.45">
      <c r="A20" s="28" t="s">
        <v>214</v>
      </c>
      <c r="B20" s="22"/>
      <c r="C20" s="22"/>
      <c r="D20" s="22"/>
      <c r="E20" s="22"/>
      <c r="F20" s="22"/>
      <c r="G20" s="22"/>
      <c r="H20" s="22"/>
      <c r="I20" s="22"/>
    </row>
    <row r="21" spans="1:9" x14ac:dyDescent="0.45">
      <c r="A21" s="3" t="s">
        <v>60</v>
      </c>
      <c r="B21" s="3" t="s">
        <v>215</v>
      </c>
      <c r="C21" s="3" t="s">
        <v>216</v>
      </c>
      <c r="D21" s="26" t="s">
        <v>211</v>
      </c>
      <c r="E21" s="24"/>
      <c r="F21" s="25"/>
      <c r="G21" s="26" t="s">
        <v>217</v>
      </c>
      <c r="H21" s="24"/>
      <c r="I21" s="25"/>
    </row>
    <row r="22" spans="1:9" ht="18" customHeight="1" x14ac:dyDescent="0.45">
      <c r="A22" s="10">
        <v>1</v>
      </c>
      <c r="B22" s="10" t="s">
        <v>218</v>
      </c>
      <c r="C22" s="2" t="s">
        <v>222</v>
      </c>
      <c r="D22" s="23" t="s">
        <v>69</v>
      </c>
      <c r="E22" s="24"/>
      <c r="F22" s="25"/>
      <c r="G22" s="23" t="s">
        <v>213</v>
      </c>
      <c r="H22" s="24"/>
      <c r="I22" s="25"/>
    </row>
  </sheetData>
  <mergeCells count="21">
    <mergeCell ref="A1:I1"/>
    <mergeCell ref="H5:I5"/>
    <mergeCell ref="G17:I17"/>
    <mergeCell ref="D21:F21"/>
    <mergeCell ref="E3:F3"/>
    <mergeCell ref="A16:I16"/>
    <mergeCell ref="A3:B3"/>
    <mergeCell ref="A20:I20"/>
    <mergeCell ref="G22:I22"/>
    <mergeCell ref="C4:I4"/>
    <mergeCell ref="A5:B5"/>
    <mergeCell ref="G21:I21"/>
    <mergeCell ref="H3:I3"/>
    <mergeCell ref="A4:B4"/>
    <mergeCell ref="D22:F22"/>
    <mergeCell ref="E5:F5"/>
    <mergeCell ref="G18:I18"/>
    <mergeCell ref="D17:F17"/>
    <mergeCell ref="A6:B6"/>
    <mergeCell ref="D18:F18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77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78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223</v>
      </c>
      <c r="D5" s="1" t="s">
        <v>18</v>
      </c>
      <c r="E5" s="21">
        <f>SUM(J9:J14)</f>
        <v>6</v>
      </c>
      <c r="F5" s="22"/>
      <c r="G5" s="1" t="s">
        <v>66</v>
      </c>
      <c r="H5" s="23"/>
      <c r="I5" s="22"/>
    </row>
    <row r="6" spans="1:10" ht="18" customHeight="1" x14ac:dyDescent="0.45">
      <c r="A6" s="27" t="s">
        <v>64</v>
      </c>
      <c r="B6" s="22"/>
      <c r="C6" s="23" t="s">
        <v>76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193</v>
      </c>
      <c r="C9" s="15" t="s">
        <v>194</v>
      </c>
      <c r="D9" s="15" t="s">
        <v>195</v>
      </c>
      <c r="E9" s="14" t="s">
        <v>196</v>
      </c>
      <c r="F9" s="14">
        <v>1</v>
      </c>
      <c r="G9" s="15" t="s">
        <v>170</v>
      </c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198</v>
      </c>
      <c r="C10" s="15" t="s">
        <v>199</v>
      </c>
      <c r="D10" s="15" t="s">
        <v>195</v>
      </c>
      <c r="E10" s="14" t="s">
        <v>196</v>
      </c>
      <c r="F10" s="14">
        <v>2</v>
      </c>
      <c r="G10" s="15"/>
      <c r="H10" s="15"/>
      <c r="I10" s="14" t="s">
        <v>197</v>
      </c>
      <c r="J10" s="15">
        <v>1</v>
      </c>
    </row>
    <row r="11" spans="1:10" x14ac:dyDescent="0.45">
      <c r="A11" s="10">
        <v>3</v>
      </c>
      <c r="B11" s="2" t="s">
        <v>200</v>
      </c>
      <c r="C11" s="2" t="s">
        <v>201</v>
      </c>
      <c r="D11" s="2" t="s">
        <v>195</v>
      </c>
      <c r="E11" s="10" t="s">
        <v>202</v>
      </c>
      <c r="F11" s="10"/>
      <c r="G11" s="2"/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203</v>
      </c>
      <c r="C12" s="2" t="s">
        <v>204</v>
      </c>
      <c r="D12" s="2" t="s">
        <v>195</v>
      </c>
      <c r="E12" s="10" t="s">
        <v>202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202</v>
      </c>
      <c r="C13" s="2" t="s">
        <v>205</v>
      </c>
      <c r="D13" s="2" t="s">
        <v>195</v>
      </c>
      <c r="E13" s="10" t="s">
        <v>202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206</v>
      </c>
      <c r="C14" s="2" t="s">
        <v>207</v>
      </c>
      <c r="D14" s="2" t="s">
        <v>195</v>
      </c>
      <c r="E14" s="10" t="s">
        <v>202</v>
      </c>
      <c r="F14" s="10"/>
      <c r="G14" s="2" t="s">
        <v>79</v>
      </c>
      <c r="H14" s="2"/>
      <c r="I14" s="10" t="s">
        <v>197</v>
      </c>
      <c r="J14" s="2">
        <v>1</v>
      </c>
    </row>
    <row r="16" spans="1:10" x14ac:dyDescent="0.45">
      <c r="A16" s="28" t="s">
        <v>208</v>
      </c>
      <c r="B16" s="22"/>
      <c r="C16" s="22"/>
      <c r="D16" s="22"/>
      <c r="E16" s="22"/>
      <c r="F16" s="22"/>
      <c r="G16" s="22"/>
      <c r="H16" s="22"/>
      <c r="I16" s="22"/>
    </row>
    <row r="17" spans="1:9" x14ac:dyDescent="0.45">
      <c r="A17" s="3" t="s">
        <v>60</v>
      </c>
      <c r="B17" s="3" t="s">
        <v>209</v>
      </c>
      <c r="C17" s="3" t="s">
        <v>210</v>
      </c>
      <c r="D17" s="26" t="s">
        <v>211</v>
      </c>
      <c r="E17" s="24"/>
      <c r="F17" s="25"/>
      <c r="G17" s="26" t="s">
        <v>23</v>
      </c>
      <c r="H17" s="24"/>
      <c r="I17" s="25"/>
    </row>
    <row r="18" spans="1:9" ht="18" customHeight="1" x14ac:dyDescent="0.45">
      <c r="A18" s="10">
        <v>1</v>
      </c>
      <c r="B18" s="10" t="s">
        <v>191</v>
      </c>
      <c r="C18" s="2" t="s">
        <v>224</v>
      </c>
      <c r="D18" s="23" t="s">
        <v>69</v>
      </c>
      <c r="E18" s="24"/>
      <c r="F18" s="25"/>
      <c r="G18" s="23" t="s">
        <v>213</v>
      </c>
      <c r="H18" s="24"/>
      <c r="I18" s="25"/>
    </row>
    <row r="20" spans="1:9" x14ac:dyDescent="0.45">
      <c r="A20" s="28" t="s">
        <v>214</v>
      </c>
      <c r="B20" s="22"/>
      <c r="C20" s="22"/>
      <c r="D20" s="22"/>
      <c r="E20" s="22"/>
      <c r="F20" s="22"/>
      <c r="G20" s="22"/>
      <c r="H20" s="22"/>
      <c r="I20" s="22"/>
    </row>
    <row r="21" spans="1:9" x14ac:dyDescent="0.45">
      <c r="A21" s="3" t="s">
        <v>60</v>
      </c>
      <c r="B21" s="3" t="s">
        <v>215</v>
      </c>
      <c r="C21" s="3" t="s">
        <v>216</v>
      </c>
      <c r="D21" s="26" t="s">
        <v>211</v>
      </c>
      <c r="E21" s="24"/>
      <c r="F21" s="25"/>
      <c r="G21" s="26" t="s">
        <v>217</v>
      </c>
      <c r="H21" s="24"/>
      <c r="I21" s="25"/>
    </row>
    <row r="22" spans="1:9" ht="18" customHeight="1" x14ac:dyDescent="0.45">
      <c r="A22" s="10">
        <v>1</v>
      </c>
      <c r="B22" s="10" t="s">
        <v>218</v>
      </c>
      <c r="C22" s="2" t="s">
        <v>224</v>
      </c>
      <c r="D22" s="23" t="s">
        <v>69</v>
      </c>
      <c r="E22" s="24"/>
      <c r="F22" s="25"/>
      <c r="G22" s="23" t="s">
        <v>213</v>
      </c>
      <c r="H22" s="24"/>
      <c r="I22" s="25"/>
    </row>
  </sheetData>
  <mergeCells count="21">
    <mergeCell ref="A1:I1"/>
    <mergeCell ref="H5:I5"/>
    <mergeCell ref="G17:I17"/>
    <mergeCell ref="D21:F21"/>
    <mergeCell ref="E3:F3"/>
    <mergeCell ref="A16:I16"/>
    <mergeCell ref="A3:B3"/>
    <mergeCell ref="A20:I20"/>
    <mergeCell ref="G22:I22"/>
    <mergeCell ref="C4:I4"/>
    <mergeCell ref="A5:B5"/>
    <mergeCell ref="G21:I21"/>
    <mergeCell ref="H3:I3"/>
    <mergeCell ref="A4:B4"/>
    <mergeCell ref="D22:F22"/>
    <mergeCell ref="E5:F5"/>
    <mergeCell ref="G18:I18"/>
    <mergeCell ref="D17:F17"/>
    <mergeCell ref="A6:B6"/>
    <mergeCell ref="D18:F18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79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80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225</v>
      </c>
      <c r="D5" s="1" t="s">
        <v>18</v>
      </c>
      <c r="E5" s="21">
        <f>SUM(J9:J19)</f>
        <v>11</v>
      </c>
      <c r="F5" s="22"/>
      <c r="G5" s="1" t="s">
        <v>66</v>
      </c>
      <c r="H5" s="23" t="s">
        <v>84</v>
      </c>
      <c r="I5" s="22"/>
    </row>
    <row r="6" spans="1:10" ht="18" customHeight="1" x14ac:dyDescent="0.45">
      <c r="A6" s="27" t="s">
        <v>64</v>
      </c>
      <c r="B6" s="22"/>
      <c r="C6" s="23" t="s">
        <v>82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226</v>
      </c>
      <c r="C9" s="15" t="s">
        <v>227</v>
      </c>
      <c r="D9" s="15" t="s">
        <v>228</v>
      </c>
      <c r="E9" s="14" t="s">
        <v>196</v>
      </c>
      <c r="F9" s="14">
        <v>1</v>
      </c>
      <c r="G9" s="15" t="s">
        <v>155</v>
      </c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206</v>
      </c>
      <c r="C10" s="15" t="s">
        <v>229</v>
      </c>
      <c r="D10" s="15" t="s">
        <v>195</v>
      </c>
      <c r="E10" s="14" t="s">
        <v>196</v>
      </c>
      <c r="F10" s="14">
        <v>2</v>
      </c>
      <c r="G10" s="15"/>
      <c r="H10" s="15"/>
      <c r="I10" s="14" t="s">
        <v>197</v>
      </c>
      <c r="J10" s="15">
        <v>1</v>
      </c>
    </row>
    <row r="11" spans="1:10" x14ac:dyDescent="0.45">
      <c r="A11" s="10">
        <v>3</v>
      </c>
      <c r="B11" s="2" t="s">
        <v>230</v>
      </c>
      <c r="C11" s="2" t="s">
        <v>231</v>
      </c>
      <c r="D11" s="2" t="s">
        <v>195</v>
      </c>
      <c r="E11" s="10" t="s">
        <v>202</v>
      </c>
      <c r="F11" s="10"/>
      <c r="G11" s="2"/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232</v>
      </c>
      <c r="C12" s="2" t="s">
        <v>233</v>
      </c>
      <c r="D12" s="2" t="s">
        <v>234</v>
      </c>
      <c r="E12" s="10" t="s">
        <v>202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235</v>
      </c>
      <c r="C13" s="2" t="s">
        <v>236</v>
      </c>
      <c r="D13" s="2" t="s">
        <v>234</v>
      </c>
      <c r="E13" s="10" t="s">
        <v>202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237</v>
      </c>
      <c r="C14" s="2" t="s">
        <v>238</v>
      </c>
      <c r="D14" s="2" t="s">
        <v>239</v>
      </c>
      <c r="E14" s="10" t="s">
        <v>202</v>
      </c>
      <c r="F14" s="10"/>
      <c r="G14" s="2"/>
      <c r="H14" s="2"/>
      <c r="I14" s="10" t="s">
        <v>197</v>
      </c>
      <c r="J14" s="2">
        <v>1</v>
      </c>
    </row>
    <row r="15" spans="1:10" x14ac:dyDescent="0.45">
      <c r="A15" s="10">
        <v>7</v>
      </c>
      <c r="B15" s="2" t="s">
        <v>240</v>
      </c>
      <c r="C15" s="2" t="s">
        <v>241</v>
      </c>
      <c r="D15" s="2" t="s">
        <v>239</v>
      </c>
      <c r="E15" s="10" t="s">
        <v>202</v>
      </c>
      <c r="F15" s="10"/>
      <c r="G15" s="2"/>
      <c r="H15" s="2"/>
      <c r="I15" s="10" t="s">
        <v>197</v>
      </c>
      <c r="J15" s="2">
        <v>1</v>
      </c>
    </row>
    <row r="16" spans="1:10" x14ac:dyDescent="0.45">
      <c r="A16" s="10">
        <v>8</v>
      </c>
      <c r="B16" s="2" t="s">
        <v>242</v>
      </c>
      <c r="C16" s="2" t="s">
        <v>243</v>
      </c>
      <c r="D16" s="2" t="s">
        <v>195</v>
      </c>
      <c r="E16" s="10" t="s">
        <v>202</v>
      </c>
      <c r="F16" s="10"/>
      <c r="G16" s="2"/>
      <c r="H16" s="2"/>
      <c r="I16" s="10" t="s">
        <v>197</v>
      </c>
      <c r="J16" s="2">
        <v>1</v>
      </c>
    </row>
    <row r="17" spans="1:10" x14ac:dyDescent="0.45">
      <c r="A17" s="10">
        <v>9</v>
      </c>
      <c r="B17" s="2" t="s">
        <v>244</v>
      </c>
      <c r="C17" s="2" t="s">
        <v>245</v>
      </c>
      <c r="D17" s="2" t="s">
        <v>195</v>
      </c>
      <c r="E17" s="10" t="s">
        <v>202</v>
      </c>
      <c r="F17" s="10"/>
      <c r="G17" s="2"/>
      <c r="H17" s="2"/>
      <c r="I17" s="10" t="s">
        <v>197</v>
      </c>
      <c r="J17" s="2">
        <v>1</v>
      </c>
    </row>
    <row r="18" spans="1:10" x14ac:dyDescent="0.45">
      <c r="A18" s="10">
        <v>10</v>
      </c>
      <c r="B18" s="2" t="s">
        <v>246</v>
      </c>
      <c r="C18" s="2" t="s">
        <v>247</v>
      </c>
      <c r="D18" s="2" t="s">
        <v>248</v>
      </c>
      <c r="E18" s="10" t="s">
        <v>202</v>
      </c>
      <c r="F18" s="10"/>
      <c r="G18" s="2"/>
      <c r="H18" s="2"/>
      <c r="I18" s="10" t="s">
        <v>197</v>
      </c>
      <c r="J18" s="2">
        <v>1</v>
      </c>
    </row>
    <row r="19" spans="1:10" x14ac:dyDescent="0.45">
      <c r="A19" s="10">
        <v>11</v>
      </c>
      <c r="B19" s="2" t="s">
        <v>249</v>
      </c>
      <c r="C19" s="2" t="s">
        <v>250</v>
      </c>
      <c r="D19" s="2" t="s">
        <v>251</v>
      </c>
      <c r="E19" s="10" t="s">
        <v>202</v>
      </c>
      <c r="F19" s="10"/>
      <c r="G19" s="2"/>
      <c r="H19" s="2"/>
      <c r="I19" s="10" t="s">
        <v>197</v>
      </c>
      <c r="J19" s="2">
        <v>1</v>
      </c>
    </row>
    <row r="21" spans="1:10" x14ac:dyDescent="0.45">
      <c r="A21" s="28" t="s">
        <v>208</v>
      </c>
      <c r="B21" s="22"/>
      <c r="C21" s="22"/>
      <c r="D21" s="22"/>
      <c r="E21" s="22"/>
      <c r="F21" s="22"/>
      <c r="G21" s="22"/>
      <c r="H21" s="22"/>
      <c r="I21" s="22"/>
    </row>
    <row r="22" spans="1:10" x14ac:dyDescent="0.45">
      <c r="A22" s="3" t="s">
        <v>60</v>
      </c>
      <c r="B22" s="3" t="s">
        <v>209</v>
      </c>
      <c r="C22" s="3" t="s">
        <v>210</v>
      </c>
      <c r="D22" s="26" t="s">
        <v>211</v>
      </c>
      <c r="E22" s="24"/>
      <c r="F22" s="25"/>
      <c r="G22" s="26" t="s">
        <v>23</v>
      </c>
      <c r="H22" s="24"/>
      <c r="I22" s="25"/>
    </row>
    <row r="23" spans="1:10" ht="18" customHeight="1" x14ac:dyDescent="0.45">
      <c r="A23" s="10">
        <v>1</v>
      </c>
      <c r="B23" s="10" t="s">
        <v>191</v>
      </c>
      <c r="C23" s="2" t="s">
        <v>252</v>
      </c>
      <c r="D23" s="23" t="s">
        <v>81</v>
      </c>
      <c r="E23" s="24"/>
      <c r="F23" s="25"/>
      <c r="G23" s="23" t="s">
        <v>213</v>
      </c>
      <c r="H23" s="24"/>
      <c r="I23" s="25"/>
    </row>
    <row r="25" spans="1:10" x14ac:dyDescent="0.45">
      <c r="A25" s="28" t="s">
        <v>214</v>
      </c>
      <c r="B25" s="22"/>
      <c r="C25" s="22"/>
      <c r="D25" s="22"/>
      <c r="E25" s="22"/>
      <c r="F25" s="22"/>
      <c r="G25" s="22"/>
      <c r="H25" s="22"/>
      <c r="I25" s="22"/>
    </row>
    <row r="26" spans="1:10" x14ac:dyDescent="0.45">
      <c r="A26" s="3" t="s">
        <v>60</v>
      </c>
      <c r="B26" s="3" t="s">
        <v>215</v>
      </c>
      <c r="C26" s="3" t="s">
        <v>216</v>
      </c>
      <c r="D26" s="26" t="s">
        <v>211</v>
      </c>
      <c r="E26" s="24"/>
      <c r="F26" s="25"/>
      <c r="G26" s="26" t="s">
        <v>217</v>
      </c>
      <c r="H26" s="24"/>
      <c r="I26" s="25"/>
    </row>
    <row r="27" spans="1:10" ht="18" customHeight="1" x14ac:dyDescent="0.45">
      <c r="A27" s="10">
        <v>1</v>
      </c>
      <c r="B27" s="10" t="s">
        <v>218</v>
      </c>
      <c r="C27" s="2" t="s">
        <v>252</v>
      </c>
      <c r="D27" s="23" t="s">
        <v>81</v>
      </c>
      <c r="E27" s="24"/>
      <c r="F27" s="25"/>
      <c r="G27" s="23" t="s">
        <v>213</v>
      </c>
      <c r="H27" s="24"/>
      <c r="I27" s="25"/>
    </row>
  </sheetData>
  <mergeCells count="21">
    <mergeCell ref="A1:I1"/>
    <mergeCell ref="H5:I5"/>
    <mergeCell ref="E3:F3"/>
    <mergeCell ref="A3:B3"/>
    <mergeCell ref="D23:F23"/>
    <mergeCell ref="G22:I22"/>
    <mergeCell ref="C4:I4"/>
    <mergeCell ref="A5:B5"/>
    <mergeCell ref="H3:I3"/>
    <mergeCell ref="A4:B4"/>
    <mergeCell ref="D22:F22"/>
    <mergeCell ref="G23:I23"/>
    <mergeCell ref="A25:I25"/>
    <mergeCell ref="D27:F27"/>
    <mergeCell ref="E5:F5"/>
    <mergeCell ref="A6:B6"/>
    <mergeCell ref="A21:I21"/>
    <mergeCell ref="C6:I6"/>
    <mergeCell ref="G26:I26"/>
    <mergeCell ref="D26:F26"/>
    <mergeCell ref="G27:I27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85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86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253</v>
      </c>
      <c r="D5" s="1" t="s">
        <v>18</v>
      </c>
      <c r="E5" s="21">
        <f>SUM(J9:J23)</f>
        <v>15</v>
      </c>
      <c r="F5" s="22"/>
      <c r="G5" s="1" t="s">
        <v>66</v>
      </c>
      <c r="H5" s="23" t="s">
        <v>89</v>
      </c>
      <c r="I5" s="22"/>
    </row>
    <row r="6" spans="1:10" ht="18" customHeight="1" x14ac:dyDescent="0.45">
      <c r="A6" s="27" t="s">
        <v>64</v>
      </c>
      <c r="B6" s="22"/>
      <c r="C6" s="23" t="s">
        <v>88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87</v>
      </c>
      <c r="C9" s="15" t="s">
        <v>254</v>
      </c>
      <c r="D9" s="15" t="s">
        <v>255</v>
      </c>
      <c r="E9" s="14" t="s">
        <v>196</v>
      </c>
      <c r="F9" s="14">
        <v>1</v>
      </c>
      <c r="G9" s="15"/>
      <c r="H9" s="15"/>
      <c r="I9" s="14" t="s">
        <v>197</v>
      </c>
      <c r="J9" s="15">
        <v>1</v>
      </c>
    </row>
    <row r="10" spans="1:10" x14ac:dyDescent="0.45">
      <c r="A10" s="10">
        <v>2</v>
      </c>
      <c r="B10" s="2" t="s">
        <v>256</v>
      </c>
      <c r="C10" s="2" t="s">
        <v>257</v>
      </c>
      <c r="D10" s="2" t="s">
        <v>228</v>
      </c>
      <c r="E10" s="10" t="s">
        <v>196</v>
      </c>
      <c r="F10" s="10"/>
      <c r="G10" s="2"/>
      <c r="H10" s="2"/>
      <c r="I10" s="10" t="s">
        <v>197</v>
      </c>
      <c r="J10" s="2">
        <v>1</v>
      </c>
    </row>
    <row r="11" spans="1:10" x14ac:dyDescent="0.45">
      <c r="A11" s="10">
        <v>3</v>
      </c>
      <c r="B11" s="2" t="s">
        <v>258</v>
      </c>
      <c r="C11" s="2" t="s">
        <v>259</v>
      </c>
      <c r="D11" s="2" t="s">
        <v>228</v>
      </c>
      <c r="E11" s="10" t="s">
        <v>196</v>
      </c>
      <c r="F11" s="10"/>
      <c r="G11" s="2"/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260</v>
      </c>
      <c r="C12" s="2" t="s">
        <v>261</v>
      </c>
      <c r="D12" s="2" t="s">
        <v>228</v>
      </c>
      <c r="E12" s="10" t="s">
        <v>202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226</v>
      </c>
      <c r="C13" s="2" t="s">
        <v>262</v>
      </c>
      <c r="D13" s="2" t="s">
        <v>228</v>
      </c>
      <c r="E13" s="10" t="s">
        <v>202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263</v>
      </c>
      <c r="C14" s="2" t="s">
        <v>264</v>
      </c>
      <c r="D14" s="2" t="s">
        <v>228</v>
      </c>
      <c r="E14" s="10" t="s">
        <v>196</v>
      </c>
      <c r="F14" s="10"/>
      <c r="G14" s="2"/>
      <c r="H14" s="2"/>
      <c r="I14" s="10" t="s">
        <v>197</v>
      </c>
      <c r="J14" s="2">
        <v>1</v>
      </c>
    </row>
    <row r="15" spans="1:10" x14ac:dyDescent="0.45">
      <c r="A15" s="10">
        <v>7</v>
      </c>
      <c r="B15" s="2" t="s">
        <v>265</v>
      </c>
      <c r="C15" s="2" t="s">
        <v>266</v>
      </c>
      <c r="D15" s="2" t="s">
        <v>228</v>
      </c>
      <c r="E15" s="10" t="s">
        <v>202</v>
      </c>
      <c r="F15" s="10"/>
      <c r="G15" s="2"/>
      <c r="H15" s="2"/>
      <c r="I15" s="10" t="s">
        <v>197</v>
      </c>
      <c r="J15" s="2">
        <v>1</v>
      </c>
    </row>
    <row r="16" spans="1:10" x14ac:dyDescent="0.45">
      <c r="A16" s="10">
        <v>8</v>
      </c>
      <c r="B16" s="2" t="s">
        <v>267</v>
      </c>
      <c r="C16" s="2" t="s">
        <v>268</v>
      </c>
      <c r="D16" s="2" t="s">
        <v>228</v>
      </c>
      <c r="E16" s="10" t="s">
        <v>196</v>
      </c>
      <c r="F16" s="10"/>
      <c r="G16" s="2"/>
      <c r="H16" s="2"/>
      <c r="I16" s="10" t="s">
        <v>197</v>
      </c>
      <c r="J16" s="2">
        <v>1</v>
      </c>
    </row>
    <row r="17" spans="1:10" x14ac:dyDescent="0.45">
      <c r="A17" s="10">
        <v>9</v>
      </c>
      <c r="B17" s="2" t="s">
        <v>269</v>
      </c>
      <c r="C17" s="2" t="s">
        <v>270</v>
      </c>
      <c r="D17" s="2" t="s">
        <v>228</v>
      </c>
      <c r="E17" s="10" t="s">
        <v>196</v>
      </c>
      <c r="F17" s="10"/>
      <c r="G17" s="2"/>
      <c r="H17" s="2"/>
      <c r="I17" s="10" t="s">
        <v>197</v>
      </c>
      <c r="J17" s="2">
        <v>1</v>
      </c>
    </row>
    <row r="18" spans="1:10" x14ac:dyDescent="0.45">
      <c r="A18" s="10">
        <v>10</v>
      </c>
      <c r="B18" s="2" t="s">
        <v>271</v>
      </c>
      <c r="C18" s="2" t="s">
        <v>272</v>
      </c>
      <c r="D18" s="2" t="s">
        <v>228</v>
      </c>
      <c r="E18" s="10" t="s">
        <v>196</v>
      </c>
      <c r="F18" s="10"/>
      <c r="G18" s="2"/>
      <c r="H18" s="2"/>
      <c r="I18" s="10" t="s">
        <v>197</v>
      </c>
      <c r="J18" s="2">
        <v>1</v>
      </c>
    </row>
    <row r="19" spans="1:10" x14ac:dyDescent="0.45">
      <c r="A19" s="10">
        <v>11</v>
      </c>
      <c r="B19" s="2" t="s">
        <v>273</v>
      </c>
      <c r="C19" s="2" t="s">
        <v>274</v>
      </c>
      <c r="D19" s="2" t="s">
        <v>228</v>
      </c>
      <c r="E19" s="10" t="s">
        <v>196</v>
      </c>
      <c r="F19" s="10"/>
      <c r="G19" s="2"/>
      <c r="H19" s="2"/>
      <c r="I19" s="10" t="s">
        <v>197</v>
      </c>
      <c r="J19" s="2">
        <v>1</v>
      </c>
    </row>
    <row r="20" spans="1:10" x14ac:dyDescent="0.45">
      <c r="A20" s="10">
        <v>12</v>
      </c>
      <c r="B20" s="2" t="s">
        <v>275</v>
      </c>
      <c r="C20" s="2" t="s">
        <v>276</v>
      </c>
      <c r="D20" s="2" t="s">
        <v>195</v>
      </c>
      <c r="E20" s="10" t="s">
        <v>202</v>
      </c>
      <c r="F20" s="10"/>
      <c r="G20" s="2"/>
      <c r="H20" s="2"/>
      <c r="I20" s="10" t="s">
        <v>197</v>
      </c>
      <c r="J20" s="2">
        <v>1</v>
      </c>
    </row>
    <row r="21" spans="1:10" x14ac:dyDescent="0.45">
      <c r="A21" s="10">
        <v>13</v>
      </c>
      <c r="B21" s="2" t="s">
        <v>277</v>
      </c>
      <c r="C21" s="2" t="s">
        <v>278</v>
      </c>
      <c r="D21" s="2" t="s">
        <v>228</v>
      </c>
      <c r="E21" s="10" t="s">
        <v>202</v>
      </c>
      <c r="F21" s="10"/>
      <c r="G21" s="2"/>
      <c r="H21" s="2"/>
      <c r="I21" s="10" t="s">
        <v>197</v>
      </c>
      <c r="J21" s="2">
        <v>1</v>
      </c>
    </row>
    <row r="22" spans="1:10" x14ac:dyDescent="0.45">
      <c r="A22" s="10">
        <v>14</v>
      </c>
      <c r="B22" s="2" t="s">
        <v>279</v>
      </c>
      <c r="C22" s="2" t="s">
        <v>280</v>
      </c>
      <c r="D22" s="2" t="s">
        <v>228</v>
      </c>
      <c r="E22" s="10" t="s">
        <v>202</v>
      </c>
      <c r="F22" s="10"/>
      <c r="G22" s="2"/>
      <c r="H22" s="2"/>
      <c r="I22" s="10" t="s">
        <v>197</v>
      </c>
      <c r="J22" s="2">
        <v>1</v>
      </c>
    </row>
    <row r="23" spans="1:10" x14ac:dyDescent="0.45">
      <c r="A23" s="10">
        <v>15</v>
      </c>
      <c r="B23" s="2" t="s">
        <v>281</v>
      </c>
      <c r="C23" s="2" t="s">
        <v>282</v>
      </c>
      <c r="D23" s="2" t="s">
        <v>283</v>
      </c>
      <c r="E23" s="10" t="s">
        <v>202</v>
      </c>
      <c r="F23" s="10"/>
      <c r="G23" s="2"/>
      <c r="H23" s="2"/>
      <c r="I23" s="10" t="s">
        <v>197</v>
      </c>
      <c r="J23" s="2">
        <v>1</v>
      </c>
    </row>
    <row r="25" spans="1:10" x14ac:dyDescent="0.45">
      <c r="A25" s="28" t="s">
        <v>208</v>
      </c>
      <c r="B25" s="22"/>
      <c r="C25" s="22"/>
      <c r="D25" s="22"/>
      <c r="E25" s="22"/>
      <c r="F25" s="22"/>
      <c r="G25" s="22"/>
      <c r="H25" s="22"/>
      <c r="I25" s="22"/>
    </row>
    <row r="26" spans="1:10" x14ac:dyDescent="0.45">
      <c r="A26" s="3" t="s">
        <v>60</v>
      </c>
      <c r="B26" s="3" t="s">
        <v>209</v>
      </c>
      <c r="C26" s="3" t="s">
        <v>210</v>
      </c>
      <c r="D26" s="26" t="s">
        <v>211</v>
      </c>
      <c r="E26" s="24"/>
      <c r="F26" s="25"/>
      <c r="G26" s="26" t="s">
        <v>23</v>
      </c>
      <c r="H26" s="24"/>
      <c r="I26" s="25"/>
    </row>
    <row r="27" spans="1:10" ht="18" customHeight="1" x14ac:dyDescent="0.45">
      <c r="A27" s="10">
        <v>1</v>
      </c>
      <c r="B27" s="10" t="s">
        <v>191</v>
      </c>
      <c r="C27" s="2" t="s">
        <v>284</v>
      </c>
      <c r="D27" s="23" t="s">
        <v>87</v>
      </c>
      <c r="E27" s="24"/>
      <c r="F27" s="25"/>
      <c r="G27" s="23" t="s">
        <v>213</v>
      </c>
      <c r="H27" s="24"/>
      <c r="I27" s="25"/>
    </row>
    <row r="29" spans="1:10" x14ac:dyDescent="0.45">
      <c r="A29" s="28" t="s">
        <v>214</v>
      </c>
      <c r="B29" s="22"/>
      <c r="C29" s="22"/>
      <c r="D29" s="22"/>
      <c r="E29" s="22"/>
      <c r="F29" s="22"/>
      <c r="G29" s="22"/>
      <c r="H29" s="22"/>
      <c r="I29" s="22"/>
    </row>
    <row r="30" spans="1:10" x14ac:dyDescent="0.45">
      <c r="A30" s="3" t="s">
        <v>60</v>
      </c>
      <c r="B30" s="3" t="s">
        <v>215</v>
      </c>
      <c r="C30" s="3" t="s">
        <v>216</v>
      </c>
      <c r="D30" s="26" t="s">
        <v>211</v>
      </c>
      <c r="E30" s="24"/>
      <c r="F30" s="25"/>
      <c r="G30" s="26" t="s">
        <v>217</v>
      </c>
      <c r="H30" s="24"/>
      <c r="I30" s="25"/>
    </row>
    <row r="31" spans="1:10" ht="18" customHeight="1" x14ac:dyDescent="0.45">
      <c r="A31" s="10">
        <v>1</v>
      </c>
      <c r="B31" s="10" t="s">
        <v>218</v>
      </c>
      <c r="C31" s="2" t="s">
        <v>284</v>
      </c>
      <c r="D31" s="23" t="s">
        <v>87</v>
      </c>
      <c r="E31" s="24"/>
      <c r="F31" s="25"/>
      <c r="G31" s="23" t="s">
        <v>213</v>
      </c>
      <c r="H31" s="24"/>
      <c r="I31" s="25"/>
    </row>
  </sheetData>
  <mergeCells count="21">
    <mergeCell ref="A1:I1"/>
    <mergeCell ref="H5:I5"/>
    <mergeCell ref="E3:F3"/>
    <mergeCell ref="A3:B3"/>
    <mergeCell ref="A29:I29"/>
    <mergeCell ref="G31:I31"/>
    <mergeCell ref="C4:I4"/>
    <mergeCell ref="A5:B5"/>
    <mergeCell ref="D26:F26"/>
    <mergeCell ref="H3:I3"/>
    <mergeCell ref="A4:B4"/>
    <mergeCell ref="G27:I27"/>
    <mergeCell ref="D31:F31"/>
    <mergeCell ref="A25:I25"/>
    <mergeCell ref="D27:F27"/>
    <mergeCell ref="E5:F5"/>
    <mergeCell ref="G30:I30"/>
    <mergeCell ref="A6:B6"/>
    <mergeCell ref="C6:I6"/>
    <mergeCell ref="G26:I26"/>
    <mergeCell ref="D30:F30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90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91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285</v>
      </c>
      <c r="D5" s="1" t="s">
        <v>18</v>
      </c>
      <c r="E5" s="21">
        <f>SUM(J9:J23)</f>
        <v>15</v>
      </c>
      <c r="F5" s="22"/>
      <c r="G5" s="1" t="s">
        <v>66</v>
      </c>
      <c r="H5" s="23" t="s">
        <v>94</v>
      </c>
      <c r="I5" s="22"/>
    </row>
    <row r="6" spans="1:10" ht="18" customHeight="1" x14ac:dyDescent="0.45">
      <c r="A6" s="27" t="s">
        <v>64</v>
      </c>
      <c r="B6" s="22"/>
      <c r="C6" s="23" t="s">
        <v>93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92</v>
      </c>
      <c r="C9" s="15" t="s">
        <v>286</v>
      </c>
      <c r="D9" s="15" t="s">
        <v>234</v>
      </c>
      <c r="E9" s="14" t="s">
        <v>196</v>
      </c>
      <c r="F9" s="14">
        <v>1</v>
      </c>
      <c r="G9" s="15"/>
      <c r="H9" s="15"/>
      <c r="I9" s="14" t="s">
        <v>197</v>
      </c>
      <c r="J9" s="15">
        <v>1</v>
      </c>
    </row>
    <row r="10" spans="1:10" x14ac:dyDescent="0.45">
      <c r="A10" s="10">
        <v>2</v>
      </c>
      <c r="B10" s="2" t="s">
        <v>287</v>
      </c>
      <c r="C10" s="2" t="s">
        <v>288</v>
      </c>
      <c r="D10" s="2" t="s">
        <v>234</v>
      </c>
      <c r="E10" s="10" t="s">
        <v>196</v>
      </c>
      <c r="F10" s="10"/>
      <c r="G10" s="2"/>
      <c r="H10" s="2"/>
      <c r="I10" s="10" t="s">
        <v>289</v>
      </c>
      <c r="J10" s="2">
        <v>1</v>
      </c>
    </row>
    <row r="11" spans="1:10" x14ac:dyDescent="0.45">
      <c r="A11" s="10">
        <v>3</v>
      </c>
      <c r="B11" s="2" t="s">
        <v>290</v>
      </c>
      <c r="C11" s="2" t="s">
        <v>291</v>
      </c>
      <c r="D11" s="2" t="s">
        <v>251</v>
      </c>
      <c r="E11" s="10" t="s">
        <v>202</v>
      </c>
      <c r="F11" s="10"/>
      <c r="G11" s="2"/>
      <c r="H11" s="2"/>
      <c r="I11" s="10" t="s">
        <v>289</v>
      </c>
      <c r="J11" s="2">
        <v>1</v>
      </c>
    </row>
    <row r="12" spans="1:10" x14ac:dyDescent="0.45">
      <c r="A12" s="10">
        <v>4</v>
      </c>
      <c r="B12" s="2" t="s">
        <v>292</v>
      </c>
      <c r="C12" s="2" t="s">
        <v>293</v>
      </c>
      <c r="D12" s="2" t="s">
        <v>294</v>
      </c>
      <c r="E12" s="10" t="s">
        <v>202</v>
      </c>
      <c r="F12" s="10"/>
      <c r="G12" s="2"/>
      <c r="H12" s="2"/>
      <c r="I12" s="10" t="s">
        <v>289</v>
      </c>
      <c r="J12" s="2">
        <v>1</v>
      </c>
    </row>
    <row r="13" spans="1:10" x14ac:dyDescent="0.45">
      <c r="A13" s="10">
        <v>5</v>
      </c>
      <c r="B13" s="2" t="s">
        <v>295</v>
      </c>
      <c r="C13" s="2" t="s">
        <v>296</v>
      </c>
      <c r="D13" s="2" t="s">
        <v>297</v>
      </c>
      <c r="E13" s="10" t="s">
        <v>202</v>
      </c>
      <c r="F13" s="10"/>
      <c r="G13" s="2"/>
      <c r="H13" s="2"/>
      <c r="I13" s="10" t="s">
        <v>289</v>
      </c>
      <c r="J13" s="2">
        <v>1</v>
      </c>
    </row>
    <row r="14" spans="1:10" x14ac:dyDescent="0.45">
      <c r="A14" s="10">
        <v>6</v>
      </c>
      <c r="B14" s="2" t="s">
        <v>298</v>
      </c>
      <c r="C14" s="2" t="s">
        <v>299</v>
      </c>
      <c r="D14" s="2" t="s">
        <v>300</v>
      </c>
      <c r="E14" s="10" t="s">
        <v>202</v>
      </c>
      <c r="F14" s="10"/>
      <c r="G14" s="2"/>
      <c r="H14" s="2"/>
      <c r="I14" s="10" t="s">
        <v>289</v>
      </c>
      <c r="J14" s="2">
        <v>1</v>
      </c>
    </row>
    <row r="15" spans="1:10" x14ac:dyDescent="0.45">
      <c r="A15" s="10">
        <v>7</v>
      </c>
      <c r="B15" s="2" t="s">
        <v>301</v>
      </c>
      <c r="C15" s="2" t="s">
        <v>302</v>
      </c>
      <c r="D15" s="2" t="s">
        <v>234</v>
      </c>
      <c r="E15" s="10" t="s">
        <v>202</v>
      </c>
      <c r="F15" s="10"/>
      <c r="G15" s="2"/>
      <c r="H15" s="2"/>
      <c r="I15" s="10" t="s">
        <v>289</v>
      </c>
      <c r="J15" s="2">
        <v>1</v>
      </c>
    </row>
    <row r="16" spans="1:10" x14ac:dyDescent="0.45">
      <c r="A16" s="10">
        <v>8</v>
      </c>
      <c r="B16" s="2" t="s">
        <v>303</v>
      </c>
      <c r="C16" s="2" t="s">
        <v>304</v>
      </c>
      <c r="D16" s="2" t="s">
        <v>234</v>
      </c>
      <c r="E16" s="10" t="s">
        <v>202</v>
      </c>
      <c r="F16" s="10"/>
      <c r="G16" s="2"/>
      <c r="H16" s="2"/>
      <c r="I16" s="10" t="s">
        <v>289</v>
      </c>
      <c r="J16" s="2">
        <v>1</v>
      </c>
    </row>
    <row r="17" spans="1:10" x14ac:dyDescent="0.45">
      <c r="A17" s="10">
        <v>9</v>
      </c>
      <c r="B17" s="2" t="s">
        <v>305</v>
      </c>
      <c r="C17" s="2" t="s">
        <v>306</v>
      </c>
      <c r="D17" s="2" t="s">
        <v>234</v>
      </c>
      <c r="E17" s="10" t="s">
        <v>202</v>
      </c>
      <c r="F17" s="10"/>
      <c r="G17" s="2"/>
      <c r="H17" s="2"/>
      <c r="I17" s="10" t="s">
        <v>289</v>
      </c>
      <c r="J17" s="2">
        <v>1</v>
      </c>
    </row>
    <row r="18" spans="1:10" x14ac:dyDescent="0.45">
      <c r="A18" s="10">
        <v>10</v>
      </c>
      <c r="B18" s="2" t="s">
        <v>307</v>
      </c>
      <c r="C18" s="2" t="s">
        <v>308</v>
      </c>
      <c r="D18" s="2" t="s">
        <v>251</v>
      </c>
      <c r="E18" s="10" t="s">
        <v>202</v>
      </c>
      <c r="F18" s="10"/>
      <c r="G18" s="2"/>
      <c r="H18" s="2"/>
      <c r="I18" s="10" t="s">
        <v>289</v>
      </c>
      <c r="J18" s="2">
        <v>1</v>
      </c>
    </row>
    <row r="19" spans="1:10" x14ac:dyDescent="0.45">
      <c r="A19" s="10">
        <v>11</v>
      </c>
      <c r="B19" s="2" t="s">
        <v>309</v>
      </c>
      <c r="C19" s="2" t="s">
        <v>310</v>
      </c>
      <c r="D19" s="2" t="s">
        <v>251</v>
      </c>
      <c r="E19" s="10" t="s">
        <v>202</v>
      </c>
      <c r="F19" s="10"/>
      <c r="G19" s="2"/>
      <c r="H19" s="2"/>
      <c r="I19" s="10" t="s">
        <v>289</v>
      </c>
      <c r="J19" s="2">
        <v>1</v>
      </c>
    </row>
    <row r="20" spans="1:10" x14ac:dyDescent="0.45">
      <c r="A20" s="10">
        <v>12</v>
      </c>
      <c r="B20" s="2" t="s">
        <v>311</v>
      </c>
      <c r="C20" s="2" t="s">
        <v>312</v>
      </c>
      <c r="D20" s="2" t="s">
        <v>251</v>
      </c>
      <c r="E20" s="10" t="s">
        <v>202</v>
      </c>
      <c r="F20" s="10"/>
      <c r="G20" s="2"/>
      <c r="H20" s="2"/>
      <c r="I20" s="10" t="s">
        <v>289</v>
      </c>
      <c r="J20" s="2">
        <v>1</v>
      </c>
    </row>
    <row r="21" spans="1:10" x14ac:dyDescent="0.45">
      <c r="A21" s="10">
        <v>13</v>
      </c>
      <c r="B21" s="2" t="s">
        <v>313</v>
      </c>
      <c r="C21" s="2" t="s">
        <v>314</v>
      </c>
      <c r="D21" s="2" t="s">
        <v>251</v>
      </c>
      <c r="E21" s="10" t="s">
        <v>202</v>
      </c>
      <c r="F21" s="10"/>
      <c r="G21" s="2"/>
      <c r="H21" s="2"/>
      <c r="I21" s="10" t="s">
        <v>289</v>
      </c>
      <c r="J21" s="2">
        <v>1</v>
      </c>
    </row>
    <row r="22" spans="1:10" x14ac:dyDescent="0.45">
      <c r="A22" s="10">
        <v>14</v>
      </c>
      <c r="B22" s="2" t="s">
        <v>315</v>
      </c>
      <c r="C22" s="2" t="s">
        <v>316</v>
      </c>
      <c r="D22" s="2" t="s">
        <v>251</v>
      </c>
      <c r="E22" s="10" t="s">
        <v>202</v>
      </c>
      <c r="F22" s="10"/>
      <c r="G22" s="2"/>
      <c r="H22" s="2"/>
      <c r="I22" s="10" t="s">
        <v>289</v>
      </c>
      <c r="J22" s="2">
        <v>1</v>
      </c>
    </row>
    <row r="23" spans="1:10" x14ac:dyDescent="0.45">
      <c r="A23" s="10">
        <v>15</v>
      </c>
      <c r="B23" s="2" t="s">
        <v>317</v>
      </c>
      <c r="C23" s="2" t="s">
        <v>318</v>
      </c>
      <c r="D23" s="2" t="s">
        <v>251</v>
      </c>
      <c r="E23" s="10" t="s">
        <v>202</v>
      </c>
      <c r="F23" s="10"/>
      <c r="G23" s="2"/>
      <c r="H23" s="2"/>
      <c r="I23" s="10" t="s">
        <v>289</v>
      </c>
      <c r="J23" s="2">
        <v>1</v>
      </c>
    </row>
    <row r="25" spans="1:10" x14ac:dyDescent="0.45">
      <c r="A25" s="28" t="s">
        <v>208</v>
      </c>
      <c r="B25" s="22"/>
      <c r="C25" s="22"/>
      <c r="D25" s="22"/>
      <c r="E25" s="22"/>
      <c r="F25" s="22"/>
      <c r="G25" s="22"/>
      <c r="H25" s="22"/>
      <c r="I25" s="22"/>
    </row>
    <row r="26" spans="1:10" x14ac:dyDescent="0.45">
      <c r="A26" s="3" t="s">
        <v>60</v>
      </c>
      <c r="B26" s="3" t="s">
        <v>209</v>
      </c>
      <c r="C26" s="3" t="s">
        <v>210</v>
      </c>
      <c r="D26" s="26" t="s">
        <v>211</v>
      </c>
      <c r="E26" s="24"/>
      <c r="F26" s="25"/>
      <c r="G26" s="26" t="s">
        <v>23</v>
      </c>
      <c r="H26" s="24"/>
      <c r="I26" s="25"/>
    </row>
    <row r="27" spans="1:10" ht="18" customHeight="1" x14ac:dyDescent="0.45">
      <c r="A27" s="10">
        <v>1</v>
      </c>
      <c r="B27" s="10" t="s">
        <v>191</v>
      </c>
      <c r="C27" s="2" t="s">
        <v>319</v>
      </c>
      <c r="D27" s="23" t="s">
        <v>92</v>
      </c>
      <c r="E27" s="24"/>
      <c r="F27" s="25"/>
      <c r="G27" s="23" t="s">
        <v>213</v>
      </c>
      <c r="H27" s="24"/>
      <c r="I27" s="25"/>
    </row>
    <row r="29" spans="1:10" x14ac:dyDescent="0.45">
      <c r="A29" s="28" t="s">
        <v>214</v>
      </c>
      <c r="B29" s="22"/>
      <c r="C29" s="22"/>
      <c r="D29" s="22"/>
      <c r="E29" s="22"/>
      <c r="F29" s="22"/>
      <c r="G29" s="22"/>
      <c r="H29" s="22"/>
      <c r="I29" s="22"/>
    </row>
    <row r="30" spans="1:10" x14ac:dyDescent="0.45">
      <c r="A30" s="3" t="s">
        <v>60</v>
      </c>
      <c r="B30" s="3" t="s">
        <v>215</v>
      </c>
      <c r="C30" s="3" t="s">
        <v>216</v>
      </c>
      <c r="D30" s="26" t="s">
        <v>211</v>
      </c>
      <c r="E30" s="24"/>
      <c r="F30" s="25"/>
      <c r="G30" s="26" t="s">
        <v>217</v>
      </c>
      <c r="H30" s="24"/>
      <c r="I30" s="25"/>
    </row>
    <row r="31" spans="1:10" ht="18" customHeight="1" x14ac:dyDescent="0.45">
      <c r="A31" s="10">
        <v>1</v>
      </c>
      <c r="B31" s="10" t="s">
        <v>218</v>
      </c>
      <c r="C31" s="2" t="s">
        <v>319</v>
      </c>
      <c r="D31" s="23" t="s">
        <v>92</v>
      </c>
      <c r="E31" s="24"/>
      <c r="F31" s="25"/>
      <c r="G31" s="23" t="s">
        <v>213</v>
      </c>
      <c r="H31" s="24"/>
      <c r="I31" s="25"/>
    </row>
  </sheetData>
  <mergeCells count="21">
    <mergeCell ref="A1:I1"/>
    <mergeCell ref="H5:I5"/>
    <mergeCell ref="E3:F3"/>
    <mergeCell ref="A3:B3"/>
    <mergeCell ref="A29:I29"/>
    <mergeCell ref="G31:I31"/>
    <mergeCell ref="C4:I4"/>
    <mergeCell ref="A5:B5"/>
    <mergeCell ref="D26:F26"/>
    <mergeCell ref="H3:I3"/>
    <mergeCell ref="A4:B4"/>
    <mergeCell ref="G27:I27"/>
    <mergeCell ref="D31:F31"/>
    <mergeCell ref="A25:I25"/>
    <mergeCell ref="D27:F27"/>
    <mergeCell ref="E5:F5"/>
    <mergeCell ref="G30:I30"/>
    <mergeCell ref="A6:B6"/>
    <mergeCell ref="C6:I6"/>
    <mergeCell ref="G26:I26"/>
    <mergeCell ref="D30:F30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95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96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320</v>
      </c>
      <c r="D5" s="1" t="s">
        <v>18</v>
      </c>
      <c r="E5" s="21">
        <f>SUM(J9:J11)</f>
        <v>3</v>
      </c>
      <c r="F5" s="22"/>
      <c r="G5" s="1" t="s">
        <v>66</v>
      </c>
      <c r="H5" s="23" t="s">
        <v>100</v>
      </c>
      <c r="I5" s="22"/>
    </row>
    <row r="6" spans="1:10" ht="18" customHeight="1" x14ac:dyDescent="0.45">
      <c r="A6" s="27" t="s">
        <v>64</v>
      </c>
      <c r="B6" s="22"/>
      <c r="C6" s="23" t="s">
        <v>98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256</v>
      </c>
      <c r="C9" s="15" t="s">
        <v>321</v>
      </c>
      <c r="D9" s="15" t="s">
        <v>322</v>
      </c>
      <c r="E9" s="14" t="s">
        <v>196</v>
      </c>
      <c r="F9" s="14">
        <v>1</v>
      </c>
      <c r="G9" s="15"/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226</v>
      </c>
      <c r="C10" s="15" t="s">
        <v>323</v>
      </c>
      <c r="D10" s="15" t="s">
        <v>228</v>
      </c>
      <c r="E10" s="14" t="s">
        <v>196</v>
      </c>
      <c r="F10" s="14">
        <v>2</v>
      </c>
      <c r="G10" s="15"/>
      <c r="H10" s="15"/>
      <c r="I10" s="14" t="s">
        <v>197</v>
      </c>
      <c r="J10" s="15">
        <v>1</v>
      </c>
    </row>
    <row r="11" spans="1:10" x14ac:dyDescent="0.45">
      <c r="A11" s="14">
        <v>3</v>
      </c>
      <c r="B11" s="15" t="s">
        <v>324</v>
      </c>
      <c r="C11" s="15" t="s">
        <v>325</v>
      </c>
      <c r="D11" s="15" t="s">
        <v>228</v>
      </c>
      <c r="E11" s="14" t="s">
        <v>196</v>
      </c>
      <c r="F11" s="14">
        <v>3</v>
      </c>
      <c r="G11" s="15"/>
      <c r="H11" s="15"/>
      <c r="I11" s="14" t="s">
        <v>197</v>
      </c>
      <c r="J11" s="15">
        <v>1</v>
      </c>
    </row>
    <row r="13" spans="1:10" x14ac:dyDescent="0.45">
      <c r="A13" s="28" t="s">
        <v>208</v>
      </c>
      <c r="B13" s="22"/>
      <c r="C13" s="22"/>
      <c r="D13" s="22"/>
      <c r="E13" s="22"/>
      <c r="F13" s="22"/>
      <c r="G13" s="22"/>
      <c r="H13" s="22"/>
      <c r="I13" s="22"/>
    </row>
    <row r="14" spans="1:10" x14ac:dyDescent="0.45">
      <c r="A14" s="3" t="s">
        <v>60</v>
      </c>
      <c r="B14" s="3" t="s">
        <v>209</v>
      </c>
      <c r="C14" s="3" t="s">
        <v>210</v>
      </c>
      <c r="D14" s="26" t="s">
        <v>211</v>
      </c>
      <c r="E14" s="24"/>
      <c r="F14" s="25"/>
      <c r="G14" s="26" t="s">
        <v>23</v>
      </c>
      <c r="H14" s="24"/>
      <c r="I14" s="25"/>
    </row>
    <row r="15" spans="1:10" ht="18" customHeight="1" x14ac:dyDescent="0.45">
      <c r="A15" s="10">
        <v>1</v>
      </c>
      <c r="B15" s="10" t="s">
        <v>191</v>
      </c>
      <c r="C15" s="2" t="s">
        <v>326</v>
      </c>
      <c r="D15" s="23" t="s">
        <v>97</v>
      </c>
      <c r="E15" s="24"/>
      <c r="F15" s="25"/>
      <c r="G15" s="23" t="s">
        <v>213</v>
      </c>
      <c r="H15" s="24"/>
      <c r="I15" s="25"/>
    </row>
    <row r="17" spans="1:9" x14ac:dyDescent="0.45">
      <c r="A17" s="28" t="s">
        <v>214</v>
      </c>
      <c r="B17" s="22"/>
      <c r="C17" s="22"/>
      <c r="D17" s="22"/>
      <c r="E17" s="22"/>
      <c r="F17" s="22"/>
      <c r="G17" s="22"/>
      <c r="H17" s="22"/>
      <c r="I17" s="22"/>
    </row>
    <row r="18" spans="1:9" x14ac:dyDescent="0.45">
      <c r="A18" s="3" t="s">
        <v>60</v>
      </c>
      <c r="B18" s="3" t="s">
        <v>215</v>
      </c>
      <c r="C18" s="3" t="s">
        <v>216</v>
      </c>
      <c r="D18" s="26" t="s">
        <v>211</v>
      </c>
      <c r="E18" s="24"/>
      <c r="F18" s="25"/>
      <c r="G18" s="26" t="s">
        <v>217</v>
      </c>
      <c r="H18" s="24"/>
      <c r="I18" s="25"/>
    </row>
    <row r="19" spans="1:9" ht="18" customHeight="1" x14ac:dyDescent="0.45">
      <c r="A19" s="10">
        <v>1</v>
      </c>
      <c r="B19" s="10" t="s">
        <v>218</v>
      </c>
      <c r="C19" s="2" t="s">
        <v>326</v>
      </c>
      <c r="D19" s="23" t="s">
        <v>97</v>
      </c>
      <c r="E19" s="24"/>
      <c r="F19" s="25"/>
      <c r="G19" s="23" t="s">
        <v>213</v>
      </c>
      <c r="H19" s="24"/>
      <c r="I19" s="25"/>
    </row>
  </sheetData>
  <mergeCells count="21">
    <mergeCell ref="A1:I1"/>
    <mergeCell ref="H5:I5"/>
    <mergeCell ref="E3:F3"/>
    <mergeCell ref="A3:B3"/>
    <mergeCell ref="D14:F14"/>
    <mergeCell ref="A13:I13"/>
    <mergeCell ref="C4:I4"/>
    <mergeCell ref="A5:B5"/>
    <mergeCell ref="H3:I3"/>
    <mergeCell ref="A4:B4"/>
    <mergeCell ref="G19:I19"/>
    <mergeCell ref="E5:F5"/>
    <mergeCell ref="G18:I18"/>
    <mergeCell ref="A6:B6"/>
    <mergeCell ref="G15:I15"/>
    <mergeCell ref="G14:I14"/>
    <mergeCell ref="D18:F18"/>
    <mergeCell ref="A17:I17"/>
    <mergeCell ref="C6:I6"/>
    <mergeCell ref="D15:F15"/>
    <mergeCell ref="D19:F19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101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102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327</v>
      </c>
      <c r="D5" s="1" t="s">
        <v>18</v>
      </c>
      <c r="E5" s="21">
        <f>SUM(J9:J20)</f>
        <v>12</v>
      </c>
      <c r="F5" s="22"/>
      <c r="G5" s="1" t="s">
        <v>66</v>
      </c>
      <c r="H5" s="23" t="s">
        <v>105</v>
      </c>
      <c r="I5" s="22"/>
    </row>
    <row r="6" spans="1:10" ht="18" customHeight="1" x14ac:dyDescent="0.45">
      <c r="A6" s="27" t="s">
        <v>64</v>
      </c>
      <c r="B6" s="22"/>
      <c r="C6" s="23" t="s">
        <v>103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ht="32" x14ac:dyDescent="0.45">
      <c r="A9" s="14">
        <v>1</v>
      </c>
      <c r="B9" s="15" t="s">
        <v>193</v>
      </c>
      <c r="C9" s="15" t="s">
        <v>194</v>
      </c>
      <c r="D9" s="15" t="s">
        <v>195</v>
      </c>
      <c r="E9" s="14" t="s">
        <v>196</v>
      </c>
      <c r="F9" s="14">
        <v>1</v>
      </c>
      <c r="G9" s="15" t="s">
        <v>126</v>
      </c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198</v>
      </c>
      <c r="C10" s="15" t="s">
        <v>328</v>
      </c>
      <c r="D10" s="15" t="s">
        <v>195</v>
      </c>
      <c r="E10" s="14" t="s">
        <v>196</v>
      </c>
      <c r="F10" s="14">
        <v>2</v>
      </c>
      <c r="G10" s="15"/>
      <c r="H10" s="15"/>
      <c r="I10" s="14" t="s">
        <v>197</v>
      </c>
      <c r="J10" s="15">
        <v>1</v>
      </c>
    </row>
    <row r="11" spans="1:10" x14ac:dyDescent="0.45">
      <c r="A11" s="10">
        <v>3</v>
      </c>
      <c r="B11" s="2" t="s">
        <v>329</v>
      </c>
      <c r="C11" s="2" t="s">
        <v>330</v>
      </c>
      <c r="D11" s="2" t="s">
        <v>255</v>
      </c>
      <c r="E11" s="10" t="s">
        <v>202</v>
      </c>
      <c r="F11" s="10"/>
      <c r="G11" s="2"/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200</v>
      </c>
      <c r="C12" s="2" t="s">
        <v>331</v>
      </c>
      <c r="D12" s="2" t="s">
        <v>195</v>
      </c>
      <c r="E12" s="10" t="s">
        <v>196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203</v>
      </c>
      <c r="C13" s="2" t="s">
        <v>332</v>
      </c>
      <c r="D13" s="2" t="s">
        <v>195</v>
      </c>
      <c r="E13" s="10" t="s">
        <v>196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202</v>
      </c>
      <c r="C14" s="2" t="s">
        <v>333</v>
      </c>
      <c r="D14" s="2" t="s">
        <v>195</v>
      </c>
      <c r="E14" s="10" t="s">
        <v>196</v>
      </c>
      <c r="F14" s="10"/>
      <c r="G14" s="2"/>
      <c r="H14" s="2"/>
      <c r="I14" s="10" t="s">
        <v>197</v>
      </c>
      <c r="J14" s="2">
        <v>1</v>
      </c>
    </row>
    <row r="15" spans="1:10" x14ac:dyDescent="0.45">
      <c r="A15" s="10">
        <v>7</v>
      </c>
      <c r="B15" s="2" t="s">
        <v>206</v>
      </c>
      <c r="C15" s="2" t="s">
        <v>334</v>
      </c>
      <c r="D15" s="2" t="s">
        <v>195</v>
      </c>
      <c r="E15" s="10" t="s">
        <v>202</v>
      </c>
      <c r="F15" s="10"/>
      <c r="G15" s="2" t="s">
        <v>79</v>
      </c>
      <c r="H15" s="2"/>
      <c r="I15" s="10" t="s">
        <v>197</v>
      </c>
      <c r="J15" s="2">
        <v>1</v>
      </c>
    </row>
    <row r="16" spans="1:10" x14ac:dyDescent="0.45">
      <c r="A16" s="10">
        <v>8</v>
      </c>
      <c r="B16" s="2" t="s">
        <v>335</v>
      </c>
      <c r="C16" s="2" t="s">
        <v>336</v>
      </c>
      <c r="D16" s="2" t="s">
        <v>255</v>
      </c>
      <c r="E16" s="10" t="s">
        <v>202</v>
      </c>
      <c r="F16" s="10"/>
      <c r="G16" s="2"/>
      <c r="H16" s="2"/>
      <c r="I16" s="10" t="s">
        <v>197</v>
      </c>
      <c r="J16" s="2">
        <v>1</v>
      </c>
    </row>
    <row r="17" spans="1:10" x14ac:dyDescent="0.45">
      <c r="A17" s="10">
        <v>9</v>
      </c>
      <c r="B17" s="2" t="s">
        <v>337</v>
      </c>
      <c r="C17" s="2" t="s">
        <v>338</v>
      </c>
      <c r="D17" s="2" t="s">
        <v>283</v>
      </c>
      <c r="E17" s="10" t="s">
        <v>202</v>
      </c>
      <c r="F17" s="10"/>
      <c r="G17" s="2"/>
      <c r="H17" s="2"/>
      <c r="I17" s="10" t="s">
        <v>197</v>
      </c>
      <c r="J17" s="2">
        <v>1</v>
      </c>
    </row>
    <row r="18" spans="1:10" x14ac:dyDescent="0.45">
      <c r="A18" s="10">
        <v>10</v>
      </c>
      <c r="B18" s="2" t="s">
        <v>339</v>
      </c>
      <c r="C18" s="2" t="s">
        <v>340</v>
      </c>
      <c r="D18" s="2" t="s">
        <v>283</v>
      </c>
      <c r="E18" s="10" t="s">
        <v>202</v>
      </c>
      <c r="F18" s="10"/>
      <c r="G18" s="2"/>
      <c r="H18" s="2"/>
      <c r="I18" s="10" t="s">
        <v>197</v>
      </c>
      <c r="J18" s="2">
        <v>1</v>
      </c>
    </row>
    <row r="19" spans="1:10" x14ac:dyDescent="0.45">
      <c r="A19" s="10">
        <v>11</v>
      </c>
      <c r="B19" s="2" t="s">
        <v>341</v>
      </c>
      <c r="C19" s="2" t="s">
        <v>342</v>
      </c>
      <c r="D19" s="2" t="s">
        <v>283</v>
      </c>
      <c r="E19" s="10" t="s">
        <v>202</v>
      </c>
      <c r="F19" s="10"/>
      <c r="G19" s="2"/>
      <c r="H19" s="2"/>
      <c r="I19" s="10" t="s">
        <v>197</v>
      </c>
      <c r="J19" s="2">
        <v>1</v>
      </c>
    </row>
    <row r="20" spans="1:10" x14ac:dyDescent="0.45">
      <c r="A20" s="10">
        <v>12</v>
      </c>
      <c r="B20" s="2" t="s">
        <v>343</v>
      </c>
      <c r="C20" s="2" t="s">
        <v>344</v>
      </c>
      <c r="D20" s="2" t="s">
        <v>283</v>
      </c>
      <c r="E20" s="10" t="s">
        <v>202</v>
      </c>
      <c r="F20" s="10"/>
      <c r="G20" s="2"/>
      <c r="H20" s="2"/>
      <c r="I20" s="10" t="s">
        <v>197</v>
      </c>
      <c r="J20" s="2">
        <v>1</v>
      </c>
    </row>
    <row r="22" spans="1:10" x14ac:dyDescent="0.45">
      <c r="A22" s="28" t="s">
        <v>208</v>
      </c>
      <c r="B22" s="22"/>
      <c r="C22" s="22"/>
      <c r="D22" s="22"/>
      <c r="E22" s="22"/>
      <c r="F22" s="22"/>
      <c r="G22" s="22"/>
      <c r="H22" s="22"/>
      <c r="I22" s="22"/>
    </row>
    <row r="23" spans="1:10" x14ac:dyDescent="0.45">
      <c r="A23" s="3" t="s">
        <v>60</v>
      </c>
      <c r="B23" s="3" t="s">
        <v>209</v>
      </c>
      <c r="C23" s="3" t="s">
        <v>210</v>
      </c>
      <c r="D23" s="26" t="s">
        <v>211</v>
      </c>
      <c r="E23" s="24"/>
      <c r="F23" s="25"/>
      <c r="G23" s="26" t="s">
        <v>23</v>
      </c>
      <c r="H23" s="24"/>
      <c r="I23" s="25"/>
    </row>
    <row r="24" spans="1:10" ht="18" customHeight="1" x14ac:dyDescent="0.45">
      <c r="A24" s="10">
        <v>1</v>
      </c>
      <c r="B24" s="10" t="s">
        <v>191</v>
      </c>
      <c r="C24" s="2" t="s">
        <v>345</v>
      </c>
      <c r="D24" s="23" t="s">
        <v>69</v>
      </c>
      <c r="E24" s="24"/>
      <c r="F24" s="25"/>
      <c r="G24" s="23" t="s">
        <v>213</v>
      </c>
      <c r="H24" s="24"/>
      <c r="I24" s="25"/>
    </row>
    <row r="26" spans="1:10" x14ac:dyDescent="0.45">
      <c r="A26" s="28" t="s">
        <v>214</v>
      </c>
      <c r="B26" s="22"/>
      <c r="C26" s="22"/>
      <c r="D26" s="22"/>
      <c r="E26" s="22"/>
      <c r="F26" s="22"/>
      <c r="G26" s="22"/>
      <c r="H26" s="22"/>
      <c r="I26" s="22"/>
    </row>
    <row r="27" spans="1:10" x14ac:dyDescent="0.45">
      <c r="A27" s="3" t="s">
        <v>60</v>
      </c>
      <c r="B27" s="3" t="s">
        <v>215</v>
      </c>
      <c r="C27" s="3" t="s">
        <v>216</v>
      </c>
      <c r="D27" s="26" t="s">
        <v>211</v>
      </c>
      <c r="E27" s="24"/>
      <c r="F27" s="25"/>
      <c r="G27" s="26" t="s">
        <v>217</v>
      </c>
      <c r="H27" s="24"/>
      <c r="I27" s="25"/>
    </row>
    <row r="28" spans="1:10" ht="18" customHeight="1" x14ac:dyDescent="0.45">
      <c r="A28" s="10">
        <v>1</v>
      </c>
      <c r="B28" s="10" t="s">
        <v>220</v>
      </c>
      <c r="C28" s="2" t="s">
        <v>346</v>
      </c>
      <c r="D28" s="23" t="s">
        <v>193</v>
      </c>
      <c r="E28" s="24"/>
      <c r="F28" s="25"/>
      <c r="G28" s="23"/>
      <c r="H28" s="24"/>
      <c r="I28" s="25"/>
    </row>
    <row r="29" spans="1:10" ht="18" customHeight="1" x14ac:dyDescent="0.45">
      <c r="A29" s="10">
        <v>2</v>
      </c>
      <c r="B29" s="10" t="s">
        <v>218</v>
      </c>
      <c r="C29" s="2" t="s">
        <v>345</v>
      </c>
      <c r="D29" s="23" t="s">
        <v>69</v>
      </c>
      <c r="E29" s="24"/>
      <c r="F29" s="25"/>
      <c r="G29" s="23" t="s">
        <v>213</v>
      </c>
      <c r="H29" s="24"/>
      <c r="I29" s="25"/>
    </row>
  </sheetData>
  <mergeCells count="23">
    <mergeCell ref="A1:I1"/>
    <mergeCell ref="H5:I5"/>
    <mergeCell ref="E3:F3"/>
    <mergeCell ref="G29:I29"/>
    <mergeCell ref="A3:B3"/>
    <mergeCell ref="D24:F24"/>
    <mergeCell ref="D29:F29"/>
    <mergeCell ref="D23:F23"/>
    <mergeCell ref="C4:I4"/>
    <mergeCell ref="A5:B5"/>
    <mergeCell ref="H3:I3"/>
    <mergeCell ref="A4:B4"/>
    <mergeCell ref="G27:I27"/>
    <mergeCell ref="G23:I23"/>
    <mergeCell ref="D27:F27"/>
    <mergeCell ref="G28:I28"/>
    <mergeCell ref="E5:F5"/>
    <mergeCell ref="A26:I26"/>
    <mergeCell ref="A6:B6"/>
    <mergeCell ref="G24:I24"/>
    <mergeCell ref="D28:F28"/>
    <mergeCell ref="C6:I6"/>
    <mergeCell ref="A22:I22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106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107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219</v>
      </c>
      <c r="D5" s="1" t="s">
        <v>18</v>
      </c>
      <c r="E5" s="21">
        <f>SUM(J9:J16)</f>
        <v>8</v>
      </c>
      <c r="F5" s="22"/>
      <c r="G5" s="1" t="s">
        <v>66</v>
      </c>
      <c r="H5" s="23" t="s">
        <v>110</v>
      </c>
      <c r="I5" s="22"/>
    </row>
    <row r="6" spans="1:10" ht="18" customHeight="1" x14ac:dyDescent="0.45">
      <c r="A6" s="27" t="s">
        <v>64</v>
      </c>
      <c r="B6" s="22"/>
      <c r="C6" s="23" t="s">
        <v>108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0">
        <v>1</v>
      </c>
      <c r="B9" s="2" t="s">
        <v>193</v>
      </c>
      <c r="C9" s="2" t="s">
        <v>194</v>
      </c>
      <c r="D9" s="2" t="s">
        <v>195</v>
      </c>
      <c r="E9" s="10" t="s">
        <v>196</v>
      </c>
      <c r="F9" s="10"/>
      <c r="G9" s="2" t="s">
        <v>109</v>
      </c>
      <c r="H9" s="2"/>
      <c r="I9" s="10" t="s">
        <v>197</v>
      </c>
      <c r="J9" s="2">
        <v>1</v>
      </c>
    </row>
    <row r="10" spans="1:10" x14ac:dyDescent="0.45">
      <c r="A10" s="10">
        <v>2</v>
      </c>
      <c r="B10" s="2" t="s">
        <v>203</v>
      </c>
      <c r="C10" s="2" t="s">
        <v>332</v>
      </c>
      <c r="D10" s="2" t="s">
        <v>195</v>
      </c>
      <c r="E10" s="10" t="s">
        <v>196</v>
      </c>
      <c r="F10" s="10"/>
      <c r="G10" s="2"/>
      <c r="H10" s="2"/>
      <c r="I10" s="10" t="s">
        <v>197</v>
      </c>
      <c r="J10" s="2">
        <v>1</v>
      </c>
    </row>
    <row r="11" spans="1:10" x14ac:dyDescent="0.45">
      <c r="A11" s="10">
        <v>3</v>
      </c>
      <c r="B11" s="2" t="s">
        <v>202</v>
      </c>
      <c r="C11" s="2" t="s">
        <v>333</v>
      </c>
      <c r="D11" s="2" t="s">
        <v>195</v>
      </c>
      <c r="E11" s="10" t="s">
        <v>196</v>
      </c>
      <c r="F11" s="10"/>
      <c r="G11" s="2"/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206</v>
      </c>
      <c r="C12" s="2" t="s">
        <v>347</v>
      </c>
      <c r="D12" s="2" t="s">
        <v>195</v>
      </c>
      <c r="E12" s="10" t="s">
        <v>202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337</v>
      </c>
      <c r="C13" s="2" t="s">
        <v>348</v>
      </c>
      <c r="D13" s="2" t="s">
        <v>283</v>
      </c>
      <c r="E13" s="10" t="s">
        <v>202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339</v>
      </c>
      <c r="C14" s="2" t="s">
        <v>340</v>
      </c>
      <c r="D14" s="2" t="s">
        <v>283</v>
      </c>
      <c r="E14" s="10" t="s">
        <v>202</v>
      </c>
      <c r="F14" s="10"/>
      <c r="G14" s="2"/>
      <c r="H14" s="2"/>
      <c r="I14" s="10" t="s">
        <v>197</v>
      </c>
      <c r="J14" s="2">
        <v>1</v>
      </c>
    </row>
    <row r="15" spans="1:10" x14ac:dyDescent="0.45">
      <c r="A15" s="10">
        <v>7</v>
      </c>
      <c r="B15" s="2" t="s">
        <v>341</v>
      </c>
      <c r="C15" s="2" t="s">
        <v>349</v>
      </c>
      <c r="D15" s="2" t="s">
        <v>283</v>
      </c>
      <c r="E15" s="10" t="s">
        <v>202</v>
      </c>
      <c r="F15" s="10"/>
      <c r="G15" s="2"/>
      <c r="H15" s="2"/>
      <c r="I15" s="10" t="s">
        <v>197</v>
      </c>
      <c r="J15" s="2">
        <v>1</v>
      </c>
    </row>
    <row r="16" spans="1:10" x14ac:dyDescent="0.45">
      <c r="A16" s="10">
        <v>8</v>
      </c>
      <c r="B16" s="2" t="s">
        <v>343</v>
      </c>
      <c r="C16" s="2" t="s">
        <v>344</v>
      </c>
      <c r="D16" s="2" t="s">
        <v>283</v>
      </c>
      <c r="E16" s="10" t="s">
        <v>202</v>
      </c>
      <c r="F16" s="10"/>
      <c r="G16" s="2"/>
      <c r="H16" s="2"/>
      <c r="I16" s="10" t="s">
        <v>197</v>
      </c>
      <c r="J16" s="2">
        <v>1</v>
      </c>
    </row>
    <row r="18" spans="1:9" x14ac:dyDescent="0.45">
      <c r="A18" s="28" t="s">
        <v>208</v>
      </c>
      <c r="B18" s="22"/>
      <c r="C18" s="22"/>
      <c r="D18" s="22"/>
      <c r="E18" s="22"/>
      <c r="F18" s="22"/>
      <c r="G18" s="22"/>
      <c r="H18" s="22"/>
      <c r="I18" s="22"/>
    </row>
    <row r="19" spans="1:9" x14ac:dyDescent="0.45">
      <c r="A19" s="3" t="s">
        <v>60</v>
      </c>
      <c r="B19" s="3" t="s">
        <v>209</v>
      </c>
      <c r="C19" s="3" t="s">
        <v>210</v>
      </c>
      <c r="D19" s="26" t="s">
        <v>211</v>
      </c>
      <c r="E19" s="24"/>
      <c r="F19" s="25"/>
      <c r="G19" s="26" t="s">
        <v>23</v>
      </c>
      <c r="H19" s="24"/>
      <c r="I19" s="25"/>
    </row>
    <row r="20" spans="1:9" x14ac:dyDescent="0.45">
      <c r="A20" s="10" t="s">
        <v>220</v>
      </c>
      <c r="B20" s="10" t="s">
        <v>220</v>
      </c>
      <c r="C20" s="2" t="s">
        <v>219</v>
      </c>
      <c r="D20" s="23"/>
      <c r="E20" s="24"/>
      <c r="F20" s="25"/>
      <c r="G20" s="23"/>
      <c r="H20" s="24"/>
      <c r="I20" s="25"/>
    </row>
    <row r="22" spans="1:9" x14ac:dyDescent="0.45">
      <c r="A22" s="28" t="s">
        <v>214</v>
      </c>
      <c r="B22" s="22"/>
      <c r="C22" s="22"/>
      <c r="D22" s="22"/>
      <c r="E22" s="22"/>
      <c r="F22" s="22"/>
      <c r="G22" s="22"/>
      <c r="H22" s="22"/>
      <c r="I22" s="22"/>
    </row>
    <row r="23" spans="1:9" x14ac:dyDescent="0.45">
      <c r="A23" s="3" t="s">
        <v>60</v>
      </c>
      <c r="B23" s="3" t="s">
        <v>215</v>
      </c>
      <c r="C23" s="3" t="s">
        <v>216</v>
      </c>
      <c r="D23" s="26" t="s">
        <v>211</v>
      </c>
      <c r="E23" s="24"/>
      <c r="F23" s="25"/>
      <c r="G23" s="26" t="s">
        <v>217</v>
      </c>
      <c r="H23" s="24"/>
      <c r="I23" s="25"/>
    </row>
    <row r="24" spans="1:9" ht="18" customHeight="1" x14ac:dyDescent="0.45">
      <c r="A24" s="10">
        <v>1</v>
      </c>
      <c r="B24" s="10" t="s">
        <v>220</v>
      </c>
      <c r="C24" s="2" t="s">
        <v>350</v>
      </c>
      <c r="D24" s="23" t="s">
        <v>193</v>
      </c>
      <c r="E24" s="24"/>
      <c r="F24" s="25"/>
      <c r="G24" s="23"/>
      <c r="H24" s="24"/>
      <c r="I24" s="25"/>
    </row>
  </sheetData>
  <mergeCells count="21">
    <mergeCell ref="A1:I1"/>
    <mergeCell ref="H5:I5"/>
    <mergeCell ref="E3:F3"/>
    <mergeCell ref="A3:B3"/>
    <mergeCell ref="D24:F24"/>
    <mergeCell ref="D23:F23"/>
    <mergeCell ref="C4:I4"/>
    <mergeCell ref="A5:B5"/>
    <mergeCell ref="D20:F20"/>
    <mergeCell ref="H3:I3"/>
    <mergeCell ref="A4:B4"/>
    <mergeCell ref="D19:F19"/>
    <mergeCell ref="G23:I23"/>
    <mergeCell ref="G19:I19"/>
    <mergeCell ref="E5:F5"/>
    <mergeCell ref="A18:I18"/>
    <mergeCell ref="A6:B6"/>
    <mergeCell ref="G24:I24"/>
    <mergeCell ref="C6:I6"/>
    <mergeCell ref="G20:I20"/>
    <mergeCell ref="A22:I22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111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112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351</v>
      </c>
      <c r="D5" s="1" t="s">
        <v>18</v>
      </c>
      <c r="E5" s="21">
        <f>SUM(J9:J30)</f>
        <v>26</v>
      </c>
      <c r="F5" s="22"/>
      <c r="G5" s="1" t="s">
        <v>66</v>
      </c>
      <c r="H5" s="23" t="s">
        <v>116</v>
      </c>
      <c r="I5" s="22"/>
    </row>
    <row r="6" spans="1:10" ht="18" customHeight="1" x14ac:dyDescent="0.45">
      <c r="A6" s="27" t="s">
        <v>64</v>
      </c>
      <c r="B6" s="22"/>
      <c r="C6" s="23" t="s">
        <v>114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256</v>
      </c>
      <c r="C9" s="15" t="s">
        <v>352</v>
      </c>
      <c r="D9" s="15" t="s">
        <v>353</v>
      </c>
      <c r="E9" s="14" t="s">
        <v>196</v>
      </c>
      <c r="F9" s="14">
        <v>1</v>
      </c>
      <c r="G9" s="15" t="s">
        <v>354</v>
      </c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119</v>
      </c>
      <c r="C10" s="15" t="s">
        <v>355</v>
      </c>
      <c r="D10" s="15" t="s">
        <v>356</v>
      </c>
      <c r="E10" s="14" t="s">
        <v>196</v>
      </c>
      <c r="F10" s="14">
        <v>2</v>
      </c>
      <c r="G10" s="15"/>
      <c r="H10" s="15"/>
      <c r="I10" s="14" t="s">
        <v>197</v>
      </c>
      <c r="J10" s="15">
        <v>1</v>
      </c>
    </row>
    <row r="11" spans="1:10" x14ac:dyDescent="0.45">
      <c r="A11" s="10">
        <v>3</v>
      </c>
      <c r="B11" s="2" t="s">
        <v>263</v>
      </c>
      <c r="C11" s="2" t="s">
        <v>357</v>
      </c>
      <c r="D11" s="2" t="s">
        <v>255</v>
      </c>
      <c r="E11" s="10" t="s">
        <v>196</v>
      </c>
      <c r="F11" s="10"/>
      <c r="G11" s="2" t="s">
        <v>358</v>
      </c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359</v>
      </c>
      <c r="C12" s="2" t="s">
        <v>360</v>
      </c>
      <c r="D12" s="2" t="s">
        <v>255</v>
      </c>
      <c r="E12" s="10" t="s">
        <v>202</v>
      </c>
      <c r="F12" s="10"/>
      <c r="G12" s="2"/>
      <c r="H12" s="2"/>
      <c r="I12" s="10" t="s">
        <v>289</v>
      </c>
      <c r="J12" s="2">
        <v>1</v>
      </c>
    </row>
    <row r="13" spans="1:10" x14ac:dyDescent="0.45">
      <c r="A13" s="10">
        <v>5</v>
      </c>
      <c r="B13" s="2" t="s">
        <v>361</v>
      </c>
      <c r="C13" s="2" t="s">
        <v>362</v>
      </c>
      <c r="D13" s="2" t="s">
        <v>255</v>
      </c>
      <c r="E13" s="10" t="s">
        <v>202</v>
      </c>
      <c r="F13" s="10"/>
      <c r="G13" s="2"/>
      <c r="H13" s="2"/>
      <c r="I13" s="10" t="s">
        <v>289</v>
      </c>
      <c r="J13" s="2">
        <v>1</v>
      </c>
    </row>
    <row r="14" spans="1:10" x14ac:dyDescent="0.45">
      <c r="A14" s="10">
        <v>6</v>
      </c>
      <c r="B14" s="2" t="s">
        <v>329</v>
      </c>
      <c r="C14" s="2" t="s">
        <v>363</v>
      </c>
      <c r="D14" s="2" t="s">
        <v>234</v>
      </c>
      <c r="E14" s="10" t="s">
        <v>202</v>
      </c>
      <c r="F14" s="10"/>
      <c r="G14" s="2"/>
      <c r="H14" s="2"/>
      <c r="I14" s="10" t="s">
        <v>197</v>
      </c>
      <c r="J14" s="2">
        <v>1</v>
      </c>
    </row>
    <row r="15" spans="1:10" x14ac:dyDescent="0.45">
      <c r="A15" s="10">
        <v>7</v>
      </c>
      <c r="B15" s="2" t="s">
        <v>364</v>
      </c>
      <c r="C15" s="2" t="s">
        <v>365</v>
      </c>
      <c r="D15" s="2" t="s">
        <v>234</v>
      </c>
      <c r="E15" s="10" t="s">
        <v>202</v>
      </c>
      <c r="F15" s="10"/>
      <c r="G15" s="2"/>
      <c r="H15" s="2"/>
      <c r="I15" s="10" t="s">
        <v>289</v>
      </c>
      <c r="J15" s="2">
        <v>1</v>
      </c>
    </row>
    <row r="16" spans="1:10" x14ac:dyDescent="0.45">
      <c r="A16" s="10">
        <v>8</v>
      </c>
      <c r="B16" s="2" t="s">
        <v>366</v>
      </c>
      <c r="C16" s="2" t="s">
        <v>367</v>
      </c>
      <c r="D16" s="2" t="s">
        <v>234</v>
      </c>
      <c r="E16" s="10" t="s">
        <v>202</v>
      </c>
      <c r="F16" s="10"/>
      <c r="G16" s="2"/>
      <c r="H16" s="2"/>
      <c r="I16" s="10" t="s">
        <v>289</v>
      </c>
      <c r="J16" s="2">
        <v>1</v>
      </c>
    </row>
    <row r="17" spans="1:10" x14ac:dyDescent="0.45">
      <c r="A17" s="10">
        <v>9</v>
      </c>
      <c r="B17" s="2" t="s">
        <v>368</v>
      </c>
      <c r="C17" s="2" t="s">
        <v>369</v>
      </c>
      <c r="D17" s="2" t="s">
        <v>234</v>
      </c>
      <c r="E17" s="10" t="s">
        <v>202</v>
      </c>
      <c r="F17" s="10"/>
      <c r="G17" s="2"/>
      <c r="H17" s="2"/>
      <c r="I17" s="10" t="s">
        <v>289</v>
      </c>
      <c r="J17" s="2">
        <v>1</v>
      </c>
    </row>
    <row r="18" spans="1:10" x14ac:dyDescent="0.45">
      <c r="A18" s="10">
        <v>10</v>
      </c>
      <c r="B18" s="2" t="s">
        <v>226</v>
      </c>
      <c r="C18" s="2" t="s">
        <v>370</v>
      </c>
      <c r="D18" s="2" t="s">
        <v>228</v>
      </c>
      <c r="E18" s="10" t="s">
        <v>202</v>
      </c>
      <c r="F18" s="10"/>
      <c r="G18" s="2"/>
      <c r="H18" s="2"/>
      <c r="I18" s="10" t="s">
        <v>197</v>
      </c>
      <c r="J18" s="2">
        <v>1</v>
      </c>
    </row>
    <row r="19" spans="1:10" x14ac:dyDescent="0.45">
      <c r="A19" s="10">
        <v>11</v>
      </c>
      <c r="B19" s="2" t="s">
        <v>371</v>
      </c>
      <c r="C19" s="2" t="s">
        <v>372</v>
      </c>
      <c r="D19" s="2" t="s">
        <v>234</v>
      </c>
      <c r="E19" s="10" t="s">
        <v>202</v>
      </c>
      <c r="F19" s="10"/>
      <c r="G19" s="2"/>
      <c r="H19" s="2"/>
      <c r="I19" s="10" t="s">
        <v>197</v>
      </c>
      <c r="J19" s="2">
        <v>1</v>
      </c>
    </row>
    <row r="20" spans="1:10" x14ac:dyDescent="0.45">
      <c r="A20" s="10">
        <v>12</v>
      </c>
      <c r="B20" s="2" t="s">
        <v>373</v>
      </c>
      <c r="C20" s="2" t="s">
        <v>374</v>
      </c>
      <c r="D20" s="2" t="s">
        <v>234</v>
      </c>
      <c r="E20" s="10" t="s">
        <v>202</v>
      </c>
      <c r="F20" s="10"/>
      <c r="G20" s="2"/>
      <c r="H20" s="2"/>
      <c r="I20" s="10" t="s">
        <v>289</v>
      </c>
      <c r="J20" s="2">
        <v>1</v>
      </c>
    </row>
    <row r="21" spans="1:10" x14ac:dyDescent="0.45">
      <c r="A21" s="10">
        <v>13</v>
      </c>
      <c r="B21" s="2" t="s">
        <v>375</v>
      </c>
      <c r="C21" s="2" t="s">
        <v>376</v>
      </c>
      <c r="D21" s="2" t="s">
        <v>234</v>
      </c>
      <c r="E21" s="10" t="s">
        <v>202</v>
      </c>
      <c r="F21" s="10"/>
      <c r="G21" s="2"/>
      <c r="H21" s="2"/>
      <c r="I21" s="10" t="s">
        <v>289</v>
      </c>
      <c r="J21" s="2">
        <v>1</v>
      </c>
    </row>
    <row r="22" spans="1:10" x14ac:dyDescent="0.45">
      <c r="A22" s="10">
        <v>14</v>
      </c>
      <c r="B22" s="2" t="s">
        <v>377</v>
      </c>
      <c r="C22" s="2" t="s">
        <v>378</v>
      </c>
      <c r="D22" s="2" t="s">
        <v>234</v>
      </c>
      <c r="E22" s="10" t="s">
        <v>202</v>
      </c>
      <c r="F22" s="10"/>
      <c r="G22" s="2" t="s">
        <v>354</v>
      </c>
      <c r="H22" s="2"/>
      <c r="I22" s="10" t="s">
        <v>197</v>
      </c>
      <c r="J22" s="2">
        <v>1</v>
      </c>
    </row>
    <row r="23" spans="1:10" x14ac:dyDescent="0.45">
      <c r="A23" s="10">
        <v>15</v>
      </c>
      <c r="B23" s="2" t="s">
        <v>379</v>
      </c>
      <c r="C23" s="2" t="s">
        <v>380</v>
      </c>
      <c r="D23" s="2" t="s">
        <v>234</v>
      </c>
      <c r="E23" s="10" t="s">
        <v>202</v>
      </c>
      <c r="F23" s="10"/>
      <c r="G23" s="2"/>
      <c r="H23" s="2"/>
      <c r="I23" s="10" t="s">
        <v>289</v>
      </c>
      <c r="J23" s="2">
        <v>1</v>
      </c>
    </row>
    <row r="24" spans="1:10" x14ac:dyDescent="0.45">
      <c r="A24" s="10">
        <v>16</v>
      </c>
      <c r="B24" s="2" t="s">
        <v>381</v>
      </c>
      <c r="C24" s="2" t="s">
        <v>382</v>
      </c>
      <c r="D24" s="2" t="s">
        <v>300</v>
      </c>
      <c r="E24" s="10" t="s">
        <v>202</v>
      </c>
      <c r="F24" s="10"/>
      <c r="G24" s="2"/>
      <c r="H24" s="2"/>
      <c r="I24" s="10" t="s">
        <v>197</v>
      </c>
      <c r="J24" s="2">
        <v>1</v>
      </c>
    </row>
    <row r="25" spans="1:10" x14ac:dyDescent="0.45">
      <c r="A25" s="10">
        <v>17</v>
      </c>
      <c r="B25" s="2" t="s">
        <v>383</v>
      </c>
      <c r="C25" s="2" t="s">
        <v>384</v>
      </c>
      <c r="D25" s="2" t="s">
        <v>300</v>
      </c>
      <c r="E25" s="10" t="s">
        <v>202</v>
      </c>
      <c r="F25" s="10"/>
      <c r="G25" s="2"/>
      <c r="H25" s="2"/>
      <c r="I25" s="10" t="s">
        <v>197</v>
      </c>
      <c r="J25" s="2">
        <v>1</v>
      </c>
    </row>
    <row r="26" spans="1:10" x14ac:dyDescent="0.45">
      <c r="A26" s="10">
        <v>18</v>
      </c>
      <c r="B26" s="2" t="s">
        <v>385</v>
      </c>
      <c r="C26" s="2" t="s">
        <v>386</v>
      </c>
      <c r="D26" s="2" t="s">
        <v>195</v>
      </c>
      <c r="E26" s="10" t="s">
        <v>202</v>
      </c>
      <c r="F26" s="10"/>
      <c r="G26" s="2"/>
      <c r="H26" s="2"/>
      <c r="I26" s="10" t="s">
        <v>197</v>
      </c>
      <c r="J26" s="2">
        <v>1</v>
      </c>
    </row>
    <row r="27" spans="1:10" x14ac:dyDescent="0.45">
      <c r="A27" s="10">
        <v>19</v>
      </c>
      <c r="B27" s="2" t="s">
        <v>387</v>
      </c>
      <c r="C27" s="2" t="s">
        <v>388</v>
      </c>
      <c r="D27" s="2" t="s">
        <v>389</v>
      </c>
      <c r="E27" s="10" t="s">
        <v>202</v>
      </c>
      <c r="F27" s="10"/>
      <c r="G27" s="2"/>
      <c r="H27" s="2"/>
      <c r="I27" s="10" t="s">
        <v>289</v>
      </c>
      <c r="J27" s="2">
        <v>1</v>
      </c>
    </row>
    <row r="28" spans="1:10" x14ac:dyDescent="0.45">
      <c r="A28" s="10">
        <v>20</v>
      </c>
      <c r="B28" s="2" t="s">
        <v>390</v>
      </c>
      <c r="C28" s="2" t="s">
        <v>391</v>
      </c>
      <c r="D28" s="2" t="s">
        <v>239</v>
      </c>
      <c r="E28" s="10" t="s">
        <v>202</v>
      </c>
      <c r="F28" s="10"/>
      <c r="G28" s="2"/>
      <c r="H28" s="2"/>
      <c r="I28" s="10" t="s">
        <v>289</v>
      </c>
      <c r="J28" s="2">
        <v>1</v>
      </c>
    </row>
    <row r="29" spans="1:10" x14ac:dyDescent="0.45">
      <c r="A29" s="16" t="s">
        <v>392</v>
      </c>
      <c r="B29" s="17" t="s">
        <v>393</v>
      </c>
      <c r="C29" s="17" t="s">
        <v>394</v>
      </c>
      <c r="D29" s="17" t="s">
        <v>228</v>
      </c>
      <c r="E29" s="16" t="s">
        <v>202</v>
      </c>
      <c r="F29" s="16"/>
      <c r="G29" s="17"/>
      <c r="H29" s="17"/>
      <c r="I29" s="16" t="s">
        <v>289</v>
      </c>
      <c r="J29" s="17">
        <v>5</v>
      </c>
    </row>
    <row r="30" spans="1:10" x14ac:dyDescent="0.45">
      <c r="A30" s="10">
        <v>26</v>
      </c>
      <c r="B30" s="2" t="s">
        <v>395</v>
      </c>
      <c r="C30" s="2" t="s">
        <v>396</v>
      </c>
      <c r="D30" s="2" t="s">
        <v>397</v>
      </c>
      <c r="E30" s="10" t="s">
        <v>202</v>
      </c>
      <c r="F30" s="10"/>
      <c r="G30" s="2"/>
      <c r="H30" s="2"/>
      <c r="I30" s="10" t="s">
        <v>197</v>
      </c>
      <c r="J30" s="2">
        <v>1</v>
      </c>
    </row>
    <row r="32" spans="1:10" x14ac:dyDescent="0.45">
      <c r="A32" s="28" t="s">
        <v>208</v>
      </c>
      <c r="B32" s="22"/>
      <c r="C32" s="22"/>
      <c r="D32" s="22"/>
      <c r="E32" s="22"/>
      <c r="F32" s="22"/>
      <c r="G32" s="22"/>
      <c r="H32" s="22"/>
      <c r="I32" s="22"/>
    </row>
    <row r="33" spans="1:9" x14ac:dyDescent="0.45">
      <c r="A33" s="3" t="s">
        <v>60</v>
      </c>
      <c r="B33" s="3" t="s">
        <v>209</v>
      </c>
      <c r="C33" s="3" t="s">
        <v>210</v>
      </c>
      <c r="D33" s="26" t="s">
        <v>211</v>
      </c>
      <c r="E33" s="24"/>
      <c r="F33" s="25"/>
      <c r="G33" s="26" t="s">
        <v>23</v>
      </c>
      <c r="H33" s="24"/>
      <c r="I33" s="25"/>
    </row>
    <row r="34" spans="1:9" ht="18" customHeight="1" x14ac:dyDescent="0.45">
      <c r="A34" s="10">
        <v>1</v>
      </c>
      <c r="B34" s="10" t="s">
        <v>191</v>
      </c>
      <c r="C34" s="2" t="s">
        <v>398</v>
      </c>
      <c r="D34" s="23" t="s">
        <v>113</v>
      </c>
      <c r="E34" s="24"/>
      <c r="F34" s="25"/>
      <c r="G34" s="23" t="s">
        <v>213</v>
      </c>
      <c r="H34" s="24"/>
      <c r="I34" s="25"/>
    </row>
    <row r="36" spans="1:9" x14ac:dyDescent="0.45">
      <c r="A36" s="28" t="s">
        <v>214</v>
      </c>
      <c r="B36" s="22"/>
      <c r="C36" s="22"/>
      <c r="D36" s="22"/>
      <c r="E36" s="22"/>
      <c r="F36" s="22"/>
      <c r="G36" s="22"/>
      <c r="H36" s="22"/>
      <c r="I36" s="22"/>
    </row>
    <row r="37" spans="1:9" x14ac:dyDescent="0.45">
      <c r="A37" s="3" t="s">
        <v>60</v>
      </c>
      <c r="B37" s="3" t="s">
        <v>215</v>
      </c>
      <c r="C37" s="3" t="s">
        <v>216</v>
      </c>
      <c r="D37" s="26" t="s">
        <v>211</v>
      </c>
      <c r="E37" s="24"/>
      <c r="F37" s="25"/>
      <c r="G37" s="26" t="s">
        <v>217</v>
      </c>
      <c r="H37" s="24"/>
      <c r="I37" s="25"/>
    </row>
    <row r="38" spans="1:9" ht="18" customHeight="1" x14ac:dyDescent="0.45">
      <c r="A38" s="10">
        <v>1</v>
      </c>
      <c r="B38" s="10" t="s">
        <v>220</v>
      </c>
      <c r="C38" s="2" t="s">
        <v>399</v>
      </c>
      <c r="D38" s="23" t="s">
        <v>263</v>
      </c>
      <c r="E38" s="24"/>
      <c r="F38" s="25"/>
      <c r="G38" s="23"/>
      <c r="H38" s="24"/>
      <c r="I38" s="25"/>
    </row>
    <row r="39" spans="1:9" ht="18" customHeight="1" x14ac:dyDescent="0.45">
      <c r="A39" s="10">
        <v>2</v>
      </c>
      <c r="B39" s="10" t="s">
        <v>220</v>
      </c>
      <c r="C39" s="2" t="s">
        <v>400</v>
      </c>
      <c r="D39" s="23" t="s">
        <v>401</v>
      </c>
      <c r="E39" s="24"/>
      <c r="F39" s="25"/>
      <c r="G39" s="23"/>
      <c r="H39" s="24"/>
      <c r="I39" s="25"/>
    </row>
    <row r="40" spans="1:9" ht="18" customHeight="1" x14ac:dyDescent="0.45">
      <c r="A40" s="10">
        <v>3</v>
      </c>
      <c r="B40" s="10" t="s">
        <v>218</v>
      </c>
      <c r="C40" s="2" t="s">
        <v>398</v>
      </c>
      <c r="D40" s="23" t="s">
        <v>113</v>
      </c>
      <c r="E40" s="24"/>
      <c r="F40" s="25"/>
      <c r="G40" s="23" t="s">
        <v>213</v>
      </c>
      <c r="H40" s="24"/>
      <c r="I40" s="25"/>
    </row>
  </sheetData>
  <mergeCells count="25">
    <mergeCell ref="A1:I1"/>
    <mergeCell ref="G39:I39"/>
    <mergeCell ref="H5:I5"/>
    <mergeCell ref="E3:F3"/>
    <mergeCell ref="G40:I40"/>
    <mergeCell ref="D34:F34"/>
    <mergeCell ref="H3:I3"/>
    <mergeCell ref="A4:B4"/>
    <mergeCell ref="A36:I36"/>
    <mergeCell ref="D40:F40"/>
    <mergeCell ref="D39:F39"/>
    <mergeCell ref="A3:B3"/>
    <mergeCell ref="D33:F33"/>
    <mergeCell ref="D38:F38"/>
    <mergeCell ref="C4:I4"/>
    <mergeCell ref="A5:B5"/>
    <mergeCell ref="G38:I38"/>
    <mergeCell ref="G37:I37"/>
    <mergeCell ref="E5:F5"/>
    <mergeCell ref="G34:I34"/>
    <mergeCell ref="A6:B6"/>
    <mergeCell ref="G33:I33"/>
    <mergeCell ref="D37:F37"/>
    <mergeCell ref="A32:I32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117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118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402</v>
      </c>
      <c r="D5" s="1" t="s">
        <v>18</v>
      </c>
      <c r="E5" s="21">
        <f>SUM(J9:J26)</f>
        <v>168</v>
      </c>
      <c r="F5" s="22"/>
      <c r="G5" s="1" t="s">
        <v>66</v>
      </c>
      <c r="H5" s="23" t="s">
        <v>121</v>
      </c>
      <c r="I5" s="22"/>
    </row>
    <row r="6" spans="1:10" ht="18" customHeight="1" x14ac:dyDescent="0.45">
      <c r="A6" s="27" t="s">
        <v>64</v>
      </c>
      <c r="B6" s="22"/>
      <c r="C6" s="23" t="s">
        <v>120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0">
        <v>1</v>
      </c>
      <c r="B9" s="2" t="s">
        <v>403</v>
      </c>
      <c r="C9" s="2" t="s">
        <v>404</v>
      </c>
      <c r="D9" s="2" t="s">
        <v>234</v>
      </c>
      <c r="E9" s="10" t="s">
        <v>196</v>
      </c>
      <c r="F9" s="10"/>
      <c r="G9" s="2"/>
      <c r="H9" s="2"/>
      <c r="I9" s="10" t="s">
        <v>197</v>
      </c>
      <c r="J9" s="2">
        <v>1</v>
      </c>
    </row>
    <row r="10" spans="1:10" x14ac:dyDescent="0.45">
      <c r="A10" s="10">
        <v>2</v>
      </c>
      <c r="B10" s="2" t="s">
        <v>405</v>
      </c>
      <c r="C10" s="2" t="s">
        <v>321</v>
      </c>
      <c r="D10" s="2" t="s">
        <v>234</v>
      </c>
      <c r="E10" s="10" t="s">
        <v>196</v>
      </c>
      <c r="F10" s="10"/>
      <c r="G10" s="2"/>
      <c r="H10" s="2"/>
      <c r="I10" s="10" t="s">
        <v>197</v>
      </c>
      <c r="J10" s="2">
        <v>1</v>
      </c>
    </row>
    <row r="11" spans="1:10" x14ac:dyDescent="0.45">
      <c r="A11" s="10">
        <v>3</v>
      </c>
      <c r="B11" s="2" t="s">
        <v>260</v>
      </c>
      <c r="C11" s="2" t="s">
        <v>406</v>
      </c>
      <c r="D11" s="2" t="s">
        <v>234</v>
      </c>
      <c r="E11" s="10" t="s">
        <v>196</v>
      </c>
      <c r="F11" s="10"/>
      <c r="G11" s="2"/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377</v>
      </c>
      <c r="C12" s="2" t="s">
        <v>407</v>
      </c>
      <c r="D12" s="2" t="s">
        <v>234</v>
      </c>
      <c r="E12" s="10" t="s">
        <v>196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258</v>
      </c>
      <c r="C13" s="2" t="s">
        <v>408</v>
      </c>
      <c r="D13" s="2" t="s">
        <v>234</v>
      </c>
      <c r="E13" s="10" t="s">
        <v>196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226</v>
      </c>
      <c r="C14" s="2" t="s">
        <v>409</v>
      </c>
      <c r="D14" s="2" t="s">
        <v>228</v>
      </c>
      <c r="E14" s="10" t="s">
        <v>196</v>
      </c>
      <c r="F14" s="10"/>
      <c r="G14" s="2"/>
      <c r="H14" s="2"/>
      <c r="I14" s="10" t="s">
        <v>197</v>
      </c>
      <c r="J14" s="2">
        <v>1</v>
      </c>
    </row>
    <row r="15" spans="1:10" x14ac:dyDescent="0.45">
      <c r="A15" s="10">
        <v>7</v>
      </c>
      <c r="B15" s="2" t="s">
        <v>410</v>
      </c>
      <c r="C15" s="2" t="s">
        <v>411</v>
      </c>
      <c r="D15" s="2" t="s">
        <v>234</v>
      </c>
      <c r="E15" s="10" t="s">
        <v>202</v>
      </c>
      <c r="F15" s="10"/>
      <c r="G15" s="2"/>
      <c r="H15" s="2"/>
      <c r="I15" s="10" t="s">
        <v>197</v>
      </c>
      <c r="J15" s="2">
        <v>1</v>
      </c>
    </row>
    <row r="16" spans="1:10" x14ac:dyDescent="0.45">
      <c r="A16" s="10">
        <v>8</v>
      </c>
      <c r="B16" s="2" t="s">
        <v>263</v>
      </c>
      <c r="C16" s="2" t="s">
        <v>412</v>
      </c>
      <c r="D16" s="2" t="s">
        <v>234</v>
      </c>
      <c r="E16" s="10" t="s">
        <v>196</v>
      </c>
      <c r="F16" s="10"/>
      <c r="G16" s="2"/>
      <c r="H16" s="2"/>
      <c r="I16" s="10" t="s">
        <v>197</v>
      </c>
      <c r="J16" s="2">
        <v>1</v>
      </c>
    </row>
    <row r="17" spans="1:10" x14ac:dyDescent="0.45">
      <c r="A17" s="14">
        <v>9</v>
      </c>
      <c r="B17" s="15" t="s">
        <v>119</v>
      </c>
      <c r="C17" s="15" t="s">
        <v>413</v>
      </c>
      <c r="D17" s="15" t="s">
        <v>356</v>
      </c>
      <c r="E17" s="14" t="s">
        <v>196</v>
      </c>
      <c r="F17" s="14">
        <v>1</v>
      </c>
      <c r="G17" s="15" t="s">
        <v>111</v>
      </c>
      <c r="H17" s="15"/>
      <c r="I17" s="14" t="s">
        <v>197</v>
      </c>
      <c r="J17" s="15">
        <v>1</v>
      </c>
    </row>
    <row r="18" spans="1:10" x14ac:dyDescent="0.45">
      <c r="A18" s="10">
        <v>10</v>
      </c>
      <c r="B18" s="2" t="s">
        <v>381</v>
      </c>
      <c r="C18" s="2" t="s">
        <v>414</v>
      </c>
      <c r="D18" s="2" t="s">
        <v>300</v>
      </c>
      <c r="E18" s="10" t="s">
        <v>196</v>
      </c>
      <c r="F18" s="10"/>
      <c r="G18" s="2"/>
      <c r="H18" s="2"/>
      <c r="I18" s="10" t="s">
        <v>197</v>
      </c>
      <c r="J18" s="2">
        <v>1</v>
      </c>
    </row>
    <row r="19" spans="1:10" x14ac:dyDescent="0.45">
      <c r="A19" s="10">
        <v>11</v>
      </c>
      <c r="B19" s="2" t="s">
        <v>383</v>
      </c>
      <c r="C19" s="2" t="s">
        <v>415</v>
      </c>
      <c r="D19" s="2" t="s">
        <v>300</v>
      </c>
      <c r="E19" s="10" t="s">
        <v>196</v>
      </c>
      <c r="F19" s="10"/>
      <c r="G19" s="2"/>
      <c r="H19" s="2"/>
      <c r="I19" s="10" t="s">
        <v>197</v>
      </c>
      <c r="J19" s="2">
        <v>1</v>
      </c>
    </row>
    <row r="20" spans="1:10" x14ac:dyDescent="0.45">
      <c r="A20" s="10">
        <v>12</v>
      </c>
      <c r="B20" s="2" t="s">
        <v>416</v>
      </c>
      <c r="C20" s="2" t="s">
        <v>417</v>
      </c>
      <c r="D20" s="2" t="s">
        <v>397</v>
      </c>
      <c r="E20" s="10" t="s">
        <v>202</v>
      </c>
      <c r="F20" s="10"/>
      <c r="G20" s="2"/>
      <c r="H20" s="2"/>
      <c r="I20" s="10" t="s">
        <v>197</v>
      </c>
      <c r="J20" s="2">
        <v>1</v>
      </c>
    </row>
    <row r="21" spans="1:10" x14ac:dyDescent="0.45">
      <c r="A21" s="10">
        <v>13</v>
      </c>
      <c r="B21" s="2" t="s">
        <v>418</v>
      </c>
      <c r="C21" s="2" t="s">
        <v>419</v>
      </c>
      <c r="D21" s="2" t="s">
        <v>195</v>
      </c>
      <c r="E21" s="10" t="s">
        <v>202</v>
      </c>
      <c r="F21" s="10"/>
      <c r="G21" s="2"/>
      <c r="H21" s="2"/>
      <c r="I21" s="10" t="s">
        <v>197</v>
      </c>
      <c r="J21" s="2">
        <v>1</v>
      </c>
    </row>
    <row r="22" spans="1:10" x14ac:dyDescent="0.45">
      <c r="A22" s="10">
        <v>14</v>
      </c>
      <c r="B22" s="2" t="s">
        <v>420</v>
      </c>
      <c r="C22" s="2" t="s">
        <v>421</v>
      </c>
      <c r="D22" s="2" t="s">
        <v>195</v>
      </c>
      <c r="E22" s="10" t="s">
        <v>202</v>
      </c>
      <c r="F22" s="10"/>
      <c r="G22" s="2"/>
      <c r="H22" s="2"/>
      <c r="I22" s="10" t="s">
        <v>197</v>
      </c>
      <c r="J22" s="2">
        <v>1</v>
      </c>
    </row>
    <row r="23" spans="1:10" x14ac:dyDescent="0.45">
      <c r="A23" s="10">
        <v>15</v>
      </c>
      <c r="B23" s="2" t="s">
        <v>422</v>
      </c>
      <c r="C23" s="2" t="s">
        <v>423</v>
      </c>
      <c r="D23" s="2" t="s">
        <v>195</v>
      </c>
      <c r="E23" s="10" t="s">
        <v>202</v>
      </c>
      <c r="F23" s="10"/>
      <c r="G23" s="2"/>
      <c r="H23" s="2"/>
      <c r="I23" s="10" t="s">
        <v>289</v>
      </c>
      <c r="J23" s="2">
        <v>1</v>
      </c>
    </row>
    <row r="24" spans="1:10" x14ac:dyDescent="0.45">
      <c r="A24" s="10">
        <v>16</v>
      </c>
      <c r="B24" s="2" t="s">
        <v>424</v>
      </c>
      <c r="C24" s="2" t="s">
        <v>425</v>
      </c>
      <c r="D24" s="2" t="s">
        <v>397</v>
      </c>
      <c r="E24" s="10" t="s">
        <v>202</v>
      </c>
      <c r="F24" s="10"/>
      <c r="G24" s="2"/>
      <c r="H24" s="2"/>
      <c r="I24" s="10" t="s">
        <v>197</v>
      </c>
      <c r="J24" s="2">
        <v>1</v>
      </c>
    </row>
    <row r="25" spans="1:10" x14ac:dyDescent="0.45">
      <c r="A25" s="10">
        <v>17</v>
      </c>
      <c r="B25" s="2" t="s">
        <v>426</v>
      </c>
      <c r="C25" s="2" t="s">
        <v>427</v>
      </c>
      <c r="D25" s="2" t="s">
        <v>397</v>
      </c>
      <c r="E25" s="10" t="s">
        <v>202</v>
      </c>
      <c r="F25" s="10"/>
      <c r="G25" s="2"/>
      <c r="H25" s="2"/>
      <c r="I25" s="10" t="s">
        <v>197</v>
      </c>
      <c r="J25" s="2">
        <v>1</v>
      </c>
    </row>
    <row r="26" spans="1:10" x14ac:dyDescent="0.45">
      <c r="A26" s="16" t="s">
        <v>428</v>
      </c>
      <c r="B26" s="17" t="s">
        <v>429</v>
      </c>
      <c r="C26" s="17" t="s">
        <v>430</v>
      </c>
      <c r="D26" s="17" t="s">
        <v>397</v>
      </c>
      <c r="E26" s="16" t="s">
        <v>202</v>
      </c>
      <c r="F26" s="16"/>
      <c r="G26" s="17"/>
      <c r="H26" s="17"/>
      <c r="I26" s="16" t="s">
        <v>197</v>
      </c>
      <c r="J26" s="17">
        <v>151</v>
      </c>
    </row>
    <row r="28" spans="1:10" x14ac:dyDescent="0.45">
      <c r="A28" s="28" t="s">
        <v>208</v>
      </c>
      <c r="B28" s="22"/>
      <c r="C28" s="22"/>
      <c r="D28" s="22"/>
      <c r="E28" s="22"/>
      <c r="F28" s="22"/>
      <c r="G28" s="22"/>
      <c r="H28" s="22"/>
      <c r="I28" s="22"/>
    </row>
    <row r="29" spans="1:10" x14ac:dyDescent="0.45">
      <c r="A29" s="3" t="s">
        <v>60</v>
      </c>
      <c r="B29" s="3" t="s">
        <v>209</v>
      </c>
      <c r="C29" s="3" t="s">
        <v>210</v>
      </c>
      <c r="D29" s="26" t="s">
        <v>211</v>
      </c>
      <c r="E29" s="24"/>
      <c r="F29" s="25"/>
      <c r="G29" s="26" t="s">
        <v>23</v>
      </c>
      <c r="H29" s="24"/>
      <c r="I29" s="25"/>
    </row>
    <row r="30" spans="1:10" ht="18" customHeight="1" x14ac:dyDescent="0.45">
      <c r="A30" s="10">
        <v>1</v>
      </c>
      <c r="B30" s="10" t="s">
        <v>191</v>
      </c>
      <c r="C30" s="2" t="s">
        <v>431</v>
      </c>
      <c r="D30" s="23" t="s">
        <v>119</v>
      </c>
      <c r="E30" s="24"/>
      <c r="F30" s="25"/>
      <c r="G30" s="23" t="s">
        <v>213</v>
      </c>
      <c r="H30" s="24"/>
      <c r="I30" s="25"/>
    </row>
    <row r="32" spans="1:10" x14ac:dyDescent="0.45">
      <c r="A32" s="28" t="s">
        <v>214</v>
      </c>
      <c r="B32" s="22"/>
      <c r="C32" s="22"/>
      <c r="D32" s="22"/>
      <c r="E32" s="22"/>
      <c r="F32" s="22"/>
      <c r="G32" s="22"/>
      <c r="H32" s="22"/>
      <c r="I32" s="22"/>
    </row>
    <row r="33" spans="1:9" x14ac:dyDescent="0.45">
      <c r="A33" s="3" t="s">
        <v>60</v>
      </c>
      <c r="B33" s="3" t="s">
        <v>215</v>
      </c>
      <c r="C33" s="3" t="s">
        <v>216</v>
      </c>
      <c r="D33" s="26" t="s">
        <v>211</v>
      </c>
      <c r="E33" s="24"/>
      <c r="F33" s="25"/>
      <c r="G33" s="26" t="s">
        <v>217</v>
      </c>
      <c r="H33" s="24"/>
      <c r="I33" s="25"/>
    </row>
    <row r="34" spans="1:9" ht="18" customHeight="1" x14ac:dyDescent="0.45">
      <c r="A34" s="10">
        <v>1</v>
      </c>
      <c r="B34" s="10" t="s">
        <v>218</v>
      </c>
      <c r="C34" s="2" t="s">
        <v>431</v>
      </c>
      <c r="D34" s="23" t="s">
        <v>119</v>
      </c>
      <c r="E34" s="24"/>
      <c r="F34" s="25"/>
      <c r="G34" s="23" t="s">
        <v>213</v>
      </c>
      <c r="H34" s="24"/>
      <c r="I34" s="25"/>
    </row>
  </sheetData>
  <mergeCells count="21">
    <mergeCell ref="A1:I1"/>
    <mergeCell ref="H5:I5"/>
    <mergeCell ref="E3:F3"/>
    <mergeCell ref="A3:B3"/>
    <mergeCell ref="D33:F33"/>
    <mergeCell ref="D29:F29"/>
    <mergeCell ref="A28:I28"/>
    <mergeCell ref="C4:I4"/>
    <mergeCell ref="A5:B5"/>
    <mergeCell ref="H3:I3"/>
    <mergeCell ref="A4:B4"/>
    <mergeCell ref="E5:F5"/>
    <mergeCell ref="G34:I34"/>
    <mergeCell ref="G30:I30"/>
    <mergeCell ref="A6:B6"/>
    <mergeCell ref="G33:I33"/>
    <mergeCell ref="A32:I32"/>
    <mergeCell ref="C6:I6"/>
    <mergeCell ref="D30:F30"/>
    <mergeCell ref="G29:I29"/>
    <mergeCell ref="D34:F34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122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123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432</v>
      </c>
      <c r="D5" s="1" t="s">
        <v>18</v>
      </c>
      <c r="E5" s="21">
        <f>SUM(J9:J23)</f>
        <v>15</v>
      </c>
      <c r="F5" s="22"/>
      <c r="G5" s="1" t="s">
        <v>66</v>
      </c>
      <c r="H5" s="23" t="s">
        <v>127</v>
      </c>
      <c r="I5" s="22"/>
    </row>
    <row r="6" spans="1:10" ht="18" customHeight="1" x14ac:dyDescent="0.45">
      <c r="A6" s="27" t="s">
        <v>64</v>
      </c>
      <c r="B6" s="22"/>
      <c r="C6" s="23" t="s">
        <v>125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124</v>
      </c>
      <c r="C9" s="15" t="s">
        <v>433</v>
      </c>
      <c r="D9" s="15" t="s">
        <v>356</v>
      </c>
      <c r="E9" s="14" t="s">
        <v>196</v>
      </c>
      <c r="F9" s="14">
        <v>1</v>
      </c>
      <c r="G9" s="15"/>
      <c r="H9" s="15"/>
      <c r="I9" s="14" t="s">
        <v>197</v>
      </c>
      <c r="J9" s="15">
        <v>1</v>
      </c>
    </row>
    <row r="10" spans="1:10" x14ac:dyDescent="0.45">
      <c r="A10" s="10">
        <v>2</v>
      </c>
      <c r="B10" s="2" t="s">
        <v>434</v>
      </c>
      <c r="C10" s="2" t="s">
        <v>435</v>
      </c>
      <c r="D10" s="2" t="s">
        <v>356</v>
      </c>
      <c r="E10" s="10" t="s">
        <v>196</v>
      </c>
      <c r="F10" s="10"/>
      <c r="G10" s="2"/>
      <c r="H10" s="2"/>
      <c r="I10" s="10" t="s">
        <v>197</v>
      </c>
      <c r="J10" s="2">
        <v>1</v>
      </c>
    </row>
    <row r="11" spans="1:10" x14ac:dyDescent="0.45">
      <c r="A11" s="10">
        <v>3</v>
      </c>
      <c r="B11" s="2" t="s">
        <v>258</v>
      </c>
      <c r="C11" s="2" t="s">
        <v>436</v>
      </c>
      <c r="D11" s="2" t="s">
        <v>234</v>
      </c>
      <c r="E11" s="10" t="s">
        <v>196</v>
      </c>
      <c r="F11" s="10"/>
      <c r="G11" s="2"/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377</v>
      </c>
      <c r="C12" s="2" t="s">
        <v>437</v>
      </c>
      <c r="D12" s="2" t="s">
        <v>234</v>
      </c>
      <c r="E12" s="10" t="s">
        <v>196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226</v>
      </c>
      <c r="C13" s="2" t="s">
        <v>438</v>
      </c>
      <c r="D13" s="2" t="s">
        <v>228</v>
      </c>
      <c r="E13" s="10" t="s">
        <v>196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439</v>
      </c>
      <c r="C14" s="2" t="s">
        <v>440</v>
      </c>
      <c r="D14" s="2" t="s">
        <v>353</v>
      </c>
      <c r="E14" s="10" t="s">
        <v>202</v>
      </c>
      <c r="F14" s="10"/>
      <c r="G14" s="2"/>
      <c r="H14" s="2"/>
      <c r="I14" s="10" t="s">
        <v>197</v>
      </c>
      <c r="J14" s="2">
        <v>1</v>
      </c>
    </row>
    <row r="15" spans="1:10" x14ac:dyDescent="0.45">
      <c r="A15" s="10">
        <v>7</v>
      </c>
      <c r="B15" s="2" t="s">
        <v>441</v>
      </c>
      <c r="C15" s="2" t="s">
        <v>442</v>
      </c>
      <c r="D15" s="2" t="s">
        <v>195</v>
      </c>
      <c r="E15" s="10" t="s">
        <v>196</v>
      </c>
      <c r="F15" s="10"/>
      <c r="G15" s="2"/>
      <c r="H15" s="2"/>
      <c r="I15" s="10" t="s">
        <v>197</v>
      </c>
      <c r="J15" s="2">
        <v>1</v>
      </c>
    </row>
    <row r="16" spans="1:10" x14ac:dyDescent="0.45">
      <c r="A16" s="10">
        <v>8</v>
      </c>
      <c r="B16" s="2" t="s">
        <v>443</v>
      </c>
      <c r="C16" s="2" t="s">
        <v>444</v>
      </c>
      <c r="D16" s="2" t="s">
        <v>195</v>
      </c>
      <c r="E16" s="10" t="s">
        <v>196</v>
      </c>
      <c r="F16" s="10"/>
      <c r="G16" s="2"/>
      <c r="H16" s="2"/>
      <c r="I16" s="10" t="s">
        <v>197</v>
      </c>
      <c r="J16" s="2">
        <v>1</v>
      </c>
    </row>
    <row r="17" spans="1:10" x14ac:dyDescent="0.45">
      <c r="A17" s="10">
        <v>9</v>
      </c>
      <c r="B17" s="2" t="s">
        <v>445</v>
      </c>
      <c r="C17" s="2" t="s">
        <v>446</v>
      </c>
      <c r="D17" s="2" t="s">
        <v>195</v>
      </c>
      <c r="E17" s="10" t="s">
        <v>196</v>
      </c>
      <c r="F17" s="10"/>
      <c r="G17" s="2"/>
      <c r="H17" s="2"/>
      <c r="I17" s="10" t="s">
        <v>197</v>
      </c>
      <c r="J17" s="2">
        <v>1</v>
      </c>
    </row>
    <row r="18" spans="1:10" x14ac:dyDescent="0.45">
      <c r="A18" s="10">
        <v>10</v>
      </c>
      <c r="B18" s="2" t="s">
        <v>447</v>
      </c>
      <c r="C18" s="2" t="s">
        <v>448</v>
      </c>
      <c r="D18" s="2" t="s">
        <v>234</v>
      </c>
      <c r="E18" s="10" t="s">
        <v>202</v>
      </c>
      <c r="F18" s="10"/>
      <c r="G18" s="2"/>
      <c r="H18" s="2"/>
      <c r="I18" s="10" t="s">
        <v>197</v>
      </c>
      <c r="J18" s="2">
        <v>1</v>
      </c>
    </row>
    <row r="19" spans="1:10" x14ac:dyDescent="0.45">
      <c r="A19" s="10">
        <v>11</v>
      </c>
      <c r="B19" s="2" t="s">
        <v>449</v>
      </c>
      <c r="C19" s="2" t="s">
        <v>450</v>
      </c>
      <c r="D19" s="2" t="s">
        <v>300</v>
      </c>
      <c r="E19" s="10" t="s">
        <v>202</v>
      </c>
      <c r="F19" s="10"/>
      <c r="G19" s="2"/>
      <c r="H19" s="2"/>
      <c r="I19" s="10" t="s">
        <v>197</v>
      </c>
      <c r="J19" s="2">
        <v>1</v>
      </c>
    </row>
    <row r="20" spans="1:10" x14ac:dyDescent="0.45">
      <c r="A20" s="10">
        <v>12</v>
      </c>
      <c r="B20" s="2" t="s">
        <v>451</v>
      </c>
      <c r="C20" s="2" t="s">
        <v>452</v>
      </c>
      <c r="D20" s="2" t="s">
        <v>234</v>
      </c>
      <c r="E20" s="10" t="s">
        <v>202</v>
      </c>
      <c r="F20" s="10"/>
      <c r="G20" s="2"/>
      <c r="H20" s="2"/>
      <c r="I20" s="10" t="s">
        <v>197</v>
      </c>
      <c r="J20" s="2">
        <v>1</v>
      </c>
    </row>
    <row r="21" spans="1:10" x14ac:dyDescent="0.45">
      <c r="A21" s="10">
        <v>13</v>
      </c>
      <c r="B21" s="2" t="s">
        <v>453</v>
      </c>
      <c r="C21" s="2" t="s">
        <v>454</v>
      </c>
      <c r="D21" s="2" t="s">
        <v>300</v>
      </c>
      <c r="E21" s="10" t="s">
        <v>202</v>
      </c>
      <c r="F21" s="10"/>
      <c r="G21" s="2"/>
      <c r="H21" s="2"/>
      <c r="I21" s="10" t="s">
        <v>197</v>
      </c>
      <c r="J21" s="2">
        <v>1</v>
      </c>
    </row>
    <row r="22" spans="1:10" x14ac:dyDescent="0.45">
      <c r="A22" s="10">
        <v>14</v>
      </c>
      <c r="B22" s="2" t="s">
        <v>281</v>
      </c>
      <c r="C22" s="2" t="s">
        <v>455</v>
      </c>
      <c r="D22" s="2" t="s">
        <v>456</v>
      </c>
      <c r="E22" s="10" t="s">
        <v>202</v>
      </c>
      <c r="F22" s="10"/>
      <c r="G22" s="2"/>
      <c r="H22" s="2"/>
      <c r="I22" s="10" t="s">
        <v>197</v>
      </c>
      <c r="J22" s="2">
        <v>1</v>
      </c>
    </row>
    <row r="23" spans="1:10" x14ac:dyDescent="0.45">
      <c r="A23" s="10">
        <v>15</v>
      </c>
      <c r="B23" s="2" t="s">
        <v>457</v>
      </c>
      <c r="C23" s="2" t="s">
        <v>458</v>
      </c>
      <c r="D23" s="2" t="s">
        <v>459</v>
      </c>
      <c r="E23" s="10" t="s">
        <v>202</v>
      </c>
      <c r="F23" s="10"/>
      <c r="G23" s="2"/>
      <c r="H23" s="2" t="s">
        <v>460</v>
      </c>
      <c r="I23" s="10" t="s">
        <v>197</v>
      </c>
      <c r="J23" s="2">
        <v>1</v>
      </c>
    </row>
    <row r="25" spans="1:10" x14ac:dyDescent="0.45">
      <c r="A25" s="28" t="s">
        <v>208</v>
      </c>
      <c r="B25" s="22"/>
      <c r="C25" s="22"/>
      <c r="D25" s="22"/>
      <c r="E25" s="22"/>
      <c r="F25" s="22"/>
      <c r="G25" s="22"/>
      <c r="H25" s="22"/>
      <c r="I25" s="22"/>
    </row>
    <row r="26" spans="1:10" x14ac:dyDescent="0.45">
      <c r="A26" s="3" t="s">
        <v>60</v>
      </c>
      <c r="B26" s="3" t="s">
        <v>209</v>
      </c>
      <c r="C26" s="3" t="s">
        <v>210</v>
      </c>
      <c r="D26" s="26" t="s">
        <v>211</v>
      </c>
      <c r="E26" s="24"/>
      <c r="F26" s="25"/>
      <c r="G26" s="26" t="s">
        <v>23</v>
      </c>
      <c r="H26" s="24"/>
      <c r="I26" s="25"/>
    </row>
    <row r="27" spans="1:10" ht="18" customHeight="1" x14ac:dyDescent="0.45">
      <c r="A27" s="10">
        <v>1</v>
      </c>
      <c r="B27" s="10" t="s">
        <v>191</v>
      </c>
      <c r="C27" s="2" t="s">
        <v>461</v>
      </c>
      <c r="D27" s="23" t="s">
        <v>124</v>
      </c>
      <c r="E27" s="24"/>
      <c r="F27" s="25"/>
      <c r="G27" s="23" t="s">
        <v>213</v>
      </c>
      <c r="H27" s="24"/>
      <c r="I27" s="25"/>
    </row>
    <row r="29" spans="1:10" x14ac:dyDescent="0.45">
      <c r="A29" s="28" t="s">
        <v>214</v>
      </c>
      <c r="B29" s="22"/>
      <c r="C29" s="22"/>
      <c r="D29" s="22"/>
      <c r="E29" s="22"/>
      <c r="F29" s="22"/>
      <c r="G29" s="22"/>
      <c r="H29" s="22"/>
      <c r="I29" s="22"/>
    </row>
    <row r="30" spans="1:10" x14ac:dyDescent="0.45">
      <c r="A30" s="3" t="s">
        <v>60</v>
      </c>
      <c r="B30" s="3" t="s">
        <v>215</v>
      </c>
      <c r="C30" s="3" t="s">
        <v>216</v>
      </c>
      <c r="D30" s="26" t="s">
        <v>211</v>
      </c>
      <c r="E30" s="24"/>
      <c r="F30" s="25"/>
      <c r="G30" s="26" t="s">
        <v>217</v>
      </c>
      <c r="H30" s="24"/>
      <c r="I30" s="25"/>
    </row>
    <row r="31" spans="1:10" ht="18" customHeight="1" x14ac:dyDescent="0.45">
      <c r="A31" s="10">
        <v>1</v>
      </c>
      <c r="B31" s="10" t="s">
        <v>220</v>
      </c>
      <c r="C31" s="2" t="s">
        <v>462</v>
      </c>
      <c r="D31" s="23" t="s">
        <v>463</v>
      </c>
      <c r="E31" s="24"/>
      <c r="F31" s="25"/>
      <c r="G31" s="23"/>
      <c r="H31" s="24"/>
      <c r="I31" s="25"/>
    </row>
    <row r="32" spans="1:10" ht="18" customHeight="1" x14ac:dyDescent="0.45">
      <c r="A32" s="10">
        <v>2</v>
      </c>
      <c r="B32" s="10" t="s">
        <v>220</v>
      </c>
      <c r="C32" s="2" t="s">
        <v>464</v>
      </c>
      <c r="D32" s="23" t="s">
        <v>124</v>
      </c>
      <c r="E32" s="24"/>
      <c r="F32" s="25"/>
      <c r="G32" s="23" t="s">
        <v>213</v>
      </c>
      <c r="H32" s="24"/>
      <c r="I32" s="25"/>
    </row>
  </sheetData>
  <mergeCells count="23">
    <mergeCell ref="A1:I1"/>
    <mergeCell ref="H5:I5"/>
    <mergeCell ref="E3:F3"/>
    <mergeCell ref="A3:B3"/>
    <mergeCell ref="A29:I29"/>
    <mergeCell ref="G32:I32"/>
    <mergeCell ref="G31:I31"/>
    <mergeCell ref="C4:I4"/>
    <mergeCell ref="A5:B5"/>
    <mergeCell ref="D26:F26"/>
    <mergeCell ref="H3:I3"/>
    <mergeCell ref="A4:B4"/>
    <mergeCell ref="G27:I27"/>
    <mergeCell ref="D31:F31"/>
    <mergeCell ref="A25:I25"/>
    <mergeCell ref="D27:F27"/>
    <mergeCell ref="D32:F32"/>
    <mergeCell ref="E5:F5"/>
    <mergeCell ref="G30:I30"/>
    <mergeCell ref="A6:B6"/>
    <mergeCell ref="C6:I6"/>
    <mergeCell ref="G26:I26"/>
    <mergeCell ref="D30:F30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3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128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129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219</v>
      </c>
      <c r="D5" s="1" t="s">
        <v>18</v>
      </c>
      <c r="E5" s="21">
        <f>SUM(J9:J45)</f>
        <v>37</v>
      </c>
      <c r="F5" s="22"/>
      <c r="G5" s="1" t="s">
        <v>66</v>
      </c>
      <c r="H5" s="23" t="s">
        <v>132</v>
      </c>
      <c r="I5" s="22"/>
    </row>
    <row r="6" spans="1:10" ht="18" customHeight="1" x14ac:dyDescent="0.45">
      <c r="A6" s="27" t="s">
        <v>64</v>
      </c>
      <c r="B6" s="22"/>
      <c r="C6" s="23" t="s">
        <v>130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0">
        <v>1</v>
      </c>
      <c r="B9" s="2" t="s">
        <v>256</v>
      </c>
      <c r="C9" s="2" t="s">
        <v>465</v>
      </c>
      <c r="D9" s="2" t="s">
        <v>234</v>
      </c>
      <c r="E9" s="10" t="s">
        <v>202</v>
      </c>
      <c r="F9" s="10"/>
      <c r="G9" s="2"/>
      <c r="H9" s="2" t="s">
        <v>466</v>
      </c>
      <c r="I9" s="10" t="s">
        <v>197</v>
      </c>
      <c r="J9" s="2">
        <v>1</v>
      </c>
    </row>
    <row r="10" spans="1:10" x14ac:dyDescent="0.45">
      <c r="A10" s="10">
        <v>2</v>
      </c>
      <c r="B10" s="2" t="s">
        <v>467</v>
      </c>
      <c r="C10" s="2" t="s">
        <v>468</v>
      </c>
      <c r="D10" s="2" t="s">
        <v>234</v>
      </c>
      <c r="E10" s="10" t="s">
        <v>202</v>
      </c>
      <c r="F10" s="10"/>
      <c r="G10" s="2"/>
      <c r="H10" s="2"/>
      <c r="I10" s="10" t="s">
        <v>197</v>
      </c>
      <c r="J10" s="2">
        <v>1</v>
      </c>
    </row>
    <row r="11" spans="1:10" x14ac:dyDescent="0.45">
      <c r="A11" s="10">
        <v>3</v>
      </c>
      <c r="B11" s="2" t="s">
        <v>469</v>
      </c>
      <c r="C11" s="2" t="s">
        <v>470</v>
      </c>
      <c r="D11" s="2" t="s">
        <v>195</v>
      </c>
      <c r="E11" s="10" t="s">
        <v>202</v>
      </c>
      <c r="F11" s="10"/>
      <c r="G11" s="2"/>
      <c r="H11" s="2"/>
      <c r="I11" s="10" t="s">
        <v>471</v>
      </c>
      <c r="J11" s="2">
        <v>1</v>
      </c>
    </row>
    <row r="12" spans="1:10" x14ac:dyDescent="0.45">
      <c r="A12" s="10">
        <v>4</v>
      </c>
      <c r="B12" s="2" t="s">
        <v>472</v>
      </c>
      <c r="C12" s="2" t="s">
        <v>473</v>
      </c>
      <c r="D12" s="2" t="s">
        <v>195</v>
      </c>
      <c r="E12" s="10" t="s">
        <v>202</v>
      </c>
      <c r="F12" s="10"/>
      <c r="G12" s="2"/>
      <c r="H12" s="2"/>
      <c r="I12" s="10" t="s">
        <v>471</v>
      </c>
      <c r="J12" s="2">
        <v>1</v>
      </c>
    </row>
    <row r="13" spans="1:10" x14ac:dyDescent="0.45">
      <c r="A13" s="10">
        <v>5</v>
      </c>
      <c r="B13" s="2" t="s">
        <v>474</v>
      </c>
      <c r="C13" s="2" t="s">
        <v>475</v>
      </c>
      <c r="D13" s="2" t="s">
        <v>195</v>
      </c>
      <c r="E13" s="10" t="s">
        <v>202</v>
      </c>
      <c r="F13" s="10"/>
      <c r="G13" s="2"/>
      <c r="H13" s="2"/>
      <c r="I13" s="10" t="s">
        <v>471</v>
      </c>
      <c r="J13" s="2">
        <v>1</v>
      </c>
    </row>
    <row r="14" spans="1:10" x14ac:dyDescent="0.45">
      <c r="A14" s="10">
        <v>6</v>
      </c>
      <c r="B14" s="2" t="s">
        <v>476</v>
      </c>
      <c r="C14" s="2" t="s">
        <v>477</v>
      </c>
      <c r="D14" s="2" t="s">
        <v>195</v>
      </c>
      <c r="E14" s="10" t="s">
        <v>202</v>
      </c>
      <c r="F14" s="10"/>
      <c r="G14" s="2"/>
      <c r="H14" s="2"/>
      <c r="I14" s="10" t="s">
        <v>197</v>
      </c>
      <c r="J14" s="2">
        <v>1</v>
      </c>
    </row>
    <row r="15" spans="1:10" x14ac:dyDescent="0.45">
      <c r="A15" s="10">
        <v>7</v>
      </c>
      <c r="B15" s="2" t="s">
        <v>478</v>
      </c>
      <c r="C15" s="2" t="s">
        <v>479</v>
      </c>
      <c r="D15" s="2" t="s">
        <v>195</v>
      </c>
      <c r="E15" s="10" t="s">
        <v>202</v>
      </c>
      <c r="F15" s="10"/>
      <c r="G15" s="2"/>
      <c r="H15" s="2"/>
      <c r="I15" s="10" t="s">
        <v>197</v>
      </c>
      <c r="J15" s="2">
        <v>1</v>
      </c>
    </row>
    <row r="16" spans="1:10" x14ac:dyDescent="0.45">
      <c r="A16" s="10">
        <v>8</v>
      </c>
      <c r="B16" s="2" t="s">
        <v>480</v>
      </c>
      <c r="C16" s="2" t="s">
        <v>481</v>
      </c>
      <c r="D16" s="2" t="s">
        <v>195</v>
      </c>
      <c r="E16" s="10" t="s">
        <v>202</v>
      </c>
      <c r="F16" s="10"/>
      <c r="G16" s="2"/>
      <c r="H16" s="2"/>
      <c r="I16" s="10" t="s">
        <v>471</v>
      </c>
      <c r="J16" s="2">
        <v>1</v>
      </c>
    </row>
    <row r="17" spans="1:10" x14ac:dyDescent="0.45">
      <c r="A17" s="10">
        <v>9</v>
      </c>
      <c r="B17" s="2" t="s">
        <v>482</v>
      </c>
      <c r="C17" s="2" t="s">
        <v>483</v>
      </c>
      <c r="D17" s="2" t="s">
        <v>195</v>
      </c>
      <c r="E17" s="10" t="s">
        <v>202</v>
      </c>
      <c r="F17" s="10"/>
      <c r="G17" s="2"/>
      <c r="H17" s="2"/>
      <c r="I17" s="10" t="s">
        <v>471</v>
      </c>
      <c r="J17" s="2">
        <v>1</v>
      </c>
    </row>
    <row r="18" spans="1:10" x14ac:dyDescent="0.45">
      <c r="A18" s="10">
        <v>10</v>
      </c>
      <c r="B18" s="2" t="s">
        <v>484</v>
      </c>
      <c r="C18" s="2" t="s">
        <v>485</v>
      </c>
      <c r="D18" s="2" t="s">
        <v>195</v>
      </c>
      <c r="E18" s="10" t="s">
        <v>202</v>
      </c>
      <c r="F18" s="10"/>
      <c r="G18" s="2"/>
      <c r="H18" s="2"/>
      <c r="I18" s="10" t="s">
        <v>197</v>
      </c>
      <c r="J18" s="2">
        <v>1</v>
      </c>
    </row>
    <row r="19" spans="1:10" x14ac:dyDescent="0.45">
      <c r="A19" s="10">
        <v>11</v>
      </c>
      <c r="B19" s="2" t="s">
        <v>486</v>
      </c>
      <c r="C19" s="2" t="s">
        <v>487</v>
      </c>
      <c r="D19" s="2" t="s">
        <v>195</v>
      </c>
      <c r="E19" s="10" t="s">
        <v>202</v>
      </c>
      <c r="F19" s="10"/>
      <c r="G19" s="2"/>
      <c r="H19" s="2"/>
      <c r="I19" s="10" t="s">
        <v>197</v>
      </c>
      <c r="J19" s="2">
        <v>1</v>
      </c>
    </row>
    <row r="20" spans="1:10" x14ac:dyDescent="0.45">
      <c r="A20" s="10">
        <v>12</v>
      </c>
      <c r="B20" s="2" t="s">
        <v>488</v>
      </c>
      <c r="C20" s="2" t="s">
        <v>489</v>
      </c>
      <c r="D20" s="2" t="s">
        <v>195</v>
      </c>
      <c r="E20" s="10" t="s">
        <v>202</v>
      </c>
      <c r="F20" s="10"/>
      <c r="G20" s="2"/>
      <c r="H20" s="2"/>
      <c r="I20" s="10" t="s">
        <v>197</v>
      </c>
      <c r="J20" s="2">
        <v>1</v>
      </c>
    </row>
    <row r="21" spans="1:10" x14ac:dyDescent="0.45">
      <c r="A21" s="10">
        <v>13</v>
      </c>
      <c r="B21" s="2" t="s">
        <v>490</v>
      </c>
      <c r="C21" s="2" t="s">
        <v>491</v>
      </c>
      <c r="D21" s="2" t="s">
        <v>195</v>
      </c>
      <c r="E21" s="10" t="s">
        <v>202</v>
      </c>
      <c r="F21" s="10"/>
      <c r="G21" s="2"/>
      <c r="H21" s="2"/>
      <c r="I21" s="10" t="s">
        <v>197</v>
      </c>
      <c r="J21" s="2">
        <v>1</v>
      </c>
    </row>
    <row r="22" spans="1:10" x14ac:dyDescent="0.45">
      <c r="A22" s="10">
        <v>14</v>
      </c>
      <c r="B22" s="2" t="s">
        <v>492</v>
      </c>
      <c r="C22" s="2" t="s">
        <v>493</v>
      </c>
      <c r="D22" s="2" t="s">
        <v>195</v>
      </c>
      <c r="E22" s="10" t="s">
        <v>202</v>
      </c>
      <c r="F22" s="10"/>
      <c r="G22" s="2"/>
      <c r="H22" s="2"/>
      <c r="I22" s="10" t="s">
        <v>197</v>
      </c>
      <c r="J22" s="2">
        <v>1</v>
      </c>
    </row>
    <row r="23" spans="1:10" x14ac:dyDescent="0.45">
      <c r="A23" s="10">
        <v>15</v>
      </c>
      <c r="B23" s="2" t="s">
        <v>494</v>
      </c>
      <c r="C23" s="2" t="s">
        <v>495</v>
      </c>
      <c r="D23" s="2" t="s">
        <v>195</v>
      </c>
      <c r="E23" s="10" t="s">
        <v>202</v>
      </c>
      <c r="F23" s="10"/>
      <c r="G23" s="2"/>
      <c r="H23" s="2"/>
      <c r="I23" s="10" t="s">
        <v>197</v>
      </c>
      <c r="J23" s="2">
        <v>1</v>
      </c>
    </row>
    <row r="24" spans="1:10" x14ac:dyDescent="0.45">
      <c r="A24" s="10">
        <v>16</v>
      </c>
      <c r="B24" s="2" t="s">
        <v>496</v>
      </c>
      <c r="C24" s="2" t="s">
        <v>497</v>
      </c>
      <c r="D24" s="2" t="s">
        <v>195</v>
      </c>
      <c r="E24" s="10" t="s">
        <v>202</v>
      </c>
      <c r="F24" s="10"/>
      <c r="G24" s="2"/>
      <c r="H24" s="2"/>
      <c r="I24" s="10" t="s">
        <v>197</v>
      </c>
      <c r="J24" s="2">
        <v>1</v>
      </c>
    </row>
    <row r="25" spans="1:10" x14ac:dyDescent="0.45">
      <c r="A25" s="10">
        <v>17</v>
      </c>
      <c r="B25" s="2" t="s">
        <v>498</v>
      </c>
      <c r="C25" s="2" t="s">
        <v>499</v>
      </c>
      <c r="D25" s="2" t="s">
        <v>195</v>
      </c>
      <c r="E25" s="10" t="s">
        <v>202</v>
      </c>
      <c r="F25" s="10"/>
      <c r="G25" s="2"/>
      <c r="H25" s="2"/>
      <c r="I25" s="10" t="s">
        <v>289</v>
      </c>
      <c r="J25" s="2">
        <v>1</v>
      </c>
    </row>
    <row r="26" spans="1:10" x14ac:dyDescent="0.45">
      <c r="A26" s="10">
        <v>18</v>
      </c>
      <c r="B26" s="2" t="s">
        <v>500</v>
      </c>
      <c r="C26" s="2" t="s">
        <v>501</v>
      </c>
      <c r="D26" s="2" t="s">
        <v>195</v>
      </c>
      <c r="E26" s="10" t="s">
        <v>202</v>
      </c>
      <c r="F26" s="10"/>
      <c r="G26" s="2"/>
      <c r="H26" s="2"/>
      <c r="I26" s="10" t="s">
        <v>197</v>
      </c>
      <c r="J26" s="2">
        <v>1</v>
      </c>
    </row>
    <row r="27" spans="1:10" x14ac:dyDescent="0.45">
      <c r="A27" s="10">
        <v>19</v>
      </c>
      <c r="B27" s="2" t="s">
        <v>502</v>
      </c>
      <c r="C27" s="2" t="s">
        <v>503</v>
      </c>
      <c r="D27" s="2" t="s">
        <v>294</v>
      </c>
      <c r="E27" s="10" t="s">
        <v>202</v>
      </c>
      <c r="F27" s="10"/>
      <c r="G27" s="2"/>
      <c r="H27" s="2"/>
      <c r="I27" s="10" t="s">
        <v>289</v>
      </c>
      <c r="J27" s="2">
        <v>1</v>
      </c>
    </row>
    <row r="28" spans="1:10" x14ac:dyDescent="0.45">
      <c r="A28" s="10">
        <v>20</v>
      </c>
      <c r="B28" s="2" t="s">
        <v>504</v>
      </c>
      <c r="C28" s="2" t="s">
        <v>505</v>
      </c>
      <c r="D28" s="2" t="s">
        <v>294</v>
      </c>
      <c r="E28" s="10" t="s">
        <v>202</v>
      </c>
      <c r="F28" s="10"/>
      <c r="G28" s="2"/>
      <c r="H28" s="2"/>
      <c r="I28" s="10" t="s">
        <v>289</v>
      </c>
      <c r="J28" s="2">
        <v>1</v>
      </c>
    </row>
    <row r="29" spans="1:10" x14ac:dyDescent="0.45">
      <c r="A29" s="10">
        <v>21</v>
      </c>
      <c r="B29" s="2" t="s">
        <v>506</v>
      </c>
      <c r="C29" s="2" t="s">
        <v>507</v>
      </c>
      <c r="D29" s="2" t="s">
        <v>508</v>
      </c>
      <c r="E29" s="10" t="s">
        <v>202</v>
      </c>
      <c r="F29" s="10"/>
      <c r="G29" s="2"/>
      <c r="H29" s="2"/>
      <c r="I29" s="10" t="s">
        <v>289</v>
      </c>
      <c r="J29" s="2">
        <v>1</v>
      </c>
    </row>
    <row r="30" spans="1:10" x14ac:dyDescent="0.45">
      <c r="A30" s="10">
        <v>22</v>
      </c>
      <c r="B30" s="2" t="s">
        <v>509</v>
      </c>
      <c r="C30" s="2" t="s">
        <v>510</v>
      </c>
      <c r="D30" s="2" t="s">
        <v>508</v>
      </c>
      <c r="E30" s="10" t="s">
        <v>202</v>
      </c>
      <c r="F30" s="10"/>
      <c r="G30" s="2"/>
      <c r="H30" s="2"/>
      <c r="I30" s="10" t="s">
        <v>289</v>
      </c>
      <c r="J30" s="2">
        <v>1</v>
      </c>
    </row>
    <row r="31" spans="1:10" x14ac:dyDescent="0.45">
      <c r="A31" s="10">
        <v>23</v>
      </c>
      <c r="B31" s="2" t="s">
        <v>511</v>
      </c>
      <c r="C31" s="2" t="s">
        <v>512</v>
      </c>
      <c r="D31" s="2" t="s">
        <v>508</v>
      </c>
      <c r="E31" s="10" t="s">
        <v>202</v>
      </c>
      <c r="F31" s="10"/>
      <c r="G31" s="2"/>
      <c r="H31" s="2"/>
      <c r="I31" s="10" t="s">
        <v>289</v>
      </c>
      <c r="J31" s="2">
        <v>1</v>
      </c>
    </row>
    <row r="32" spans="1:10" x14ac:dyDescent="0.45">
      <c r="A32" s="10">
        <v>24</v>
      </c>
      <c r="B32" s="2" t="s">
        <v>513</v>
      </c>
      <c r="C32" s="2" t="s">
        <v>514</v>
      </c>
      <c r="D32" s="2" t="s">
        <v>508</v>
      </c>
      <c r="E32" s="10" t="s">
        <v>202</v>
      </c>
      <c r="F32" s="10"/>
      <c r="G32" s="2"/>
      <c r="H32" s="2"/>
      <c r="I32" s="10" t="s">
        <v>289</v>
      </c>
      <c r="J32" s="2">
        <v>1</v>
      </c>
    </row>
    <row r="33" spans="1:10" x14ac:dyDescent="0.45">
      <c r="A33" s="10">
        <v>25</v>
      </c>
      <c r="B33" s="2" t="s">
        <v>515</v>
      </c>
      <c r="C33" s="2" t="s">
        <v>516</v>
      </c>
      <c r="D33" s="2" t="s">
        <v>195</v>
      </c>
      <c r="E33" s="10" t="s">
        <v>202</v>
      </c>
      <c r="F33" s="10"/>
      <c r="G33" s="2"/>
      <c r="H33" s="2"/>
      <c r="I33" s="10" t="s">
        <v>471</v>
      </c>
      <c r="J33" s="2">
        <v>1</v>
      </c>
    </row>
    <row r="34" spans="1:10" x14ac:dyDescent="0.45">
      <c r="A34" s="10">
        <v>26</v>
      </c>
      <c r="B34" s="2" t="s">
        <v>517</v>
      </c>
      <c r="C34" s="2" t="s">
        <v>518</v>
      </c>
      <c r="D34" s="2" t="s">
        <v>195</v>
      </c>
      <c r="E34" s="10" t="s">
        <v>202</v>
      </c>
      <c r="F34" s="10"/>
      <c r="G34" s="2"/>
      <c r="H34" s="2"/>
      <c r="I34" s="10" t="s">
        <v>471</v>
      </c>
      <c r="J34" s="2">
        <v>1</v>
      </c>
    </row>
    <row r="35" spans="1:10" x14ac:dyDescent="0.45">
      <c r="A35" s="10">
        <v>27</v>
      </c>
      <c r="B35" s="2" t="s">
        <v>519</v>
      </c>
      <c r="C35" s="2" t="s">
        <v>520</v>
      </c>
      <c r="D35" s="2" t="s">
        <v>195</v>
      </c>
      <c r="E35" s="10" t="s">
        <v>202</v>
      </c>
      <c r="F35" s="10"/>
      <c r="G35" s="2"/>
      <c r="H35" s="2"/>
      <c r="I35" s="10" t="s">
        <v>471</v>
      </c>
      <c r="J35" s="2">
        <v>1</v>
      </c>
    </row>
    <row r="36" spans="1:10" x14ac:dyDescent="0.45">
      <c r="A36" s="10">
        <v>28</v>
      </c>
      <c r="B36" s="2" t="s">
        <v>521</v>
      </c>
      <c r="C36" s="2" t="s">
        <v>522</v>
      </c>
      <c r="D36" s="2" t="s">
        <v>195</v>
      </c>
      <c r="E36" s="10" t="s">
        <v>202</v>
      </c>
      <c r="F36" s="10"/>
      <c r="G36" s="2"/>
      <c r="H36" s="2"/>
      <c r="I36" s="10" t="s">
        <v>471</v>
      </c>
      <c r="J36" s="2">
        <v>1</v>
      </c>
    </row>
    <row r="37" spans="1:10" x14ac:dyDescent="0.45">
      <c r="A37" s="10">
        <v>29</v>
      </c>
      <c r="B37" s="2" t="s">
        <v>523</v>
      </c>
      <c r="C37" s="2" t="s">
        <v>524</v>
      </c>
      <c r="D37" s="2" t="s">
        <v>195</v>
      </c>
      <c r="E37" s="10" t="s">
        <v>202</v>
      </c>
      <c r="F37" s="10"/>
      <c r="G37" s="2"/>
      <c r="H37" s="2" t="s">
        <v>525</v>
      </c>
      <c r="I37" s="10" t="s">
        <v>197</v>
      </c>
      <c r="J37" s="2">
        <v>1</v>
      </c>
    </row>
    <row r="38" spans="1:10" x14ac:dyDescent="0.45">
      <c r="A38" s="10">
        <v>30</v>
      </c>
      <c r="B38" s="2" t="s">
        <v>526</v>
      </c>
      <c r="C38" s="2" t="s">
        <v>527</v>
      </c>
      <c r="D38" s="2" t="s">
        <v>195</v>
      </c>
      <c r="E38" s="10" t="s">
        <v>202</v>
      </c>
      <c r="F38" s="10"/>
      <c r="G38" s="2"/>
      <c r="H38" s="2" t="s">
        <v>528</v>
      </c>
      <c r="I38" s="10" t="s">
        <v>197</v>
      </c>
      <c r="J38" s="2">
        <v>1</v>
      </c>
    </row>
    <row r="39" spans="1:10" x14ac:dyDescent="0.45">
      <c r="A39" s="10">
        <v>31</v>
      </c>
      <c r="B39" s="2" t="s">
        <v>457</v>
      </c>
      <c r="C39" s="2" t="s">
        <v>529</v>
      </c>
      <c r="D39" s="2" t="s">
        <v>239</v>
      </c>
      <c r="E39" s="10" t="s">
        <v>202</v>
      </c>
      <c r="F39" s="10"/>
      <c r="G39" s="2"/>
      <c r="H39" s="2" t="s">
        <v>460</v>
      </c>
      <c r="I39" s="10" t="s">
        <v>197</v>
      </c>
      <c r="J39" s="2">
        <v>1</v>
      </c>
    </row>
    <row r="40" spans="1:10" x14ac:dyDescent="0.45">
      <c r="A40" s="10">
        <v>32</v>
      </c>
      <c r="B40" s="2" t="s">
        <v>530</v>
      </c>
      <c r="C40" s="2" t="s">
        <v>450</v>
      </c>
      <c r="D40" s="2" t="s">
        <v>300</v>
      </c>
      <c r="E40" s="10" t="s">
        <v>202</v>
      </c>
      <c r="F40" s="10"/>
      <c r="G40" s="2"/>
      <c r="H40" s="2"/>
      <c r="I40" s="10" t="s">
        <v>197</v>
      </c>
      <c r="J40" s="2">
        <v>1</v>
      </c>
    </row>
    <row r="41" spans="1:10" x14ac:dyDescent="0.45">
      <c r="A41" s="10">
        <v>33</v>
      </c>
      <c r="B41" s="2" t="s">
        <v>531</v>
      </c>
      <c r="C41" s="2" t="s">
        <v>448</v>
      </c>
      <c r="D41" s="2" t="s">
        <v>234</v>
      </c>
      <c r="E41" s="10" t="s">
        <v>202</v>
      </c>
      <c r="F41" s="10"/>
      <c r="G41" s="2"/>
      <c r="H41" s="2"/>
      <c r="I41" s="10" t="s">
        <v>197</v>
      </c>
      <c r="J41" s="2">
        <v>1</v>
      </c>
    </row>
    <row r="42" spans="1:10" x14ac:dyDescent="0.45">
      <c r="A42" s="10">
        <v>34</v>
      </c>
      <c r="B42" s="2" t="s">
        <v>453</v>
      </c>
      <c r="C42" s="2" t="s">
        <v>454</v>
      </c>
      <c r="D42" s="2" t="s">
        <v>300</v>
      </c>
      <c r="E42" s="10" t="s">
        <v>202</v>
      </c>
      <c r="F42" s="10"/>
      <c r="G42" s="2"/>
      <c r="H42" s="2"/>
      <c r="I42" s="10" t="s">
        <v>197</v>
      </c>
      <c r="J42" s="2">
        <v>1</v>
      </c>
    </row>
    <row r="43" spans="1:10" x14ac:dyDescent="0.45">
      <c r="A43" s="10">
        <v>35</v>
      </c>
      <c r="B43" s="2" t="s">
        <v>451</v>
      </c>
      <c r="C43" s="2" t="s">
        <v>452</v>
      </c>
      <c r="D43" s="2" t="s">
        <v>234</v>
      </c>
      <c r="E43" s="10" t="s">
        <v>202</v>
      </c>
      <c r="F43" s="10"/>
      <c r="G43" s="2"/>
      <c r="H43" s="2"/>
      <c r="I43" s="10" t="s">
        <v>197</v>
      </c>
      <c r="J43" s="2">
        <v>1</v>
      </c>
    </row>
    <row r="44" spans="1:10" x14ac:dyDescent="0.45">
      <c r="A44" s="10">
        <v>36</v>
      </c>
      <c r="B44" s="2" t="s">
        <v>532</v>
      </c>
      <c r="C44" s="2" t="s">
        <v>533</v>
      </c>
      <c r="D44" s="2" t="s">
        <v>534</v>
      </c>
      <c r="E44" s="10" t="s">
        <v>202</v>
      </c>
      <c r="F44" s="10"/>
      <c r="G44" s="2"/>
      <c r="H44" s="2"/>
      <c r="I44" s="10" t="s">
        <v>197</v>
      </c>
      <c r="J44" s="2">
        <v>1</v>
      </c>
    </row>
    <row r="45" spans="1:10" x14ac:dyDescent="0.45">
      <c r="A45" s="10">
        <v>37</v>
      </c>
      <c r="B45" s="2" t="s">
        <v>535</v>
      </c>
      <c r="C45" s="2" t="s">
        <v>536</v>
      </c>
      <c r="D45" s="2" t="s">
        <v>534</v>
      </c>
      <c r="E45" s="10" t="s">
        <v>202</v>
      </c>
      <c r="F45" s="10"/>
      <c r="G45" s="2"/>
      <c r="H45" s="2"/>
      <c r="I45" s="10" t="s">
        <v>197</v>
      </c>
      <c r="J45" s="2">
        <v>1</v>
      </c>
    </row>
    <row r="47" spans="1:10" x14ac:dyDescent="0.45">
      <c r="A47" s="28" t="s">
        <v>208</v>
      </c>
      <c r="B47" s="22"/>
      <c r="C47" s="22"/>
      <c r="D47" s="22"/>
      <c r="E47" s="22"/>
      <c r="F47" s="22"/>
      <c r="G47" s="22"/>
      <c r="H47" s="22"/>
      <c r="I47" s="22"/>
    </row>
    <row r="48" spans="1:10" x14ac:dyDescent="0.45">
      <c r="A48" s="3" t="s">
        <v>60</v>
      </c>
      <c r="B48" s="3" t="s">
        <v>209</v>
      </c>
      <c r="C48" s="3" t="s">
        <v>210</v>
      </c>
      <c r="D48" s="26" t="s">
        <v>211</v>
      </c>
      <c r="E48" s="24"/>
      <c r="F48" s="25"/>
      <c r="G48" s="26" t="s">
        <v>23</v>
      </c>
      <c r="H48" s="24"/>
      <c r="I48" s="25"/>
    </row>
    <row r="49" spans="1:9" x14ac:dyDescent="0.45">
      <c r="A49" s="10" t="s">
        <v>220</v>
      </c>
      <c r="B49" s="10" t="s">
        <v>220</v>
      </c>
      <c r="C49" s="2" t="s">
        <v>219</v>
      </c>
      <c r="D49" s="23"/>
      <c r="E49" s="24"/>
      <c r="F49" s="25"/>
      <c r="G49" s="23"/>
      <c r="H49" s="24"/>
      <c r="I49" s="25"/>
    </row>
    <row r="51" spans="1:9" x14ac:dyDescent="0.45">
      <c r="A51" s="28" t="s">
        <v>214</v>
      </c>
      <c r="B51" s="22"/>
      <c r="C51" s="22"/>
      <c r="D51" s="22"/>
      <c r="E51" s="22"/>
      <c r="F51" s="22"/>
      <c r="G51" s="22"/>
      <c r="H51" s="22"/>
      <c r="I51" s="22"/>
    </row>
    <row r="52" spans="1:9" x14ac:dyDescent="0.45">
      <c r="A52" s="3" t="s">
        <v>60</v>
      </c>
      <c r="B52" s="3" t="s">
        <v>215</v>
      </c>
      <c r="C52" s="3" t="s">
        <v>216</v>
      </c>
      <c r="D52" s="26" t="s">
        <v>211</v>
      </c>
      <c r="E52" s="24"/>
      <c r="F52" s="25"/>
      <c r="G52" s="26" t="s">
        <v>217</v>
      </c>
      <c r="H52" s="24"/>
      <c r="I52" s="25"/>
    </row>
    <row r="53" spans="1:9" x14ac:dyDescent="0.45">
      <c r="A53" s="10" t="s">
        <v>220</v>
      </c>
      <c r="B53" s="10" t="s">
        <v>220</v>
      </c>
      <c r="C53" s="2" t="s">
        <v>219</v>
      </c>
      <c r="D53" s="23"/>
      <c r="E53" s="24"/>
      <c r="F53" s="25"/>
      <c r="G53" s="23"/>
      <c r="H53" s="24"/>
      <c r="I53" s="25"/>
    </row>
  </sheetData>
  <mergeCells count="21">
    <mergeCell ref="A1:I1"/>
    <mergeCell ref="H5:I5"/>
    <mergeCell ref="G48:I48"/>
    <mergeCell ref="E3:F3"/>
    <mergeCell ref="D52:F52"/>
    <mergeCell ref="D49:F49"/>
    <mergeCell ref="A6:B6"/>
    <mergeCell ref="A47:I47"/>
    <mergeCell ref="C6:I6"/>
    <mergeCell ref="A3:B3"/>
    <mergeCell ref="C4:I4"/>
    <mergeCell ref="A5:B5"/>
    <mergeCell ref="H3:I3"/>
    <mergeCell ref="A4:B4"/>
    <mergeCell ref="G53:I53"/>
    <mergeCell ref="E5:F5"/>
    <mergeCell ref="D48:F48"/>
    <mergeCell ref="G49:I49"/>
    <mergeCell ref="D53:F53"/>
    <mergeCell ref="G52:I52"/>
    <mergeCell ref="A51:I51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133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134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537</v>
      </c>
      <c r="D5" s="1" t="s">
        <v>18</v>
      </c>
      <c r="E5" s="21">
        <f>SUM(J9:J14)</f>
        <v>6</v>
      </c>
      <c r="F5" s="22"/>
      <c r="G5" s="1" t="s">
        <v>66</v>
      </c>
      <c r="H5" s="23"/>
      <c r="I5" s="22"/>
    </row>
    <row r="6" spans="1:10" ht="18" customHeight="1" x14ac:dyDescent="0.45">
      <c r="A6" s="27" t="s">
        <v>64</v>
      </c>
      <c r="B6" s="22"/>
      <c r="C6" s="23" t="s">
        <v>136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256</v>
      </c>
      <c r="C9" s="15" t="s">
        <v>321</v>
      </c>
      <c r="D9" s="15" t="s">
        <v>234</v>
      </c>
      <c r="E9" s="14" t="s">
        <v>196</v>
      </c>
      <c r="F9" s="14">
        <v>1</v>
      </c>
      <c r="G9" s="15"/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467</v>
      </c>
      <c r="C10" s="15" t="s">
        <v>538</v>
      </c>
      <c r="D10" s="15" t="s">
        <v>234</v>
      </c>
      <c r="E10" s="14" t="s">
        <v>196</v>
      </c>
      <c r="F10" s="14">
        <v>2</v>
      </c>
      <c r="G10" s="15" t="s">
        <v>128</v>
      </c>
      <c r="H10" s="15"/>
      <c r="I10" s="14" t="s">
        <v>197</v>
      </c>
      <c r="J10" s="15">
        <v>1</v>
      </c>
    </row>
    <row r="11" spans="1:10" x14ac:dyDescent="0.45">
      <c r="A11" s="14">
        <v>3</v>
      </c>
      <c r="B11" s="15" t="s">
        <v>539</v>
      </c>
      <c r="C11" s="15" t="s">
        <v>540</v>
      </c>
      <c r="D11" s="15" t="s">
        <v>234</v>
      </c>
      <c r="E11" s="14" t="s">
        <v>196</v>
      </c>
      <c r="F11" s="14">
        <v>3</v>
      </c>
      <c r="G11" s="15"/>
      <c r="H11" s="15"/>
      <c r="I11" s="14" t="s">
        <v>197</v>
      </c>
      <c r="J11" s="15">
        <v>1</v>
      </c>
    </row>
    <row r="12" spans="1:10" x14ac:dyDescent="0.45">
      <c r="A12" s="14">
        <v>4</v>
      </c>
      <c r="B12" s="15" t="s">
        <v>541</v>
      </c>
      <c r="C12" s="15" t="s">
        <v>542</v>
      </c>
      <c r="D12" s="15" t="s">
        <v>195</v>
      </c>
      <c r="E12" s="14" t="s">
        <v>196</v>
      </c>
      <c r="F12" s="14">
        <v>4</v>
      </c>
      <c r="G12" s="15"/>
      <c r="H12" s="15"/>
      <c r="I12" s="14" t="s">
        <v>197</v>
      </c>
      <c r="J12" s="15">
        <v>1</v>
      </c>
    </row>
    <row r="13" spans="1:10" x14ac:dyDescent="0.45">
      <c r="A13" s="10">
        <v>5</v>
      </c>
      <c r="B13" s="2" t="s">
        <v>543</v>
      </c>
      <c r="C13" s="2" t="s">
        <v>332</v>
      </c>
      <c r="D13" s="2" t="s">
        <v>195</v>
      </c>
      <c r="E13" s="10" t="s">
        <v>202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544</v>
      </c>
      <c r="C14" s="2" t="s">
        <v>333</v>
      </c>
      <c r="D14" s="2" t="s">
        <v>195</v>
      </c>
      <c r="E14" s="10" t="s">
        <v>202</v>
      </c>
      <c r="F14" s="10"/>
      <c r="G14" s="2"/>
      <c r="H14" s="2"/>
      <c r="I14" s="10" t="s">
        <v>197</v>
      </c>
      <c r="J14" s="2">
        <v>1</v>
      </c>
    </row>
    <row r="16" spans="1:10" x14ac:dyDescent="0.45">
      <c r="A16" s="28" t="s">
        <v>208</v>
      </c>
      <c r="B16" s="22"/>
      <c r="C16" s="22"/>
      <c r="D16" s="22"/>
      <c r="E16" s="22"/>
      <c r="F16" s="22"/>
      <c r="G16" s="22"/>
      <c r="H16" s="22"/>
      <c r="I16" s="22"/>
    </row>
    <row r="17" spans="1:9" x14ac:dyDescent="0.45">
      <c r="A17" s="3" t="s">
        <v>60</v>
      </c>
      <c r="B17" s="3" t="s">
        <v>209</v>
      </c>
      <c r="C17" s="3" t="s">
        <v>210</v>
      </c>
      <c r="D17" s="26" t="s">
        <v>211</v>
      </c>
      <c r="E17" s="24"/>
      <c r="F17" s="25"/>
      <c r="G17" s="26" t="s">
        <v>23</v>
      </c>
      <c r="H17" s="24"/>
      <c r="I17" s="25"/>
    </row>
    <row r="18" spans="1:9" ht="18" customHeight="1" x14ac:dyDescent="0.45">
      <c r="A18" s="10">
        <v>1</v>
      </c>
      <c r="B18" s="10" t="s">
        <v>191</v>
      </c>
      <c r="C18" s="2" t="s">
        <v>545</v>
      </c>
      <c r="D18" s="23" t="s">
        <v>135</v>
      </c>
      <c r="E18" s="24"/>
      <c r="F18" s="25"/>
      <c r="G18" s="23" t="s">
        <v>213</v>
      </c>
      <c r="H18" s="24"/>
      <c r="I18" s="25"/>
    </row>
    <row r="20" spans="1:9" x14ac:dyDescent="0.45">
      <c r="A20" s="28" t="s">
        <v>214</v>
      </c>
      <c r="B20" s="22"/>
      <c r="C20" s="22"/>
      <c r="D20" s="22"/>
      <c r="E20" s="22"/>
      <c r="F20" s="22"/>
      <c r="G20" s="22"/>
      <c r="H20" s="22"/>
      <c r="I20" s="22"/>
    </row>
    <row r="21" spans="1:9" x14ac:dyDescent="0.45">
      <c r="A21" s="3" t="s">
        <v>60</v>
      </c>
      <c r="B21" s="3" t="s">
        <v>215</v>
      </c>
      <c r="C21" s="3" t="s">
        <v>216</v>
      </c>
      <c r="D21" s="26" t="s">
        <v>211</v>
      </c>
      <c r="E21" s="24"/>
      <c r="F21" s="25"/>
      <c r="G21" s="26" t="s">
        <v>217</v>
      </c>
      <c r="H21" s="24"/>
      <c r="I21" s="25"/>
    </row>
    <row r="22" spans="1:9" ht="18" customHeight="1" x14ac:dyDescent="0.45">
      <c r="A22" s="10">
        <v>1</v>
      </c>
      <c r="B22" s="10" t="s">
        <v>220</v>
      </c>
      <c r="C22" s="2" t="s">
        <v>546</v>
      </c>
      <c r="D22" s="23" t="s">
        <v>467</v>
      </c>
      <c r="E22" s="24"/>
      <c r="F22" s="25"/>
      <c r="G22" s="23"/>
      <c r="H22" s="24"/>
      <c r="I22" s="25"/>
    </row>
    <row r="23" spans="1:9" ht="18" customHeight="1" x14ac:dyDescent="0.45">
      <c r="A23" s="10">
        <v>2</v>
      </c>
      <c r="B23" s="10" t="s">
        <v>218</v>
      </c>
      <c r="C23" s="2" t="s">
        <v>545</v>
      </c>
      <c r="D23" s="23" t="s">
        <v>135</v>
      </c>
      <c r="E23" s="24"/>
      <c r="F23" s="25"/>
      <c r="G23" s="23" t="s">
        <v>213</v>
      </c>
      <c r="H23" s="24"/>
      <c r="I23" s="25"/>
    </row>
  </sheetData>
  <mergeCells count="23">
    <mergeCell ref="A1:I1"/>
    <mergeCell ref="H5:I5"/>
    <mergeCell ref="G17:I17"/>
    <mergeCell ref="D21:F21"/>
    <mergeCell ref="E3:F3"/>
    <mergeCell ref="A16:I16"/>
    <mergeCell ref="A3:B3"/>
    <mergeCell ref="A20:I20"/>
    <mergeCell ref="D23:F23"/>
    <mergeCell ref="G22:I22"/>
    <mergeCell ref="C4:I4"/>
    <mergeCell ref="A5:B5"/>
    <mergeCell ref="G21:I21"/>
    <mergeCell ref="H3:I3"/>
    <mergeCell ref="A4:B4"/>
    <mergeCell ref="D22:F22"/>
    <mergeCell ref="G23:I23"/>
    <mergeCell ref="E5:F5"/>
    <mergeCell ref="G18:I18"/>
    <mergeCell ref="D17:F17"/>
    <mergeCell ref="A6:B6"/>
    <mergeCell ref="D18:F18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137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138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547</v>
      </c>
      <c r="D5" s="1" t="s">
        <v>18</v>
      </c>
      <c r="E5" s="21">
        <f>SUM(J9:J38)</f>
        <v>30</v>
      </c>
      <c r="F5" s="22"/>
      <c r="G5" s="1" t="s">
        <v>66</v>
      </c>
      <c r="H5" s="23" t="s">
        <v>142</v>
      </c>
      <c r="I5" s="22"/>
    </row>
    <row r="6" spans="1:10" ht="18" customHeight="1" x14ac:dyDescent="0.45">
      <c r="A6" s="27" t="s">
        <v>64</v>
      </c>
      <c r="B6" s="22"/>
      <c r="C6" s="23" t="s">
        <v>140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256</v>
      </c>
      <c r="C9" s="15" t="s">
        <v>321</v>
      </c>
      <c r="D9" s="15" t="s">
        <v>353</v>
      </c>
      <c r="E9" s="14" t="s">
        <v>196</v>
      </c>
      <c r="F9" s="14">
        <v>1</v>
      </c>
      <c r="G9" s="15"/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226</v>
      </c>
      <c r="C10" s="15" t="s">
        <v>323</v>
      </c>
      <c r="D10" s="15" t="s">
        <v>228</v>
      </c>
      <c r="E10" s="14" t="s">
        <v>196</v>
      </c>
      <c r="F10" s="14">
        <v>2</v>
      </c>
      <c r="G10" s="15" t="s">
        <v>95</v>
      </c>
      <c r="H10" s="15"/>
      <c r="I10" s="14" t="s">
        <v>197</v>
      </c>
      <c r="J10" s="15">
        <v>1</v>
      </c>
    </row>
    <row r="11" spans="1:10" x14ac:dyDescent="0.45">
      <c r="A11" s="14">
        <v>3</v>
      </c>
      <c r="B11" s="15" t="s">
        <v>548</v>
      </c>
      <c r="C11" s="15" t="s">
        <v>549</v>
      </c>
      <c r="D11" s="15" t="s">
        <v>195</v>
      </c>
      <c r="E11" s="14" t="s">
        <v>196</v>
      </c>
      <c r="F11" s="14">
        <v>3</v>
      </c>
      <c r="G11" s="15"/>
      <c r="H11" s="15"/>
      <c r="I11" s="14" t="s">
        <v>197</v>
      </c>
      <c r="J11" s="15">
        <v>1</v>
      </c>
    </row>
    <row r="12" spans="1:10" x14ac:dyDescent="0.45">
      <c r="A12" s="10">
        <v>4</v>
      </c>
      <c r="B12" s="2" t="s">
        <v>550</v>
      </c>
      <c r="C12" s="2" t="s">
        <v>551</v>
      </c>
      <c r="D12" s="2" t="s">
        <v>397</v>
      </c>
      <c r="E12" s="10" t="s">
        <v>196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4">
        <v>5</v>
      </c>
      <c r="B13" s="15" t="s">
        <v>552</v>
      </c>
      <c r="C13" s="15" t="s">
        <v>553</v>
      </c>
      <c r="D13" s="15" t="s">
        <v>228</v>
      </c>
      <c r="E13" s="14" t="s">
        <v>196</v>
      </c>
      <c r="F13" s="14">
        <v>4</v>
      </c>
      <c r="G13" s="15"/>
      <c r="H13" s="15"/>
      <c r="I13" s="14" t="s">
        <v>197</v>
      </c>
      <c r="J13" s="15">
        <v>1</v>
      </c>
    </row>
    <row r="14" spans="1:10" x14ac:dyDescent="0.45">
      <c r="A14" s="10">
        <v>6</v>
      </c>
      <c r="B14" s="2" t="s">
        <v>554</v>
      </c>
      <c r="C14" s="2" t="s">
        <v>555</v>
      </c>
      <c r="D14" s="2" t="s">
        <v>228</v>
      </c>
      <c r="E14" s="10" t="s">
        <v>202</v>
      </c>
      <c r="F14" s="10"/>
      <c r="G14" s="2"/>
      <c r="H14" s="2"/>
      <c r="I14" s="10" t="s">
        <v>197</v>
      </c>
      <c r="J14" s="2">
        <v>1</v>
      </c>
    </row>
    <row r="15" spans="1:10" x14ac:dyDescent="0.45">
      <c r="A15" s="10">
        <v>7</v>
      </c>
      <c r="B15" s="2" t="s">
        <v>556</v>
      </c>
      <c r="C15" s="2" t="s">
        <v>557</v>
      </c>
      <c r="D15" s="2" t="s">
        <v>228</v>
      </c>
      <c r="E15" s="10" t="s">
        <v>202</v>
      </c>
      <c r="F15" s="10"/>
      <c r="G15" s="2"/>
      <c r="H15" s="2"/>
      <c r="I15" s="10" t="s">
        <v>197</v>
      </c>
      <c r="J15" s="2">
        <v>1</v>
      </c>
    </row>
    <row r="16" spans="1:10" x14ac:dyDescent="0.45">
      <c r="A16" s="10">
        <v>8</v>
      </c>
      <c r="B16" s="2" t="s">
        <v>558</v>
      </c>
      <c r="C16" s="2" t="s">
        <v>559</v>
      </c>
      <c r="D16" s="2" t="s">
        <v>283</v>
      </c>
      <c r="E16" s="10" t="s">
        <v>202</v>
      </c>
      <c r="F16" s="10"/>
      <c r="G16" s="2"/>
      <c r="H16" s="2"/>
      <c r="I16" s="10" t="s">
        <v>197</v>
      </c>
      <c r="J16" s="2">
        <v>1</v>
      </c>
    </row>
    <row r="17" spans="1:10" x14ac:dyDescent="0.45">
      <c r="A17" s="10">
        <v>9</v>
      </c>
      <c r="B17" s="2" t="s">
        <v>449</v>
      </c>
      <c r="C17" s="2" t="s">
        <v>450</v>
      </c>
      <c r="D17" s="2" t="s">
        <v>300</v>
      </c>
      <c r="E17" s="10" t="s">
        <v>202</v>
      </c>
      <c r="F17" s="10"/>
      <c r="G17" s="2"/>
      <c r="H17" s="2"/>
      <c r="I17" s="10" t="s">
        <v>197</v>
      </c>
      <c r="J17" s="2">
        <v>1</v>
      </c>
    </row>
    <row r="18" spans="1:10" x14ac:dyDescent="0.45">
      <c r="A18" s="10">
        <v>10</v>
      </c>
      <c r="B18" s="2" t="s">
        <v>447</v>
      </c>
      <c r="C18" s="2" t="s">
        <v>448</v>
      </c>
      <c r="D18" s="2" t="s">
        <v>234</v>
      </c>
      <c r="E18" s="10" t="s">
        <v>202</v>
      </c>
      <c r="F18" s="10"/>
      <c r="G18" s="2"/>
      <c r="H18" s="2"/>
      <c r="I18" s="10" t="s">
        <v>197</v>
      </c>
      <c r="J18" s="2">
        <v>1</v>
      </c>
    </row>
    <row r="19" spans="1:10" x14ac:dyDescent="0.45">
      <c r="A19" s="10">
        <v>11</v>
      </c>
      <c r="B19" s="2" t="s">
        <v>453</v>
      </c>
      <c r="C19" s="2" t="s">
        <v>454</v>
      </c>
      <c r="D19" s="2" t="s">
        <v>300</v>
      </c>
      <c r="E19" s="10" t="s">
        <v>202</v>
      </c>
      <c r="F19" s="10"/>
      <c r="G19" s="2"/>
      <c r="H19" s="2"/>
      <c r="I19" s="10" t="s">
        <v>197</v>
      </c>
      <c r="J19" s="2">
        <v>1</v>
      </c>
    </row>
    <row r="20" spans="1:10" x14ac:dyDescent="0.45">
      <c r="A20" s="10">
        <v>12</v>
      </c>
      <c r="B20" s="2" t="s">
        <v>451</v>
      </c>
      <c r="C20" s="2" t="s">
        <v>452</v>
      </c>
      <c r="D20" s="2" t="s">
        <v>234</v>
      </c>
      <c r="E20" s="10" t="s">
        <v>202</v>
      </c>
      <c r="F20" s="10"/>
      <c r="G20" s="2"/>
      <c r="H20" s="2"/>
      <c r="I20" s="10" t="s">
        <v>197</v>
      </c>
      <c r="J20" s="2">
        <v>1</v>
      </c>
    </row>
    <row r="21" spans="1:10" x14ac:dyDescent="0.45">
      <c r="A21" s="10">
        <v>13</v>
      </c>
      <c r="B21" s="2" t="s">
        <v>324</v>
      </c>
      <c r="C21" s="2" t="s">
        <v>560</v>
      </c>
      <c r="D21" s="2" t="s">
        <v>228</v>
      </c>
      <c r="E21" s="10" t="s">
        <v>202</v>
      </c>
      <c r="F21" s="10"/>
      <c r="G21" s="2" t="s">
        <v>95</v>
      </c>
      <c r="H21" s="2"/>
      <c r="I21" s="10" t="s">
        <v>197</v>
      </c>
      <c r="J21" s="2">
        <v>1</v>
      </c>
    </row>
    <row r="22" spans="1:10" x14ac:dyDescent="0.45">
      <c r="A22" s="10">
        <v>14</v>
      </c>
      <c r="B22" s="2" t="s">
        <v>561</v>
      </c>
      <c r="C22" s="2" t="s">
        <v>562</v>
      </c>
      <c r="D22" s="2" t="s">
        <v>397</v>
      </c>
      <c r="E22" s="10" t="s">
        <v>202</v>
      </c>
      <c r="F22" s="10"/>
      <c r="G22" s="2"/>
      <c r="H22" s="2"/>
      <c r="I22" s="10" t="s">
        <v>197</v>
      </c>
      <c r="J22" s="2">
        <v>1</v>
      </c>
    </row>
    <row r="23" spans="1:10" x14ac:dyDescent="0.45">
      <c r="A23" s="10">
        <v>15</v>
      </c>
      <c r="B23" s="2" t="s">
        <v>563</v>
      </c>
      <c r="C23" s="2" t="s">
        <v>564</v>
      </c>
      <c r="D23" s="2" t="s">
        <v>195</v>
      </c>
      <c r="E23" s="10" t="s">
        <v>202</v>
      </c>
      <c r="F23" s="10"/>
      <c r="G23" s="2"/>
      <c r="H23" s="2"/>
      <c r="I23" s="10" t="s">
        <v>197</v>
      </c>
      <c r="J23" s="2">
        <v>1</v>
      </c>
    </row>
    <row r="24" spans="1:10" x14ac:dyDescent="0.45">
      <c r="A24" s="10">
        <v>16</v>
      </c>
      <c r="B24" s="2" t="s">
        <v>565</v>
      </c>
      <c r="C24" s="2" t="s">
        <v>566</v>
      </c>
      <c r="D24" s="2" t="s">
        <v>234</v>
      </c>
      <c r="E24" s="10" t="s">
        <v>202</v>
      </c>
      <c r="F24" s="10"/>
      <c r="G24" s="2"/>
      <c r="H24" s="2"/>
      <c r="I24" s="10" t="s">
        <v>197</v>
      </c>
      <c r="J24" s="2">
        <v>1</v>
      </c>
    </row>
    <row r="25" spans="1:10" x14ac:dyDescent="0.45">
      <c r="A25" s="10">
        <v>17</v>
      </c>
      <c r="B25" s="2" t="s">
        <v>567</v>
      </c>
      <c r="C25" s="2" t="s">
        <v>568</v>
      </c>
      <c r="D25" s="2" t="s">
        <v>195</v>
      </c>
      <c r="E25" s="10" t="s">
        <v>202</v>
      </c>
      <c r="F25" s="10"/>
      <c r="G25" s="2"/>
      <c r="H25" s="2"/>
      <c r="I25" s="10" t="s">
        <v>197</v>
      </c>
      <c r="J25" s="2">
        <v>1</v>
      </c>
    </row>
    <row r="26" spans="1:10" x14ac:dyDescent="0.45">
      <c r="A26" s="10">
        <v>18</v>
      </c>
      <c r="B26" s="2" t="s">
        <v>569</v>
      </c>
      <c r="C26" s="2" t="s">
        <v>570</v>
      </c>
      <c r="D26" s="2" t="s">
        <v>195</v>
      </c>
      <c r="E26" s="10" t="s">
        <v>202</v>
      </c>
      <c r="F26" s="10"/>
      <c r="G26" s="2"/>
      <c r="H26" s="2"/>
      <c r="I26" s="10" t="s">
        <v>197</v>
      </c>
      <c r="J26" s="2">
        <v>1</v>
      </c>
    </row>
    <row r="27" spans="1:10" x14ac:dyDescent="0.45">
      <c r="A27" s="10">
        <v>19</v>
      </c>
      <c r="B27" s="2" t="s">
        <v>571</v>
      </c>
      <c r="C27" s="2" t="s">
        <v>572</v>
      </c>
      <c r="D27" s="2" t="s">
        <v>195</v>
      </c>
      <c r="E27" s="10" t="s">
        <v>202</v>
      </c>
      <c r="F27" s="10"/>
      <c r="G27" s="2"/>
      <c r="H27" s="2"/>
      <c r="I27" s="10" t="s">
        <v>197</v>
      </c>
      <c r="J27" s="2">
        <v>1</v>
      </c>
    </row>
    <row r="28" spans="1:10" x14ac:dyDescent="0.45">
      <c r="A28" s="10">
        <v>20</v>
      </c>
      <c r="B28" s="2" t="s">
        <v>573</v>
      </c>
      <c r="C28" s="2" t="s">
        <v>574</v>
      </c>
      <c r="D28" s="2" t="s">
        <v>195</v>
      </c>
      <c r="E28" s="10" t="s">
        <v>202</v>
      </c>
      <c r="F28" s="10"/>
      <c r="G28" s="2"/>
      <c r="H28" s="2"/>
      <c r="I28" s="10" t="s">
        <v>197</v>
      </c>
      <c r="J28" s="2">
        <v>1</v>
      </c>
    </row>
    <row r="29" spans="1:10" x14ac:dyDescent="0.45">
      <c r="A29" s="10">
        <v>21</v>
      </c>
      <c r="B29" s="2" t="s">
        <v>575</v>
      </c>
      <c r="C29" s="2" t="s">
        <v>576</v>
      </c>
      <c r="D29" s="2" t="s">
        <v>195</v>
      </c>
      <c r="E29" s="10" t="s">
        <v>202</v>
      </c>
      <c r="F29" s="10"/>
      <c r="G29" s="2"/>
      <c r="H29" s="2"/>
      <c r="I29" s="10" t="s">
        <v>197</v>
      </c>
      <c r="J29" s="2">
        <v>1</v>
      </c>
    </row>
    <row r="30" spans="1:10" x14ac:dyDescent="0.45">
      <c r="A30" s="10">
        <v>22</v>
      </c>
      <c r="B30" s="2" t="s">
        <v>577</v>
      </c>
      <c r="C30" s="2" t="s">
        <v>578</v>
      </c>
      <c r="D30" s="2" t="s">
        <v>195</v>
      </c>
      <c r="E30" s="10" t="s">
        <v>202</v>
      </c>
      <c r="F30" s="10"/>
      <c r="G30" s="2"/>
      <c r="H30" s="2"/>
      <c r="I30" s="10" t="s">
        <v>289</v>
      </c>
      <c r="J30" s="2">
        <v>1</v>
      </c>
    </row>
    <row r="31" spans="1:10" x14ac:dyDescent="0.45">
      <c r="A31" s="10">
        <v>23</v>
      </c>
      <c r="B31" s="2" t="s">
        <v>579</v>
      </c>
      <c r="C31" s="2" t="s">
        <v>580</v>
      </c>
      <c r="D31" s="2" t="s">
        <v>195</v>
      </c>
      <c r="E31" s="10" t="s">
        <v>202</v>
      </c>
      <c r="F31" s="10"/>
      <c r="G31" s="2"/>
      <c r="H31" s="2"/>
      <c r="I31" s="10" t="s">
        <v>289</v>
      </c>
      <c r="J31" s="2">
        <v>1</v>
      </c>
    </row>
    <row r="32" spans="1:10" x14ac:dyDescent="0.45">
      <c r="A32" s="10">
        <v>24</v>
      </c>
      <c r="B32" s="2" t="s">
        <v>581</v>
      </c>
      <c r="C32" s="2" t="s">
        <v>582</v>
      </c>
      <c r="D32" s="2" t="s">
        <v>195</v>
      </c>
      <c r="E32" s="10" t="s">
        <v>202</v>
      </c>
      <c r="F32" s="10"/>
      <c r="G32" s="2"/>
      <c r="H32" s="2"/>
      <c r="I32" s="10" t="s">
        <v>197</v>
      </c>
      <c r="J32" s="2">
        <v>1</v>
      </c>
    </row>
    <row r="33" spans="1:10" x14ac:dyDescent="0.45">
      <c r="A33" s="10">
        <v>25</v>
      </c>
      <c r="B33" s="2" t="s">
        <v>583</v>
      </c>
      <c r="C33" s="2" t="s">
        <v>584</v>
      </c>
      <c r="D33" s="2" t="s">
        <v>195</v>
      </c>
      <c r="E33" s="10" t="s">
        <v>202</v>
      </c>
      <c r="F33" s="10"/>
      <c r="G33" s="2"/>
      <c r="H33" s="2"/>
      <c r="I33" s="10" t="s">
        <v>197</v>
      </c>
      <c r="J33" s="2">
        <v>1</v>
      </c>
    </row>
    <row r="34" spans="1:10" x14ac:dyDescent="0.45">
      <c r="A34" s="10">
        <v>26</v>
      </c>
      <c r="B34" s="2" t="s">
        <v>585</v>
      </c>
      <c r="C34" s="2" t="s">
        <v>586</v>
      </c>
      <c r="D34" s="2" t="s">
        <v>195</v>
      </c>
      <c r="E34" s="10" t="s">
        <v>202</v>
      </c>
      <c r="F34" s="10"/>
      <c r="G34" s="2"/>
      <c r="H34" s="2"/>
      <c r="I34" s="10" t="s">
        <v>197</v>
      </c>
      <c r="J34" s="2">
        <v>1</v>
      </c>
    </row>
    <row r="35" spans="1:10" x14ac:dyDescent="0.45">
      <c r="A35" s="10">
        <v>27</v>
      </c>
      <c r="B35" s="2" t="s">
        <v>587</v>
      </c>
      <c r="C35" s="2" t="s">
        <v>588</v>
      </c>
      <c r="D35" s="2" t="s">
        <v>195</v>
      </c>
      <c r="E35" s="10" t="s">
        <v>202</v>
      </c>
      <c r="F35" s="10"/>
      <c r="G35" s="2"/>
      <c r="H35" s="2"/>
      <c r="I35" s="10" t="s">
        <v>197</v>
      </c>
      <c r="J35" s="2">
        <v>1</v>
      </c>
    </row>
    <row r="36" spans="1:10" x14ac:dyDescent="0.45">
      <c r="A36" s="10">
        <v>28</v>
      </c>
      <c r="B36" s="2" t="s">
        <v>589</v>
      </c>
      <c r="C36" s="2" t="s">
        <v>590</v>
      </c>
      <c r="D36" s="2" t="s">
        <v>195</v>
      </c>
      <c r="E36" s="10" t="s">
        <v>202</v>
      </c>
      <c r="F36" s="10"/>
      <c r="G36" s="2"/>
      <c r="H36" s="2"/>
      <c r="I36" s="10" t="s">
        <v>197</v>
      </c>
      <c r="J36" s="2">
        <v>1</v>
      </c>
    </row>
    <row r="37" spans="1:10" x14ac:dyDescent="0.45">
      <c r="A37" s="10">
        <v>29</v>
      </c>
      <c r="B37" s="2" t="s">
        <v>591</v>
      </c>
      <c r="C37" s="2" t="s">
        <v>592</v>
      </c>
      <c r="D37" s="2" t="s">
        <v>239</v>
      </c>
      <c r="E37" s="10" t="s">
        <v>202</v>
      </c>
      <c r="F37" s="10"/>
      <c r="G37" s="2"/>
      <c r="H37" s="2" t="s">
        <v>593</v>
      </c>
      <c r="I37" s="10" t="s">
        <v>197</v>
      </c>
      <c r="J37" s="2">
        <v>1</v>
      </c>
    </row>
    <row r="38" spans="1:10" x14ac:dyDescent="0.45">
      <c r="A38" s="10">
        <v>30</v>
      </c>
      <c r="B38" s="2" t="s">
        <v>594</v>
      </c>
      <c r="C38" s="2" t="s">
        <v>595</v>
      </c>
      <c r="D38" s="2" t="s">
        <v>596</v>
      </c>
      <c r="E38" s="10" t="s">
        <v>202</v>
      </c>
      <c r="F38" s="10"/>
      <c r="G38" s="2"/>
      <c r="H38" s="2"/>
      <c r="I38" s="10" t="s">
        <v>289</v>
      </c>
      <c r="J38" s="2">
        <v>1</v>
      </c>
    </row>
    <row r="40" spans="1:10" x14ac:dyDescent="0.45">
      <c r="A40" s="28" t="s">
        <v>208</v>
      </c>
      <c r="B40" s="22"/>
      <c r="C40" s="22"/>
      <c r="D40" s="22"/>
      <c r="E40" s="22"/>
      <c r="F40" s="22"/>
      <c r="G40" s="22"/>
      <c r="H40" s="22"/>
      <c r="I40" s="22"/>
    </row>
    <row r="41" spans="1:10" x14ac:dyDescent="0.45">
      <c r="A41" s="3" t="s">
        <v>60</v>
      </c>
      <c r="B41" s="3" t="s">
        <v>209</v>
      </c>
      <c r="C41" s="3" t="s">
        <v>210</v>
      </c>
      <c r="D41" s="26" t="s">
        <v>211</v>
      </c>
      <c r="E41" s="24"/>
      <c r="F41" s="25"/>
      <c r="G41" s="26" t="s">
        <v>23</v>
      </c>
      <c r="H41" s="24"/>
      <c r="I41" s="25"/>
    </row>
    <row r="42" spans="1:10" ht="32" customHeight="1" x14ac:dyDescent="0.45">
      <c r="A42" s="10">
        <v>1</v>
      </c>
      <c r="B42" s="10" t="s">
        <v>191</v>
      </c>
      <c r="C42" s="2" t="s">
        <v>597</v>
      </c>
      <c r="D42" s="23" t="s">
        <v>139</v>
      </c>
      <c r="E42" s="24"/>
      <c r="F42" s="25"/>
      <c r="G42" s="23" t="s">
        <v>213</v>
      </c>
      <c r="H42" s="24"/>
      <c r="I42" s="25"/>
    </row>
    <row r="44" spans="1:10" x14ac:dyDescent="0.45">
      <c r="A44" s="28" t="s">
        <v>214</v>
      </c>
      <c r="B44" s="22"/>
      <c r="C44" s="22"/>
      <c r="D44" s="22"/>
      <c r="E44" s="22"/>
      <c r="F44" s="22"/>
      <c r="G44" s="22"/>
      <c r="H44" s="22"/>
      <c r="I44" s="22"/>
    </row>
    <row r="45" spans="1:10" x14ac:dyDescent="0.45">
      <c r="A45" s="3" t="s">
        <v>60</v>
      </c>
      <c r="B45" s="3" t="s">
        <v>215</v>
      </c>
      <c r="C45" s="3" t="s">
        <v>216</v>
      </c>
      <c r="D45" s="26" t="s">
        <v>211</v>
      </c>
      <c r="E45" s="24"/>
      <c r="F45" s="25"/>
      <c r="G45" s="26" t="s">
        <v>217</v>
      </c>
      <c r="H45" s="24"/>
      <c r="I45" s="25"/>
    </row>
    <row r="46" spans="1:10" ht="18" customHeight="1" x14ac:dyDescent="0.45">
      <c r="A46" s="10">
        <v>1</v>
      </c>
      <c r="B46" s="10" t="s">
        <v>220</v>
      </c>
      <c r="C46" s="2" t="s">
        <v>598</v>
      </c>
      <c r="D46" s="23" t="s">
        <v>599</v>
      </c>
      <c r="E46" s="24"/>
      <c r="F46" s="25"/>
      <c r="G46" s="23"/>
      <c r="H46" s="24"/>
      <c r="I46" s="25"/>
    </row>
    <row r="47" spans="1:10" ht="32" customHeight="1" x14ac:dyDescent="0.45">
      <c r="A47" s="10">
        <v>2</v>
      </c>
      <c r="B47" s="10" t="s">
        <v>218</v>
      </c>
      <c r="C47" s="2" t="s">
        <v>597</v>
      </c>
      <c r="D47" s="23" t="s">
        <v>139</v>
      </c>
      <c r="E47" s="24"/>
      <c r="F47" s="25"/>
      <c r="G47" s="23" t="s">
        <v>213</v>
      </c>
      <c r="H47" s="24"/>
      <c r="I47" s="25"/>
    </row>
  </sheetData>
  <mergeCells count="23">
    <mergeCell ref="A1:I1"/>
    <mergeCell ref="H5:I5"/>
    <mergeCell ref="D45:F45"/>
    <mergeCell ref="E3:F3"/>
    <mergeCell ref="A3:B3"/>
    <mergeCell ref="D42:F42"/>
    <mergeCell ref="G47:I47"/>
    <mergeCell ref="G41:I41"/>
    <mergeCell ref="C4:I4"/>
    <mergeCell ref="A5:B5"/>
    <mergeCell ref="A44:I44"/>
    <mergeCell ref="A40:I40"/>
    <mergeCell ref="G46:I46"/>
    <mergeCell ref="H3:I3"/>
    <mergeCell ref="A4:B4"/>
    <mergeCell ref="G42:I42"/>
    <mergeCell ref="D46:F46"/>
    <mergeCell ref="D41:F41"/>
    <mergeCell ref="E5:F5"/>
    <mergeCell ref="D47:F47"/>
    <mergeCell ref="A6:B6"/>
    <mergeCell ref="G45:I45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143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144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600</v>
      </c>
      <c r="D5" s="1" t="s">
        <v>18</v>
      </c>
      <c r="E5" s="21">
        <f>SUM(J9:J15)</f>
        <v>11</v>
      </c>
      <c r="F5" s="22"/>
      <c r="G5" s="1" t="s">
        <v>66</v>
      </c>
      <c r="H5" s="23" t="s">
        <v>148</v>
      </c>
      <c r="I5" s="22"/>
    </row>
    <row r="6" spans="1:10" ht="18" customHeight="1" x14ac:dyDescent="0.45">
      <c r="A6" s="27" t="s">
        <v>64</v>
      </c>
      <c r="B6" s="22"/>
      <c r="C6" s="23" t="s">
        <v>146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256</v>
      </c>
      <c r="C9" s="15" t="s">
        <v>257</v>
      </c>
      <c r="D9" s="15" t="s">
        <v>255</v>
      </c>
      <c r="E9" s="14" t="s">
        <v>196</v>
      </c>
      <c r="F9" s="14">
        <v>1</v>
      </c>
      <c r="G9" s="15"/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601</v>
      </c>
      <c r="C10" s="15" t="s">
        <v>602</v>
      </c>
      <c r="D10" s="15" t="s">
        <v>255</v>
      </c>
      <c r="E10" s="14" t="s">
        <v>196</v>
      </c>
      <c r="F10" s="14">
        <v>2</v>
      </c>
      <c r="G10" s="15" t="s">
        <v>147</v>
      </c>
      <c r="H10" s="15"/>
      <c r="I10" s="14" t="s">
        <v>197</v>
      </c>
      <c r="J10" s="15">
        <v>1</v>
      </c>
    </row>
    <row r="11" spans="1:10" x14ac:dyDescent="0.45">
      <c r="A11" s="14">
        <v>3</v>
      </c>
      <c r="B11" s="15" t="s">
        <v>603</v>
      </c>
      <c r="C11" s="15" t="s">
        <v>604</v>
      </c>
      <c r="D11" s="15" t="s">
        <v>300</v>
      </c>
      <c r="E11" s="14" t="s">
        <v>196</v>
      </c>
      <c r="F11" s="14">
        <v>3</v>
      </c>
      <c r="G11" s="15"/>
      <c r="H11" s="15"/>
      <c r="I11" s="14" t="s">
        <v>197</v>
      </c>
      <c r="J11" s="15">
        <v>1</v>
      </c>
    </row>
    <row r="12" spans="1:10" x14ac:dyDescent="0.45">
      <c r="A12" s="10">
        <v>4</v>
      </c>
      <c r="B12" s="2" t="s">
        <v>605</v>
      </c>
      <c r="C12" s="2" t="s">
        <v>606</v>
      </c>
      <c r="D12" s="2" t="s">
        <v>228</v>
      </c>
      <c r="E12" s="10" t="s">
        <v>202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607</v>
      </c>
      <c r="C13" s="2" t="s">
        <v>608</v>
      </c>
      <c r="D13" s="2" t="s">
        <v>228</v>
      </c>
      <c r="E13" s="10" t="s">
        <v>202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609</v>
      </c>
      <c r="C14" s="2" t="s">
        <v>610</v>
      </c>
      <c r="D14" s="2" t="s">
        <v>228</v>
      </c>
      <c r="E14" s="10" t="s">
        <v>202</v>
      </c>
      <c r="F14" s="10"/>
      <c r="G14" s="2"/>
      <c r="H14" s="2"/>
      <c r="I14" s="10" t="s">
        <v>197</v>
      </c>
      <c r="J14" s="2">
        <v>1</v>
      </c>
    </row>
    <row r="15" spans="1:10" x14ac:dyDescent="0.45">
      <c r="A15" s="16" t="s">
        <v>611</v>
      </c>
      <c r="B15" s="17" t="s">
        <v>612</v>
      </c>
      <c r="C15" s="17" t="s">
        <v>394</v>
      </c>
      <c r="D15" s="17" t="s">
        <v>228</v>
      </c>
      <c r="E15" s="16" t="s">
        <v>202</v>
      </c>
      <c r="F15" s="16"/>
      <c r="G15" s="17"/>
      <c r="H15" s="17"/>
      <c r="I15" s="16" t="s">
        <v>289</v>
      </c>
      <c r="J15" s="17">
        <v>5</v>
      </c>
    </row>
    <row r="17" spans="1:9" x14ac:dyDescent="0.45">
      <c r="A17" s="28" t="s">
        <v>208</v>
      </c>
      <c r="B17" s="22"/>
      <c r="C17" s="22"/>
      <c r="D17" s="22"/>
      <c r="E17" s="22"/>
      <c r="F17" s="22"/>
      <c r="G17" s="22"/>
      <c r="H17" s="22"/>
      <c r="I17" s="22"/>
    </row>
    <row r="18" spans="1:9" x14ac:dyDescent="0.45">
      <c r="A18" s="3" t="s">
        <v>60</v>
      </c>
      <c r="B18" s="3" t="s">
        <v>209</v>
      </c>
      <c r="C18" s="3" t="s">
        <v>210</v>
      </c>
      <c r="D18" s="26" t="s">
        <v>211</v>
      </c>
      <c r="E18" s="24"/>
      <c r="F18" s="25"/>
      <c r="G18" s="26" t="s">
        <v>23</v>
      </c>
      <c r="H18" s="24"/>
      <c r="I18" s="25"/>
    </row>
    <row r="19" spans="1:9" ht="18" customHeight="1" x14ac:dyDescent="0.45">
      <c r="A19" s="10">
        <v>1</v>
      </c>
      <c r="B19" s="10" t="s">
        <v>191</v>
      </c>
      <c r="C19" s="2" t="s">
        <v>613</v>
      </c>
      <c r="D19" s="23" t="s">
        <v>145</v>
      </c>
      <c r="E19" s="24"/>
      <c r="F19" s="25"/>
      <c r="G19" s="23" t="s">
        <v>213</v>
      </c>
      <c r="H19" s="24"/>
      <c r="I19" s="25"/>
    </row>
    <row r="21" spans="1:9" x14ac:dyDescent="0.45">
      <c r="A21" s="28" t="s">
        <v>214</v>
      </c>
      <c r="B21" s="22"/>
      <c r="C21" s="22"/>
      <c r="D21" s="22"/>
      <c r="E21" s="22"/>
      <c r="F21" s="22"/>
      <c r="G21" s="22"/>
      <c r="H21" s="22"/>
      <c r="I21" s="22"/>
    </row>
    <row r="22" spans="1:9" x14ac:dyDescent="0.45">
      <c r="A22" s="3" t="s">
        <v>60</v>
      </c>
      <c r="B22" s="3" t="s">
        <v>215</v>
      </c>
      <c r="C22" s="3" t="s">
        <v>216</v>
      </c>
      <c r="D22" s="26" t="s">
        <v>211</v>
      </c>
      <c r="E22" s="24"/>
      <c r="F22" s="25"/>
      <c r="G22" s="26" t="s">
        <v>217</v>
      </c>
      <c r="H22" s="24"/>
      <c r="I22" s="25"/>
    </row>
    <row r="23" spans="1:9" ht="18" customHeight="1" x14ac:dyDescent="0.45">
      <c r="A23" s="10">
        <v>1</v>
      </c>
      <c r="B23" s="10" t="s">
        <v>218</v>
      </c>
      <c r="C23" s="2" t="s">
        <v>613</v>
      </c>
      <c r="D23" s="23" t="s">
        <v>145</v>
      </c>
      <c r="E23" s="24"/>
      <c r="F23" s="25"/>
      <c r="G23" s="23" t="s">
        <v>213</v>
      </c>
      <c r="H23" s="24"/>
      <c r="I23" s="25"/>
    </row>
  </sheetData>
  <mergeCells count="21">
    <mergeCell ref="A1:I1"/>
    <mergeCell ref="H5:I5"/>
    <mergeCell ref="E3:F3"/>
    <mergeCell ref="A3:B3"/>
    <mergeCell ref="D23:F23"/>
    <mergeCell ref="G22:I22"/>
    <mergeCell ref="C4:I4"/>
    <mergeCell ref="A5:B5"/>
    <mergeCell ref="H3:I3"/>
    <mergeCell ref="A4:B4"/>
    <mergeCell ref="D19:F19"/>
    <mergeCell ref="D22:F22"/>
    <mergeCell ref="G23:I23"/>
    <mergeCell ref="G19:I19"/>
    <mergeCell ref="E5:F5"/>
    <mergeCell ref="G18:I18"/>
    <mergeCell ref="A6:B6"/>
    <mergeCell ref="A21:I21"/>
    <mergeCell ref="D18:F18"/>
    <mergeCell ref="A17:I17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149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150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614</v>
      </c>
      <c r="D5" s="1" t="s">
        <v>18</v>
      </c>
      <c r="E5" s="21">
        <f>SUM(J9:J14)</f>
        <v>6</v>
      </c>
      <c r="F5" s="22"/>
      <c r="G5" s="1" t="s">
        <v>66</v>
      </c>
      <c r="H5" s="23" t="s">
        <v>154</v>
      </c>
      <c r="I5" s="22"/>
    </row>
    <row r="6" spans="1:10" ht="18" customHeight="1" x14ac:dyDescent="0.45">
      <c r="A6" s="27" t="s">
        <v>64</v>
      </c>
      <c r="B6" s="22"/>
      <c r="C6" s="23" t="s">
        <v>152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256</v>
      </c>
      <c r="C9" s="15" t="s">
        <v>321</v>
      </c>
      <c r="D9" s="15" t="s">
        <v>234</v>
      </c>
      <c r="E9" s="14" t="s">
        <v>196</v>
      </c>
      <c r="F9" s="14">
        <v>1</v>
      </c>
      <c r="G9" s="15"/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260</v>
      </c>
      <c r="C10" s="15" t="s">
        <v>615</v>
      </c>
      <c r="D10" s="15" t="s">
        <v>234</v>
      </c>
      <c r="E10" s="14" t="s">
        <v>196</v>
      </c>
      <c r="F10" s="14">
        <v>2</v>
      </c>
      <c r="G10" s="15"/>
      <c r="H10" s="15"/>
      <c r="I10" s="14" t="s">
        <v>197</v>
      </c>
      <c r="J10" s="15">
        <v>1</v>
      </c>
    </row>
    <row r="11" spans="1:10" x14ac:dyDescent="0.45">
      <c r="A11" s="10">
        <v>3</v>
      </c>
      <c r="B11" s="2" t="s">
        <v>92</v>
      </c>
      <c r="C11" s="2" t="s">
        <v>616</v>
      </c>
      <c r="D11" s="2" t="s">
        <v>234</v>
      </c>
      <c r="E11" s="10" t="s">
        <v>202</v>
      </c>
      <c r="F11" s="10"/>
      <c r="G11" s="2"/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617</v>
      </c>
      <c r="C12" s="2" t="s">
        <v>618</v>
      </c>
      <c r="D12" s="2" t="s">
        <v>234</v>
      </c>
      <c r="E12" s="10" t="s">
        <v>202</v>
      </c>
      <c r="F12" s="10"/>
      <c r="G12" s="2"/>
      <c r="H12" s="2"/>
      <c r="I12" s="10" t="s">
        <v>289</v>
      </c>
      <c r="J12" s="2">
        <v>1</v>
      </c>
    </row>
    <row r="13" spans="1:10" x14ac:dyDescent="0.45">
      <c r="A13" s="10">
        <v>5</v>
      </c>
      <c r="B13" s="2" t="s">
        <v>467</v>
      </c>
      <c r="C13" s="2" t="s">
        <v>619</v>
      </c>
      <c r="D13" s="2" t="s">
        <v>234</v>
      </c>
      <c r="E13" s="10" t="s">
        <v>202</v>
      </c>
      <c r="F13" s="10"/>
      <c r="G13" s="2" t="s">
        <v>128</v>
      </c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457</v>
      </c>
      <c r="C14" s="2" t="s">
        <v>620</v>
      </c>
      <c r="D14" s="2" t="s">
        <v>239</v>
      </c>
      <c r="E14" s="10" t="s">
        <v>202</v>
      </c>
      <c r="F14" s="10"/>
      <c r="G14" s="2"/>
      <c r="H14" s="2" t="s">
        <v>460</v>
      </c>
      <c r="I14" s="10" t="s">
        <v>197</v>
      </c>
      <c r="J14" s="2">
        <v>1</v>
      </c>
    </row>
    <row r="16" spans="1:10" x14ac:dyDescent="0.45">
      <c r="A16" s="28" t="s">
        <v>208</v>
      </c>
      <c r="B16" s="22"/>
      <c r="C16" s="22"/>
      <c r="D16" s="22"/>
      <c r="E16" s="22"/>
      <c r="F16" s="22"/>
      <c r="G16" s="22"/>
      <c r="H16" s="22"/>
      <c r="I16" s="22"/>
    </row>
    <row r="17" spans="1:9" x14ac:dyDescent="0.45">
      <c r="A17" s="3" t="s">
        <v>60</v>
      </c>
      <c r="B17" s="3" t="s">
        <v>209</v>
      </c>
      <c r="C17" s="3" t="s">
        <v>210</v>
      </c>
      <c r="D17" s="26" t="s">
        <v>211</v>
      </c>
      <c r="E17" s="24"/>
      <c r="F17" s="25"/>
      <c r="G17" s="26" t="s">
        <v>23</v>
      </c>
      <c r="H17" s="24"/>
      <c r="I17" s="25"/>
    </row>
    <row r="18" spans="1:9" ht="18" customHeight="1" x14ac:dyDescent="0.45">
      <c r="A18" s="10">
        <v>1</v>
      </c>
      <c r="B18" s="10" t="s">
        <v>191</v>
      </c>
      <c r="C18" s="2" t="s">
        <v>621</v>
      </c>
      <c r="D18" s="23" t="s">
        <v>151</v>
      </c>
      <c r="E18" s="24"/>
      <c r="F18" s="25"/>
      <c r="G18" s="23" t="s">
        <v>213</v>
      </c>
      <c r="H18" s="24"/>
      <c r="I18" s="25"/>
    </row>
    <row r="20" spans="1:9" x14ac:dyDescent="0.45">
      <c r="A20" s="28" t="s">
        <v>214</v>
      </c>
      <c r="B20" s="22"/>
      <c r="C20" s="22"/>
      <c r="D20" s="22"/>
      <c r="E20" s="22"/>
      <c r="F20" s="22"/>
      <c r="G20" s="22"/>
      <c r="H20" s="22"/>
      <c r="I20" s="22"/>
    </row>
    <row r="21" spans="1:9" x14ac:dyDescent="0.45">
      <c r="A21" s="3" t="s">
        <v>60</v>
      </c>
      <c r="B21" s="3" t="s">
        <v>215</v>
      </c>
      <c r="C21" s="3" t="s">
        <v>216</v>
      </c>
      <c r="D21" s="26" t="s">
        <v>211</v>
      </c>
      <c r="E21" s="24"/>
      <c r="F21" s="25"/>
      <c r="G21" s="26" t="s">
        <v>217</v>
      </c>
      <c r="H21" s="24"/>
      <c r="I21" s="25"/>
    </row>
    <row r="22" spans="1:9" ht="18" customHeight="1" x14ac:dyDescent="0.45">
      <c r="A22" s="10">
        <v>1</v>
      </c>
      <c r="B22" s="10" t="s">
        <v>218</v>
      </c>
      <c r="C22" s="2" t="s">
        <v>621</v>
      </c>
      <c r="D22" s="23" t="s">
        <v>151</v>
      </c>
      <c r="E22" s="24"/>
      <c r="F22" s="25"/>
      <c r="G22" s="23" t="s">
        <v>213</v>
      </c>
      <c r="H22" s="24"/>
      <c r="I22" s="25"/>
    </row>
  </sheetData>
  <mergeCells count="21">
    <mergeCell ref="A1:I1"/>
    <mergeCell ref="H5:I5"/>
    <mergeCell ref="G17:I17"/>
    <mergeCell ref="D21:F21"/>
    <mergeCell ref="E3:F3"/>
    <mergeCell ref="A16:I16"/>
    <mergeCell ref="A3:B3"/>
    <mergeCell ref="A20:I20"/>
    <mergeCell ref="G22:I22"/>
    <mergeCell ref="C4:I4"/>
    <mergeCell ref="A5:B5"/>
    <mergeCell ref="G21:I21"/>
    <mergeCell ref="H3:I3"/>
    <mergeCell ref="A4:B4"/>
    <mergeCell ref="D22:F22"/>
    <mergeCell ref="E5:F5"/>
    <mergeCell ref="G18:I18"/>
    <mergeCell ref="D17:F17"/>
    <mergeCell ref="A6:B6"/>
    <mergeCell ref="D18:F18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155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156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622</v>
      </c>
      <c r="D5" s="1" t="s">
        <v>18</v>
      </c>
      <c r="E5" s="21">
        <f>SUM(J9:J17)</f>
        <v>18</v>
      </c>
      <c r="F5" s="22"/>
      <c r="G5" s="1" t="s">
        <v>66</v>
      </c>
      <c r="H5" s="23" t="s">
        <v>160</v>
      </c>
      <c r="I5" s="22"/>
    </row>
    <row r="6" spans="1:10" ht="18" customHeight="1" x14ac:dyDescent="0.45">
      <c r="A6" s="27" t="s">
        <v>64</v>
      </c>
      <c r="B6" s="22"/>
      <c r="C6" s="23" t="s">
        <v>158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256</v>
      </c>
      <c r="C9" s="15" t="s">
        <v>321</v>
      </c>
      <c r="D9" s="15" t="s">
        <v>322</v>
      </c>
      <c r="E9" s="14" t="s">
        <v>196</v>
      </c>
      <c r="F9" s="14">
        <v>1</v>
      </c>
      <c r="G9" s="15"/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226</v>
      </c>
      <c r="C10" s="15" t="s">
        <v>623</v>
      </c>
      <c r="D10" s="15" t="s">
        <v>228</v>
      </c>
      <c r="E10" s="14" t="s">
        <v>196</v>
      </c>
      <c r="F10" s="14">
        <v>2</v>
      </c>
      <c r="G10" s="15"/>
      <c r="H10" s="15"/>
      <c r="I10" s="14" t="s">
        <v>197</v>
      </c>
      <c r="J10" s="15">
        <v>1</v>
      </c>
    </row>
    <row r="11" spans="1:10" x14ac:dyDescent="0.45">
      <c r="A11" s="14">
        <v>3</v>
      </c>
      <c r="B11" s="15" t="s">
        <v>258</v>
      </c>
      <c r="C11" s="15" t="s">
        <v>624</v>
      </c>
      <c r="D11" s="15" t="s">
        <v>228</v>
      </c>
      <c r="E11" s="14" t="s">
        <v>196</v>
      </c>
      <c r="F11" s="14">
        <v>3</v>
      </c>
      <c r="G11" s="15"/>
      <c r="H11" s="15"/>
      <c r="I11" s="14" t="s">
        <v>197</v>
      </c>
      <c r="J11" s="15">
        <v>1</v>
      </c>
    </row>
    <row r="12" spans="1:10" x14ac:dyDescent="0.45">
      <c r="A12" s="14">
        <v>4</v>
      </c>
      <c r="B12" s="15" t="s">
        <v>371</v>
      </c>
      <c r="C12" s="15" t="s">
        <v>625</v>
      </c>
      <c r="D12" s="15" t="s">
        <v>228</v>
      </c>
      <c r="E12" s="14" t="s">
        <v>196</v>
      </c>
      <c r="F12" s="14">
        <v>4</v>
      </c>
      <c r="G12" s="15" t="s">
        <v>149</v>
      </c>
      <c r="H12" s="15"/>
      <c r="I12" s="14" t="s">
        <v>197</v>
      </c>
      <c r="J12" s="15">
        <v>1</v>
      </c>
    </row>
    <row r="13" spans="1:10" x14ac:dyDescent="0.45">
      <c r="A13" s="10">
        <v>5</v>
      </c>
      <c r="B13" s="2" t="s">
        <v>449</v>
      </c>
      <c r="C13" s="2" t="s">
        <v>450</v>
      </c>
      <c r="D13" s="2" t="s">
        <v>300</v>
      </c>
      <c r="E13" s="10" t="s">
        <v>202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447</v>
      </c>
      <c r="C14" s="2" t="s">
        <v>448</v>
      </c>
      <c r="D14" s="2" t="s">
        <v>251</v>
      </c>
      <c r="E14" s="10" t="s">
        <v>202</v>
      </c>
      <c r="F14" s="10"/>
      <c r="G14" s="2"/>
      <c r="H14" s="2"/>
      <c r="I14" s="10" t="s">
        <v>197</v>
      </c>
      <c r="J14" s="2">
        <v>1</v>
      </c>
    </row>
    <row r="15" spans="1:10" x14ac:dyDescent="0.45">
      <c r="A15" s="10">
        <v>7</v>
      </c>
      <c r="B15" s="2" t="s">
        <v>453</v>
      </c>
      <c r="C15" s="2" t="s">
        <v>454</v>
      </c>
      <c r="D15" s="2" t="s">
        <v>300</v>
      </c>
      <c r="E15" s="10" t="s">
        <v>202</v>
      </c>
      <c r="F15" s="10"/>
      <c r="G15" s="2"/>
      <c r="H15" s="2"/>
      <c r="I15" s="10" t="s">
        <v>289</v>
      </c>
      <c r="J15" s="2">
        <v>1</v>
      </c>
    </row>
    <row r="16" spans="1:10" x14ac:dyDescent="0.45">
      <c r="A16" s="10">
        <v>8</v>
      </c>
      <c r="B16" s="2" t="s">
        <v>451</v>
      </c>
      <c r="C16" s="2" t="s">
        <v>452</v>
      </c>
      <c r="D16" s="2" t="s">
        <v>389</v>
      </c>
      <c r="E16" s="10" t="s">
        <v>202</v>
      </c>
      <c r="F16" s="10"/>
      <c r="G16" s="2"/>
      <c r="H16" s="2"/>
      <c r="I16" s="10" t="s">
        <v>289</v>
      </c>
      <c r="J16" s="2">
        <v>1</v>
      </c>
    </row>
    <row r="17" spans="1:10" ht="32" x14ac:dyDescent="0.45">
      <c r="A17" s="16" t="s">
        <v>626</v>
      </c>
      <c r="B17" s="17" t="s">
        <v>627</v>
      </c>
      <c r="C17" s="17" t="s">
        <v>628</v>
      </c>
      <c r="D17" s="17" t="s">
        <v>629</v>
      </c>
      <c r="E17" s="16" t="s">
        <v>202</v>
      </c>
      <c r="F17" s="16"/>
      <c r="G17" s="17"/>
      <c r="H17" s="17"/>
      <c r="I17" s="16" t="s">
        <v>289</v>
      </c>
      <c r="J17" s="17">
        <v>10</v>
      </c>
    </row>
    <row r="19" spans="1:10" x14ac:dyDescent="0.45">
      <c r="A19" s="28" t="s">
        <v>208</v>
      </c>
      <c r="B19" s="22"/>
      <c r="C19" s="22"/>
      <c r="D19" s="22"/>
      <c r="E19" s="22"/>
      <c r="F19" s="22"/>
      <c r="G19" s="22"/>
      <c r="H19" s="22"/>
      <c r="I19" s="22"/>
    </row>
    <row r="20" spans="1:10" x14ac:dyDescent="0.45">
      <c r="A20" s="3" t="s">
        <v>60</v>
      </c>
      <c r="B20" s="3" t="s">
        <v>209</v>
      </c>
      <c r="C20" s="3" t="s">
        <v>210</v>
      </c>
      <c r="D20" s="26" t="s">
        <v>211</v>
      </c>
      <c r="E20" s="24"/>
      <c r="F20" s="25"/>
      <c r="G20" s="26" t="s">
        <v>23</v>
      </c>
      <c r="H20" s="24"/>
      <c r="I20" s="25"/>
    </row>
    <row r="21" spans="1:10" ht="18" customHeight="1" x14ac:dyDescent="0.45">
      <c r="A21" s="10">
        <v>1</v>
      </c>
      <c r="B21" s="10" t="s">
        <v>191</v>
      </c>
      <c r="C21" s="2" t="s">
        <v>630</v>
      </c>
      <c r="D21" s="23" t="s">
        <v>157</v>
      </c>
      <c r="E21" s="24"/>
      <c r="F21" s="25"/>
      <c r="G21" s="23" t="s">
        <v>213</v>
      </c>
      <c r="H21" s="24"/>
      <c r="I21" s="25"/>
    </row>
    <row r="23" spans="1:10" x14ac:dyDescent="0.45">
      <c r="A23" s="28" t="s">
        <v>214</v>
      </c>
      <c r="B23" s="22"/>
      <c r="C23" s="22"/>
      <c r="D23" s="22"/>
      <c r="E23" s="22"/>
      <c r="F23" s="22"/>
      <c r="G23" s="22"/>
      <c r="H23" s="22"/>
      <c r="I23" s="22"/>
    </row>
    <row r="24" spans="1:10" x14ac:dyDescent="0.45">
      <c r="A24" s="3" t="s">
        <v>60</v>
      </c>
      <c r="B24" s="3" t="s">
        <v>215</v>
      </c>
      <c r="C24" s="3" t="s">
        <v>216</v>
      </c>
      <c r="D24" s="26" t="s">
        <v>211</v>
      </c>
      <c r="E24" s="24"/>
      <c r="F24" s="25"/>
      <c r="G24" s="26" t="s">
        <v>217</v>
      </c>
      <c r="H24" s="24"/>
      <c r="I24" s="25"/>
    </row>
    <row r="25" spans="1:10" ht="18" customHeight="1" x14ac:dyDescent="0.45">
      <c r="A25" s="10">
        <v>1</v>
      </c>
      <c r="B25" s="10" t="s">
        <v>218</v>
      </c>
      <c r="C25" s="2" t="s">
        <v>630</v>
      </c>
      <c r="D25" s="23" t="s">
        <v>157</v>
      </c>
      <c r="E25" s="24"/>
      <c r="F25" s="25"/>
      <c r="G25" s="23" t="s">
        <v>213</v>
      </c>
      <c r="H25" s="24"/>
      <c r="I25" s="25"/>
    </row>
  </sheetData>
  <mergeCells count="21">
    <mergeCell ref="A1:I1"/>
    <mergeCell ref="H5:I5"/>
    <mergeCell ref="D21:F21"/>
    <mergeCell ref="E3:F3"/>
    <mergeCell ref="D25:F25"/>
    <mergeCell ref="A3:B3"/>
    <mergeCell ref="D24:F24"/>
    <mergeCell ref="G25:I25"/>
    <mergeCell ref="A19:I19"/>
    <mergeCell ref="C4:I4"/>
    <mergeCell ref="A5:B5"/>
    <mergeCell ref="G21:I21"/>
    <mergeCell ref="D20:F20"/>
    <mergeCell ref="H3:I3"/>
    <mergeCell ref="A4:B4"/>
    <mergeCell ref="E5:F5"/>
    <mergeCell ref="A6:B6"/>
    <mergeCell ref="G24:I24"/>
    <mergeCell ref="A23:I23"/>
    <mergeCell ref="C6:I6"/>
    <mergeCell ref="G20:I20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161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162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631</v>
      </c>
      <c r="D5" s="1" t="s">
        <v>18</v>
      </c>
      <c r="E5" s="21">
        <f>SUM(J9:J15)</f>
        <v>7</v>
      </c>
      <c r="F5" s="22"/>
      <c r="G5" s="1" t="s">
        <v>66</v>
      </c>
      <c r="H5" s="23" t="s">
        <v>165</v>
      </c>
      <c r="I5" s="22"/>
    </row>
    <row r="6" spans="1:10" ht="18" customHeight="1" x14ac:dyDescent="0.45">
      <c r="A6" s="27" t="s">
        <v>64</v>
      </c>
      <c r="B6" s="22"/>
      <c r="C6" s="23" t="s">
        <v>164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256</v>
      </c>
      <c r="C9" s="15" t="s">
        <v>257</v>
      </c>
      <c r="D9" s="15" t="s">
        <v>255</v>
      </c>
      <c r="E9" s="14" t="s">
        <v>196</v>
      </c>
      <c r="F9" s="14">
        <v>1</v>
      </c>
      <c r="G9" s="15"/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467</v>
      </c>
      <c r="C10" s="15" t="s">
        <v>538</v>
      </c>
      <c r="D10" s="15" t="s">
        <v>228</v>
      </c>
      <c r="E10" s="14" t="s">
        <v>196</v>
      </c>
      <c r="F10" s="14">
        <v>2</v>
      </c>
      <c r="G10" s="15" t="s">
        <v>128</v>
      </c>
      <c r="H10" s="15"/>
      <c r="I10" s="14" t="s">
        <v>197</v>
      </c>
      <c r="J10" s="15">
        <v>1</v>
      </c>
    </row>
    <row r="11" spans="1:10" x14ac:dyDescent="0.45">
      <c r="A11" s="14">
        <v>3</v>
      </c>
      <c r="B11" s="15" t="s">
        <v>548</v>
      </c>
      <c r="C11" s="15" t="s">
        <v>632</v>
      </c>
      <c r="D11" s="15" t="s">
        <v>397</v>
      </c>
      <c r="E11" s="14" t="s">
        <v>196</v>
      </c>
      <c r="F11" s="14">
        <v>3</v>
      </c>
      <c r="G11" s="15"/>
      <c r="H11" s="15"/>
      <c r="I11" s="14" t="s">
        <v>197</v>
      </c>
      <c r="J11" s="15">
        <v>1</v>
      </c>
    </row>
    <row r="12" spans="1:10" x14ac:dyDescent="0.45">
      <c r="A12" s="14">
        <v>4</v>
      </c>
      <c r="B12" s="15" t="s">
        <v>203</v>
      </c>
      <c r="C12" s="15" t="s">
        <v>633</v>
      </c>
      <c r="D12" s="15" t="s">
        <v>397</v>
      </c>
      <c r="E12" s="14" t="s">
        <v>196</v>
      </c>
      <c r="F12" s="14">
        <v>4</v>
      </c>
      <c r="G12" s="15"/>
      <c r="H12" s="15"/>
      <c r="I12" s="14" t="s">
        <v>197</v>
      </c>
      <c r="J12" s="15">
        <v>1</v>
      </c>
    </row>
    <row r="13" spans="1:10" x14ac:dyDescent="0.45">
      <c r="A13" s="14">
        <v>5</v>
      </c>
      <c r="B13" s="15" t="s">
        <v>202</v>
      </c>
      <c r="C13" s="15" t="s">
        <v>634</v>
      </c>
      <c r="D13" s="15" t="s">
        <v>397</v>
      </c>
      <c r="E13" s="14" t="s">
        <v>196</v>
      </c>
      <c r="F13" s="14">
        <v>5</v>
      </c>
      <c r="G13" s="15"/>
      <c r="H13" s="15"/>
      <c r="I13" s="14" t="s">
        <v>197</v>
      </c>
      <c r="J13" s="15">
        <v>1</v>
      </c>
    </row>
    <row r="14" spans="1:10" x14ac:dyDescent="0.45">
      <c r="A14" s="10">
        <v>6</v>
      </c>
      <c r="B14" s="2" t="s">
        <v>635</v>
      </c>
      <c r="C14" s="2" t="s">
        <v>636</v>
      </c>
      <c r="D14" s="2" t="s">
        <v>397</v>
      </c>
      <c r="E14" s="10" t="s">
        <v>202</v>
      </c>
      <c r="F14" s="10"/>
      <c r="G14" s="2"/>
      <c r="H14" s="2"/>
      <c r="I14" s="10" t="s">
        <v>197</v>
      </c>
      <c r="J14" s="2">
        <v>1</v>
      </c>
    </row>
    <row r="15" spans="1:10" x14ac:dyDescent="0.45">
      <c r="A15" s="10">
        <v>7</v>
      </c>
      <c r="B15" s="2" t="s">
        <v>198</v>
      </c>
      <c r="C15" s="2" t="s">
        <v>637</v>
      </c>
      <c r="D15" s="2" t="s">
        <v>397</v>
      </c>
      <c r="E15" s="10" t="s">
        <v>202</v>
      </c>
      <c r="F15" s="10"/>
      <c r="G15" s="2"/>
      <c r="H15" s="2"/>
      <c r="I15" s="10" t="s">
        <v>197</v>
      </c>
      <c r="J15" s="2">
        <v>1</v>
      </c>
    </row>
    <row r="17" spans="1:9" x14ac:dyDescent="0.45">
      <c r="A17" s="28" t="s">
        <v>208</v>
      </c>
      <c r="B17" s="22"/>
      <c r="C17" s="22"/>
      <c r="D17" s="22"/>
      <c r="E17" s="22"/>
      <c r="F17" s="22"/>
      <c r="G17" s="22"/>
      <c r="H17" s="22"/>
      <c r="I17" s="22"/>
    </row>
    <row r="18" spans="1:9" x14ac:dyDescent="0.45">
      <c r="A18" s="3" t="s">
        <v>60</v>
      </c>
      <c r="B18" s="3" t="s">
        <v>209</v>
      </c>
      <c r="C18" s="3" t="s">
        <v>210</v>
      </c>
      <c r="D18" s="26" t="s">
        <v>211</v>
      </c>
      <c r="E18" s="24"/>
      <c r="F18" s="25"/>
      <c r="G18" s="26" t="s">
        <v>23</v>
      </c>
      <c r="H18" s="24"/>
      <c r="I18" s="25"/>
    </row>
    <row r="19" spans="1:9" ht="18" customHeight="1" x14ac:dyDescent="0.45">
      <c r="A19" s="10">
        <v>1</v>
      </c>
      <c r="B19" s="10" t="s">
        <v>191</v>
      </c>
      <c r="C19" s="2" t="s">
        <v>638</v>
      </c>
      <c r="D19" s="23" t="s">
        <v>163</v>
      </c>
      <c r="E19" s="24"/>
      <c r="F19" s="25"/>
      <c r="G19" s="23" t="s">
        <v>213</v>
      </c>
      <c r="H19" s="24"/>
      <c r="I19" s="25"/>
    </row>
    <row r="21" spans="1:9" x14ac:dyDescent="0.45">
      <c r="A21" s="28" t="s">
        <v>214</v>
      </c>
      <c r="B21" s="22"/>
      <c r="C21" s="22"/>
      <c r="D21" s="22"/>
      <c r="E21" s="22"/>
      <c r="F21" s="22"/>
      <c r="G21" s="22"/>
      <c r="H21" s="22"/>
      <c r="I21" s="22"/>
    </row>
    <row r="22" spans="1:9" x14ac:dyDescent="0.45">
      <c r="A22" s="3" t="s">
        <v>60</v>
      </c>
      <c r="B22" s="3" t="s">
        <v>215</v>
      </c>
      <c r="C22" s="3" t="s">
        <v>216</v>
      </c>
      <c r="D22" s="26" t="s">
        <v>211</v>
      </c>
      <c r="E22" s="24"/>
      <c r="F22" s="25"/>
      <c r="G22" s="26" t="s">
        <v>217</v>
      </c>
      <c r="H22" s="24"/>
      <c r="I22" s="25"/>
    </row>
    <row r="23" spans="1:9" ht="18" customHeight="1" x14ac:dyDescent="0.45">
      <c r="A23" s="10">
        <v>1</v>
      </c>
      <c r="B23" s="10" t="s">
        <v>218</v>
      </c>
      <c r="C23" s="2" t="s">
        <v>638</v>
      </c>
      <c r="D23" s="23" t="s">
        <v>163</v>
      </c>
      <c r="E23" s="24"/>
      <c r="F23" s="25"/>
      <c r="G23" s="23" t="s">
        <v>213</v>
      </c>
      <c r="H23" s="24"/>
      <c r="I23" s="25"/>
    </row>
  </sheetData>
  <mergeCells count="21">
    <mergeCell ref="A1:I1"/>
    <mergeCell ref="H5:I5"/>
    <mergeCell ref="E3:F3"/>
    <mergeCell ref="A3:B3"/>
    <mergeCell ref="D23:F23"/>
    <mergeCell ref="G22:I22"/>
    <mergeCell ref="C4:I4"/>
    <mergeCell ref="A5:B5"/>
    <mergeCell ref="H3:I3"/>
    <mergeCell ref="A4:B4"/>
    <mergeCell ref="D19:F19"/>
    <mergeCell ref="D22:F22"/>
    <mergeCell ref="G23:I23"/>
    <mergeCell ref="G19:I19"/>
    <mergeCell ref="E5:F5"/>
    <mergeCell ref="G18:I18"/>
    <mergeCell ref="A6:B6"/>
    <mergeCell ref="A21:I21"/>
    <mergeCell ref="D18:F18"/>
    <mergeCell ref="A17:I17"/>
    <mergeCell ref="C6:I6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166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167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219</v>
      </c>
      <c r="D5" s="1" t="s">
        <v>18</v>
      </c>
      <c r="E5" s="21">
        <f>SUM(J9:J16)</f>
        <v>8</v>
      </c>
      <c r="F5" s="22"/>
      <c r="G5" s="1" t="s">
        <v>66</v>
      </c>
      <c r="H5" s="23" t="s">
        <v>169</v>
      </c>
      <c r="I5" s="22"/>
    </row>
    <row r="6" spans="1:10" ht="18" customHeight="1" x14ac:dyDescent="0.45">
      <c r="A6" s="27" t="s">
        <v>64</v>
      </c>
      <c r="B6" s="22"/>
      <c r="C6" s="23" t="s">
        <v>168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0">
        <v>1</v>
      </c>
      <c r="B9" s="2" t="s">
        <v>639</v>
      </c>
      <c r="C9" s="2" t="s">
        <v>640</v>
      </c>
      <c r="D9" s="2" t="s">
        <v>234</v>
      </c>
      <c r="E9" s="10" t="s">
        <v>196</v>
      </c>
      <c r="F9" s="10"/>
      <c r="G9" s="2"/>
      <c r="H9" s="2"/>
      <c r="I9" s="10" t="s">
        <v>197</v>
      </c>
      <c r="J9" s="2">
        <v>1</v>
      </c>
    </row>
    <row r="10" spans="1:10" x14ac:dyDescent="0.45">
      <c r="A10" s="10">
        <v>2</v>
      </c>
      <c r="B10" s="2" t="s">
        <v>206</v>
      </c>
      <c r="C10" s="2" t="s">
        <v>641</v>
      </c>
      <c r="D10" s="2" t="s">
        <v>195</v>
      </c>
      <c r="E10" s="10" t="s">
        <v>196</v>
      </c>
      <c r="F10" s="10"/>
      <c r="G10" s="2"/>
      <c r="H10" s="2"/>
      <c r="I10" s="10" t="s">
        <v>197</v>
      </c>
      <c r="J10" s="2">
        <v>1</v>
      </c>
    </row>
    <row r="11" spans="1:10" x14ac:dyDescent="0.45">
      <c r="A11" s="10">
        <v>3</v>
      </c>
      <c r="B11" s="2" t="s">
        <v>232</v>
      </c>
      <c r="C11" s="2" t="s">
        <v>642</v>
      </c>
      <c r="D11" s="2" t="s">
        <v>234</v>
      </c>
      <c r="E11" s="10" t="s">
        <v>202</v>
      </c>
      <c r="F11" s="10"/>
      <c r="G11" s="2"/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246</v>
      </c>
      <c r="C12" s="2" t="s">
        <v>643</v>
      </c>
      <c r="D12" s="2" t="s">
        <v>248</v>
      </c>
      <c r="E12" s="10" t="s">
        <v>202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644</v>
      </c>
      <c r="C13" s="2" t="s">
        <v>450</v>
      </c>
      <c r="D13" s="2" t="s">
        <v>300</v>
      </c>
      <c r="E13" s="10" t="s">
        <v>196</v>
      </c>
      <c r="F13" s="10"/>
      <c r="G13" s="2"/>
      <c r="H13" s="2"/>
      <c r="I13" s="10" t="s">
        <v>289</v>
      </c>
      <c r="J13" s="2">
        <v>1</v>
      </c>
    </row>
    <row r="14" spans="1:10" x14ac:dyDescent="0.45">
      <c r="A14" s="10">
        <v>6</v>
      </c>
      <c r="B14" s="2" t="s">
        <v>645</v>
      </c>
      <c r="C14" s="2" t="s">
        <v>454</v>
      </c>
      <c r="D14" s="2" t="s">
        <v>300</v>
      </c>
      <c r="E14" s="10" t="s">
        <v>196</v>
      </c>
      <c r="F14" s="10"/>
      <c r="G14" s="2"/>
      <c r="H14" s="2"/>
      <c r="I14" s="10" t="s">
        <v>289</v>
      </c>
      <c r="J14" s="2">
        <v>1</v>
      </c>
    </row>
    <row r="15" spans="1:10" x14ac:dyDescent="0.45">
      <c r="A15" s="10">
        <v>7</v>
      </c>
      <c r="B15" s="2" t="s">
        <v>249</v>
      </c>
      <c r="C15" s="2" t="s">
        <v>646</v>
      </c>
      <c r="D15" s="2" t="s">
        <v>251</v>
      </c>
      <c r="E15" s="10" t="s">
        <v>202</v>
      </c>
      <c r="F15" s="10"/>
      <c r="G15" s="2"/>
      <c r="H15" s="2"/>
      <c r="I15" s="10" t="s">
        <v>197</v>
      </c>
      <c r="J15" s="2">
        <v>1</v>
      </c>
    </row>
    <row r="16" spans="1:10" x14ac:dyDescent="0.45">
      <c r="A16" s="10">
        <v>8</v>
      </c>
      <c r="B16" s="2" t="s">
        <v>647</v>
      </c>
      <c r="C16" s="2" t="s">
        <v>648</v>
      </c>
      <c r="D16" s="2" t="s">
        <v>353</v>
      </c>
      <c r="E16" s="10" t="s">
        <v>202</v>
      </c>
      <c r="F16" s="10"/>
      <c r="G16" s="2"/>
      <c r="H16" s="2"/>
      <c r="I16" s="10" t="s">
        <v>197</v>
      </c>
      <c r="J16" s="2">
        <v>1</v>
      </c>
    </row>
    <row r="18" spans="1:9" x14ac:dyDescent="0.45">
      <c r="A18" s="28" t="s">
        <v>208</v>
      </c>
      <c r="B18" s="22"/>
      <c r="C18" s="22"/>
      <c r="D18" s="22"/>
      <c r="E18" s="22"/>
      <c r="F18" s="22"/>
      <c r="G18" s="22"/>
      <c r="H18" s="22"/>
      <c r="I18" s="22"/>
    </row>
    <row r="19" spans="1:9" x14ac:dyDescent="0.45">
      <c r="A19" s="3" t="s">
        <v>60</v>
      </c>
      <c r="B19" s="3" t="s">
        <v>209</v>
      </c>
      <c r="C19" s="3" t="s">
        <v>210</v>
      </c>
      <c r="D19" s="26" t="s">
        <v>211</v>
      </c>
      <c r="E19" s="24"/>
      <c r="F19" s="25"/>
      <c r="G19" s="26" t="s">
        <v>23</v>
      </c>
      <c r="H19" s="24"/>
      <c r="I19" s="25"/>
    </row>
    <row r="20" spans="1:9" ht="18" customHeight="1" x14ac:dyDescent="0.45">
      <c r="A20" s="10">
        <v>1</v>
      </c>
      <c r="B20" s="10" t="s">
        <v>218</v>
      </c>
      <c r="C20" s="2" t="s">
        <v>649</v>
      </c>
      <c r="D20" s="23" t="s">
        <v>650</v>
      </c>
      <c r="E20" s="24"/>
      <c r="F20" s="25"/>
      <c r="G20" s="23" t="s">
        <v>651</v>
      </c>
      <c r="H20" s="24"/>
      <c r="I20" s="25"/>
    </row>
    <row r="22" spans="1:9" x14ac:dyDescent="0.45">
      <c r="A22" s="28" t="s">
        <v>214</v>
      </c>
      <c r="B22" s="22"/>
      <c r="C22" s="22"/>
      <c r="D22" s="22"/>
      <c r="E22" s="22"/>
      <c r="F22" s="22"/>
      <c r="G22" s="22"/>
      <c r="H22" s="22"/>
      <c r="I22" s="22"/>
    </row>
    <row r="23" spans="1:9" x14ac:dyDescent="0.45">
      <c r="A23" s="3" t="s">
        <v>60</v>
      </c>
      <c r="B23" s="3" t="s">
        <v>215</v>
      </c>
      <c r="C23" s="3" t="s">
        <v>216</v>
      </c>
      <c r="D23" s="26" t="s">
        <v>211</v>
      </c>
      <c r="E23" s="24"/>
      <c r="F23" s="25"/>
      <c r="G23" s="26" t="s">
        <v>217</v>
      </c>
      <c r="H23" s="24"/>
      <c r="I23" s="25"/>
    </row>
    <row r="24" spans="1:9" ht="18" customHeight="1" x14ac:dyDescent="0.45">
      <c r="A24" s="10">
        <v>1</v>
      </c>
      <c r="B24" s="10" t="s">
        <v>218</v>
      </c>
      <c r="C24" s="2" t="s">
        <v>649</v>
      </c>
      <c r="D24" s="23" t="s">
        <v>650</v>
      </c>
      <c r="E24" s="24"/>
      <c r="F24" s="25"/>
      <c r="G24" s="23" t="s">
        <v>651</v>
      </c>
      <c r="H24" s="24"/>
      <c r="I24" s="25"/>
    </row>
  </sheetData>
  <mergeCells count="21">
    <mergeCell ref="A1:I1"/>
    <mergeCell ref="H5:I5"/>
    <mergeCell ref="E3:F3"/>
    <mergeCell ref="A3:B3"/>
    <mergeCell ref="D24:F24"/>
    <mergeCell ref="D23:F23"/>
    <mergeCell ref="C4:I4"/>
    <mergeCell ref="A5:B5"/>
    <mergeCell ref="D20:F20"/>
    <mergeCell ref="H3:I3"/>
    <mergeCell ref="A4:B4"/>
    <mergeCell ref="D19:F19"/>
    <mergeCell ref="G23:I23"/>
    <mergeCell ref="G19:I19"/>
    <mergeCell ref="E5:F5"/>
    <mergeCell ref="A18:I18"/>
    <mergeCell ref="A6:B6"/>
    <mergeCell ref="G24:I24"/>
    <mergeCell ref="C6:I6"/>
    <mergeCell ref="G20:I20"/>
    <mergeCell ref="A22:I22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4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170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171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652</v>
      </c>
      <c r="D5" s="1" t="s">
        <v>18</v>
      </c>
      <c r="E5" s="21">
        <f>SUM(J9:J89)</f>
        <v>81</v>
      </c>
      <c r="F5" s="22"/>
      <c r="G5" s="1" t="s">
        <v>66</v>
      </c>
      <c r="H5" s="23" t="s">
        <v>175</v>
      </c>
      <c r="I5" s="22"/>
    </row>
    <row r="6" spans="1:10" ht="18" customHeight="1" x14ac:dyDescent="0.45">
      <c r="A6" s="27" t="s">
        <v>64</v>
      </c>
      <c r="B6" s="22"/>
      <c r="C6" s="23" t="s">
        <v>173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4">
        <v>1</v>
      </c>
      <c r="B9" s="15" t="s">
        <v>256</v>
      </c>
      <c r="C9" s="15" t="s">
        <v>321</v>
      </c>
      <c r="D9" s="15" t="s">
        <v>322</v>
      </c>
      <c r="E9" s="14" t="s">
        <v>196</v>
      </c>
      <c r="F9" s="14">
        <v>1</v>
      </c>
      <c r="G9" s="15" t="s">
        <v>653</v>
      </c>
      <c r="H9" s="15"/>
      <c r="I9" s="14" t="s">
        <v>197</v>
      </c>
      <c r="J9" s="15">
        <v>1</v>
      </c>
    </row>
    <row r="10" spans="1:10" x14ac:dyDescent="0.45">
      <c r="A10" s="14">
        <v>2</v>
      </c>
      <c r="B10" s="15" t="s">
        <v>193</v>
      </c>
      <c r="C10" s="15" t="s">
        <v>654</v>
      </c>
      <c r="D10" s="15" t="s">
        <v>356</v>
      </c>
      <c r="E10" s="14" t="s">
        <v>196</v>
      </c>
      <c r="F10" s="14">
        <v>2</v>
      </c>
      <c r="G10" s="15"/>
      <c r="H10" s="15"/>
      <c r="I10" s="14" t="s">
        <v>197</v>
      </c>
      <c r="J10" s="15">
        <v>1</v>
      </c>
    </row>
    <row r="11" spans="1:10" x14ac:dyDescent="0.45">
      <c r="A11" s="10">
        <v>3</v>
      </c>
      <c r="B11" s="2" t="s">
        <v>119</v>
      </c>
      <c r="C11" s="2" t="s">
        <v>413</v>
      </c>
      <c r="D11" s="2" t="s">
        <v>356</v>
      </c>
      <c r="E11" s="10" t="s">
        <v>196</v>
      </c>
      <c r="F11" s="10"/>
      <c r="G11" s="2" t="s">
        <v>111</v>
      </c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265</v>
      </c>
      <c r="C12" s="2" t="s">
        <v>655</v>
      </c>
      <c r="D12" s="2" t="s">
        <v>234</v>
      </c>
      <c r="E12" s="10" t="s">
        <v>196</v>
      </c>
      <c r="F12" s="10"/>
      <c r="G12" s="2"/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656</v>
      </c>
      <c r="C13" s="2" t="s">
        <v>657</v>
      </c>
      <c r="D13" s="2" t="s">
        <v>195</v>
      </c>
      <c r="E13" s="10" t="s">
        <v>196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381</v>
      </c>
      <c r="C14" s="2" t="s">
        <v>658</v>
      </c>
      <c r="D14" s="2" t="s">
        <v>300</v>
      </c>
      <c r="E14" s="10" t="s">
        <v>196</v>
      </c>
      <c r="F14" s="10"/>
      <c r="G14" s="2"/>
      <c r="H14" s="2"/>
      <c r="I14" s="10" t="s">
        <v>197</v>
      </c>
      <c r="J14" s="2">
        <v>1</v>
      </c>
    </row>
    <row r="15" spans="1:10" x14ac:dyDescent="0.45">
      <c r="A15" s="10">
        <v>7</v>
      </c>
      <c r="B15" s="2" t="s">
        <v>383</v>
      </c>
      <c r="C15" s="2" t="s">
        <v>659</v>
      </c>
      <c r="D15" s="2" t="s">
        <v>300</v>
      </c>
      <c r="E15" s="10" t="s">
        <v>202</v>
      </c>
      <c r="F15" s="10"/>
      <c r="G15" s="2"/>
      <c r="H15" s="2"/>
      <c r="I15" s="10" t="s">
        <v>197</v>
      </c>
      <c r="J15" s="2">
        <v>1</v>
      </c>
    </row>
    <row r="16" spans="1:10" x14ac:dyDescent="0.45">
      <c r="A16" s="10">
        <v>8</v>
      </c>
      <c r="B16" s="2" t="s">
        <v>660</v>
      </c>
      <c r="C16" s="2" t="s">
        <v>661</v>
      </c>
      <c r="D16" s="2" t="s">
        <v>300</v>
      </c>
      <c r="E16" s="10" t="s">
        <v>202</v>
      </c>
      <c r="F16" s="10"/>
      <c r="G16" s="2"/>
      <c r="H16" s="2"/>
      <c r="I16" s="10" t="s">
        <v>197</v>
      </c>
      <c r="J16" s="2">
        <v>1</v>
      </c>
    </row>
    <row r="17" spans="1:10" x14ac:dyDescent="0.45">
      <c r="A17" s="10">
        <v>9</v>
      </c>
      <c r="B17" s="2" t="s">
        <v>662</v>
      </c>
      <c r="C17" s="2" t="s">
        <v>663</v>
      </c>
      <c r="D17" s="2" t="s">
        <v>234</v>
      </c>
      <c r="E17" s="10" t="s">
        <v>202</v>
      </c>
      <c r="F17" s="10"/>
      <c r="G17" s="2"/>
      <c r="H17" s="2"/>
      <c r="I17" s="10" t="s">
        <v>197</v>
      </c>
      <c r="J17" s="2">
        <v>1</v>
      </c>
    </row>
    <row r="18" spans="1:10" x14ac:dyDescent="0.45">
      <c r="A18" s="10">
        <v>10</v>
      </c>
      <c r="B18" s="2" t="s">
        <v>664</v>
      </c>
      <c r="C18" s="2" t="s">
        <v>665</v>
      </c>
      <c r="D18" s="2" t="s">
        <v>228</v>
      </c>
      <c r="E18" s="10" t="s">
        <v>202</v>
      </c>
      <c r="F18" s="10"/>
      <c r="G18" s="2"/>
      <c r="H18" s="2"/>
      <c r="I18" s="10" t="s">
        <v>197</v>
      </c>
      <c r="J18" s="2">
        <v>1</v>
      </c>
    </row>
    <row r="19" spans="1:10" x14ac:dyDescent="0.45">
      <c r="A19" s="10">
        <v>11</v>
      </c>
      <c r="B19" s="2" t="s">
        <v>605</v>
      </c>
      <c r="C19" s="2" t="s">
        <v>666</v>
      </c>
      <c r="D19" s="2" t="s">
        <v>228</v>
      </c>
      <c r="E19" s="10" t="s">
        <v>202</v>
      </c>
      <c r="F19" s="10"/>
      <c r="G19" s="2"/>
      <c r="H19" s="2"/>
      <c r="I19" s="10" t="s">
        <v>197</v>
      </c>
      <c r="J19" s="2">
        <v>1</v>
      </c>
    </row>
    <row r="20" spans="1:10" x14ac:dyDescent="0.45">
      <c r="A20" s="10">
        <v>12</v>
      </c>
      <c r="B20" s="2" t="s">
        <v>667</v>
      </c>
      <c r="C20" s="2" t="s">
        <v>668</v>
      </c>
      <c r="D20" s="2" t="s">
        <v>234</v>
      </c>
      <c r="E20" s="10" t="s">
        <v>202</v>
      </c>
      <c r="F20" s="10"/>
      <c r="G20" s="2"/>
      <c r="H20" s="2"/>
      <c r="I20" s="10" t="s">
        <v>289</v>
      </c>
      <c r="J20" s="2">
        <v>1</v>
      </c>
    </row>
    <row r="21" spans="1:10" x14ac:dyDescent="0.45">
      <c r="A21" s="10">
        <v>13</v>
      </c>
      <c r="B21" s="2" t="s">
        <v>607</v>
      </c>
      <c r="C21" s="2" t="s">
        <v>669</v>
      </c>
      <c r="D21" s="2" t="s">
        <v>234</v>
      </c>
      <c r="E21" s="10" t="s">
        <v>202</v>
      </c>
      <c r="F21" s="10"/>
      <c r="G21" s="2"/>
      <c r="H21" s="2"/>
      <c r="I21" s="10" t="s">
        <v>197</v>
      </c>
      <c r="J21" s="2">
        <v>1</v>
      </c>
    </row>
    <row r="22" spans="1:10" ht="32" x14ac:dyDescent="0.45">
      <c r="A22" s="10">
        <v>14</v>
      </c>
      <c r="B22" s="2" t="s">
        <v>226</v>
      </c>
      <c r="C22" s="2" t="s">
        <v>670</v>
      </c>
      <c r="D22" s="2" t="s">
        <v>228</v>
      </c>
      <c r="E22" s="10" t="s">
        <v>202</v>
      </c>
      <c r="F22" s="10"/>
      <c r="G22" s="2" t="s">
        <v>671</v>
      </c>
      <c r="H22" s="2"/>
      <c r="I22" s="10" t="s">
        <v>197</v>
      </c>
      <c r="J22" s="2">
        <v>1</v>
      </c>
    </row>
    <row r="23" spans="1:10" x14ac:dyDescent="0.45">
      <c r="A23" s="10">
        <v>15</v>
      </c>
      <c r="B23" s="2" t="s">
        <v>548</v>
      </c>
      <c r="C23" s="2" t="s">
        <v>672</v>
      </c>
      <c r="D23" s="2" t="s">
        <v>195</v>
      </c>
      <c r="E23" s="10" t="s">
        <v>202</v>
      </c>
      <c r="F23" s="10"/>
      <c r="G23" s="2" t="s">
        <v>137</v>
      </c>
      <c r="H23" s="2"/>
      <c r="I23" s="10" t="s">
        <v>197</v>
      </c>
      <c r="J23" s="2">
        <v>1</v>
      </c>
    </row>
    <row r="24" spans="1:10" x14ac:dyDescent="0.45">
      <c r="A24" s="10">
        <v>16</v>
      </c>
      <c r="B24" s="2" t="s">
        <v>673</v>
      </c>
      <c r="C24" s="2" t="s">
        <v>674</v>
      </c>
      <c r="D24" s="2" t="s">
        <v>195</v>
      </c>
      <c r="E24" s="10" t="s">
        <v>202</v>
      </c>
      <c r="F24" s="10"/>
      <c r="G24" s="2"/>
      <c r="H24" s="2"/>
      <c r="I24" s="10" t="s">
        <v>197</v>
      </c>
      <c r="J24" s="2">
        <v>1</v>
      </c>
    </row>
    <row r="25" spans="1:10" x14ac:dyDescent="0.45">
      <c r="A25" s="10">
        <v>17</v>
      </c>
      <c r="B25" s="2" t="s">
        <v>675</v>
      </c>
      <c r="C25" s="2" t="s">
        <v>676</v>
      </c>
      <c r="D25" s="2" t="s">
        <v>234</v>
      </c>
      <c r="E25" s="10" t="s">
        <v>202</v>
      </c>
      <c r="F25" s="10"/>
      <c r="G25" s="2"/>
      <c r="H25" s="2"/>
      <c r="I25" s="10" t="s">
        <v>289</v>
      </c>
      <c r="J25" s="2">
        <v>1</v>
      </c>
    </row>
    <row r="26" spans="1:10" x14ac:dyDescent="0.45">
      <c r="A26" s="10">
        <v>18</v>
      </c>
      <c r="B26" s="2" t="s">
        <v>677</v>
      </c>
      <c r="C26" s="2" t="s">
        <v>678</v>
      </c>
      <c r="D26" s="2" t="s">
        <v>195</v>
      </c>
      <c r="E26" s="10" t="s">
        <v>202</v>
      </c>
      <c r="F26" s="10"/>
      <c r="G26" s="2"/>
      <c r="H26" s="2"/>
      <c r="I26" s="10" t="s">
        <v>289</v>
      </c>
      <c r="J26" s="2">
        <v>1</v>
      </c>
    </row>
    <row r="27" spans="1:10" x14ac:dyDescent="0.45">
      <c r="A27" s="10">
        <v>19</v>
      </c>
      <c r="B27" s="2" t="s">
        <v>679</v>
      </c>
      <c r="C27" s="2" t="s">
        <v>680</v>
      </c>
      <c r="D27" s="2" t="s">
        <v>239</v>
      </c>
      <c r="E27" s="10" t="s">
        <v>202</v>
      </c>
      <c r="F27" s="10"/>
      <c r="G27" s="2"/>
      <c r="H27" s="2"/>
      <c r="I27" s="10" t="s">
        <v>289</v>
      </c>
      <c r="J27" s="2">
        <v>1</v>
      </c>
    </row>
    <row r="28" spans="1:10" x14ac:dyDescent="0.45">
      <c r="A28" s="10">
        <v>20</v>
      </c>
      <c r="B28" s="2" t="s">
        <v>681</v>
      </c>
      <c r="C28" s="2" t="s">
        <v>682</v>
      </c>
      <c r="D28" s="2" t="s">
        <v>239</v>
      </c>
      <c r="E28" s="10" t="s">
        <v>202</v>
      </c>
      <c r="F28" s="10"/>
      <c r="G28" s="2"/>
      <c r="H28" s="2"/>
      <c r="I28" s="10" t="s">
        <v>289</v>
      </c>
      <c r="J28" s="2">
        <v>1</v>
      </c>
    </row>
    <row r="29" spans="1:10" x14ac:dyDescent="0.45">
      <c r="A29" s="10">
        <v>21</v>
      </c>
      <c r="B29" s="2" t="s">
        <v>683</v>
      </c>
      <c r="C29" s="2" t="s">
        <v>684</v>
      </c>
      <c r="D29" s="2" t="s">
        <v>239</v>
      </c>
      <c r="E29" s="10" t="s">
        <v>202</v>
      </c>
      <c r="F29" s="10"/>
      <c r="G29" s="2"/>
      <c r="H29" s="2"/>
      <c r="I29" s="10" t="s">
        <v>289</v>
      </c>
      <c r="J29" s="2">
        <v>1</v>
      </c>
    </row>
    <row r="30" spans="1:10" x14ac:dyDescent="0.45">
      <c r="A30" s="10">
        <v>22</v>
      </c>
      <c r="B30" s="2" t="s">
        <v>685</v>
      </c>
      <c r="C30" s="2" t="s">
        <v>686</v>
      </c>
      <c r="D30" s="2" t="s">
        <v>234</v>
      </c>
      <c r="E30" s="10" t="s">
        <v>202</v>
      </c>
      <c r="F30" s="10"/>
      <c r="G30" s="2"/>
      <c r="H30" s="2"/>
      <c r="I30" s="10" t="s">
        <v>289</v>
      </c>
      <c r="J30" s="2">
        <v>1</v>
      </c>
    </row>
    <row r="31" spans="1:10" x14ac:dyDescent="0.45">
      <c r="A31" s="10">
        <v>23</v>
      </c>
      <c r="B31" s="2" t="s">
        <v>687</v>
      </c>
      <c r="C31" s="2" t="s">
        <v>688</v>
      </c>
      <c r="D31" s="2" t="s">
        <v>234</v>
      </c>
      <c r="E31" s="10" t="s">
        <v>202</v>
      </c>
      <c r="F31" s="10"/>
      <c r="G31" s="2"/>
      <c r="H31" s="2"/>
      <c r="I31" s="10" t="s">
        <v>289</v>
      </c>
      <c r="J31" s="2">
        <v>1</v>
      </c>
    </row>
    <row r="32" spans="1:10" x14ac:dyDescent="0.45">
      <c r="A32" s="10">
        <v>24</v>
      </c>
      <c r="B32" s="2" t="s">
        <v>689</v>
      </c>
      <c r="C32" s="2" t="s">
        <v>690</v>
      </c>
      <c r="D32" s="2" t="s">
        <v>234</v>
      </c>
      <c r="E32" s="10" t="s">
        <v>202</v>
      </c>
      <c r="F32" s="10"/>
      <c r="G32" s="2"/>
      <c r="H32" s="2"/>
      <c r="I32" s="10" t="s">
        <v>289</v>
      </c>
      <c r="J32" s="2">
        <v>1</v>
      </c>
    </row>
    <row r="33" spans="1:10" x14ac:dyDescent="0.45">
      <c r="A33" s="10">
        <v>25</v>
      </c>
      <c r="B33" s="2" t="s">
        <v>691</v>
      </c>
      <c r="C33" s="2" t="s">
        <v>692</v>
      </c>
      <c r="D33" s="2" t="s">
        <v>234</v>
      </c>
      <c r="E33" s="10" t="s">
        <v>202</v>
      </c>
      <c r="F33" s="10"/>
      <c r="G33" s="2"/>
      <c r="H33" s="2"/>
      <c r="I33" s="10" t="s">
        <v>289</v>
      </c>
      <c r="J33" s="2">
        <v>1</v>
      </c>
    </row>
    <row r="34" spans="1:10" x14ac:dyDescent="0.45">
      <c r="A34" s="10">
        <v>26</v>
      </c>
      <c r="B34" s="2" t="s">
        <v>693</v>
      </c>
      <c r="C34" s="2" t="s">
        <v>694</v>
      </c>
      <c r="D34" s="2" t="s">
        <v>234</v>
      </c>
      <c r="E34" s="10" t="s">
        <v>202</v>
      </c>
      <c r="F34" s="10"/>
      <c r="G34" s="2"/>
      <c r="H34" s="2"/>
      <c r="I34" s="10" t="s">
        <v>289</v>
      </c>
      <c r="J34" s="2">
        <v>1</v>
      </c>
    </row>
    <row r="35" spans="1:10" x14ac:dyDescent="0.45">
      <c r="A35" s="10">
        <v>27</v>
      </c>
      <c r="B35" s="2" t="s">
        <v>695</v>
      </c>
      <c r="C35" s="2" t="s">
        <v>696</v>
      </c>
      <c r="D35" s="2" t="s">
        <v>234</v>
      </c>
      <c r="E35" s="10" t="s">
        <v>202</v>
      </c>
      <c r="F35" s="10"/>
      <c r="G35" s="2"/>
      <c r="H35" s="2"/>
      <c r="I35" s="10" t="s">
        <v>289</v>
      </c>
      <c r="J35" s="2">
        <v>1</v>
      </c>
    </row>
    <row r="36" spans="1:10" x14ac:dyDescent="0.45">
      <c r="A36" s="10">
        <v>28</v>
      </c>
      <c r="B36" s="2" t="s">
        <v>697</v>
      </c>
      <c r="C36" s="2" t="s">
        <v>698</v>
      </c>
      <c r="D36" s="2" t="s">
        <v>195</v>
      </c>
      <c r="E36" s="10" t="s">
        <v>202</v>
      </c>
      <c r="F36" s="10"/>
      <c r="G36" s="2"/>
      <c r="H36" s="2"/>
      <c r="I36" s="10" t="s">
        <v>197</v>
      </c>
      <c r="J36" s="2">
        <v>1</v>
      </c>
    </row>
    <row r="37" spans="1:10" x14ac:dyDescent="0.45">
      <c r="A37" s="10">
        <v>29</v>
      </c>
      <c r="B37" s="2" t="s">
        <v>699</v>
      </c>
      <c r="C37" s="2" t="s">
        <v>700</v>
      </c>
      <c r="D37" s="2" t="s">
        <v>195</v>
      </c>
      <c r="E37" s="10" t="s">
        <v>202</v>
      </c>
      <c r="F37" s="10"/>
      <c r="G37" s="2"/>
      <c r="H37" s="2"/>
      <c r="I37" s="10" t="s">
        <v>197</v>
      </c>
      <c r="J37" s="2">
        <v>1</v>
      </c>
    </row>
    <row r="38" spans="1:10" x14ac:dyDescent="0.45">
      <c r="A38" s="10">
        <v>30</v>
      </c>
      <c r="B38" s="2" t="s">
        <v>701</v>
      </c>
      <c r="C38" s="2" t="s">
        <v>702</v>
      </c>
      <c r="D38" s="2" t="s">
        <v>397</v>
      </c>
      <c r="E38" s="10" t="s">
        <v>202</v>
      </c>
      <c r="F38" s="10"/>
      <c r="G38" s="2"/>
      <c r="H38" s="2"/>
      <c r="I38" s="10" t="s">
        <v>197</v>
      </c>
      <c r="J38" s="2">
        <v>1</v>
      </c>
    </row>
    <row r="39" spans="1:10" x14ac:dyDescent="0.45">
      <c r="A39" s="10">
        <v>31</v>
      </c>
      <c r="B39" s="2" t="s">
        <v>387</v>
      </c>
      <c r="C39" s="2" t="s">
        <v>703</v>
      </c>
      <c r="D39" s="2" t="s">
        <v>704</v>
      </c>
      <c r="E39" s="10" t="s">
        <v>202</v>
      </c>
      <c r="F39" s="10"/>
      <c r="G39" s="2"/>
      <c r="H39" s="2"/>
      <c r="I39" s="10" t="s">
        <v>197</v>
      </c>
      <c r="J39" s="2">
        <v>1</v>
      </c>
    </row>
    <row r="40" spans="1:10" x14ac:dyDescent="0.45">
      <c r="A40" s="10">
        <v>32</v>
      </c>
      <c r="B40" s="2" t="s">
        <v>705</v>
      </c>
      <c r="C40" s="2" t="s">
        <v>706</v>
      </c>
      <c r="D40" s="2" t="s">
        <v>234</v>
      </c>
      <c r="E40" s="10" t="s">
        <v>202</v>
      </c>
      <c r="F40" s="10"/>
      <c r="G40" s="2"/>
      <c r="H40" s="2"/>
      <c r="I40" s="10" t="s">
        <v>197</v>
      </c>
      <c r="J40" s="2">
        <v>1</v>
      </c>
    </row>
    <row r="41" spans="1:10" x14ac:dyDescent="0.45">
      <c r="A41" s="10">
        <v>33</v>
      </c>
      <c r="B41" s="2" t="s">
        <v>707</v>
      </c>
      <c r="C41" s="2" t="s">
        <v>708</v>
      </c>
      <c r="D41" s="2" t="s">
        <v>234</v>
      </c>
      <c r="E41" s="10" t="s">
        <v>202</v>
      </c>
      <c r="F41" s="10"/>
      <c r="G41" s="2"/>
      <c r="H41" s="2"/>
      <c r="I41" s="10" t="s">
        <v>197</v>
      </c>
      <c r="J41" s="2">
        <v>1</v>
      </c>
    </row>
    <row r="42" spans="1:10" x14ac:dyDescent="0.45">
      <c r="A42" s="10">
        <v>34</v>
      </c>
      <c r="B42" s="2" t="s">
        <v>709</v>
      </c>
      <c r="C42" s="2" t="s">
        <v>710</v>
      </c>
      <c r="D42" s="2" t="s">
        <v>234</v>
      </c>
      <c r="E42" s="10" t="s">
        <v>202</v>
      </c>
      <c r="F42" s="10"/>
      <c r="G42" s="2"/>
      <c r="H42" s="2"/>
      <c r="I42" s="10" t="s">
        <v>289</v>
      </c>
      <c r="J42" s="2">
        <v>1</v>
      </c>
    </row>
    <row r="43" spans="1:10" x14ac:dyDescent="0.45">
      <c r="A43" s="10">
        <v>35</v>
      </c>
      <c r="B43" s="2" t="s">
        <v>711</v>
      </c>
      <c r="C43" s="2" t="s">
        <v>712</v>
      </c>
      <c r="D43" s="2" t="s">
        <v>234</v>
      </c>
      <c r="E43" s="10" t="s">
        <v>202</v>
      </c>
      <c r="F43" s="10"/>
      <c r="G43" s="2"/>
      <c r="H43" s="2"/>
      <c r="I43" s="10" t="s">
        <v>197</v>
      </c>
      <c r="J43" s="2">
        <v>1</v>
      </c>
    </row>
    <row r="44" spans="1:10" x14ac:dyDescent="0.45">
      <c r="A44" s="10">
        <v>36</v>
      </c>
      <c r="B44" s="2" t="s">
        <v>713</v>
      </c>
      <c r="C44" s="2" t="s">
        <v>714</v>
      </c>
      <c r="D44" s="2" t="s">
        <v>715</v>
      </c>
      <c r="E44" s="10" t="s">
        <v>202</v>
      </c>
      <c r="F44" s="10"/>
      <c r="G44" s="2"/>
      <c r="H44" s="2"/>
      <c r="I44" s="10" t="s">
        <v>197</v>
      </c>
      <c r="J44" s="2">
        <v>1</v>
      </c>
    </row>
    <row r="45" spans="1:10" x14ac:dyDescent="0.45">
      <c r="A45" s="10">
        <v>37</v>
      </c>
      <c r="B45" s="2" t="s">
        <v>716</v>
      </c>
      <c r="C45" s="2" t="s">
        <v>717</v>
      </c>
      <c r="D45" s="2" t="s">
        <v>704</v>
      </c>
      <c r="E45" s="10" t="s">
        <v>202</v>
      </c>
      <c r="F45" s="10"/>
      <c r="G45" s="2"/>
      <c r="H45" s="2"/>
      <c r="I45" s="10" t="s">
        <v>289</v>
      </c>
      <c r="J45" s="2">
        <v>1</v>
      </c>
    </row>
    <row r="46" spans="1:10" x14ac:dyDescent="0.45">
      <c r="A46" s="10">
        <v>38</v>
      </c>
      <c r="B46" s="2" t="s">
        <v>718</v>
      </c>
      <c r="C46" s="2" t="s">
        <v>719</v>
      </c>
      <c r="D46" s="2" t="s">
        <v>704</v>
      </c>
      <c r="E46" s="10" t="s">
        <v>202</v>
      </c>
      <c r="F46" s="10"/>
      <c r="G46" s="2"/>
      <c r="H46" s="2"/>
      <c r="I46" s="10" t="s">
        <v>289</v>
      </c>
      <c r="J46" s="2">
        <v>1</v>
      </c>
    </row>
    <row r="47" spans="1:10" x14ac:dyDescent="0.45">
      <c r="A47" s="10">
        <v>39</v>
      </c>
      <c r="B47" s="2" t="s">
        <v>720</v>
      </c>
      <c r="C47" s="2" t="s">
        <v>721</v>
      </c>
      <c r="D47" s="2" t="s">
        <v>715</v>
      </c>
      <c r="E47" s="10" t="s">
        <v>202</v>
      </c>
      <c r="F47" s="10"/>
      <c r="G47" s="2"/>
      <c r="H47" s="2"/>
      <c r="I47" s="10" t="s">
        <v>197</v>
      </c>
      <c r="J47" s="2">
        <v>1</v>
      </c>
    </row>
    <row r="48" spans="1:10" x14ac:dyDescent="0.45">
      <c r="A48" s="10">
        <v>40</v>
      </c>
      <c r="B48" s="2" t="s">
        <v>722</v>
      </c>
      <c r="C48" s="2" t="s">
        <v>723</v>
      </c>
      <c r="D48" s="2" t="s">
        <v>234</v>
      </c>
      <c r="E48" s="10" t="s">
        <v>202</v>
      </c>
      <c r="F48" s="10"/>
      <c r="G48" s="2"/>
      <c r="H48" s="2"/>
      <c r="I48" s="10" t="s">
        <v>289</v>
      </c>
      <c r="J48" s="2">
        <v>1</v>
      </c>
    </row>
    <row r="49" spans="1:10" x14ac:dyDescent="0.45">
      <c r="A49" s="10">
        <v>41</v>
      </c>
      <c r="B49" s="2" t="s">
        <v>724</v>
      </c>
      <c r="C49" s="2" t="s">
        <v>725</v>
      </c>
      <c r="D49" s="2" t="s">
        <v>251</v>
      </c>
      <c r="E49" s="10" t="s">
        <v>202</v>
      </c>
      <c r="F49" s="10"/>
      <c r="G49" s="2"/>
      <c r="H49" s="2"/>
      <c r="I49" s="10" t="s">
        <v>289</v>
      </c>
      <c r="J49" s="2">
        <v>1</v>
      </c>
    </row>
    <row r="50" spans="1:10" x14ac:dyDescent="0.45">
      <c r="A50" s="10">
        <v>42</v>
      </c>
      <c r="B50" s="2" t="s">
        <v>726</v>
      </c>
      <c r="C50" s="2" t="s">
        <v>727</v>
      </c>
      <c r="D50" s="2" t="s">
        <v>251</v>
      </c>
      <c r="E50" s="10" t="s">
        <v>202</v>
      </c>
      <c r="F50" s="10"/>
      <c r="G50" s="2"/>
      <c r="H50" s="2"/>
      <c r="I50" s="10" t="s">
        <v>289</v>
      </c>
      <c r="J50" s="2">
        <v>1</v>
      </c>
    </row>
    <row r="51" spans="1:10" x14ac:dyDescent="0.45">
      <c r="A51" s="10">
        <v>43</v>
      </c>
      <c r="B51" s="2" t="s">
        <v>728</v>
      </c>
      <c r="C51" s="2" t="s">
        <v>729</v>
      </c>
      <c r="D51" s="2" t="s">
        <v>234</v>
      </c>
      <c r="E51" s="10" t="s">
        <v>202</v>
      </c>
      <c r="F51" s="10"/>
      <c r="G51" s="2"/>
      <c r="H51" s="2"/>
      <c r="I51" s="10" t="s">
        <v>289</v>
      </c>
      <c r="J51" s="2">
        <v>1</v>
      </c>
    </row>
    <row r="52" spans="1:10" x14ac:dyDescent="0.45">
      <c r="A52" s="10">
        <v>44</v>
      </c>
      <c r="B52" s="2" t="s">
        <v>730</v>
      </c>
      <c r="C52" s="2" t="s">
        <v>731</v>
      </c>
      <c r="D52" s="2" t="s">
        <v>195</v>
      </c>
      <c r="E52" s="10" t="s">
        <v>202</v>
      </c>
      <c r="F52" s="10"/>
      <c r="G52" s="2"/>
      <c r="H52" s="2"/>
      <c r="I52" s="10" t="s">
        <v>289</v>
      </c>
      <c r="J52" s="2">
        <v>1</v>
      </c>
    </row>
    <row r="53" spans="1:10" x14ac:dyDescent="0.45">
      <c r="A53" s="10">
        <v>45</v>
      </c>
      <c r="B53" s="2" t="s">
        <v>732</v>
      </c>
      <c r="C53" s="2" t="s">
        <v>733</v>
      </c>
      <c r="D53" s="2" t="s">
        <v>195</v>
      </c>
      <c r="E53" s="10" t="s">
        <v>202</v>
      </c>
      <c r="F53" s="10"/>
      <c r="G53" s="2"/>
      <c r="H53" s="2"/>
      <c r="I53" s="10" t="s">
        <v>289</v>
      </c>
      <c r="J53" s="2">
        <v>1</v>
      </c>
    </row>
    <row r="54" spans="1:10" x14ac:dyDescent="0.45">
      <c r="A54" s="10">
        <v>46</v>
      </c>
      <c r="B54" s="2" t="s">
        <v>734</v>
      </c>
      <c r="C54" s="2" t="s">
        <v>735</v>
      </c>
      <c r="D54" s="2" t="s">
        <v>234</v>
      </c>
      <c r="E54" s="10" t="s">
        <v>202</v>
      </c>
      <c r="F54" s="10"/>
      <c r="G54" s="2"/>
      <c r="H54" s="2"/>
      <c r="I54" s="10" t="s">
        <v>289</v>
      </c>
      <c r="J54" s="2">
        <v>1</v>
      </c>
    </row>
    <row r="55" spans="1:10" x14ac:dyDescent="0.45">
      <c r="A55" s="10">
        <v>47</v>
      </c>
      <c r="B55" s="2" t="s">
        <v>736</v>
      </c>
      <c r="C55" s="2" t="s">
        <v>737</v>
      </c>
      <c r="D55" s="2" t="s">
        <v>234</v>
      </c>
      <c r="E55" s="10" t="s">
        <v>202</v>
      </c>
      <c r="F55" s="10"/>
      <c r="G55" s="2"/>
      <c r="H55" s="2"/>
      <c r="I55" s="10" t="s">
        <v>289</v>
      </c>
      <c r="J55" s="2">
        <v>1</v>
      </c>
    </row>
    <row r="56" spans="1:10" x14ac:dyDescent="0.45">
      <c r="A56" s="10">
        <v>48</v>
      </c>
      <c r="B56" s="2" t="s">
        <v>390</v>
      </c>
      <c r="C56" s="2" t="s">
        <v>738</v>
      </c>
      <c r="D56" s="2" t="s">
        <v>239</v>
      </c>
      <c r="E56" s="10" t="s">
        <v>202</v>
      </c>
      <c r="F56" s="10"/>
      <c r="G56" s="2"/>
      <c r="H56" s="2"/>
      <c r="I56" s="10" t="s">
        <v>289</v>
      </c>
      <c r="J56" s="2">
        <v>1</v>
      </c>
    </row>
    <row r="57" spans="1:10" x14ac:dyDescent="0.45">
      <c r="A57" s="10">
        <v>49</v>
      </c>
      <c r="B57" s="2" t="s">
        <v>739</v>
      </c>
      <c r="C57" s="2" t="s">
        <v>740</v>
      </c>
      <c r="D57" s="2" t="s">
        <v>195</v>
      </c>
      <c r="E57" s="10" t="s">
        <v>202</v>
      </c>
      <c r="F57" s="10"/>
      <c r="G57" s="2"/>
      <c r="H57" s="2"/>
      <c r="I57" s="10" t="s">
        <v>289</v>
      </c>
      <c r="J57" s="2">
        <v>1</v>
      </c>
    </row>
    <row r="58" spans="1:10" x14ac:dyDescent="0.45">
      <c r="A58" s="10">
        <v>50</v>
      </c>
      <c r="B58" s="2" t="s">
        <v>741</v>
      </c>
      <c r="C58" s="2" t="s">
        <v>742</v>
      </c>
      <c r="D58" s="2" t="s">
        <v>195</v>
      </c>
      <c r="E58" s="10" t="s">
        <v>202</v>
      </c>
      <c r="F58" s="10"/>
      <c r="G58" s="2"/>
      <c r="H58" s="2"/>
      <c r="I58" s="10" t="s">
        <v>197</v>
      </c>
      <c r="J58" s="2">
        <v>1</v>
      </c>
    </row>
    <row r="59" spans="1:10" x14ac:dyDescent="0.45">
      <c r="A59" s="10">
        <v>51</v>
      </c>
      <c r="B59" s="2" t="s">
        <v>743</v>
      </c>
      <c r="C59" s="2" t="s">
        <v>744</v>
      </c>
      <c r="D59" s="2" t="s">
        <v>234</v>
      </c>
      <c r="E59" s="10" t="s">
        <v>202</v>
      </c>
      <c r="F59" s="10"/>
      <c r="G59" s="2"/>
      <c r="H59" s="2"/>
      <c r="I59" s="10" t="s">
        <v>289</v>
      </c>
      <c r="J59" s="2">
        <v>1</v>
      </c>
    </row>
    <row r="60" spans="1:10" x14ac:dyDescent="0.45">
      <c r="A60" s="10">
        <v>52</v>
      </c>
      <c r="B60" s="2" t="s">
        <v>745</v>
      </c>
      <c r="C60" s="2" t="s">
        <v>746</v>
      </c>
      <c r="D60" s="2" t="s">
        <v>195</v>
      </c>
      <c r="E60" s="10" t="s">
        <v>202</v>
      </c>
      <c r="F60" s="10"/>
      <c r="G60" s="2"/>
      <c r="H60" s="2"/>
      <c r="I60" s="10" t="s">
        <v>289</v>
      </c>
      <c r="J60" s="2">
        <v>1</v>
      </c>
    </row>
    <row r="61" spans="1:10" x14ac:dyDescent="0.45">
      <c r="A61" s="10">
        <v>53</v>
      </c>
      <c r="B61" s="2" t="s">
        <v>747</v>
      </c>
      <c r="C61" s="2" t="s">
        <v>748</v>
      </c>
      <c r="D61" s="2" t="s">
        <v>195</v>
      </c>
      <c r="E61" s="10" t="s">
        <v>202</v>
      </c>
      <c r="F61" s="10"/>
      <c r="G61" s="2"/>
      <c r="H61" s="2"/>
      <c r="I61" s="10" t="s">
        <v>289</v>
      </c>
      <c r="J61" s="2">
        <v>1</v>
      </c>
    </row>
    <row r="62" spans="1:10" x14ac:dyDescent="0.45">
      <c r="A62" s="10">
        <v>54</v>
      </c>
      <c r="B62" s="2" t="s">
        <v>749</v>
      </c>
      <c r="C62" s="2" t="s">
        <v>750</v>
      </c>
      <c r="D62" s="2" t="s">
        <v>195</v>
      </c>
      <c r="E62" s="10" t="s">
        <v>202</v>
      </c>
      <c r="F62" s="10"/>
      <c r="G62" s="2"/>
      <c r="H62" s="2"/>
      <c r="I62" s="10" t="s">
        <v>289</v>
      </c>
      <c r="J62" s="2">
        <v>1</v>
      </c>
    </row>
    <row r="63" spans="1:10" x14ac:dyDescent="0.45">
      <c r="A63" s="10">
        <v>55</v>
      </c>
      <c r="B63" s="2" t="s">
        <v>751</v>
      </c>
      <c r="C63" s="2" t="s">
        <v>752</v>
      </c>
      <c r="D63" s="2" t="s">
        <v>234</v>
      </c>
      <c r="E63" s="10" t="s">
        <v>202</v>
      </c>
      <c r="F63" s="10"/>
      <c r="G63" s="2"/>
      <c r="H63" s="2"/>
      <c r="I63" s="10" t="s">
        <v>289</v>
      </c>
      <c r="J63" s="2">
        <v>1</v>
      </c>
    </row>
    <row r="64" spans="1:10" x14ac:dyDescent="0.45">
      <c r="A64" s="10">
        <v>56</v>
      </c>
      <c r="B64" s="2" t="s">
        <v>753</v>
      </c>
      <c r="C64" s="2" t="s">
        <v>754</v>
      </c>
      <c r="D64" s="2" t="s">
        <v>234</v>
      </c>
      <c r="E64" s="10" t="s">
        <v>202</v>
      </c>
      <c r="F64" s="10"/>
      <c r="G64" s="2"/>
      <c r="H64" s="2"/>
      <c r="I64" s="10" t="s">
        <v>289</v>
      </c>
      <c r="J64" s="2">
        <v>1</v>
      </c>
    </row>
    <row r="65" spans="1:10" x14ac:dyDescent="0.45">
      <c r="A65" s="10">
        <v>57</v>
      </c>
      <c r="B65" s="2" t="s">
        <v>755</v>
      </c>
      <c r="C65" s="2" t="s">
        <v>756</v>
      </c>
      <c r="D65" s="2" t="s">
        <v>195</v>
      </c>
      <c r="E65" s="10" t="s">
        <v>202</v>
      </c>
      <c r="F65" s="10"/>
      <c r="G65" s="2"/>
      <c r="H65" s="2"/>
      <c r="I65" s="10" t="s">
        <v>197</v>
      </c>
      <c r="J65" s="2">
        <v>1</v>
      </c>
    </row>
    <row r="66" spans="1:10" x14ac:dyDescent="0.45">
      <c r="A66" s="10">
        <v>58</v>
      </c>
      <c r="B66" s="2" t="s">
        <v>757</v>
      </c>
      <c r="C66" s="2" t="s">
        <v>758</v>
      </c>
      <c r="D66" s="2" t="s">
        <v>283</v>
      </c>
      <c r="E66" s="10" t="s">
        <v>202</v>
      </c>
      <c r="F66" s="10"/>
      <c r="G66" s="2"/>
      <c r="H66" s="2"/>
      <c r="I66" s="10" t="s">
        <v>289</v>
      </c>
      <c r="J66" s="2">
        <v>1</v>
      </c>
    </row>
    <row r="67" spans="1:10" x14ac:dyDescent="0.45">
      <c r="A67" s="10">
        <v>59</v>
      </c>
      <c r="B67" s="2" t="s">
        <v>759</v>
      </c>
      <c r="C67" s="2" t="s">
        <v>760</v>
      </c>
      <c r="D67" s="2" t="s">
        <v>195</v>
      </c>
      <c r="E67" s="10" t="s">
        <v>202</v>
      </c>
      <c r="F67" s="10"/>
      <c r="G67" s="2"/>
      <c r="H67" s="2"/>
      <c r="I67" s="10" t="s">
        <v>289</v>
      </c>
      <c r="J67" s="2">
        <v>1</v>
      </c>
    </row>
    <row r="68" spans="1:10" x14ac:dyDescent="0.45">
      <c r="A68" s="10">
        <v>60</v>
      </c>
      <c r="B68" s="2" t="s">
        <v>761</v>
      </c>
      <c r="C68" s="2" t="s">
        <v>762</v>
      </c>
      <c r="D68" s="2" t="s">
        <v>195</v>
      </c>
      <c r="E68" s="10" t="s">
        <v>202</v>
      </c>
      <c r="F68" s="10"/>
      <c r="G68" s="2"/>
      <c r="H68" s="2"/>
      <c r="I68" s="10" t="s">
        <v>289</v>
      </c>
      <c r="J68" s="2">
        <v>1</v>
      </c>
    </row>
    <row r="69" spans="1:10" x14ac:dyDescent="0.45">
      <c r="A69" s="10">
        <v>61</v>
      </c>
      <c r="B69" s="2" t="s">
        <v>763</v>
      </c>
      <c r="C69" s="2" t="s">
        <v>764</v>
      </c>
      <c r="D69" s="2" t="s">
        <v>195</v>
      </c>
      <c r="E69" s="10" t="s">
        <v>202</v>
      </c>
      <c r="F69" s="10"/>
      <c r="G69" s="2"/>
      <c r="H69" s="2"/>
      <c r="I69" s="10" t="s">
        <v>289</v>
      </c>
      <c r="J69" s="2">
        <v>1</v>
      </c>
    </row>
    <row r="70" spans="1:10" x14ac:dyDescent="0.45">
      <c r="A70" s="10">
        <v>62</v>
      </c>
      <c r="B70" s="2" t="s">
        <v>765</v>
      </c>
      <c r="C70" s="2" t="s">
        <v>766</v>
      </c>
      <c r="D70" s="2" t="s">
        <v>234</v>
      </c>
      <c r="E70" s="10" t="s">
        <v>202</v>
      </c>
      <c r="F70" s="10"/>
      <c r="G70" s="2"/>
      <c r="H70" s="2"/>
      <c r="I70" s="10" t="s">
        <v>289</v>
      </c>
      <c r="J70" s="2">
        <v>1</v>
      </c>
    </row>
    <row r="71" spans="1:10" x14ac:dyDescent="0.45">
      <c r="A71" s="10">
        <v>63</v>
      </c>
      <c r="B71" s="2" t="s">
        <v>767</v>
      </c>
      <c r="C71" s="2" t="s">
        <v>768</v>
      </c>
      <c r="D71" s="2" t="s">
        <v>234</v>
      </c>
      <c r="E71" s="10" t="s">
        <v>202</v>
      </c>
      <c r="F71" s="10"/>
      <c r="G71" s="2"/>
      <c r="H71" s="2"/>
      <c r="I71" s="10" t="s">
        <v>289</v>
      </c>
      <c r="J71" s="2">
        <v>1</v>
      </c>
    </row>
    <row r="72" spans="1:10" x14ac:dyDescent="0.45">
      <c r="A72" s="10">
        <v>64</v>
      </c>
      <c r="B72" s="2" t="s">
        <v>769</v>
      </c>
      <c r="C72" s="2" t="s">
        <v>770</v>
      </c>
      <c r="D72" s="2" t="s">
        <v>234</v>
      </c>
      <c r="E72" s="10" t="s">
        <v>202</v>
      </c>
      <c r="F72" s="10"/>
      <c r="G72" s="2"/>
      <c r="H72" s="2"/>
      <c r="I72" s="10" t="s">
        <v>289</v>
      </c>
      <c r="J72" s="2">
        <v>1</v>
      </c>
    </row>
    <row r="73" spans="1:10" x14ac:dyDescent="0.45">
      <c r="A73" s="10">
        <v>65</v>
      </c>
      <c r="B73" s="2" t="s">
        <v>771</v>
      </c>
      <c r="C73" s="2" t="s">
        <v>772</v>
      </c>
      <c r="D73" s="2" t="s">
        <v>195</v>
      </c>
      <c r="E73" s="10" t="s">
        <v>202</v>
      </c>
      <c r="F73" s="10"/>
      <c r="G73" s="2"/>
      <c r="H73" s="2"/>
      <c r="I73" s="10" t="s">
        <v>289</v>
      </c>
      <c r="J73" s="2">
        <v>1</v>
      </c>
    </row>
    <row r="74" spans="1:10" x14ac:dyDescent="0.45">
      <c r="A74" s="10">
        <v>66</v>
      </c>
      <c r="B74" s="2" t="s">
        <v>773</v>
      </c>
      <c r="C74" s="2" t="s">
        <v>774</v>
      </c>
      <c r="D74" s="2" t="s">
        <v>195</v>
      </c>
      <c r="E74" s="10" t="s">
        <v>202</v>
      </c>
      <c r="F74" s="10"/>
      <c r="G74" s="2"/>
      <c r="H74" s="2"/>
      <c r="I74" s="10" t="s">
        <v>289</v>
      </c>
      <c r="J74" s="2">
        <v>1</v>
      </c>
    </row>
    <row r="75" spans="1:10" x14ac:dyDescent="0.45">
      <c r="A75" s="10">
        <v>67</v>
      </c>
      <c r="B75" s="2" t="s">
        <v>775</v>
      </c>
      <c r="C75" s="2" t="s">
        <v>776</v>
      </c>
      <c r="D75" s="2" t="s">
        <v>234</v>
      </c>
      <c r="E75" s="10" t="s">
        <v>202</v>
      </c>
      <c r="F75" s="10"/>
      <c r="G75" s="2"/>
      <c r="H75" s="2"/>
      <c r="I75" s="10" t="s">
        <v>289</v>
      </c>
      <c r="J75" s="2">
        <v>1</v>
      </c>
    </row>
    <row r="76" spans="1:10" x14ac:dyDescent="0.45">
      <c r="A76" s="10">
        <v>68</v>
      </c>
      <c r="B76" s="2" t="s">
        <v>777</v>
      </c>
      <c r="C76" s="2" t="s">
        <v>778</v>
      </c>
      <c r="D76" s="2" t="s">
        <v>234</v>
      </c>
      <c r="E76" s="10" t="s">
        <v>202</v>
      </c>
      <c r="F76" s="10"/>
      <c r="G76" s="2"/>
      <c r="H76" s="2"/>
      <c r="I76" s="10" t="s">
        <v>289</v>
      </c>
      <c r="J76" s="2">
        <v>1</v>
      </c>
    </row>
    <row r="77" spans="1:10" x14ac:dyDescent="0.45">
      <c r="A77" s="10">
        <v>69</v>
      </c>
      <c r="B77" s="2" t="s">
        <v>779</v>
      </c>
      <c r="C77" s="2" t="s">
        <v>780</v>
      </c>
      <c r="D77" s="2" t="s">
        <v>234</v>
      </c>
      <c r="E77" s="10" t="s">
        <v>202</v>
      </c>
      <c r="F77" s="10"/>
      <c r="G77" s="2"/>
      <c r="H77" s="2"/>
      <c r="I77" s="10" t="s">
        <v>289</v>
      </c>
      <c r="J77" s="2">
        <v>1</v>
      </c>
    </row>
    <row r="78" spans="1:10" x14ac:dyDescent="0.45">
      <c r="A78" s="10">
        <v>70</v>
      </c>
      <c r="B78" s="2" t="s">
        <v>781</v>
      </c>
      <c r="C78" s="2" t="s">
        <v>782</v>
      </c>
      <c r="D78" s="2" t="s">
        <v>234</v>
      </c>
      <c r="E78" s="10" t="s">
        <v>202</v>
      </c>
      <c r="F78" s="10"/>
      <c r="G78" s="2"/>
      <c r="H78" s="2"/>
      <c r="I78" s="10" t="s">
        <v>289</v>
      </c>
      <c r="J78" s="2">
        <v>1</v>
      </c>
    </row>
    <row r="79" spans="1:10" x14ac:dyDescent="0.45">
      <c r="A79" s="10">
        <v>71</v>
      </c>
      <c r="B79" s="2" t="s">
        <v>783</v>
      </c>
      <c r="C79" s="2" t="s">
        <v>784</v>
      </c>
      <c r="D79" s="2" t="s">
        <v>234</v>
      </c>
      <c r="E79" s="10" t="s">
        <v>202</v>
      </c>
      <c r="F79" s="10"/>
      <c r="G79" s="2"/>
      <c r="H79" s="2"/>
      <c r="I79" s="10" t="s">
        <v>289</v>
      </c>
      <c r="J79" s="2">
        <v>1</v>
      </c>
    </row>
    <row r="80" spans="1:10" x14ac:dyDescent="0.45">
      <c r="A80" s="10">
        <v>72</v>
      </c>
      <c r="B80" s="2" t="s">
        <v>785</v>
      </c>
      <c r="C80" s="2" t="s">
        <v>786</v>
      </c>
      <c r="D80" s="2" t="s">
        <v>195</v>
      </c>
      <c r="E80" s="10" t="s">
        <v>202</v>
      </c>
      <c r="F80" s="10"/>
      <c r="G80" s="2"/>
      <c r="H80" s="2"/>
      <c r="I80" s="10" t="s">
        <v>197</v>
      </c>
      <c r="J80" s="2">
        <v>1</v>
      </c>
    </row>
    <row r="81" spans="1:10" x14ac:dyDescent="0.45">
      <c r="A81" s="10">
        <v>73</v>
      </c>
      <c r="B81" s="2" t="s">
        <v>787</v>
      </c>
      <c r="C81" s="2" t="s">
        <v>788</v>
      </c>
      <c r="D81" s="2" t="s">
        <v>195</v>
      </c>
      <c r="E81" s="10" t="s">
        <v>202</v>
      </c>
      <c r="F81" s="10"/>
      <c r="G81" s="2"/>
      <c r="H81" s="2"/>
      <c r="I81" s="10" t="s">
        <v>289</v>
      </c>
      <c r="J81" s="2">
        <v>1</v>
      </c>
    </row>
    <row r="82" spans="1:10" x14ac:dyDescent="0.45">
      <c r="A82" s="10">
        <v>74</v>
      </c>
      <c r="B82" s="2" t="s">
        <v>789</v>
      </c>
      <c r="C82" s="2" t="s">
        <v>790</v>
      </c>
      <c r="D82" s="2" t="s">
        <v>195</v>
      </c>
      <c r="E82" s="10" t="s">
        <v>202</v>
      </c>
      <c r="F82" s="10"/>
      <c r="G82" s="2"/>
      <c r="H82" s="2"/>
      <c r="I82" s="10" t="s">
        <v>289</v>
      </c>
      <c r="J82" s="2">
        <v>1</v>
      </c>
    </row>
    <row r="83" spans="1:10" x14ac:dyDescent="0.45">
      <c r="A83" s="10">
        <v>75</v>
      </c>
      <c r="B83" s="2" t="s">
        <v>791</v>
      </c>
      <c r="C83" s="2" t="s">
        <v>792</v>
      </c>
      <c r="D83" s="2" t="s">
        <v>397</v>
      </c>
      <c r="E83" s="10" t="s">
        <v>202</v>
      </c>
      <c r="F83" s="10"/>
      <c r="G83" s="2"/>
      <c r="H83" s="2"/>
      <c r="I83" s="10" t="s">
        <v>289</v>
      </c>
      <c r="J83" s="2">
        <v>1</v>
      </c>
    </row>
    <row r="84" spans="1:10" x14ac:dyDescent="0.45">
      <c r="A84" s="10">
        <v>76</v>
      </c>
      <c r="B84" s="2" t="s">
        <v>793</v>
      </c>
      <c r="C84" s="2" t="s">
        <v>794</v>
      </c>
      <c r="D84" s="2" t="s">
        <v>195</v>
      </c>
      <c r="E84" s="10" t="s">
        <v>202</v>
      </c>
      <c r="F84" s="10"/>
      <c r="G84" s="2"/>
      <c r="H84" s="2"/>
      <c r="I84" s="10" t="s">
        <v>289</v>
      </c>
      <c r="J84" s="2">
        <v>1</v>
      </c>
    </row>
    <row r="85" spans="1:10" x14ac:dyDescent="0.45">
      <c r="A85" s="10">
        <v>77</v>
      </c>
      <c r="B85" s="2" t="s">
        <v>795</v>
      </c>
      <c r="C85" s="2" t="s">
        <v>796</v>
      </c>
      <c r="D85" s="2" t="s">
        <v>195</v>
      </c>
      <c r="E85" s="10" t="s">
        <v>202</v>
      </c>
      <c r="F85" s="10"/>
      <c r="G85" s="2"/>
      <c r="H85" s="2"/>
      <c r="I85" s="10" t="s">
        <v>289</v>
      </c>
      <c r="J85" s="2">
        <v>1</v>
      </c>
    </row>
    <row r="86" spans="1:10" x14ac:dyDescent="0.45">
      <c r="A86" s="10">
        <v>78</v>
      </c>
      <c r="B86" s="2" t="s">
        <v>797</v>
      </c>
      <c r="C86" s="2" t="s">
        <v>798</v>
      </c>
      <c r="D86" s="2" t="s">
        <v>300</v>
      </c>
      <c r="E86" s="10" t="s">
        <v>202</v>
      </c>
      <c r="F86" s="10"/>
      <c r="G86" s="2"/>
      <c r="H86" s="2"/>
      <c r="I86" s="10" t="s">
        <v>289</v>
      </c>
      <c r="J86" s="2">
        <v>1</v>
      </c>
    </row>
    <row r="87" spans="1:10" x14ac:dyDescent="0.45">
      <c r="A87" s="10">
        <v>79</v>
      </c>
      <c r="B87" s="2" t="s">
        <v>395</v>
      </c>
      <c r="C87" s="2" t="s">
        <v>396</v>
      </c>
      <c r="D87" s="2" t="s">
        <v>397</v>
      </c>
      <c r="E87" s="10" t="s">
        <v>202</v>
      </c>
      <c r="F87" s="10"/>
      <c r="G87" s="2"/>
      <c r="H87" s="2"/>
      <c r="I87" s="10" t="s">
        <v>197</v>
      </c>
      <c r="J87" s="2">
        <v>1</v>
      </c>
    </row>
    <row r="88" spans="1:10" x14ac:dyDescent="0.45">
      <c r="A88" s="10">
        <v>80</v>
      </c>
      <c r="B88" s="2" t="s">
        <v>799</v>
      </c>
      <c r="C88" s="2" t="s">
        <v>800</v>
      </c>
      <c r="D88" s="2" t="s">
        <v>397</v>
      </c>
      <c r="E88" s="10" t="s">
        <v>202</v>
      </c>
      <c r="F88" s="10"/>
      <c r="G88" s="2"/>
      <c r="H88" s="2"/>
      <c r="I88" s="10" t="s">
        <v>197</v>
      </c>
      <c r="J88" s="2">
        <v>1</v>
      </c>
    </row>
    <row r="89" spans="1:10" x14ac:dyDescent="0.45">
      <c r="A89" s="10">
        <v>81</v>
      </c>
      <c r="B89" s="2" t="s">
        <v>124</v>
      </c>
      <c r="C89" s="2" t="s">
        <v>801</v>
      </c>
      <c r="D89" s="2" t="s">
        <v>195</v>
      </c>
      <c r="E89" s="10" t="s">
        <v>202</v>
      </c>
      <c r="F89" s="10"/>
      <c r="G89" s="2" t="s">
        <v>122</v>
      </c>
      <c r="H89" s="2"/>
      <c r="I89" s="10" t="s">
        <v>197</v>
      </c>
      <c r="J89" s="2">
        <v>1</v>
      </c>
    </row>
    <row r="91" spans="1:10" x14ac:dyDescent="0.45">
      <c r="A91" s="28" t="s">
        <v>208</v>
      </c>
      <c r="B91" s="22"/>
      <c r="C91" s="22"/>
      <c r="D91" s="22"/>
      <c r="E91" s="22"/>
      <c r="F91" s="22"/>
      <c r="G91" s="22"/>
      <c r="H91" s="22"/>
      <c r="I91" s="22"/>
    </row>
    <row r="92" spans="1:10" x14ac:dyDescent="0.45">
      <c r="A92" s="3" t="s">
        <v>60</v>
      </c>
      <c r="B92" s="3" t="s">
        <v>209</v>
      </c>
      <c r="C92" s="3" t="s">
        <v>210</v>
      </c>
      <c r="D92" s="26" t="s">
        <v>211</v>
      </c>
      <c r="E92" s="24"/>
      <c r="F92" s="25"/>
      <c r="G92" s="26" t="s">
        <v>23</v>
      </c>
      <c r="H92" s="24"/>
      <c r="I92" s="25"/>
    </row>
    <row r="93" spans="1:10" ht="18" customHeight="1" x14ac:dyDescent="0.45">
      <c r="A93" s="10">
        <v>1</v>
      </c>
      <c r="B93" s="10" t="s">
        <v>191</v>
      </c>
      <c r="C93" s="2" t="s">
        <v>802</v>
      </c>
      <c r="D93" s="23" t="s">
        <v>172</v>
      </c>
      <c r="E93" s="24"/>
      <c r="F93" s="25"/>
      <c r="G93" s="23" t="s">
        <v>213</v>
      </c>
      <c r="H93" s="24"/>
      <c r="I93" s="25"/>
    </row>
    <row r="94" spans="1:10" ht="32" customHeight="1" x14ac:dyDescent="0.45">
      <c r="A94" s="10">
        <v>2</v>
      </c>
      <c r="B94" s="10" t="s">
        <v>218</v>
      </c>
      <c r="C94" s="2" t="s">
        <v>803</v>
      </c>
      <c r="D94" s="23" t="s">
        <v>804</v>
      </c>
      <c r="E94" s="24"/>
      <c r="F94" s="25"/>
      <c r="G94" s="23" t="s">
        <v>651</v>
      </c>
      <c r="H94" s="24"/>
      <c r="I94" s="25"/>
    </row>
    <row r="96" spans="1:10" x14ac:dyDescent="0.45">
      <c r="A96" s="28" t="s">
        <v>214</v>
      </c>
      <c r="B96" s="22"/>
      <c r="C96" s="22"/>
      <c r="D96" s="22"/>
      <c r="E96" s="22"/>
      <c r="F96" s="22"/>
      <c r="G96" s="22"/>
      <c r="H96" s="22"/>
      <c r="I96" s="22"/>
    </row>
    <row r="97" spans="1:9" x14ac:dyDescent="0.45">
      <c r="A97" s="3" t="s">
        <v>60</v>
      </c>
      <c r="B97" s="3" t="s">
        <v>215</v>
      </c>
      <c r="C97" s="3" t="s">
        <v>216</v>
      </c>
      <c r="D97" s="26" t="s">
        <v>211</v>
      </c>
      <c r="E97" s="24"/>
      <c r="F97" s="25"/>
      <c r="G97" s="26" t="s">
        <v>217</v>
      </c>
      <c r="H97" s="24"/>
      <c r="I97" s="25"/>
    </row>
    <row r="98" spans="1:9" ht="18" customHeight="1" x14ac:dyDescent="0.45">
      <c r="A98" s="10">
        <v>1</v>
      </c>
      <c r="B98" s="10" t="s">
        <v>218</v>
      </c>
      <c r="C98" s="2" t="s">
        <v>802</v>
      </c>
      <c r="D98" s="23" t="s">
        <v>172</v>
      </c>
      <c r="E98" s="24"/>
      <c r="F98" s="25"/>
      <c r="G98" s="23" t="s">
        <v>213</v>
      </c>
      <c r="H98" s="24"/>
      <c r="I98" s="25"/>
    </row>
    <row r="99" spans="1:9" ht="32" customHeight="1" x14ac:dyDescent="0.45">
      <c r="A99" s="10">
        <v>2</v>
      </c>
      <c r="B99" s="10" t="s">
        <v>218</v>
      </c>
      <c r="C99" s="2" t="s">
        <v>803</v>
      </c>
      <c r="D99" s="23" t="s">
        <v>804</v>
      </c>
      <c r="E99" s="24"/>
      <c r="F99" s="25"/>
      <c r="G99" s="23" t="s">
        <v>651</v>
      </c>
      <c r="H99" s="24"/>
      <c r="I99" s="25"/>
    </row>
    <row r="100" spans="1:9" ht="18" customHeight="1" x14ac:dyDescent="0.45">
      <c r="A100" s="10">
        <v>3</v>
      </c>
      <c r="B100" s="10" t="s">
        <v>220</v>
      </c>
      <c r="C100" s="2" t="s">
        <v>805</v>
      </c>
      <c r="D100" s="23" t="s">
        <v>806</v>
      </c>
      <c r="E100" s="24"/>
      <c r="F100" s="25"/>
      <c r="G100" s="23"/>
      <c r="H100" s="24"/>
      <c r="I100" s="25"/>
    </row>
    <row r="101" spans="1:9" ht="18" customHeight="1" x14ac:dyDescent="0.45">
      <c r="A101" s="10">
        <v>4</v>
      </c>
      <c r="B101" s="10" t="s">
        <v>220</v>
      </c>
      <c r="C101" s="2" t="s">
        <v>807</v>
      </c>
      <c r="D101" s="23" t="s">
        <v>383</v>
      </c>
      <c r="E101" s="24"/>
      <c r="F101" s="25"/>
      <c r="G101" s="23"/>
      <c r="H101" s="24"/>
      <c r="I101" s="25"/>
    </row>
    <row r="102" spans="1:9" ht="18" customHeight="1" x14ac:dyDescent="0.45">
      <c r="A102" s="10">
        <v>5</v>
      </c>
      <c r="B102" s="10" t="s">
        <v>220</v>
      </c>
      <c r="C102" s="2" t="s">
        <v>808</v>
      </c>
      <c r="D102" s="23" t="s">
        <v>660</v>
      </c>
      <c r="E102" s="24"/>
      <c r="F102" s="25"/>
      <c r="G102" s="23"/>
      <c r="H102" s="24"/>
      <c r="I102" s="25"/>
    </row>
    <row r="103" spans="1:9" ht="18" customHeight="1" x14ac:dyDescent="0.45">
      <c r="A103" s="10">
        <v>6</v>
      </c>
      <c r="B103" s="10" t="s">
        <v>220</v>
      </c>
      <c r="C103" s="2" t="s">
        <v>809</v>
      </c>
      <c r="D103" s="23" t="s">
        <v>119</v>
      </c>
      <c r="E103" s="24"/>
      <c r="F103" s="25"/>
      <c r="G103" s="23"/>
      <c r="H103" s="24"/>
      <c r="I103" s="25"/>
    </row>
    <row r="104" spans="1:9" ht="18" customHeight="1" x14ac:dyDescent="0.45">
      <c r="A104" s="10">
        <v>7</v>
      </c>
      <c r="B104" s="10" t="s">
        <v>220</v>
      </c>
      <c r="C104" s="2" t="s">
        <v>810</v>
      </c>
      <c r="D104" s="23" t="s">
        <v>811</v>
      </c>
      <c r="E104" s="24"/>
      <c r="F104" s="25"/>
      <c r="G104" s="23"/>
      <c r="H104" s="24"/>
      <c r="I104" s="25"/>
    </row>
  </sheetData>
  <mergeCells count="35">
    <mergeCell ref="A1:I1"/>
    <mergeCell ref="H5:I5"/>
    <mergeCell ref="G97:I97"/>
    <mergeCell ref="D101:F101"/>
    <mergeCell ref="E3:F3"/>
    <mergeCell ref="A3:B3"/>
    <mergeCell ref="G100:I100"/>
    <mergeCell ref="A96:I96"/>
    <mergeCell ref="G94:I94"/>
    <mergeCell ref="D98:F98"/>
    <mergeCell ref="G99:I99"/>
    <mergeCell ref="D94:F94"/>
    <mergeCell ref="C4:I4"/>
    <mergeCell ref="A5:B5"/>
    <mergeCell ref="D100:F100"/>
    <mergeCell ref="H3:I3"/>
    <mergeCell ref="A4:B4"/>
    <mergeCell ref="D99:F99"/>
    <mergeCell ref="G98:I98"/>
    <mergeCell ref="A6:B6"/>
    <mergeCell ref="D103:F103"/>
    <mergeCell ref="G104:I104"/>
    <mergeCell ref="D102:F102"/>
    <mergeCell ref="D93:F93"/>
    <mergeCell ref="C6:I6"/>
    <mergeCell ref="D92:F92"/>
    <mergeCell ref="A91:I91"/>
    <mergeCell ref="G102:I102"/>
    <mergeCell ref="D104:F104"/>
    <mergeCell ref="G101:I101"/>
    <mergeCell ref="G103:I103"/>
    <mergeCell ref="G93:I93"/>
    <mergeCell ref="E5:F5"/>
    <mergeCell ref="D97:F97"/>
    <mergeCell ref="G92:I92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9"/>
  <sheetViews>
    <sheetView showGridLines="0" workbookViewId="0">
      <pane ySplit="8" topLeftCell="A9" activePane="bottomLeft" state="frozen"/>
      <selection pane="bottomLeft"/>
    </sheetView>
  </sheetViews>
  <sheetFormatPr defaultRowHeight="17" x14ac:dyDescent="0.45"/>
  <cols>
    <col min="1" max="1" width="8" customWidth="1"/>
    <col min="2" max="2" width="28" customWidth="1"/>
    <col min="3" max="3" width="58" customWidth="1"/>
    <col min="4" max="4" width="20" customWidth="1"/>
    <col min="5" max="5" width="6" customWidth="1"/>
    <col min="6" max="6" width="5" customWidth="1"/>
    <col min="7" max="7" width="24" customWidth="1"/>
    <col min="8" max="8" width="14" customWidth="1"/>
    <col min="9" max="9" width="12" customWidth="1"/>
    <col min="10" max="10" width="13" hidden="1" customWidth="1"/>
  </cols>
  <sheetData>
    <row r="1" spans="1:10" ht="26" customHeight="1" x14ac:dyDescent="0.45">
      <c r="A1" s="20" t="s">
        <v>182</v>
      </c>
      <c r="B1" s="19"/>
      <c r="C1" s="19"/>
      <c r="D1" s="19"/>
      <c r="E1" s="19"/>
      <c r="F1" s="19"/>
      <c r="G1" s="19"/>
      <c r="H1" s="19"/>
      <c r="I1" s="19"/>
    </row>
    <row r="2" spans="1:10" x14ac:dyDescent="0.45">
      <c r="I2" s="13" t="s">
        <v>183</v>
      </c>
    </row>
    <row r="3" spans="1:10" x14ac:dyDescent="0.45">
      <c r="A3" s="27" t="s">
        <v>61</v>
      </c>
      <c r="B3" s="22"/>
      <c r="C3" s="4" t="s">
        <v>109</v>
      </c>
      <c r="D3" s="1" t="s">
        <v>3</v>
      </c>
      <c r="E3" s="23" t="s">
        <v>184</v>
      </c>
      <c r="F3" s="22"/>
      <c r="G3" s="1" t="s">
        <v>185</v>
      </c>
      <c r="H3" s="23" t="s">
        <v>186</v>
      </c>
      <c r="I3" s="22"/>
    </row>
    <row r="4" spans="1:10" ht="18" customHeight="1" x14ac:dyDescent="0.45">
      <c r="A4" s="27" t="s">
        <v>62</v>
      </c>
      <c r="B4" s="22"/>
      <c r="C4" s="23" t="s">
        <v>176</v>
      </c>
      <c r="D4" s="22"/>
      <c r="E4" s="22"/>
      <c r="F4" s="22"/>
      <c r="G4" s="22"/>
      <c r="H4" s="22"/>
      <c r="I4" s="22"/>
    </row>
    <row r="5" spans="1:10" x14ac:dyDescent="0.45">
      <c r="A5" s="27" t="s">
        <v>63</v>
      </c>
      <c r="B5" s="22"/>
      <c r="C5" s="2" t="s">
        <v>812</v>
      </c>
      <c r="D5" s="1" t="s">
        <v>18</v>
      </c>
      <c r="E5" s="21">
        <f>SUM(J9:J34)</f>
        <v>176</v>
      </c>
      <c r="F5" s="22"/>
      <c r="G5" s="1" t="s">
        <v>66</v>
      </c>
      <c r="H5" s="23" t="s">
        <v>180</v>
      </c>
      <c r="I5" s="22"/>
    </row>
    <row r="6" spans="1:10" ht="18" customHeight="1" x14ac:dyDescent="0.45">
      <c r="A6" s="27" t="s">
        <v>64</v>
      </c>
      <c r="B6" s="22"/>
      <c r="C6" s="23" t="s">
        <v>178</v>
      </c>
      <c r="D6" s="22"/>
      <c r="E6" s="22"/>
      <c r="F6" s="22"/>
      <c r="G6" s="22"/>
      <c r="H6" s="22"/>
      <c r="I6" s="22"/>
    </row>
    <row r="8" spans="1:10" x14ac:dyDescent="0.45">
      <c r="A8" s="3" t="s">
        <v>60</v>
      </c>
      <c r="B8" s="3" t="s">
        <v>188</v>
      </c>
      <c r="C8" s="3" t="s">
        <v>189</v>
      </c>
      <c r="D8" s="3" t="s">
        <v>34</v>
      </c>
      <c r="E8" s="3" t="s">
        <v>190</v>
      </c>
      <c r="F8" s="3" t="s">
        <v>191</v>
      </c>
      <c r="G8" s="3" t="s">
        <v>40</v>
      </c>
      <c r="H8" s="3" t="s">
        <v>192</v>
      </c>
      <c r="I8" s="3" t="s">
        <v>42</v>
      </c>
    </row>
    <row r="9" spans="1:10" x14ac:dyDescent="0.45">
      <c r="A9" s="10">
        <v>1</v>
      </c>
      <c r="B9" s="2" t="s">
        <v>403</v>
      </c>
      <c r="C9" s="2" t="s">
        <v>404</v>
      </c>
      <c r="D9" s="2" t="s">
        <v>234</v>
      </c>
      <c r="E9" s="10" t="s">
        <v>196</v>
      </c>
      <c r="F9" s="10"/>
      <c r="G9" s="2"/>
      <c r="H9" s="2"/>
      <c r="I9" s="10" t="s">
        <v>197</v>
      </c>
      <c r="J9" s="2">
        <v>1</v>
      </c>
    </row>
    <row r="10" spans="1:10" x14ac:dyDescent="0.45">
      <c r="A10" s="14">
        <v>2</v>
      </c>
      <c r="B10" s="15" t="s">
        <v>405</v>
      </c>
      <c r="C10" s="15" t="s">
        <v>813</v>
      </c>
      <c r="D10" s="15" t="s">
        <v>234</v>
      </c>
      <c r="E10" s="14" t="s">
        <v>196</v>
      </c>
      <c r="F10" s="14">
        <v>1</v>
      </c>
      <c r="G10" s="15" t="s">
        <v>111</v>
      </c>
      <c r="H10" s="15"/>
      <c r="I10" s="14" t="s">
        <v>197</v>
      </c>
      <c r="J10" s="15">
        <v>1</v>
      </c>
    </row>
    <row r="11" spans="1:10" x14ac:dyDescent="0.45">
      <c r="A11" s="10">
        <v>3</v>
      </c>
      <c r="B11" s="2" t="s">
        <v>260</v>
      </c>
      <c r="C11" s="2" t="s">
        <v>406</v>
      </c>
      <c r="D11" s="2" t="s">
        <v>234</v>
      </c>
      <c r="E11" s="10" t="s">
        <v>196</v>
      </c>
      <c r="F11" s="10"/>
      <c r="G11" s="2"/>
      <c r="H11" s="2"/>
      <c r="I11" s="10" t="s">
        <v>197</v>
      </c>
      <c r="J11" s="2">
        <v>1</v>
      </c>
    </row>
    <row r="12" spans="1:10" x14ac:dyDescent="0.45">
      <c r="A12" s="10">
        <v>4</v>
      </c>
      <c r="B12" s="2" t="s">
        <v>377</v>
      </c>
      <c r="C12" s="2" t="s">
        <v>814</v>
      </c>
      <c r="D12" s="2" t="s">
        <v>234</v>
      </c>
      <c r="E12" s="10" t="s">
        <v>196</v>
      </c>
      <c r="F12" s="10"/>
      <c r="G12" s="2" t="s">
        <v>128</v>
      </c>
      <c r="H12" s="2"/>
      <c r="I12" s="10" t="s">
        <v>197</v>
      </c>
      <c r="J12" s="2">
        <v>1</v>
      </c>
    </row>
    <row r="13" spans="1:10" x14ac:dyDescent="0.45">
      <c r="A13" s="10">
        <v>5</v>
      </c>
      <c r="B13" s="2" t="s">
        <v>258</v>
      </c>
      <c r="C13" s="2" t="s">
        <v>815</v>
      </c>
      <c r="D13" s="2" t="s">
        <v>234</v>
      </c>
      <c r="E13" s="10" t="s">
        <v>196</v>
      </c>
      <c r="F13" s="10"/>
      <c r="G13" s="2"/>
      <c r="H13" s="2"/>
      <c r="I13" s="10" t="s">
        <v>197</v>
      </c>
      <c r="J13" s="2">
        <v>1</v>
      </c>
    </row>
    <row r="14" spans="1:10" x14ac:dyDescent="0.45">
      <c r="A14" s="10">
        <v>6</v>
      </c>
      <c r="B14" s="2" t="s">
        <v>226</v>
      </c>
      <c r="C14" s="2" t="s">
        <v>816</v>
      </c>
      <c r="D14" s="2" t="s">
        <v>228</v>
      </c>
      <c r="E14" s="10" t="s">
        <v>196</v>
      </c>
      <c r="F14" s="10"/>
      <c r="G14" s="2" t="s">
        <v>79</v>
      </c>
      <c r="H14" s="2"/>
      <c r="I14" s="10" t="s">
        <v>197</v>
      </c>
      <c r="J14" s="2">
        <v>1</v>
      </c>
    </row>
    <row r="15" spans="1:10" x14ac:dyDescent="0.45">
      <c r="A15" s="10">
        <v>7</v>
      </c>
      <c r="B15" s="2" t="s">
        <v>410</v>
      </c>
      <c r="C15" s="2" t="s">
        <v>411</v>
      </c>
      <c r="D15" s="2" t="s">
        <v>234</v>
      </c>
      <c r="E15" s="10" t="s">
        <v>202</v>
      </c>
      <c r="F15" s="10"/>
      <c r="G15" s="2"/>
      <c r="H15" s="2"/>
      <c r="I15" s="10" t="s">
        <v>197</v>
      </c>
      <c r="J15" s="2">
        <v>1</v>
      </c>
    </row>
    <row r="16" spans="1:10" x14ac:dyDescent="0.45">
      <c r="A16" s="10">
        <v>8</v>
      </c>
      <c r="B16" s="2" t="s">
        <v>263</v>
      </c>
      <c r="C16" s="2" t="s">
        <v>412</v>
      </c>
      <c r="D16" s="2" t="s">
        <v>234</v>
      </c>
      <c r="E16" s="10" t="s">
        <v>196</v>
      </c>
      <c r="F16" s="10"/>
      <c r="G16" s="2"/>
      <c r="H16" s="2"/>
      <c r="I16" s="10" t="s">
        <v>197</v>
      </c>
      <c r="J16" s="2">
        <v>1</v>
      </c>
    </row>
    <row r="17" spans="1:10" x14ac:dyDescent="0.45">
      <c r="A17" s="10">
        <v>9</v>
      </c>
      <c r="B17" s="2" t="s">
        <v>119</v>
      </c>
      <c r="C17" s="2" t="s">
        <v>413</v>
      </c>
      <c r="D17" s="2" t="s">
        <v>356</v>
      </c>
      <c r="E17" s="10" t="s">
        <v>196</v>
      </c>
      <c r="F17" s="10"/>
      <c r="G17" s="2" t="s">
        <v>817</v>
      </c>
      <c r="H17" s="2"/>
      <c r="I17" s="10" t="s">
        <v>197</v>
      </c>
      <c r="J17" s="2">
        <v>1</v>
      </c>
    </row>
    <row r="18" spans="1:10" x14ac:dyDescent="0.45">
      <c r="A18" s="10">
        <v>10</v>
      </c>
      <c r="B18" s="2" t="s">
        <v>265</v>
      </c>
      <c r="C18" s="2" t="s">
        <v>818</v>
      </c>
      <c r="D18" s="2" t="s">
        <v>234</v>
      </c>
      <c r="E18" s="10" t="s">
        <v>196</v>
      </c>
      <c r="F18" s="10"/>
      <c r="G18" s="2"/>
      <c r="H18" s="2"/>
      <c r="I18" s="10" t="s">
        <v>197</v>
      </c>
      <c r="J18" s="2">
        <v>1</v>
      </c>
    </row>
    <row r="19" spans="1:10" x14ac:dyDescent="0.45">
      <c r="A19" s="14">
        <v>11</v>
      </c>
      <c r="B19" s="15" t="s">
        <v>193</v>
      </c>
      <c r="C19" s="15" t="s">
        <v>194</v>
      </c>
      <c r="D19" s="15" t="s">
        <v>356</v>
      </c>
      <c r="E19" s="14" t="s">
        <v>196</v>
      </c>
      <c r="F19" s="14">
        <v>2</v>
      </c>
      <c r="G19" s="15" t="s">
        <v>170</v>
      </c>
      <c r="H19" s="15"/>
      <c r="I19" s="14" t="s">
        <v>197</v>
      </c>
      <c r="J19" s="15">
        <v>1</v>
      </c>
    </row>
    <row r="20" spans="1:10" x14ac:dyDescent="0.45">
      <c r="A20" s="10">
        <v>12</v>
      </c>
      <c r="B20" s="2" t="s">
        <v>662</v>
      </c>
      <c r="C20" s="2" t="s">
        <v>819</v>
      </c>
      <c r="D20" s="2" t="s">
        <v>234</v>
      </c>
      <c r="E20" s="10" t="s">
        <v>202</v>
      </c>
      <c r="F20" s="10"/>
      <c r="G20" s="2"/>
      <c r="H20" s="2"/>
      <c r="I20" s="10" t="s">
        <v>197</v>
      </c>
      <c r="J20" s="2">
        <v>1</v>
      </c>
    </row>
    <row r="21" spans="1:10" x14ac:dyDescent="0.45">
      <c r="A21" s="10">
        <v>13</v>
      </c>
      <c r="B21" s="2" t="s">
        <v>605</v>
      </c>
      <c r="C21" s="2" t="s">
        <v>820</v>
      </c>
      <c r="D21" s="2" t="s">
        <v>228</v>
      </c>
      <c r="E21" s="10" t="s">
        <v>202</v>
      </c>
      <c r="F21" s="10"/>
      <c r="G21" s="2"/>
      <c r="H21" s="2"/>
      <c r="I21" s="10" t="s">
        <v>197</v>
      </c>
      <c r="J21" s="2">
        <v>1</v>
      </c>
    </row>
    <row r="22" spans="1:10" x14ac:dyDescent="0.45">
      <c r="A22" s="10">
        <v>14</v>
      </c>
      <c r="B22" s="2" t="s">
        <v>607</v>
      </c>
      <c r="C22" s="2" t="s">
        <v>821</v>
      </c>
      <c r="D22" s="2" t="s">
        <v>234</v>
      </c>
      <c r="E22" s="10" t="s">
        <v>202</v>
      </c>
      <c r="F22" s="10"/>
      <c r="G22" s="2"/>
      <c r="H22" s="2"/>
      <c r="I22" s="10" t="s">
        <v>197</v>
      </c>
      <c r="J22" s="2">
        <v>1</v>
      </c>
    </row>
    <row r="23" spans="1:10" x14ac:dyDescent="0.45">
      <c r="A23" s="10">
        <v>15</v>
      </c>
      <c r="B23" s="2" t="s">
        <v>656</v>
      </c>
      <c r="C23" s="2" t="s">
        <v>822</v>
      </c>
      <c r="D23" s="2" t="s">
        <v>397</v>
      </c>
      <c r="E23" s="10" t="s">
        <v>202</v>
      </c>
      <c r="F23" s="10"/>
      <c r="G23" s="2"/>
      <c r="H23" s="2"/>
      <c r="I23" s="10" t="s">
        <v>197</v>
      </c>
      <c r="J23" s="2">
        <v>1</v>
      </c>
    </row>
    <row r="24" spans="1:10" x14ac:dyDescent="0.45">
      <c r="A24" s="10">
        <v>16</v>
      </c>
      <c r="B24" s="2" t="s">
        <v>496</v>
      </c>
      <c r="C24" s="2" t="s">
        <v>823</v>
      </c>
      <c r="D24" s="2" t="s">
        <v>397</v>
      </c>
      <c r="E24" s="10" t="s">
        <v>202</v>
      </c>
      <c r="F24" s="10"/>
      <c r="G24" s="2"/>
      <c r="H24" s="2"/>
      <c r="I24" s="10" t="s">
        <v>197</v>
      </c>
      <c r="J24" s="2">
        <v>1</v>
      </c>
    </row>
    <row r="25" spans="1:10" x14ac:dyDescent="0.45">
      <c r="A25" s="10">
        <v>17</v>
      </c>
      <c r="B25" s="2" t="s">
        <v>381</v>
      </c>
      <c r="C25" s="2" t="s">
        <v>824</v>
      </c>
      <c r="D25" s="2" t="s">
        <v>300</v>
      </c>
      <c r="E25" s="10" t="s">
        <v>196</v>
      </c>
      <c r="F25" s="10"/>
      <c r="G25" s="2"/>
      <c r="H25" s="2"/>
      <c r="I25" s="10" t="s">
        <v>197</v>
      </c>
      <c r="J25" s="2">
        <v>1</v>
      </c>
    </row>
    <row r="26" spans="1:10" x14ac:dyDescent="0.45">
      <c r="A26" s="10">
        <v>18</v>
      </c>
      <c r="B26" s="2" t="s">
        <v>383</v>
      </c>
      <c r="C26" s="2" t="s">
        <v>825</v>
      </c>
      <c r="D26" s="2" t="s">
        <v>300</v>
      </c>
      <c r="E26" s="10" t="s">
        <v>196</v>
      </c>
      <c r="F26" s="10"/>
      <c r="G26" s="2"/>
      <c r="H26" s="2"/>
      <c r="I26" s="10" t="s">
        <v>197</v>
      </c>
      <c r="J26" s="2">
        <v>1</v>
      </c>
    </row>
    <row r="27" spans="1:10" x14ac:dyDescent="0.45">
      <c r="A27" s="10">
        <v>19</v>
      </c>
      <c r="B27" s="2" t="s">
        <v>826</v>
      </c>
      <c r="C27" s="2" t="s">
        <v>827</v>
      </c>
      <c r="D27" s="2" t="s">
        <v>397</v>
      </c>
      <c r="E27" s="10" t="s">
        <v>202</v>
      </c>
      <c r="F27" s="10"/>
      <c r="G27" s="2"/>
      <c r="H27" s="2"/>
      <c r="I27" s="10" t="s">
        <v>197</v>
      </c>
      <c r="J27" s="2">
        <v>1</v>
      </c>
    </row>
    <row r="28" spans="1:10" x14ac:dyDescent="0.45">
      <c r="A28" s="10">
        <v>20</v>
      </c>
      <c r="B28" s="2" t="s">
        <v>416</v>
      </c>
      <c r="C28" s="2" t="s">
        <v>828</v>
      </c>
      <c r="D28" s="2" t="s">
        <v>397</v>
      </c>
      <c r="E28" s="10" t="s">
        <v>202</v>
      </c>
      <c r="F28" s="10"/>
      <c r="G28" s="2"/>
      <c r="H28" s="2"/>
      <c r="I28" s="10" t="s">
        <v>289</v>
      </c>
      <c r="J28" s="2">
        <v>1</v>
      </c>
    </row>
    <row r="29" spans="1:10" x14ac:dyDescent="0.45">
      <c r="A29" s="10">
        <v>21</v>
      </c>
      <c r="B29" s="2" t="s">
        <v>418</v>
      </c>
      <c r="C29" s="2" t="s">
        <v>829</v>
      </c>
      <c r="D29" s="2" t="s">
        <v>195</v>
      </c>
      <c r="E29" s="10" t="s">
        <v>202</v>
      </c>
      <c r="F29" s="10"/>
      <c r="G29" s="2"/>
      <c r="H29" s="2"/>
      <c r="I29" s="10" t="s">
        <v>197</v>
      </c>
      <c r="J29" s="2">
        <v>1</v>
      </c>
    </row>
    <row r="30" spans="1:10" x14ac:dyDescent="0.45">
      <c r="A30" s="10">
        <v>22</v>
      </c>
      <c r="B30" s="2" t="s">
        <v>420</v>
      </c>
      <c r="C30" s="2" t="s">
        <v>830</v>
      </c>
      <c r="D30" s="2" t="s">
        <v>195</v>
      </c>
      <c r="E30" s="10" t="s">
        <v>202</v>
      </c>
      <c r="F30" s="10"/>
      <c r="G30" s="2"/>
      <c r="H30" s="2"/>
      <c r="I30" s="10" t="s">
        <v>197</v>
      </c>
      <c r="J30" s="2">
        <v>1</v>
      </c>
    </row>
    <row r="31" spans="1:10" x14ac:dyDescent="0.45">
      <c r="A31" s="10">
        <v>23</v>
      </c>
      <c r="B31" s="2" t="s">
        <v>422</v>
      </c>
      <c r="C31" s="2" t="s">
        <v>423</v>
      </c>
      <c r="D31" s="2" t="s">
        <v>195</v>
      </c>
      <c r="E31" s="10" t="s">
        <v>202</v>
      </c>
      <c r="F31" s="10"/>
      <c r="G31" s="2"/>
      <c r="H31" s="2"/>
      <c r="I31" s="10" t="s">
        <v>289</v>
      </c>
      <c r="J31" s="2">
        <v>1</v>
      </c>
    </row>
    <row r="32" spans="1:10" x14ac:dyDescent="0.45">
      <c r="A32" s="10">
        <v>24</v>
      </c>
      <c r="B32" s="2" t="s">
        <v>424</v>
      </c>
      <c r="C32" s="2" t="s">
        <v>831</v>
      </c>
      <c r="D32" s="2" t="s">
        <v>397</v>
      </c>
      <c r="E32" s="10" t="s">
        <v>202</v>
      </c>
      <c r="F32" s="10"/>
      <c r="G32" s="2"/>
      <c r="H32" s="2"/>
      <c r="I32" s="10" t="s">
        <v>197</v>
      </c>
      <c r="J32" s="2">
        <v>1</v>
      </c>
    </row>
    <row r="33" spans="1:10" x14ac:dyDescent="0.45">
      <c r="A33" s="10">
        <v>25</v>
      </c>
      <c r="B33" s="2" t="s">
        <v>124</v>
      </c>
      <c r="C33" s="2" t="s">
        <v>801</v>
      </c>
      <c r="D33" s="2" t="s">
        <v>195</v>
      </c>
      <c r="E33" s="10" t="s">
        <v>202</v>
      </c>
      <c r="F33" s="10"/>
      <c r="G33" s="2" t="s">
        <v>122</v>
      </c>
      <c r="H33" s="2"/>
      <c r="I33" s="10" t="s">
        <v>197</v>
      </c>
      <c r="J33" s="2">
        <v>1</v>
      </c>
    </row>
    <row r="34" spans="1:10" x14ac:dyDescent="0.45">
      <c r="A34" s="16" t="s">
        <v>832</v>
      </c>
      <c r="B34" s="17" t="s">
        <v>429</v>
      </c>
      <c r="C34" s="17" t="s">
        <v>833</v>
      </c>
      <c r="D34" s="17" t="s">
        <v>397</v>
      </c>
      <c r="E34" s="16" t="s">
        <v>202</v>
      </c>
      <c r="F34" s="16"/>
      <c r="G34" s="17"/>
      <c r="H34" s="17"/>
      <c r="I34" s="16" t="s">
        <v>197</v>
      </c>
      <c r="J34" s="17">
        <v>151</v>
      </c>
    </row>
    <row r="36" spans="1:10" x14ac:dyDescent="0.45">
      <c r="A36" s="28" t="s">
        <v>208</v>
      </c>
      <c r="B36" s="22"/>
      <c r="C36" s="22"/>
      <c r="D36" s="22"/>
      <c r="E36" s="22"/>
      <c r="F36" s="22"/>
      <c r="G36" s="22"/>
      <c r="H36" s="22"/>
      <c r="I36" s="22"/>
    </row>
    <row r="37" spans="1:10" x14ac:dyDescent="0.45">
      <c r="A37" s="3" t="s">
        <v>60</v>
      </c>
      <c r="B37" s="3" t="s">
        <v>209</v>
      </c>
      <c r="C37" s="3" t="s">
        <v>210</v>
      </c>
      <c r="D37" s="26" t="s">
        <v>211</v>
      </c>
      <c r="E37" s="24"/>
      <c r="F37" s="25"/>
      <c r="G37" s="26" t="s">
        <v>23</v>
      </c>
      <c r="H37" s="24"/>
      <c r="I37" s="25"/>
    </row>
    <row r="38" spans="1:10" ht="18" customHeight="1" x14ac:dyDescent="0.45">
      <c r="A38" s="10">
        <v>1</v>
      </c>
      <c r="B38" s="10" t="s">
        <v>191</v>
      </c>
      <c r="C38" s="2" t="s">
        <v>834</v>
      </c>
      <c r="D38" s="23" t="s">
        <v>177</v>
      </c>
      <c r="E38" s="24"/>
      <c r="F38" s="25"/>
      <c r="G38" s="23" t="s">
        <v>213</v>
      </c>
      <c r="H38" s="24"/>
      <c r="I38" s="25"/>
    </row>
    <row r="40" spans="1:10" x14ac:dyDescent="0.45">
      <c r="A40" s="28" t="s">
        <v>214</v>
      </c>
      <c r="B40" s="22"/>
      <c r="C40" s="22"/>
      <c r="D40" s="22"/>
      <c r="E40" s="22"/>
      <c r="F40" s="22"/>
      <c r="G40" s="22"/>
      <c r="H40" s="22"/>
      <c r="I40" s="22"/>
    </row>
    <row r="41" spans="1:10" x14ac:dyDescent="0.45">
      <c r="A41" s="3" t="s">
        <v>60</v>
      </c>
      <c r="B41" s="3" t="s">
        <v>215</v>
      </c>
      <c r="C41" s="3" t="s">
        <v>216</v>
      </c>
      <c r="D41" s="26" t="s">
        <v>211</v>
      </c>
      <c r="E41" s="24"/>
      <c r="F41" s="25"/>
      <c r="G41" s="26" t="s">
        <v>217</v>
      </c>
      <c r="H41" s="24"/>
      <c r="I41" s="25"/>
    </row>
    <row r="42" spans="1:10" ht="32" customHeight="1" x14ac:dyDescent="0.45">
      <c r="A42" s="10">
        <v>1</v>
      </c>
      <c r="B42" s="10" t="s">
        <v>220</v>
      </c>
      <c r="C42" s="2" t="s">
        <v>835</v>
      </c>
      <c r="D42" s="23" t="s">
        <v>836</v>
      </c>
      <c r="E42" s="24"/>
      <c r="F42" s="25"/>
      <c r="G42" s="23"/>
      <c r="H42" s="24"/>
      <c r="I42" s="25"/>
    </row>
    <row r="43" spans="1:10" ht="32" customHeight="1" x14ac:dyDescent="0.45">
      <c r="A43" s="10">
        <v>2</v>
      </c>
      <c r="B43" s="10" t="s">
        <v>220</v>
      </c>
      <c r="C43" s="2" t="s">
        <v>837</v>
      </c>
      <c r="D43" s="23" t="s">
        <v>838</v>
      </c>
      <c r="E43" s="24"/>
      <c r="F43" s="25"/>
      <c r="G43" s="23"/>
      <c r="H43" s="24"/>
      <c r="I43" s="25"/>
    </row>
    <row r="44" spans="1:10" ht="18" customHeight="1" x14ac:dyDescent="0.45">
      <c r="A44" s="10">
        <v>3</v>
      </c>
      <c r="B44" s="10" t="s">
        <v>220</v>
      </c>
      <c r="C44" s="2" t="s">
        <v>839</v>
      </c>
      <c r="D44" s="23" t="s">
        <v>263</v>
      </c>
      <c r="E44" s="24"/>
      <c r="F44" s="25"/>
      <c r="G44" s="23"/>
      <c r="H44" s="24"/>
      <c r="I44" s="25"/>
    </row>
    <row r="45" spans="1:10" ht="18" customHeight="1" x14ac:dyDescent="0.45">
      <c r="A45" s="10">
        <v>4</v>
      </c>
      <c r="B45" s="10" t="s">
        <v>220</v>
      </c>
      <c r="C45" s="2" t="s">
        <v>840</v>
      </c>
      <c r="D45" s="23" t="s">
        <v>265</v>
      </c>
      <c r="E45" s="24"/>
      <c r="F45" s="25"/>
      <c r="G45" s="23"/>
      <c r="H45" s="24"/>
      <c r="I45" s="25"/>
    </row>
    <row r="46" spans="1:10" ht="18" customHeight="1" x14ac:dyDescent="0.45">
      <c r="A46" s="10">
        <v>5</v>
      </c>
      <c r="B46" s="10" t="s">
        <v>220</v>
      </c>
      <c r="C46" s="2" t="s">
        <v>841</v>
      </c>
      <c r="D46" s="23" t="s">
        <v>377</v>
      </c>
      <c r="E46" s="24"/>
      <c r="F46" s="25"/>
      <c r="G46" s="23"/>
      <c r="H46" s="24"/>
      <c r="I46" s="25"/>
    </row>
    <row r="47" spans="1:10" ht="18" customHeight="1" x14ac:dyDescent="0.45">
      <c r="A47" s="10">
        <v>6</v>
      </c>
      <c r="B47" s="10" t="s">
        <v>220</v>
      </c>
      <c r="C47" s="2" t="s">
        <v>842</v>
      </c>
      <c r="D47" s="23" t="s">
        <v>193</v>
      </c>
      <c r="E47" s="24"/>
      <c r="F47" s="25"/>
      <c r="G47" s="23"/>
      <c r="H47" s="24"/>
      <c r="I47" s="25"/>
    </row>
    <row r="48" spans="1:10" ht="18" customHeight="1" x14ac:dyDescent="0.45">
      <c r="A48" s="10">
        <v>7</v>
      </c>
      <c r="B48" s="10" t="s">
        <v>220</v>
      </c>
      <c r="C48" s="2" t="s">
        <v>843</v>
      </c>
      <c r="D48" s="23" t="s">
        <v>119</v>
      </c>
      <c r="E48" s="24"/>
      <c r="F48" s="25"/>
      <c r="G48" s="23"/>
      <c r="H48" s="24"/>
      <c r="I48" s="25"/>
    </row>
    <row r="49" spans="1:9" ht="18" customHeight="1" x14ac:dyDescent="0.45">
      <c r="A49" s="10">
        <v>8</v>
      </c>
      <c r="B49" s="10" t="s">
        <v>218</v>
      </c>
      <c r="C49" s="2" t="s">
        <v>834</v>
      </c>
      <c r="D49" s="23" t="s">
        <v>177</v>
      </c>
      <c r="E49" s="24"/>
      <c r="F49" s="25"/>
      <c r="G49" s="23" t="s">
        <v>213</v>
      </c>
      <c r="H49" s="24"/>
      <c r="I49" s="25"/>
    </row>
  </sheetData>
  <mergeCells count="35">
    <mergeCell ref="A1:I1"/>
    <mergeCell ref="H5:I5"/>
    <mergeCell ref="G48:I48"/>
    <mergeCell ref="D45:F45"/>
    <mergeCell ref="E3:F3"/>
    <mergeCell ref="A3:B3"/>
    <mergeCell ref="D42:F42"/>
    <mergeCell ref="G47:I47"/>
    <mergeCell ref="D38:F38"/>
    <mergeCell ref="G44:I44"/>
    <mergeCell ref="G41:I41"/>
    <mergeCell ref="C4:I4"/>
    <mergeCell ref="A5:B5"/>
    <mergeCell ref="G46:I46"/>
    <mergeCell ref="A40:I40"/>
    <mergeCell ref="D44:F44"/>
    <mergeCell ref="G43:I43"/>
    <mergeCell ref="H3:I3"/>
    <mergeCell ref="A4:B4"/>
    <mergeCell ref="G42:I42"/>
    <mergeCell ref="A36:I36"/>
    <mergeCell ref="G49:I49"/>
    <mergeCell ref="D47:F47"/>
    <mergeCell ref="A6:B6"/>
    <mergeCell ref="D43:F43"/>
    <mergeCell ref="D37:F37"/>
    <mergeCell ref="G45:I45"/>
    <mergeCell ref="C6:I6"/>
    <mergeCell ref="D49:F49"/>
    <mergeCell ref="D46:F46"/>
    <mergeCell ref="G38:I38"/>
    <mergeCell ref="D41:F41"/>
    <mergeCell ref="G37:I37"/>
    <mergeCell ref="E5:F5"/>
    <mergeCell ref="D48:F48"/>
  </mergeCells>
  <phoneticPr fontId="8" type="noConversion"/>
  <hyperlinks>
    <hyperlink ref="I2" location="'테이블 목록'!A1" display="&lt;- 테이블 목록"/>
  </hyperlinks>
  <printOptions horizontalCentered="1"/>
  <pageMargins left="0.75" right="0.75" top="1" bottom="1" header="0.5" footer="0.5"/>
  <pageSetup paperSize="9"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showGridLines="0" workbookViewId="0">
      <pane ySplit="4" topLeftCell="A5" activePane="bottomLeft" state="frozen"/>
      <selection pane="bottomLeft"/>
    </sheetView>
  </sheetViews>
  <sheetFormatPr defaultRowHeight="17" x14ac:dyDescent="0.45"/>
  <cols>
    <col min="1" max="1" width="5" customWidth="1"/>
    <col min="2" max="2" width="24" customWidth="1"/>
    <col min="3" max="3" width="30" customWidth="1"/>
    <col min="4" max="4" width="24" customWidth="1"/>
    <col min="5" max="5" width="30" customWidth="1"/>
    <col min="6" max="6" width="60" customWidth="1"/>
  </cols>
  <sheetData>
    <row r="1" spans="1:6" ht="26" customHeight="1" x14ac:dyDescent="0.45">
      <c r="A1" s="20" t="s">
        <v>844</v>
      </c>
      <c r="B1" s="19"/>
      <c r="C1" s="19"/>
      <c r="D1" s="19"/>
      <c r="E1" s="19"/>
      <c r="F1" s="19"/>
    </row>
    <row r="2" spans="1:6" x14ac:dyDescent="0.45">
      <c r="A2" s="29" t="s">
        <v>845</v>
      </c>
      <c r="B2" s="19"/>
      <c r="C2" s="19"/>
      <c r="D2" s="19"/>
      <c r="E2" s="19"/>
      <c r="F2" s="19"/>
    </row>
    <row r="4" spans="1:6" x14ac:dyDescent="0.45">
      <c r="A4" s="3" t="s">
        <v>60</v>
      </c>
      <c r="B4" s="3" t="s">
        <v>846</v>
      </c>
      <c r="C4" s="3" t="s">
        <v>847</v>
      </c>
      <c r="D4" s="3" t="s">
        <v>848</v>
      </c>
      <c r="E4" s="3" t="s">
        <v>849</v>
      </c>
      <c r="F4" s="3" t="s">
        <v>850</v>
      </c>
    </row>
    <row r="5" spans="1:6" ht="32" x14ac:dyDescent="0.45">
      <c r="A5" s="10">
        <v>1</v>
      </c>
      <c r="B5" s="2" t="s">
        <v>170</v>
      </c>
      <c r="C5" s="2" t="s">
        <v>113</v>
      </c>
      <c r="D5" s="2" t="s">
        <v>111</v>
      </c>
      <c r="E5" s="2" t="s">
        <v>113</v>
      </c>
      <c r="F5" s="2" t="s">
        <v>851</v>
      </c>
    </row>
    <row r="6" spans="1:6" x14ac:dyDescent="0.45">
      <c r="A6" s="10">
        <v>2</v>
      </c>
      <c r="B6" s="2" t="s">
        <v>109</v>
      </c>
      <c r="C6" s="2" t="s">
        <v>852</v>
      </c>
      <c r="D6" s="2" t="s">
        <v>170</v>
      </c>
      <c r="E6" s="2" t="s">
        <v>852</v>
      </c>
      <c r="F6" s="2" t="s">
        <v>853</v>
      </c>
    </row>
    <row r="7" spans="1:6" x14ac:dyDescent="0.45">
      <c r="A7" s="10">
        <v>3</v>
      </c>
      <c r="B7" s="2" t="s">
        <v>109</v>
      </c>
      <c r="C7" s="2" t="s">
        <v>854</v>
      </c>
      <c r="D7" s="2" t="s">
        <v>111</v>
      </c>
      <c r="E7" s="2" t="s">
        <v>113</v>
      </c>
      <c r="F7" s="2" t="s">
        <v>855</v>
      </c>
    </row>
    <row r="8" spans="1:6" ht="32" x14ac:dyDescent="0.45">
      <c r="A8" s="10">
        <v>4</v>
      </c>
      <c r="B8" s="2" t="s">
        <v>117</v>
      </c>
      <c r="C8" s="2" t="s">
        <v>119</v>
      </c>
      <c r="D8" s="2" t="s">
        <v>111</v>
      </c>
      <c r="E8" s="2" t="s">
        <v>119</v>
      </c>
      <c r="F8" s="2" t="s">
        <v>856</v>
      </c>
    </row>
    <row r="9" spans="1:6" ht="32" x14ac:dyDescent="0.45">
      <c r="A9" s="10">
        <v>5</v>
      </c>
      <c r="B9" s="2" t="s">
        <v>111</v>
      </c>
      <c r="C9" s="2" t="s">
        <v>857</v>
      </c>
      <c r="D9" s="2" t="s">
        <v>128</v>
      </c>
      <c r="E9" s="2" t="s">
        <v>858</v>
      </c>
      <c r="F9" s="2" t="s">
        <v>859</v>
      </c>
    </row>
    <row r="10" spans="1:6" x14ac:dyDescent="0.45">
      <c r="A10" s="10">
        <v>6</v>
      </c>
      <c r="B10" s="2" t="s">
        <v>111</v>
      </c>
      <c r="C10" s="2" t="s">
        <v>857</v>
      </c>
      <c r="D10" s="2" t="s">
        <v>149</v>
      </c>
      <c r="E10" s="2" t="s">
        <v>151</v>
      </c>
      <c r="F10" s="2" t="s">
        <v>860</v>
      </c>
    </row>
    <row r="11" spans="1:6" ht="32" x14ac:dyDescent="0.45">
      <c r="A11" s="10">
        <v>7</v>
      </c>
      <c r="B11" s="2" t="s">
        <v>111</v>
      </c>
      <c r="C11" s="2" t="s">
        <v>263</v>
      </c>
      <c r="D11" s="2" t="s">
        <v>358</v>
      </c>
      <c r="E11" s="2" t="s">
        <v>861</v>
      </c>
      <c r="F11" s="2" t="s">
        <v>862</v>
      </c>
    </row>
    <row r="12" spans="1:6" ht="32" x14ac:dyDescent="0.45">
      <c r="A12" s="10">
        <v>8</v>
      </c>
      <c r="B12" s="2" t="s">
        <v>170</v>
      </c>
      <c r="C12" s="2" t="s">
        <v>806</v>
      </c>
      <c r="D12" s="2" t="s">
        <v>137</v>
      </c>
      <c r="E12" s="2" t="s">
        <v>806</v>
      </c>
      <c r="F12" s="2" t="s">
        <v>863</v>
      </c>
    </row>
    <row r="13" spans="1:6" x14ac:dyDescent="0.45">
      <c r="A13" s="10">
        <v>9</v>
      </c>
      <c r="B13" s="2" t="s">
        <v>170</v>
      </c>
      <c r="C13" s="2" t="s">
        <v>226</v>
      </c>
      <c r="D13" s="2" t="s">
        <v>95</v>
      </c>
      <c r="E13" s="2" t="s">
        <v>226</v>
      </c>
      <c r="F13" s="2" t="s">
        <v>864</v>
      </c>
    </row>
    <row r="14" spans="1:6" ht="32" x14ac:dyDescent="0.45">
      <c r="A14" s="10">
        <v>10</v>
      </c>
      <c r="B14" s="2" t="s">
        <v>170</v>
      </c>
      <c r="C14" s="2" t="s">
        <v>124</v>
      </c>
      <c r="D14" s="2" t="s">
        <v>122</v>
      </c>
      <c r="E14" s="2" t="s">
        <v>124</v>
      </c>
      <c r="F14" s="2" t="s">
        <v>865</v>
      </c>
    </row>
    <row r="15" spans="1:6" x14ac:dyDescent="0.45">
      <c r="A15" s="10">
        <v>11</v>
      </c>
      <c r="B15" s="2" t="s">
        <v>109</v>
      </c>
      <c r="C15" s="2" t="s">
        <v>124</v>
      </c>
      <c r="D15" s="2" t="s">
        <v>122</v>
      </c>
      <c r="E15" s="2" t="s">
        <v>124</v>
      </c>
      <c r="F15" s="2" t="s">
        <v>866</v>
      </c>
    </row>
    <row r="16" spans="1:6" ht="32" x14ac:dyDescent="0.45">
      <c r="A16" s="10">
        <v>12</v>
      </c>
      <c r="B16" s="2" t="s">
        <v>109</v>
      </c>
      <c r="C16" s="2" t="s">
        <v>377</v>
      </c>
      <c r="D16" s="2" t="s">
        <v>128</v>
      </c>
      <c r="E16" s="2" t="s">
        <v>467</v>
      </c>
      <c r="F16" s="2" t="s">
        <v>867</v>
      </c>
    </row>
    <row r="17" spans="1:6" ht="32" x14ac:dyDescent="0.45">
      <c r="A17" s="10">
        <v>13</v>
      </c>
      <c r="B17" s="2" t="s">
        <v>109</v>
      </c>
      <c r="C17" s="2" t="s">
        <v>226</v>
      </c>
      <c r="D17" s="2" t="s">
        <v>79</v>
      </c>
      <c r="E17" s="2" t="s">
        <v>226</v>
      </c>
      <c r="F17" s="2" t="s">
        <v>868</v>
      </c>
    </row>
    <row r="18" spans="1:6" x14ac:dyDescent="0.45">
      <c r="A18" s="10">
        <v>14</v>
      </c>
      <c r="B18" s="2" t="s">
        <v>137</v>
      </c>
      <c r="C18" s="2" t="s">
        <v>869</v>
      </c>
      <c r="D18" s="2" t="s">
        <v>95</v>
      </c>
      <c r="E18" s="2" t="s">
        <v>869</v>
      </c>
      <c r="F18" s="2" t="s">
        <v>870</v>
      </c>
    </row>
    <row r="19" spans="1:6" ht="32" x14ac:dyDescent="0.45">
      <c r="A19" s="10">
        <v>15</v>
      </c>
      <c r="B19" s="2" t="s">
        <v>155</v>
      </c>
      <c r="C19" s="2" t="s">
        <v>371</v>
      </c>
      <c r="D19" s="2" t="s">
        <v>149</v>
      </c>
      <c r="E19" s="2" t="s">
        <v>260</v>
      </c>
      <c r="F19" s="2" t="s">
        <v>871</v>
      </c>
    </row>
    <row r="20" spans="1:6" x14ac:dyDescent="0.45">
      <c r="A20" s="10">
        <v>16</v>
      </c>
      <c r="B20" s="2" t="s">
        <v>79</v>
      </c>
      <c r="C20" s="2" t="s">
        <v>226</v>
      </c>
      <c r="D20" s="2" t="s">
        <v>155</v>
      </c>
      <c r="E20" s="2" t="s">
        <v>226</v>
      </c>
      <c r="F20" s="2" t="s">
        <v>872</v>
      </c>
    </row>
    <row r="21" spans="1:6" x14ac:dyDescent="0.45">
      <c r="A21" s="10">
        <v>17</v>
      </c>
      <c r="B21" s="2" t="s">
        <v>149</v>
      </c>
      <c r="C21" s="2" t="s">
        <v>467</v>
      </c>
      <c r="D21" s="2" t="s">
        <v>128</v>
      </c>
      <c r="E21" s="2" t="s">
        <v>467</v>
      </c>
      <c r="F21" s="2" t="s">
        <v>873</v>
      </c>
    </row>
    <row r="22" spans="1:6" ht="32" x14ac:dyDescent="0.45">
      <c r="A22" s="10">
        <v>18</v>
      </c>
      <c r="B22" s="2" t="s">
        <v>161</v>
      </c>
      <c r="C22" s="2" t="s">
        <v>467</v>
      </c>
      <c r="D22" s="2" t="s">
        <v>128</v>
      </c>
      <c r="E22" s="2" t="s">
        <v>467</v>
      </c>
      <c r="F22" s="2" t="s">
        <v>874</v>
      </c>
    </row>
    <row r="23" spans="1:6" ht="32" x14ac:dyDescent="0.45">
      <c r="A23" s="10">
        <v>19</v>
      </c>
      <c r="B23" s="2" t="s">
        <v>133</v>
      </c>
      <c r="C23" s="2" t="s">
        <v>467</v>
      </c>
      <c r="D23" s="2" t="s">
        <v>128</v>
      </c>
      <c r="E23" s="2" t="s">
        <v>467</v>
      </c>
      <c r="F23" s="2" t="s">
        <v>875</v>
      </c>
    </row>
    <row r="24" spans="1:6" x14ac:dyDescent="0.45">
      <c r="A24" s="10">
        <v>20</v>
      </c>
      <c r="B24" s="2" t="s">
        <v>101</v>
      </c>
      <c r="C24" s="2" t="s">
        <v>193</v>
      </c>
      <c r="D24" s="2" t="s">
        <v>170</v>
      </c>
      <c r="E24" s="2" t="s">
        <v>193</v>
      </c>
      <c r="F24" s="2" t="s">
        <v>876</v>
      </c>
    </row>
    <row r="25" spans="1:6" ht="32" x14ac:dyDescent="0.45">
      <c r="A25" s="10">
        <v>21</v>
      </c>
      <c r="B25" s="2" t="s">
        <v>101</v>
      </c>
      <c r="C25" s="2" t="s">
        <v>193</v>
      </c>
      <c r="D25" s="2" t="s">
        <v>109</v>
      </c>
      <c r="E25" s="2" t="s">
        <v>193</v>
      </c>
      <c r="F25" s="2" t="s">
        <v>877</v>
      </c>
    </row>
    <row r="26" spans="1:6" ht="32" x14ac:dyDescent="0.45">
      <c r="A26" s="10">
        <v>22</v>
      </c>
      <c r="B26" s="2" t="s">
        <v>101</v>
      </c>
      <c r="C26" s="2" t="s">
        <v>206</v>
      </c>
      <c r="D26" s="2" t="s">
        <v>79</v>
      </c>
      <c r="E26" s="2" t="s">
        <v>206</v>
      </c>
      <c r="F26" s="2" t="s">
        <v>878</v>
      </c>
    </row>
    <row r="27" spans="1:6" x14ac:dyDescent="0.45">
      <c r="A27" s="10">
        <v>23</v>
      </c>
      <c r="B27" s="2" t="s">
        <v>106</v>
      </c>
      <c r="C27" s="2" t="s">
        <v>193</v>
      </c>
      <c r="D27" s="2" t="s">
        <v>109</v>
      </c>
      <c r="E27" s="2" t="s">
        <v>193</v>
      </c>
      <c r="F27" s="2" t="s">
        <v>879</v>
      </c>
    </row>
    <row r="28" spans="1:6" ht="32" x14ac:dyDescent="0.45">
      <c r="A28" s="10">
        <v>24</v>
      </c>
      <c r="B28" s="2" t="s">
        <v>143</v>
      </c>
      <c r="C28" s="2" t="s">
        <v>601</v>
      </c>
      <c r="D28" s="2" t="s">
        <v>147</v>
      </c>
      <c r="E28" s="2" t="s">
        <v>601</v>
      </c>
      <c r="F28" s="2" t="s">
        <v>880</v>
      </c>
    </row>
    <row r="29" spans="1:6" ht="32" x14ac:dyDescent="0.45">
      <c r="A29" s="10">
        <v>25</v>
      </c>
      <c r="B29" s="2" t="s">
        <v>67</v>
      </c>
      <c r="C29" s="2" t="s">
        <v>193</v>
      </c>
      <c r="D29" s="2" t="s">
        <v>170</v>
      </c>
      <c r="E29" s="2" t="s">
        <v>193</v>
      </c>
      <c r="F29" s="2" t="s">
        <v>881</v>
      </c>
    </row>
    <row r="30" spans="1:6" ht="32" x14ac:dyDescent="0.45">
      <c r="A30" s="10">
        <v>26</v>
      </c>
      <c r="B30" s="2" t="s">
        <v>67</v>
      </c>
      <c r="C30" s="2" t="s">
        <v>206</v>
      </c>
      <c r="D30" s="2" t="s">
        <v>79</v>
      </c>
      <c r="E30" s="2" t="s">
        <v>206</v>
      </c>
      <c r="F30" s="2" t="s">
        <v>882</v>
      </c>
    </row>
    <row r="31" spans="1:6" ht="32" x14ac:dyDescent="0.45">
      <c r="A31" s="10">
        <v>27</v>
      </c>
      <c r="B31" s="2" t="s">
        <v>72</v>
      </c>
      <c r="C31" s="2" t="s">
        <v>193</v>
      </c>
      <c r="D31" s="2" t="s">
        <v>170</v>
      </c>
      <c r="E31" s="2" t="s">
        <v>193</v>
      </c>
      <c r="F31" s="2" t="s">
        <v>881</v>
      </c>
    </row>
    <row r="32" spans="1:6" ht="32" x14ac:dyDescent="0.45">
      <c r="A32" s="10">
        <v>28</v>
      </c>
      <c r="B32" s="2" t="s">
        <v>72</v>
      </c>
      <c r="C32" s="2" t="s">
        <v>206</v>
      </c>
      <c r="D32" s="2" t="s">
        <v>79</v>
      </c>
      <c r="E32" s="2" t="s">
        <v>206</v>
      </c>
      <c r="F32" s="2" t="s">
        <v>883</v>
      </c>
    </row>
    <row r="33" spans="1:6" ht="32" x14ac:dyDescent="0.45">
      <c r="A33" s="10">
        <v>29</v>
      </c>
      <c r="B33" s="2" t="s">
        <v>74</v>
      </c>
      <c r="C33" s="2" t="s">
        <v>193</v>
      </c>
      <c r="D33" s="2" t="s">
        <v>170</v>
      </c>
      <c r="E33" s="2" t="s">
        <v>193</v>
      </c>
      <c r="F33" s="2" t="s">
        <v>881</v>
      </c>
    </row>
    <row r="34" spans="1:6" ht="32" x14ac:dyDescent="0.45">
      <c r="A34" s="10">
        <v>30</v>
      </c>
      <c r="B34" s="2" t="s">
        <v>74</v>
      </c>
      <c r="C34" s="2" t="s">
        <v>206</v>
      </c>
      <c r="D34" s="2" t="s">
        <v>79</v>
      </c>
      <c r="E34" s="2" t="s">
        <v>206</v>
      </c>
      <c r="F34" s="2" t="s">
        <v>884</v>
      </c>
    </row>
    <row r="35" spans="1:6" ht="32" x14ac:dyDescent="0.45">
      <c r="A35" s="10">
        <v>31</v>
      </c>
      <c r="B35" s="2" t="s">
        <v>77</v>
      </c>
      <c r="C35" s="2" t="s">
        <v>193</v>
      </c>
      <c r="D35" s="2" t="s">
        <v>170</v>
      </c>
      <c r="E35" s="2" t="s">
        <v>193</v>
      </c>
      <c r="F35" s="2" t="s">
        <v>881</v>
      </c>
    </row>
    <row r="36" spans="1:6" ht="32" x14ac:dyDescent="0.45">
      <c r="A36" s="10">
        <v>32</v>
      </c>
      <c r="B36" s="2" t="s">
        <v>77</v>
      </c>
      <c r="C36" s="2" t="s">
        <v>206</v>
      </c>
      <c r="D36" s="2" t="s">
        <v>79</v>
      </c>
      <c r="E36" s="2" t="s">
        <v>206</v>
      </c>
      <c r="F36" s="2" t="s">
        <v>885</v>
      </c>
    </row>
    <row r="37" spans="1:6" ht="32" x14ac:dyDescent="0.45">
      <c r="A37" s="10">
        <v>33</v>
      </c>
      <c r="B37" s="2" t="s">
        <v>886</v>
      </c>
      <c r="C37" s="2" t="s">
        <v>193</v>
      </c>
      <c r="D37" s="2" t="s">
        <v>170</v>
      </c>
      <c r="E37" s="2" t="s">
        <v>193</v>
      </c>
      <c r="F37" s="2" t="s">
        <v>881</v>
      </c>
    </row>
    <row r="38" spans="1:6" ht="32" x14ac:dyDescent="0.45">
      <c r="A38" s="10">
        <v>34</v>
      </c>
      <c r="B38" s="2" t="s">
        <v>886</v>
      </c>
      <c r="C38" s="2" t="s">
        <v>206</v>
      </c>
      <c r="D38" s="2" t="s">
        <v>79</v>
      </c>
      <c r="E38" s="2" t="s">
        <v>206</v>
      </c>
      <c r="F38" s="2" t="s">
        <v>887</v>
      </c>
    </row>
  </sheetData>
  <mergeCells count="2">
    <mergeCell ref="A2:F2"/>
    <mergeCell ref="A1:F1"/>
  </mergeCells>
  <phoneticPr fontId="8" type="noConversion"/>
  <printOptions horizontalCentered="1"/>
  <pageMargins left="0.75" right="0.75" top="1" bottom="1" header="0.5" footer="0.5"/>
  <pageSetup paperSize="9"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showGridLines="0" workbookViewId="0"/>
  </sheetViews>
  <sheetFormatPr defaultRowHeight="17" x14ac:dyDescent="0.45"/>
  <cols>
    <col min="1" max="1" width="5" customWidth="1"/>
    <col min="2" max="2" width="20" customWidth="1"/>
    <col min="3" max="3" width="46" customWidth="1"/>
    <col min="4" max="6" width="8" customWidth="1"/>
    <col min="7" max="7" width="40" customWidth="1"/>
  </cols>
  <sheetData>
    <row r="1" spans="1:7" ht="26" customHeight="1" x14ac:dyDescent="0.45">
      <c r="A1" s="20" t="s">
        <v>30</v>
      </c>
      <c r="B1" s="19"/>
      <c r="C1" s="19"/>
      <c r="D1" s="19"/>
      <c r="E1" s="19"/>
      <c r="F1" s="19"/>
      <c r="G1" s="19"/>
    </row>
    <row r="3" spans="1:7" x14ac:dyDescent="0.45">
      <c r="A3" s="3" t="s">
        <v>60</v>
      </c>
      <c r="B3" s="3" t="s">
        <v>30</v>
      </c>
      <c r="C3" s="3" t="s">
        <v>888</v>
      </c>
      <c r="D3" s="3" t="s">
        <v>889</v>
      </c>
      <c r="E3" s="3" t="s">
        <v>890</v>
      </c>
      <c r="F3" s="3" t="s">
        <v>891</v>
      </c>
      <c r="G3" s="3" t="s">
        <v>892</v>
      </c>
    </row>
    <row r="4" spans="1:7" ht="32" x14ac:dyDescent="0.45">
      <c r="A4" s="10">
        <v>1</v>
      </c>
      <c r="B4" s="2" t="s">
        <v>119</v>
      </c>
      <c r="C4" s="2" t="s">
        <v>893</v>
      </c>
      <c r="D4" s="10">
        <v>1</v>
      </c>
      <c r="E4" s="10">
        <v>1</v>
      </c>
      <c r="F4" s="10">
        <v>20</v>
      </c>
      <c r="G4" s="2" t="s">
        <v>894</v>
      </c>
    </row>
    <row r="5" spans="1:7" x14ac:dyDescent="0.45">
      <c r="A5" s="10">
        <v>2</v>
      </c>
      <c r="B5" s="2" t="s">
        <v>124</v>
      </c>
      <c r="C5" s="2" t="s">
        <v>127</v>
      </c>
      <c r="D5" s="10">
        <v>1</v>
      </c>
      <c r="E5" s="10">
        <v>1</v>
      </c>
      <c r="F5" s="10">
        <v>0</v>
      </c>
      <c r="G5" s="2"/>
    </row>
    <row r="6" spans="1:7" ht="32" x14ac:dyDescent="0.45">
      <c r="A6" s="10">
        <v>3</v>
      </c>
      <c r="B6" s="2" t="s">
        <v>193</v>
      </c>
      <c r="C6" s="2" t="s">
        <v>895</v>
      </c>
      <c r="D6" s="10">
        <v>1</v>
      </c>
      <c r="E6" s="10">
        <v>1</v>
      </c>
      <c r="F6" s="10">
        <v>20</v>
      </c>
      <c r="G6" s="2" t="s">
        <v>894</v>
      </c>
    </row>
  </sheetData>
  <mergeCells count="1">
    <mergeCell ref="A1:G1"/>
  </mergeCells>
  <phoneticPr fontId="8" type="noConversion"/>
  <printOptions horizontalCentered="1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개요</vt:lpstr>
      <vt:lpstr>테이블 목록</vt:lpstr>
      <vt:lpstr>TD_08EYP1</vt:lpstr>
      <vt:lpstr>TD_52PX</vt:lpstr>
      <vt:lpstr>TD_89CP</vt:lpstr>
      <vt:lpstr>TD_KA36_CP2</vt:lpstr>
      <vt:lpstr>TQP_BINDESC</vt:lpstr>
      <vt:lpstr>TQP_CHANGE_HIS</vt:lpstr>
      <vt:lpstr>TQP_CUSTOMER</vt:lpstr>
      <vt:lpstr>TQP_DATA_TABLES</vt:lpstr>
      <vt:lpstr>TQP_FOI_DIE</vt:lpstr>
      <vt:lpstr>TQP_FOI_IMAGES</vt:lpstr>
      <vt:lpstr>TQP_LOT</vt:lpstr>
      <vt:lpstr>TQP_LOT_SUM</vt:lpstr>
      <vt:lpstr>TQP_MAPCFG</vt:lpstr>
      <vt:lpstr>TQP_MAPDEF</vt:lpstr>
      <vt:lpstr>TQP_MAPDEF_DIE</vt:lpstr>
      <vt:lpstr>TQP_PARASPEC</vt:lpstr>
      <vt:lpstr>TQP_PCM_INPUT_HIS</vt:lpstr>
      <vt:lpstr>TQP_PRODUCT</vt:lpstr>
      <vt:lpstr>TQP_PROGRAM</vt:lpstr>
      <vt:lpstr>TQP_USEMAP</vt:lpstr>
      <vt:lpstr>TQP_VISUALINSPSPEC</vt:lpstr>
      <vt:lpstr>TQP_WAFER</vt:lpstr>
      <vt:lpstr>TQP_WAFER_SUM</vt:lpstr>
      <vt:lpstr>관계(논리)</vt:lpstr>
      <vt:lpstr>시퀀스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BJ</cp:lastModifiedBy>
  <dcterms:created xsi:type="dcterms:W3CDTF">2026-10-15T06:56:23Z</dcterms:created>
  <dcterms:modified xsi:type="dcterms:W3CDTF">2026-10-15T06:56:58Z</dcterms:modified>
</cp:coreProperties>
</file>