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스마트팩토리혁신그룹\M_SIM 3.0\MSIM Directory\01.수행산출물(IM)\4000.구축테스트단계\4300.테스트\4340.이행 계획 수립\4341.이행 계획 작성\"/>
    </mc:Choice>
  </mc:AlternateContent>
  <bookViews>
    <workbookView xWindow="0" yWindow="0" windowWidth="28800" windowHeight="12312"/>
  </bookViews>
  <sheets>
    <sheet name="Cover" sheetId="1" r:id="rId1"/>
    <sheet name="Revision" sheetId="6" r:id="rId2"/>
    <sheet name="타임스케쥴" sheetId="9" r:id="rId3"/>
    <sheet name="체크리스트" sheetId="10" r:id="rId4"/>
    <sheet name="Migration 관련" sheetId="11" r:id="rId5"/>
    <sheet name="Tail" sheetId="4" r:id="rId6"/>
    <sheet name="문서표준" sheetId="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12" hidden="1">#REF!</definedName>
    <definedName name="_APP1">#REF!</definedName>
    <definedName name="_APP2">#REF!</definedName>
    <definedName name="_APP3">#REF!</definedName>
    <definedName name="_APP4">'[2]1-1. Interface list'!$B$1</definedName>
    <definedName name="_xlnm._FilterDatabase" localSheetId="3" hidden="1">체크리스트!$A$4:$P$64</definedName>
    <definedName name="_IRP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YS2">'[3]1-3. 참조_애플리케이션'!$F$6:$F$65536</definedName>
    <definedName name="_SYS3">'[4]1-3. Reference_Applications'!$F$6:$F$1350</definedName>
    <definedName name="a">#REF!</definedName>
    <definedName name="aa" hidden="1">#REF!</definedName>
    <definedName name="APP">#REF!</definedName>
    <definedName name="APP_1">'[5]1-1. Interface list'!$B$1</definedName>
    <definedName name="APPGRP">#REF!</definedName>
    <definedName name="APPGRP2">#REF!</definedName>
    <definedName name="APPSYS">#REF!</definedName>
    <definedName name="b">#REF!</definedName>
    <definedName name="baseline">[6]CSR납기분석!#REF!</definedName>
    <definedName name="bbb" hidden="1">#REF!</definedName>
    <definedName name="combo0">[7]codeSheet!$A$1:$A$4</definedName>
    <definedName name="combo10">[7]codeSheet!$K$1:$K$3</definedName>
    <definedName name="combo12">[7]codeSheet!$M$1:$M$2</definedName>
    <definedName name="combo17">[7]codeSheet!$R$1:$R$10</definedName>
    <definedName name="combo18">[7]codeSheet!$S$1:$S$3</definedName>
    <definedName name="combo19">[7]codeSheet!$T$1:$T$2</definedName>
    <definedName name="combo21">[7]codeSheet!$V$1:$V$2</definedName>
    <definedName name="combo7">[7]codeSheet!$H$1:$H$10</definedName>
    <definedName name="combo8">[7]codeSheet!$I$1:$I$3</definedName>
    <definedName name="combo9">[7]codeSheet!$J$1:$J$3</definedName>
    <definedName name="csDesignMode">1</definedName>
    <definedName name="d">#REF!</definedName>
    <definedName name="EW_withLink_lines">COUNTA(#REF!)</definedName>
    <definedName name="GBM">[8]조직코드!$D$3:$D$129</definedName>
    <definedName name="GG">[8]조직코드!$C$136:$C$152</definedName>
    <definedName name="INFO">[9]참조_정보분류!$E$6:$E$65536</definedName>
    <definedName name="INFO2">[8]참조_정보분류!$E$6:$E$320</definedName>
    <definedName name="IRP">#REF!</definedName>
    <definedName name="PKGIN_IN_REV1_List">#REF!</definedName>
    <definedName name="_xlnm.Print_Area" localSheetId="0">Cover!$A$1:$N$27</definedName>
    <definedName name="_xlnm.Print_Area" localSheetId="1">Revision!$A$1:$F$33</definedName>
    <definedName name="_xlnm.Print_Area" localSheetId="5">Tail!$A$1:$N$27</definedName>
    <definedName name="_xlnm.Print_Area" localSheetId="6">문서표준!$A$1:$P$23</definedName>
    <definedName name="_xlnm.Print_Area">#REF!</definedName>
    <definedName name="PRINT_AREA_MI">#REF!</definedName>
    <definedName name="rpt_date">[10]요약!$C$4</definedName>
    <definedName name="s">[11]참조_애플리케이션!$G$6:$G$1350</definedName>
    <definedName name="SYS">#REF!</definedName>
    <definedName name="SYSA">#REF!</definedName>
    <definedName name="tol">'[6]규모,공수분석'!#REF!</definedName>
    <definedName name="ㄴㅇㄴ">[12]참조_애플리케이션!$G$6:$G$1350</definedName>
    <definedName name="ㅁ">#REF!</definedName>
    <definedName name="목록">[13]기초코드!$B$4:$E$4</definedName>
    <definedName name="분류">#REF!</definedName>
    <definedName name="ㅇㅇ">#REF!</definedName>
    <definedName name="啊啊啊啊啊啊啊啊啊">'[14]1-3. Reference_Applications'!$F$6:$F$1350</definedName>
    <definedName name="전체Checklist_lines">ADDRESS(COUNTA(#REF!),1,2,1)</definedName>
    <definedName name="전체EW_lines">COUNTA(#REF!)</definedName>
    <definedName name="정보분류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10" l="1"/>
  <c r="K64" i="10"/>
  <c r="L63" i="10"/>
  <c r="K63" i="10"/>
  <c r="F62" i="10"/>
  <c r="G62" i="10" s="1"/>
  <c r="L58" i="10"/>
  <c r="K58" i="10"/>
  <c r="F58" i="10"/>
  <c r="G58" i="10" s="1"/>
  <c r="H58" i="10" s="1"/>
  <c r="L57" i="10"/>
  <c r="K57" i="10"/>
  <c r="G57" i="10"/>
  <c r="H57" i="10" s="1"/>
  <c r="F57" i="10"/>
  <c r="L56" i="10"/>
  <c r="K56" i="10"/>
  <c r="H56" i="10"/>
  <c r="G56" i="10"/>
  <c r="F56" i="10"/>
  <c r="L55" i="10"/>
  <c r="K55" i="10"/>
  <c r="F55" i="10"/>
  <c r="G55" i="10" s="1"/>
  <c r="H55" i="10" s="1"/>
  <c r="L49" i="10"/>
  <c r="K49" i="10"/>
  <c r="L48" i="10"/>
  <c r="K48" i="10"/>
  <c r="L47" i="10"/>
  <c r="K47" i="10"/>
  <c r="L46" i="10"/>
  <c r="K46" i="10"/>
  <c r="L44" i="10"/>
  <c r="K44" i="10"/>
  <c r="L43" i="10"/>
  <c r="K43" i="10"/>
  <c r="F43" i="10"/>
  <c r="G43" i="10" s="1"/>
  <c r="F42" i="10"/>
  <c r="G42" i="10" s="1"/>
  <c r="H42" i="10" s="1"/>
  <c r="L40" i="10"/>
  <c r="K40" i="10"/>
  <c r="L39" i="10"/>
  <c r="K39" i="10"/>
  <c r="L38" i="10"/>
  <c r="K38" i="10"/>
  <c r="G38" i="10"/>
  <c r="H38" i="10" s="1"/>
  <c r="F38" i="10"/>
  <c r="L37" i="10"/>
  <c r="K37" i="10"/>
  <c r="L36" i="10"/>
  <c r="K36" i="10"/>
  <c r="L35" i="10"/>
  <c r="K35" i="10"/>
  <c r="L34" i="10"/>
  <c r="K34" i="10"/>
  <c r="L32" i="10"/>
  <c r="K32" i="10"/>
  <c r="L31" i="10"/>
  <c r="K31" i="10"/>
  <c r="L30" i="10"/>
  <c r="K30" i="10"/>
  <c r="L27" i="10"/>
  <c r="K27" i="10"/>
  <c r="L26" i="10"/>
  <c r="K26" i="10"/>
  <c r="L25" i="10"/>
  <c r="K25" i="10"/>
  <c r="F25" i="10"/>
  <c r="G25" i="10" s="1"/>
  <c r="L24" i="10"/>
  <c r="K24" i="10"/>
  <c r="H24" i="10"/>
  <c r="G24" i="10"/>
  <c r="F24" i="10"/>
  <c r="G23" i="10"/>
  <c r="H23" i="10" s="1"/>
  <c r="G22" i="10"/>
  <c r="H22" i="10" s="1"/>
  <c r="G21" i="10"/>
  <c r="H21" i="10" s="1"/>
  <c r="L20" i="10"/>
  <c r="K20" i="10"/>
  <c r="L19" i="10"/>
  <c r="K19" i="10"/>
  <c r="L18" i="10"/>
  <c r="K18" i="10"/>
  <c r="L17" i="10"/>
  <c r="K17" i="10"/>
  <c r="F17" i="10"/>
  <c r="G17" i="10" s="1"/>
  <c r="L15" i="10"/>
  <c r="K15" i="10"/>
  <c r="F15" i="10"/>
  <c r="G15" i="10" s="1"/>
  <c r="H15" i="10" s="1"/>
  <c r="L14" i="10"/>
  <c r="K14" i="10"/>
  <c r="H14" i="10"/>
  <c r="G14" i="10"/>
  <c r="F14" i="10"/>
  <c r="L13" i="10"/>
  <c r="K13" i="10"/>
  <c r="F13" i="10"/>
  <c r="G13" i="10" s="1"/>
  <c r="H13" i="10" s="1"/>
  <c r="L12" i="10"/>
  <c r="K12" i="10"/>
  <c r="F12" i="10"/>
  <c r="G12" i="10" s="1"/>
  <c r="H12" i="10" s="1"/>
  <c r="L11" i="10"/>
  <c r="K11" i="10"/>
  <c r="G11" i="10"/>
  <c r="H11" i="10" s="1"/>
  <c r="F11" i="10"/>
  <c r="L10" i="10"/>
  <c r="K10" i="10"/>
  <c r="F10" i="10"/>
  <c r="G10" i="10" s="1"/>
  <c r="H10" i="10" s="1"/>
  <c r="L9" i="10"/>
  <c r="K9" i="10"/>
  <c r="F9" i="10"/>
  <c r="G9" i="10" s="1"/>
  <c r="H9" i="10" s="1"/>
  <c r="L8" i="10"/>
  <c r="K8" i="10"/>
  <c r="F8" i="10"/>
  <c r="G8" i="10" s="1"/>
  <c r="H8" i="10" s="1"/>
  <c r="L7" i="10"/>
  <c r="K7" i="10"/>
  <c r="K5" i="10"/>
  <c r="G5" i="10"/>
  <c r="F7" i="10" s="1"/>
  <c r="G7" i="10" s="1"/>
  <c r="H7" i="10" s="1"/>
  <c r="F5" i="10"/>
  <c r="D3" i="10"/>
  <c r="F63" i="10" l="1"/>
  <c r="G63" i="10" s="1"/>
  <c r="H62" i="10"/>
  <c r="H43" i="10"/>
  <c r="H25" i="10"/>
  <c r="F18" i="10"/>
  <c r="G18" i="10" s="1"/>
  <c r="H18" i="10" s="1"/>
  <c r="F20" i="10"/>
  <c r="G20" i="10" s="1"/>
  <c r="H17" i="10"/>
  <c r="F19" i="10"/>
  <c r="G19" i="10" s="1"/>
  <c r="H5" i="10"/>
  <c r="F36" i="10"/>
  <c r="G36" i="10" s="1"/>
  <c r="F26" i="10" l="1"/>
  <c r="G26" i="10" s="1"/>
  <c r="H19" i="10"/>
  <c r="F27" i="10"/>
  <c r="G27" i="10" s="1"/>
  <c r="H27" i="10" s="1"/>
  <c r="H20" i="10"/>
  <c r="H36" i="10"/>
  <c r="F40" i="10"/>
  <c r="G40" i="10" s="1"/>
  <c r="F64" i="10"/>
  <c r="H63" i="10"/>
  <c r="H40" i="10" l="1"/>
  <c r="F44" i="10"/>
  <c r="G44" i="10" s="1"/>
  <c r="H26" i="10"/>
  <c r="F34" i="10"/>
  <c r="G34" i="10" s="1"/>
  <c r="F30" i="10"/>
  <c r="G30" i="10" s="1"/>
  <c r="H30" i="10" s="1"/>
  <c r="F28" i="10"/>
  <c r="G28" i="10" s="1"/>
  <c r="F29" i="10" l="1"/>
  <c r="G29" i="10" s="1"/>
  <c r="H29" i="10" s="1"/>
  <c r="H28" i="10"/>
  <c r="H34" i="10"/>
  <c r="F35" i="10"/>
  <c r="G35" i="10" s="1"/>
  <c r="F31" i="10"/>
  <c r="G31" i="10" s="1"/>
  <c r="H44" i="10"/>
  <c r="F46" i="10"/>
  <c r="G46" i="10" s="1"/>
  <c r="H46" i="10" s="1"/>
  <c r="F45" i="10"/>
  <c r="G45" i="10" s="1"/>
  <c r="H45" i="10" l="1"/>
  <c r="F48" i="10"/>
  <c r="G48" i="10" s="1"/>
  <c r="H48" i="10" s="1"/>
  <c r="F47" i="10"/>
  <c r="G47" i="10" s="1"/>
  <c r="F49" i="10"/>
  <c r="G49" i="10" s="1"/>
  <c r="H35" i="10"/>
  <c r="F37" i="10"/>
  <c r="G37" i="10" s="1"/>
  <c r="F32" i="10"/>
  <c r="G32" i="10" s="1"/>
  <c r="H32" i="10" s="1"/>
  <c r="H31" i="10"/>
  <c r="H49" i="10" l="1"/>
  <c r="F52" i="10"/>
  <c r="G52" i="10" s="1"/>
  <c r="F50" i="10"/>
  <c r="G50" i="10" s="1"/>
  <c r="H47" i="10"/>
  <c r="F39" i="10"/>
  <c r="G39" i="10" s="1"/>
  <c r="H39" i="10" s="1"/>
  <c r="H37" i="10"/>
  <c r="H52" i="10" l="1"/>
  <c r="F51" i="10"/>
  <c r="G51" i="10" s="1"/>
  <c r="H51" i="10" s="1"/>
  <c r="H50" i="10"/>
  <c r="F53" i="10"/>
  <c r="G53" i="10" s="1"/>
  <c r="H53" i="10" s="1"/>
  <c r="F54" i="10" l="1"/>
  <c r="G54" i="10" s="1"/>
  <c r="H54" i="10" s="1"/>
  <c r="F59" i="10"/>
  <c r="G59" i="10" s="1"/>
  <c r="F60" i="10" l="1"/>
  <c r="G60" i="10" s="1"/>
  <c r="H60" i="10" s="1"/>
  <c r="H59" i="10"/>
</calcChain>
</file>

<file path=xl/sharedStrings.xml><?xml version="1.0" encoding="utf-8"?>
<sst xmlns="http://schemas.openxmlformats.org/spreadsheetml/2006/main" count="343" uniqueCount="232">
  <si>
    <t>1.0</t>
    <phoneticPr fontId="6" type="noConversion"/>
  </si>
  <si>
    <t>버전</t>
    <phoneticPr fontId="6" type="noConversion"/>
  </si>
  <si>
    <t>문서내 채우기 색상은 하기 색상내에서 사용하여 문서간 통일성을 유지함(테마색상 두번째 색상)</t>
    <phoneticPr fontId="1" type="noConversion"/>
  </si>
  <si>
    <t>날짜</t>
    <phoneticPr fontId="6" type="noConversion"/>
  </si>
  <si>
    <t>내용</t>
    <phoneticPr fontId="1" type="noConversion"/>
  </si>
  <si>
    <t>작성자</t>
    <phoneticPr fontId="1" type="noConversion"/>
  </si>
  <si>
    <t>20XX.XX.XX</t>
    <phoneticPr fontId="6" type="noConversion"/>
  </si>
  <si>
    <t>OOO</t>
    <phoneticPr fontId="1" type="noConversion"/>
  </si>
  <si>
    <t>문서명</t>
    <phoneticPr fontId="6" type="noConversion"/>
  </si>
  <si>
    <t>문서 개정이력표</t>
    <phoneticPr fontId="1" type="noConversion"/>
  </si>
  <si>
    <t>[Cut-Over 계획-상세일정]</t>
    <phoneticPr fontId="1" type="noConversion"/>
  </si>
  <si>
    <t xml:space="preserve">① D-3일 20:00~ 운영환경 점검 테스트(병테서버)   </t>
  </si>
  <si>
    <t xml:space="preserve">② D-1일 04:00 ~ D Day 06:00 운영환경 셋업   </t>
    <phoneticPr fontId="1" type="noConversion"/>
  </si>
  <si>
    <t>③ 운영 전환/점검</t>
    <phoneticPr fontId="1" type="noConversion"/>
  </si>
  <si>
    <t>④ D-Day 08:00~ Open</t>
    <phoneticPr fontId="1" type="noConversion"/>
  </si>
  <si>
    <t>D-3일</t>
    <phoneticPr fontId="1" type="noConversion"/>
  </si>
  <si>
    <t>D-2일</t>
    <phoneticPr fontId="1" type="noConversion"/>
  </si>
  <si>
    <t>D-1일</t>
    <phoneticPr fontId="1" type="noConversion"/>
  </si>
  <si>
    <t xml:space="preserve">         D-Day</t>
    <phoneticPr fontId="1" type="noConversion"/>
  </si>
  <si>
    <t>~2</t>
  </si>
  <si>
    <t>~4</t>
  </si>
  <si>
    <t>~6</t>
  </si>
  <si>
    <t>~8</t>
  </si>
  <si>
    <t>~10</t>
  </si>
  <si>
    <t>~12</t>
  </si>
  <si>
    <t>~14</t>
  </si>
  <si>
    <t>~16</t>
  </si>
  <si>
    <t>~18</t>
    <phoneticPr fontId="1" type="noConversion"/>
  </si>
  <si>
    <t>~20</t>
    <phoneticPr fontId="1" type="noConversion"/>
  </si>
  <si>
    <t>~20</t>
    <phoneticPr fontId="1" type="noConversion"/>
  </si>
  <si>
    <t>~22</t>
    <phoneticPr fontId="1" type="noConversion"/>
  </si>
  <si>
    <t>~24</t>
    <phoneticPr fontId="1" type="noConversion"/>
  </si>
  <si>
    <t>~18</t>
  </si>
  <si>
    <t>~20</t>
  </si>
  <si>
    <t>~22</t>
  </si>
  <si>
    <t>~24</t>
  </si>
  <si>
    <t>~2</t>
    <phoneticPr fontId="1" type="noConversion"/>
  </si>
  <si>
    <t>~4</t>
    <phoneticPr fontId="1" type="noConversion"/>
  </si>
  <si>
    <t>~6</t>
    <phoneticPr fontId="1" type="noConversion"/>
  </si>
  <si>
    <t>~8</t>
    <phoneticPr fontId="1" type="noConversion"/>
  </si>
  <si>
    <t>~10</t>
    <phoneticPr fontId="1" type="noConversion"/>
  </si>
  <si>
    <t>~12</t>
    <phoneticPr fontId="1" type="noConversion"/>
  </si>
  <si>
    <t>~14</t>
    <phoneticPr fontId="1" type="noConversion"/>
  </si>
  <si>
    <t>~16</t>
    <phoneticPr fontId="1" type="noConversion"/>
  </si>
  <si>
    <t>주요일정</t>
    <phoneticPr fontId="1" type="noConversion"/>
  </si>
  <si>
    <t>HUB
창고</t>
    <phoneticPr fontId="1" type="noConversion"/>
  </si>
  <si>
    <t>현업
및
Power User</t>
    <phoneticPr fontId="1" type="noConversion"/>
  </si>
  <si>
    <t>개발TF</t>
    <phoneticPr fontId="1" type="noConversion"/>
  </si>
  <si>
    <t>인프라
(계양전기)</t>
    <phoneticPr fontId="1" type="noConversion"/>
  </si>
  <si>
    <t>[Cut-Over 이행 체크리스트]</t>
    <phoneticPr fontId="1" type="noConversion"/>
  </si>
  <si>
    <t>D-Day</t>
    <phoneticPr fontId="1" type="noConversion"/>
  </si>
  <si>
    <t>진척율</t>
    <phoneticPr fontId="1" type="noConversion"/>
  </si>
  <si>
    <t>예정 시간</t>
    <phoneticPr fontId="1" type="noConversion"/>
  </si>
  <si>
    <t xml:space="preserve"> 실제 수행결과</t>
    <phoneticPr fontId="1" type="noConversion"/>
  </si>
  <si>
    <t>순서</t>
    <phoneticPr fontId="1" type="noConversion"/>
  </si>
  <si>
    <t>항목명</t>
    <phoneticPr fontId="1" type="noConversion"/>
  </si>
  <si>
    <t>구분</t>
    <phoneticPr fontId="1" type="noConversion"/>
  </si>
  <si>
    <t>담당자</t>
    <phoneticPr fontId="1" type="noConversion"/>
  </si>
  <si>
    <t>확인자</t>
    <phoneticPr fontId="1" type="noConversion"/>
  </si>
  <si>
    <t>시작시간</t>
    <phoneticPr fontId="1" type="noConversion"/>
  </si>
  <si>
    <t>종료시간</t>
    <phoneticPr fontId="1" type="noConversion"/>
  </si>
  <si>
    <t>소요시간</t>
    <phoneticPr fontId="1" type="noConversion"/>
  </si>
  <si>
    <t>실제종료</t>
    <phoneticPr fontId="1" type="noConversion"/>
  </si>
  <si>
    <t>완료
여부</t>
    <phoneticPr fontId="1" type="noConversion"/>
  </si>
  <si>
    <t>확인
여부</t>
    <phoneticPr fontId="1" type="noConversion"/>
  </si>
  <si>
    <t>체크 포인트</t>
    <phoneticPr fontId="1" type="noConversion"/>
  </si>
  <si>
    <t>수행 이슈</t>
    <phoneticPr fontId="1" type="noConversion"/>
  </si>
  <si>
    <t>비고</t>
    <phoneticPr fontId="1" type="noConversion"/>
  </si>
  <si>
    <t>CV00</t>
    <phoneticPr fontId="1" type="noConversion"/>
  </si>
  <si>
    <t>Open 결정</t>
    <phoneticPr fontId="1" type="noConversion"/>
  </si>
  <si>
    <t>① 운영환경 설정 점검 (현장 인프라 포함)</t>
    <phoneticPr fontId="1" type="noConversion"/>
  </si>
  <si>
    <t>CV11</t>
    <phoneticPr fontId="1" type="noConversion"/>
  </si>
  <si>
    <t>운영서버 HA Test 및 시스템 Test</t>
    <phoneticPr fontId="1" type="noConversion"/>
  </si>
  <si>
    <t>IT</t>
    <phoneticPr fontId="1" type="noConversion"/>
  </si>
  <si>
    <t>대기</t>
    <phoneticPr fontId="1" type="noConversion"/>
  </si>
  <si>
    <t>CV12</t>
  </si>
  <si>
    <t>현장 PDA 배포</t>
    <phoneticPr fontId="1" type="noConversion"/>
  </si>
  <si>
    <t>현장</t>
  </si>
  <si>
    <t>CV13</t>
  </si>
  <si>
    <t>miniPC 및 OI (키오스크) PC 설치 및 작동 확인</t>
    <phoneticPr fontId="1" type="noConversion"/>
  </si>
  <si>
    <t>CV14</t>
  </si>
  <si>
    <t>OI PC 설치용 2 D Bar code 스캐너 배포</t>
    <phoneticPr fontId="1" type="noConversion"/>
  </si>
  <si>
    <t>CV15</t>
    <phoneticPr fontId="1" type="noConversion"/>
  </si>
  <si>
    <t>Table PC 배포</t>
    <phoneticPr fontId="1" type="noConversion"/>
  </si>
  <si>
    <t>CV16</t>
    <phoneticPr fontId="1" type="noConversion"/>
  </si>
  <si>
    <t>재고실사 프로그램 최종 확인</t>
    <phoneticPr fontId="1" type="noConversion"/>
  </si>
  <si>
    <t>CV17</t>
    <phoneticPr fontId="1" type="noConversion"/>
  </si>
  <si>
    <t>사용자 권한 설정</t>
    <phoneticPr fontId="1" type="noConversion"/>
  </si>
  <si>
    <t>IT</t>
  </si>
  <si>
    <t>진행 중(70%)</t>
    <phoneticPr fontId="1" type="noConversion"/>
  </si>
  <si>
    <t>CV18</t>
  </si>
  <si>
    <t>현장 BCR 인식율 확인 및 조정
(권선 Tray BCR 및 자재 Box 식별표 BCR)</t>
    <phoneticPr fontId="1" type="noConversion"/>
  </si>
  <si>
    <t>IT 부문 아님</t>
    <phoneticPr fontId="1" type="noConversion"/>
  </si>
  <si>
    <t>CV19</t>
  </si>
  <si>
    <t>사용자 교육 (필요시)</t>
    <phoneticPr fontId="1" type="noConversion"/>
  </si>
  <si>
    <t>② 생산중단 및 자재/제품 정리</t>
    <phoneticPr fontId="1" type="noConversion"/>
  </si>
  <si>
    <t>CV21</t>
    <phoneticPr fontId="1" type="noConversion"/>
  </si>
  <si>
    <t>생산중단 처리</t>
    <phoneticPr fontId="1" type="noConversion"/>
  </si>
  <si>
    <t>CV22</t>
  </si>
  <si>
    <t>WIP 재고 소거-자재: 생산→자재창고 반납</t>
    <phoneticPr fontId="1" type="noConversion"/>
  </si>
  <si>
    <t>CV23</t>
  </si>
  <si>
    <t>WIP 재고 소거-생산품: 생산→제품창고 접수</t>
    <phoneticPr fontId="1" type="noConversion"/>
  </si>
  <si>
    <t>CV24</t>
  </si>
  <si>
    <t>WIP 재고 소거-검사中 생산품 완료 처리
  ⑴. 200% 검사中 완료, ⑵. 제품입고검사 완료,  ⑶. 부적합 검사 완료</t>
    <phoneticPr fontId="1" type="noConversion"/>
  </si>
  <si>
    <t>CV25</t>
  </si>
  <si>
    <t>舊POP/舊WMS 시스템 정지 (일반사용자 접근 제한)</t>
    <phoneticPr fontId="1" type="noConversion"/>
  </si>
  <si>
    <t>CV26</t>
  </si>
  <si>
    <t>新MES 시스템 시작 (재고실사용)</t>
    <phoneticPr fontId="1" type="noConversion"/>
  </si>
  <si>
    <t>협의</t>
    <phoneticPr fontId="1" type="noConversion"/>
  </si>
  <si>
    <t>CV27</t>
  </si>
  <si>
    <t>舊POP/舊WMS 시스템 ERP I/F 오류 조치 완료</t>
    <phoneticPr fontId="1" type="noConversion"/>
  </si>
  <si>
    <t>CV30</t>
    <phoneticPr fontId="1" type="noConversion"/>
  </si>
  <si>
    <t>재고실사 (라벨Scan or 품번별 총량 中 방법 결정필요)
  ⑴ Hub 창고</t>
    <phoneticPr fontId="1" type="noConversion"/>
  </si>
  <si>
    <t>실사</t>
  </si>
  <si>
    <t>CV31</t>
  </si>
  <si>
    <t>재고실사 (라벨Scan or 품번별 총량 中 방법 결정필요)
 ⑵ 실사 창고 : 자재창고(Box)</t>
    <phoneticPr fontId="1" type="noConversion"/>
  </si>
  <si>
    <t>CV32</t>
  </si>
  <si>
    <t>재고실사 (라벨Scan or 품번별 총량 中 방법 결정필요)
 ⑶ 실사 창고 : 제품창고(Pallet)</t>
    <phoneticPr fontId="1" type="noConversion"/>
  </si>
  <si>
    <t>CV33</t>
  </si>
  <si>
    <t>재고실사 (라벨Scan or 품번별 총량 中 방법 결정필요)
 ⑷ 기타 창고 : 진행중 Data (공정 Assy, 부적합품), 권선 Tray Scan.
 (Box별로 Count 후 Excel 정리)</t>
    <phoneticPr fontId="1" type="noConversion"/>
  </si>
  <si>
    <t>CV34</t>
  </si>
  <si>
    <t>新MES 시스템 정지 (일반사용자 접근 제한)</t>
    <phoneticPr fontId="1" type="noConversion"/>
  </si>
  <si>
    <t>진행</t>
    <phoneticPr fontId="1" type="noConversion"/>
  </si>
  <si>
    <t>CV35</t>
  </si>
  <si>
    <t>新MES Migration 前 운영DB Full BackUp</t>
    <phoneticPr fontId="1" type="noConversion"/>
  </si>
  <si>
    <t>OOO</t>
    <phoneticPr fontId="1" type="noConversion"/>
  </si>
  <si>
    <t>OOO과장협의</t>
    <phoneticPr fontId="1" type="noConversion"/>
  </si>
  <si>
    <t>CV36</t>
    <phoneticPr fontId="1" type="noConversion"/>
  </si>
  <si>
    <t>ERP재고와 비교 및 동기화(정리)-ERP마감</t>
    <phoneticPr fontId="1" type="noConversion"/>
  </si>
  <si>
    <t>정리</t>
  </si>
  <si>
    <t>CV37</t>
  </si>
  <si>
    <t xml:space="preserve">ERP재고와 비교 및 동기화(정리)-비교 &amp; 결정 </t>
    <phoneticPr fontId="1" type="noConversion"/>
  </si>
  <si>
    <t>CV38</t>
  </si>
  <si>
    <t>ERP재고와 비교 및 동기화(정리)-Gap 차이분 정리 (임시 Gap 창고 재고로 이동 및 Excel 정리)</t>
    <phoneticPr fontId="1" type="noConversion"/>
  </si>
  <si>
    <t>③ 재고 실사 및 반영</t>
    <phoneticPr fontId="1" type="noConversion"/>
  </si>
  <si>
    <t>CV41</t>
    <phoneticPr fontId="1" type="noConversion"/>
  </si>
  <si>
    <r>
      <t>실사 양식에 맞게 재고 List 정리 (Excel 정리 新MES UpLoad용)
 ⑴. 자재, ⑵. 제품,  ⑶. Hub 창고</t>
    </r>
    <r>
      <rPr>
        <sz val="10"/>
        <color rgb="FFFF0000"/>
        <rFont val="맑은 고딕"/>
        <family val="3"/>
        <charset val="129"/>
        <scheme val="minor"/>
      </rPr>
      <t xml:space="preserve"> (Hub창고 I/F시 불필요)</t>
    </r>
    <phoneticPr fontId="1" type="noConversion"/>
  </si>
  <si>
    <t>CV45</t>
    <phoneticPr fontId="1" type="noConversion"/>
  </si>
  <si>
    <t>재고 마이그레이션 (재고 Data  新MES 등록)</t>
    <phoneticPr fontId="1" type="noConversion"/>
  </si>
  <si>
    <t>허브창고 라벨마스터 등록 (Hub 창고 재고 납품서&amp;라벨 정보 생성)</t>
    <phoneticPr fontId="1" type="noConversion"/>
  </si>
  <si>
    <t>CV48</t>
    <phoneticPr fontId="1" type="noConversion"/>
  </si>
  <si>
    <t>마이그레이션 재고 검증 (新MES)</t>
    <phoneticPr fontId="1" type="noConversion"/>
  </si>
  <si>
    <t>CV51</t>
    <phoneticPr fontId="1" type="noConversion"/>
  </si>
  <si>
    <t>09.04일자 PO (생산지시) 생성 ERP</t>
    <phoneticPr fontId="1" type="noConversion"/>
  </si>
  <si>
    <t>CV55</t>
    <phoneticPr fontId="1" type="noConversion"/>
  </si>
  <si>
    <t>新라벨 발행-자재창고</t>
    <phoneticPr fontId="1" type="noConversion"/>
  </si>
  <si>
    <t>CV56</t>
  </si>
  <si>
    <t>新라벨 발행-HUB창고 (CV36~CV38 Skip 가능 시작시간 단축필요)</t>
    <phoneticPr fontId="1" type="noConversion"/>
  </si>
  <si>
    <t>불필요</t>
    <phoneticPr fontId="1" type="noConversion"/>
  </si>
  <si>
    <t>④ 신라벨 발행/부착 및 최종 점검</t>
    <phoneticPr fontId="1" type="noConversion"/>
  </si>
  <si>
    <t>CV61</t>
    <phoneticPr fontId="1" type="noConversion"/>
  </si>
  <si>
    <t>新MES Migration 後 운영DB Full BackUp</t>
    <phoneticPr fontId="1" type="noConversion"/>
  </si>
  <si>
    <t>CV62</t>
    <phoneticPr fontId="1" type="noConversion"/>
  </si>
  <si>
    <t>新라벨 부착-자재창고,제품창고, 공정</t>
    <phoneticPr fontId="1" type="noConversion"/>
  </si>
  <si>
    <t>CV63</t>
  </si>
  <si>
    <t xml:space="preserve">新라벨 부착-HUB창고 </t>
    <phoneticPr fontId="1" type="noConversion"/>
  </si>
  <si>
    <t>CV65</t>
    <phoneticPr fontId="1" type="noConversion"/>
  </si>
  <si>
    <t>CV70</t>
    <phoneticPr fontId="1" type="noConversion"/>
  </si>
  <si>
    <t>불필요</t>
    <phoneticPr fontId="1" type="noConversion"/>
  </si>
  <si>
    <t>CV71</t>
  </si>
  <si>
    <t>재고실사 (라벨Scan or 품번별 총량 中 방법 결정필요)
 ⑵ 실사 창고 : 자재창고(Box)</t>
    <phoneticPr fontId="1" type="noConversion"/>
  </si>
  <si>
    <t>CV72</t>
  </si>
  <si>
    <t>CV73</t>
  </si>
  <si>
    <t>재고실사 (라벨Scan or 품번별 총량 中 방법 결정필요)
 ⑷ 기타 창고 : 진행중 Data (공정 Assy, 부적합품)
 (Box별로 Count 후 Excel 정리)</t>
    <phoneticPr fontId="1" type="noConversion"/>
  </si>
  <si>
    <t>CV75</t>
    <phoneticPr fontId="1" type="noConversion"/>
  </si>
  <si>
    <t>CV76</t>
  </si>
  <si>
    <t>舊POP 시스템 정지 재확인 (전체 사용자 접근 제한- Admin만 Ok)</t>
    <phoneticPr fontId="1" type="noConversion"/>
  </si>
  <si>
    <t>CV77</t>
    <phoneticPr fontId="1" type="noConversion"/>
  </si>
  <si>
    <r>
      <t xml:space="preserve">新MES 마이그레이션 Data 와 재고실사 Data 비교 및 동기화(정리)
</t>
    </r>
    <r>
      <rPr>
        <b/>
        <sz val="10"/>
        <color rgb="FFFF0000"/>
        <rFont val="맑은 고딕"/>
        <family val="3"/>
        <charset val="129"/>
        <scheme val="minor"/>
      </rPr>
      <t xml:space="preserve">  ※. Hub 창고 재고실사 시간과 별개 가능 유무 확인</t>
    </r>
    <phoneticPr fontId="1" type="noConversion"/>
  </si>
  <si>
    <t>CV78</t>
  </si>
  <si>
    <t>新MES ↔ ERP, 新MES ↔ 구매포털, 新MES ↔ 허브창고 I/F 최종 확인
CV51 PO 다운로드도 확인</t>
    <phoneticPr fontId="1" type="noConversion"/>
  </si>
  <si>
    <t>CV81</t>
    <phoneticPr fontId="1" type="noConversion"/>
  </si>
  <si>
    <t>新MES 시스템 시작 (현장인프라 확인용)</t>
    <phoneticPr fontId="1" type="noConversion"/>
  </si>
  <si>
    <t>CV83</t>
    <phoneticPr fontId="1" type="noConversion"/>
  </si>
  <si>
    <t>현장인프라확인-현장 PDA 작동 확인</t>
    <phoneticPr fontId="1" type="noConversion"/>
  </si>
  <si>
    <t>CV84</t>
  </si>
  <si>
    <t>현장인프라확인-miniPC 및 OI (키오스크) PC 설치 및 작동 확인</t>
    <phoneticPr fontId="1" type="noConversion"/>
  </si>
  <si>
    <t>CV85</t>
  </si>
  <si>
    <t>현장인프라확인-OI PC 설치용 2 D Bar code 스캐너 작동확인</t>
    <phoneticPr fontId="1" type="noConversion"/>
  </si>
  <si>
    <t>현장인프라확인-Table PC 작동 확인</t>
    <phoneticPr fontId="1" type="noConversion"/>
  </si>
  <si>
    <t>CV75</t>
    <phoneticPr fontId="1" type="noConversion"/>
  </si>
  <si>
    <t>新MES 시스템 정지 (DB 제외 全 System)</t>
    <phoneticPr fontId="1" type="noConversion"/>
  </si>
  <si>
    <t>OOO</t>
    <phoneticPr fontId="1" type="noConversion"/>
  </si>
  <si>
    <t>CV89</t>
    <phoneticPr fontId="1" type="noConversion"/>
  </si>
  <si>
    <t>新MES 운영 System Full BackUp (Open전 최종)
DBMS 및 DB, AP, TiGate 등 전 System OS Backup</t>
    <phoneticPr fontId="1" type="noConversion"/>
  </si>
  <si>
    <t>⑤ 시스템 OPEN</t>
    <phoneticPr fontId="1" type="noConversion"/>
  </si>
  <si>
    <t>CV91</t>
    <phoneticPr fontId="1" type="noConversion"/>
  </si>
  <si>
    <t>新MES 시스템 시작</t>
    <phoneticPr fontId="1" type="noConversion"/>
  </si>
  <si>
    <t>CV92</t>
    <phoneticPr fontId="1" type="noConversion"/>
  </si>
  <si>
    <t>시스템 모니터링</t>
    <phoneticPr fontId="1" type="noConversion"/>
  </si>
  <si>
    <t>57</t>
    <phoneticPr fontId="1" type="noConversion"/>
  </si>
  <si>
    <t>▣ 재고 Migration시 필수/선택 Field (정보) List</t>
    <phoneticPr fontId="1" type="noConversion"/>
  </si>
  <si>
    <t>1. 구매품 (직납자재, 허브창고), BOX 단위</t>
    <phoneticPr fontId="1" type="noConversion"/>
  </si>
  <si>
    <t>이름</t>
    <phoneticPr fontId="1" type="noConversion"/>
  </si>
  <si>
    <t>라벨ID</t>
    <phoneticPr fontId="1" type="noConversion"/>
  </si>
  <si>
    <t>품번</t>
    <phoneticPr fontId="1" type="noConversion"/>
  </si>
  <si>
    <t>품번</t>
    <phoneticPr fontId="1" type="noConversion"/>
  </si>
  <si>
    <t>수량</t>
    <phoneticPr fontId="1" type="noConversion"/>
  </si>
  <si>
    <t>수량</t>
    <phoneticPr fontId="1" type="noConversion"/>
  </si>
  <si>
    <t>라벨코드</t>
    <phoneticPr fontId="1" type="noConversion"/>
  </si>
  <si>
    <t>라벨코드</t>
    <phoneticPr fontId="1" type="noConversion"/>
  </si>
  <si>
    <t>거래처코드</t>
    <phoneticPr fontId="1" type="noConversion"/>
  </si>
  <si>
    <t>창고코드</t>
    <phoneticPr fontId="1" type="noConversion"/>
  </si>
  <si>
    <t>납품서 번호</t>
    <phoneticPr fontId="1" type="noConversion"/>
  </si>
  <si>
    <t>납품서 행번</t>
    <phoneticPr fontId="1" type="noConversion"/>
  </si>
  <si>
    <t>발주서 번호</t>
    <phoneticPr fontId="1" type="noConversion"/>
  </si>
  <si>
    <t>발주서 행번</t>
    <phoneticPr fontId="1" type="noConversion"/>
  </si>
  <si>
    <t>필드명</t>
    <phoneticPr fontId="1" type="noConversion"/>
  </si>
  <si>
    <t>필드명</t>
    <phoneticPr fontId="1" type="noConversion"/>
  </si>
  <si>
    <t>DLV_No</t>
    <phoneticPr fontId="1" type="noConversion"/>
  </si>
  <si>
    <t>DLV_SEQ</t>
    <phoneticPr fontId="1" type="noConversion"/>
  </si>
  <si>
    <t>PO_NO</t>
    <phoneticPr fontId="1" type="noConversion"/>
  </si>
  <si>
    <t>PO_SEQ</t>
    <phoneticPr fontId="1" type="noConversion"/>
  </si>
  <si>
    <t>필수/선택</t>
    <phoneticPr fontId="1" type="noConversion"/>
  </si>
  <si>
    <t>선택</t>
    <phoneticPr fontId="1" type="noConversion"/>
  </si>
  <si>
    <t>선택</t>
    <phoneticPr fontId="1" type="noConversion"/>
  </si>
  <si>
    <t>필수</t>
    <phoneticPr fontId="1" type="noConversion"/>
  </si>
  <si>
    <t>필수</t>
    <phoneticPr fontId="1" type="noConversion"/>
  </si>
  <si>
    <t>라벨형식 번호</t>
    <phoneticPr fontId="1" type="noConversion"/>
  </si>
  <si>
    <t>HUB 창고 상기 4개 Field 실(Real) Data 필요</t>
    <phoneticPr fontId="1" type="noConversion"/>
  </si>
  <si>
    <t>집납자재 상기 4개 Field 가(Dummy) Data Ok</t>
    <phoneticPr fontId="1" type="noConversion"/>
  </si>
  <si>
    <t>2. 생산품 (권선/조립/SUB) 팔래트 단위</t>
    <phoneticPr fontId="1" type="noConversion"/>
  </si>
  <si>
    <t>이름</t>
    <phoneticPr fontId="1" type="noConversion"/>
  </si>
  <si>
    <t>라벨ID</t>
    <phoneticPr fontId="1" type="noConversion"/>
  </si>
  <si>
    <t>생산라인코드</t>
    <phoneticPr fontId="1" type="noConversion"/>
  </si>
  <si>
    <t>창고코드</t>
    <phoneticPr fontId="1" type="noConversion"/>
  </si>
  <si>
    <t>작업지시번호</t>
    <phoneticPr fontId="1" type="noConversion"/>
  </si>
  <si>
    <t>필수/선택</t>
    <phoneticPr fontId="1" type="noConversion"/>
  </si>
  <si>
    <t>필수</t>
    <phoneticPr fontId="1" type="noConversion"/>
  </si>
  <si>
    <t>가(Dummy) Data Ok</t>
  </si>
  <si>
    <t>1, 2 라벨ID를 Cut over시 재부착 한다는 조건으로 "선택" 처리됨</t>
    <phoneticPr fontId="1" type="noConversion"/>
  </si>
  <si>
    <r>
      <t xml:space="preserve">만약, 기존라벨을 인정한다면, 라벨ID는 </t>
    </r>
    <r>
      <rPr>
        <b/>
        <sz val="11"/>
        <color rgb="FFC00000"/>
        <rFont val="맑은 고딕"/>
        <family val="3"/>
        <charset val="129"/>
        <scheme val="minor"/>
      </rPr>
      <t>"필수" (Real) Data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</si>
</sst>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7" formatCode="0_ "/>
    <numFmt numFmtId="178" formatCode="yyyy/mm/dd\ hh:mm"/>
    <numFmt numFmtId="179" formatCode="hh\&amp;&quot;시간 &quot;mm\&amp;&quot;분&quot;"/>
    <numFmt numFmtId="180" formatCode="0.0%"/>
    <numFmt numFmtId="181" formatCode="h&quot;시간 &quot;m&quot;분&quot;"/>
  </numFmts>
  <fonts count="3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sz val="11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0000CC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rgb="FF0000CC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sz val="11"/>
      <color theme="6" tint="-0.499984740745262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1"/>
      <color rgb="FFC0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/>
    <xf numFmtId="0" fontId="5" fillId="0" borderId="0"/>
    <xf numFmtId="0" fontId="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12" borderId="2" applyNumberFormat="0" applyFont="0" applyAlignment="0" applyProtection="0">
      <alignment vertical="center"/>
    </xf>
  </cellStyleXfs>
  <cellXfs count="132">
    <xf numFmtId="0" fontId="0" fillId="0" borderId="0" xfId="0">
      <alignment vertical="center"/>
    </xf>
    <xf numFmtId="55" fontId="7" fillId="0" borderId="1" xfId="2" quotePrefix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/>
    <xf numFmtId="0" fontId="9" fillId="2" borderId="1" xfId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0" fillId="0" borderId="0" xfId="0" applyFont="1" applyAlignment="1">
      <alignment horizontal="left" vertical="center" indent="1"/>
    </xf>
    <xf numFmtId="0" fontId="0" fillId="9" borderId="0" xfId="0" applyFill="1">
      <alignment vertical="center"/>
    </xf>
    <xf numFmtId="0" fontId="7" fillId="0" borderId="1" xfId="2" quotePrefix="1" applyNumberFormat="1" applyFont="1" applyFill="1" applyBorder="1" applyAlignment="1">
      <alignment horizontal="center" vertical="center"/>
    </xf>
    <xf numFmtId="0" fontId="5" fillId="0" borderId="1" xfId="2" applyBorder="1"/>
    <xf numFmtId="0" fontId="9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0" fontId="18" fillId="1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8" fillId="13" borderId="1" xfId="0" applyFont="1" applyFill="1" applyBorder="1" applyAlignment="1">
      <alignment horizontal="center" vertical="center"/>
    </xf>
    <xf numFmtId="177" fontId="19" fillId="7" borderId="1" xfId="0" applyNumberFormat="1" applyFont="1" applyFill="1" applyBorder="1" applyAlignment="1">
      <alignment horizontal="center" vertical="center"/>
    </xf>
    <xf numFmtId="177" fontId="19" fillId="9" borderId="1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7" borderId="1" xfId="0" applyFont="1" applyFill="1" applyBorder="1">
      <alignment vertical="center"/>
    </xf>
    <xf numFmtId="0" fontId="12" fillId="9" borderId="1" xfId="0" applyFont="1" applyFill="1" applyBorder="1">
      <alignment vertical="center"/>
    </xf>
    <xf numFmtId="49" fontId="2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49" fontId="23" fillId="14" borderId="3" xfId="0" applyNumberFormat="1" applyFont="1" applyFill="1" applyBorder="1" applyAlignment="1">
      <alignment horizontal="center" vertical="center"/>
    </xf>
    <xf numFmtId="14" fontId="23" fillId="14" borderId="4" xfId="0" applyNumberFormat="1" applyFont="1" applyFill="1" applyBorder="1" applyAlignment="1">
      <alignment horizontal="center" vertical="center"/>
    </xf>
    <xf numFmtId="0" fontId="12" fillId="14" borderId="5" xfId="0" applyFont="1" applyFill="1" applyBorder="1">
      <alignment vertical="center"/>
    </xf>
    <xf numFmtId="180" fontId="12" fillId="14" borderId="6" xfId="0" applyNumberFormat="1" applyFont="1" applyFill="1" applyBorder="1" applyAlignment="1">
      <alignment horizontal="center" vertical="center"/>
    </xf>
    <xf numFmtId="180" fontId="12" fillId="14" borderId="5" xfId="0" applyNumberFormat="1" applyFont="1" applyFill="1" applyBorder="1" applyAlignment="1">
      <alignment horizontal="center" vertical="center"/>
    </xf>
    <xf numFmtId="178" fontId="24" fillId="15" borderId="7" xfId="0" applyNumberFormat="1" applyFont="1" applyFill="1" applyBorder="1" applyAlignment="1">
      <alignment horizontal="center" vertical="center"/>
    </xf>
    <xf numFmtId="178" fontId="24" fillId="15" borderId="6" xfId="0" applyNumberFormat="1" applyFont="1" applyFill="1" applyBorder="1" applyAlignment="1">
      <alignment horizontal="center" vertical="center"/>
    </xf>
    <xf numFmtId="178" fontId="24" fillId="15" borderId="5" xfId="0" applyNumberFormat="1" applyFont="1" applyFill="1" applyBorder="1" applyAlignment="1">
      <alignment horizontal="center" vertical="center"/>
    </xf>
    <xf numFmtId="178" fontId="24" fillId="15" borderId="1" xfId="0" applyNumberFormat="1" applyFont="1" applyFill="1" applyBorder="1" applyAlignment="1">
      <alignment horizontal="center" vertical="center"/>
    </xf>
    <xf numFmtId="49" fontId="24" fillId="9" borderId="8" xfId="0" applyNumberFormat="1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178" fontId="24" fillId="9" borderId="1" xfId="0" applyNumberFormat="1" applyFont="1" applyFill="1" applyBorder="1" applyAlignment="1">
      <alignment horizontal="center" vertical="center"/>
    </xf>
    <xf numFmtId="179" fontId="24" fillId="9" borderId="1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49" fontId="12" fillId="0" borderId="1" xfId="0" quotePrefix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78" fontId="12" fillId="5" borderId="1" xfId="0" applyNumberFormat="1" applyFont="1" applyFill="1" applyBorder="1" applyAlignment="1">
      <alignment horizontal="center" vertical="center"/>
    </xf>
    <xf numFmtId="181" fontId="12" fillId="5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81" fontId="12" fillId="7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left" vertical="center" wrapText="1"/>
    </xf>
    <xf numFmtId="0" fontId="12" fillId="10" borderId="0" xfId="0" applyFont="1" applyFill="1">
      <alignment vertical="center"/>
    </xf>
    <xf numFmtId="49" fontId="13" fillId="2" borderId="7" xfId="0" applyNumberFormat="1" applyFont="1" applyFill="1" applyBorder="1" applyAlignment="1">
      <alignment horizontal="left" vertical="center"/>
    </xf>
    <xf numFmtId="49" fontId="13" fillId="2" borderId="6" xfId="0" applyNumberFormat="1" applyFont="1" applyFill="1" applyBorder="1" applyAlignment="1">
      <alignment horizontal="left" vertical="center"/>
    </xf>
    <xf numFmtId="49" fontId="13" fillId="2" borderId="5" xfId="0" applyNumberFormat="1" applyFont="1" applyFill="1" applyBorder="1" applyAlignment="1">
      <alignment horizontal="left" vertical="center"/>
    </xf>
    <xf numFmtId="0" fontId="12" fillId="0" borderId="1" xfId="0" quotePrefix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178" fontId="12" fillId="8" borderId="1" xfId="0" applyNumberFormat="1" applyFont="1" applyFill="1" applyBorder="1" applyAlignment="1">
      <alignment horizontal="center" vertical="center"/>
    </xf>
    <xf numFmtId="181" fontId="12" fillId="8" borderId="1" xfId="0" applyNumberFormat="1" applyFont="1" applyFill="1" applyBorder="1" applyAlignment="1">
      <alignment horizontal="center" vertical="center"/>
    </xf>
    <xf numFmtId="0" fontId="12" fillId="16" borderId="1" xfId="0" applyNumberFormat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178" fontId="12" fillId="16" borderId="1" xfId="0" applyNumberFormat="1" applyFont="1" applyFill="1" applyBorder="1" applyAlignment="1">
      <alignment horizontal="center" vertical="center"/>
    </xf>
    <xf numFmtId="181" fontId="12" fillId="16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49" fontId="27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178" fontId="27" fillId="5" borderId="1" xfId="0" applyNumberFormat="1" applyFont="1" applyFill="1" applyBorder="1" applyAlignment="1">
      <alignment horizontal="center" vertical="center"/>
    </xf>
    <xf numFmtId="181" fontId="27" fillId="5" borderId="1" xfId="0" applyNumberFormat="1" applyFont="1" applyFill="1" applyBorder="1" applyAlignment="1">
      <alignment horizontal="center" vertical="center"/>
    </xf>
    <xf numFmtId="49" fontId="12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>
      <alignment vertical="center"/>
    </xf>
    <xf numFmtId="0" fontId="12" fillId="13" borderId="1" xfId="0" applyFont="1" applyFill="1" applyBorder="1" applyAlignment="1">
      <alignment horizontal="center" vertical="center"/>
    </xf>
    <xf numFmtId="178" fontId="12" fillId="13" borderId="1" xfId="0" applyNumberFormat="1" applyFont="1" applyFill="1" applyBorder="1" applyAlignment="1">
      <alignment horizontal="center" vertical="center"/>
    </xf>
    <xf numFmtId="181" fontId="12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2" fillId="0" borderId="0" xfId="0" applyFont="1" applyFill="1">
      <alignment vertical="center"/>
    </xf>
    <xf numFmtId="0" fontId="25" fillId="0" borderId="1" xfId="0" applyFont="1" applyFill="1" applyBorder="1">
      <alignment vertical="center"/>
    </xf>
    <xf numFmtId="178" fontId="12" fillId="0" borderId="1" xfId="0" applyNumberFormat="1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/>
    </xf>
    <xf numFmtId="178" fontId="25" fillId="0" borderId="1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28" fillId="11" borderId="9" xfId="6" applyFont="1" applyBorder="1" applyAlignment="1">
      <alignment horizontal="center" vertical="center"/>
    </xf>
    <xf numFmtId="0" fontId="28" fillId="11" borderId="10" xfId="6" applyFont="1" applyBorder="1" applyAlignment="1">
      <alignment horizontal="center" vertical="center"/>
    </xf>
    <xf numFmtId="0" fontId="28" fillId="11" borderId="11" xfId="6" applyFont="1" applyBorder="1" applyAlignment="1">
      <alignment horizontal="center" vertical="center"/>
    </xf>
    <xf numFmtId="0" fontId="28" fillId="11" borderId="12" xfId="6" applyFont="1" applyBorder="1" applyAlignment="1">
      <alignment horizontal="center" vertical="center"/>
    </xf>
    <xf numFmtId="0" fontId="0" fillId="12" borderId="13" xfId="7" applyFont="1" applyBorder="1">
      <alignment vertical="center"/>
    </xf>
    <xf numFmtId="0" fontId="0" fillId="12" borderId="1" xfId="7" applyFont="1" applyBorder="1">
      <alignment vertical="center"/>
    </xf>
    <xf numFmtId="0" fontId="29" fillId="12" borderId="1" xfId="7" applyFont="1" applyBorder="1" applyAlignment="1">
      <alignment vertical="center"/>
    </xf>
    <xf numFmtId="0" fontId="0" fillId="12" borderId="7" xfId="7" applyFont="1" applyBorder="1">
      <alignment vertical="center"/>
    </xf>
    <xf numFmtId="0" fontId="0" fillId="12" borderId="14" xfId="7" applyFont="1" applyBorder="1">
      <alignment vertical="center"/>
    </xf>
    <xf numFmtId="0" fontId="0" fillId="12" borderId="15" xfId="7" applyFont="1" applyBorder="1">
      <alignment vertical="center"/>
    </xf>
    <xf numFmtId="0" fontId="0" fillId="12" borderId="16" xfId="7" applyFont="1" applyBorder="1" applyAlignment="1">
      <alignment horizontal="center" vertical="center"/>
    </xf>
    <xf numFmtId="0" fontId="0" fillId="12" borderId="17" xfId="7" applyFont="1" applyBorder="1" applyAlignment="1">
      <alignment horizontal="center" vertical="center"/>
    </xf>
    <xf numFmtId="0" fontId="0" fillId="12" borderId="15" xfId="7" applyFont="1" applyBorder="1" applyAlignment="1">
      <alignment horizontal="center" vertical="center"/>
    </xf>
    <xf numFmtId="0" fontId="0" fillId="12" borderId="18" xfId="7" applyFont="1" applyBorder="1" applyAlignment="1">
      <alignment horizontal="center" vertical="center"/>
    </xf>
    <xf numFmtId="0" fontId="0" fillId="17" borderId="19" xfId="0" applyFill="1" applyBorder="1">
      <alignment vertical="center"/>
    </xf>
    <xf numFmtId="0" fontId="0" fillId="17" borderId="0" xfId="0" applyFill="1" applyBorder="1">
      <alignment vertical="center"/>
    </xf>
    <xf numFmtId="0" fontId="0" fillId="17" borderId="20" xfId="0" applyFill="1" applyBorder="1">
      <alignment vertical="center"/>
    </xf>
    <xf numFmtId="0" fontId="0" fillId="17" borderId="21" xfId="0" applyFill="1" applyBorder="1">
      <alignment vertical="center"/>
    </xf>
    <xf numFmtId="0" fontId="0" fillId="17" borderId="22" xfId="0" applyFill="1" applyBorder="1">
      <alignment vertical="center"/>
    </xf>
    <xf numFmtId="0" fontId="0" fillId="17" borderId="23" xfId="0" applyFill="1" applyBorder="1">
      <alignment vertical="center"/>
    </xf>
    <xf numFmtId="0" fontId="0" fillId="17" borderId="24" xfId="0" applyFill="1" applyBorder="1">
      <alignment vertical="center"/>
    </xf>
  </cellXfs>
  <cellStyles count="8">
    <cellStyle name="메모" xfId="7" builtinId="10"/>
    <cellStyle name="쉼표 [0] 2" xfId="5"/>
    <cellStyle name="좋음" xfId="6" builtinId="26"/>
    <cellStyle name="표준" xfId="0" builtinId="0"/>
    <cellStyle name="표준 152" xfId="3"/>
    <cellStyle name="표준 2" xfId="2"/>
    <cellStyle name="표준 3" xfId="4"/>
    <cellStyle name="표준_MPP-F03-CNS(Skill Inventory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21</xdr:row>
      <xdr:rowOff>59605</xdr:rowOff>
    </xdr:from>
    <xdr:to>
      <xdr:col>5</xdr:col>
      <xdr:colOff>538710</xdr:colOff>
      <xdr:row>22</xdr:row>
      <xdr:rowOff>183679</xdr:rowOff>
    </xdr:to>
    <xdr:sp macro="" textlink="">
      <xdr:nvSpPr>
        <xdr:cNvPr id="7" name="부제목 16"/>
        <xdr:cNvSpPr>
          <a:spLocks noGrp="1"/>
        </xdr:cNvSpPr>
      </xdr:nvSpPr>
      <xdr:spPr>
        <a:xfrm>
          <a:off x="304800" y="4879255"/>
          <a:ext cx="3224760" cy="343149"/>
        </a:xfrm>
        <a:prstGeom prst="rect">
          <a:avLst/>
        </a:prstGeom>
      </xdr:spPr>
      <xdr:txBody>
        <a:bodyPr wrap="square" lIns="0" tIns="0" rIns="0" bIns="0">
          <a:normAutofit/>
        </a:bodyPr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lang="ko-KR" altLang="en-US" sz="1600" b="0" kern="1200" dirty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457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3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일자</a:t>
          </a:r>
        </a:p>
      </xdr:txBody>
    </xdr:sp>
    <xdr:clientData/>
  </xdr:twoCellAnchor>
  <xdr:twoCellAnchor>
    <xdr:from>
      <xdr:col>1</xdr:col>
      <xdr:colOff>9525</xdr:colOff>
      <xdr:row>22</xdr:row>
      <xdr:rowOff>187235</xdr:rowOff>
    </xdr:from>
    <xdr:to>
      <xdr:col>5</xdr:col>
      <xdr:colOff>567285</xdr:colOff>
      <xdr:row>25</xdr:row>
      <xdr:rowOff>0</xdr:rowOff>
    </xdr:to>
    <xdr:sp macro="" textlink="">
      <xdr:nvSpPr>
        <xdr:cNvPr id="8" name="내용 개체 틀 2"/>
        <xdr:cNvSpPr>
          <a:spLocks noGrp="1"/>
        </xdr:cNvSpPr>
      </xdr:nvSpPr>
      <xdr:spPr>
        <a:xfrm>
          <a:off x="333375" y="5225960"/>
          <a:ext cx="3224760" cy="881876"/>
        </a:xfrm>
        <a:prstGeom prst="rect">
          <a:avLst/>
        </a:prstGeom>
      </xdr:spPr>
      <xdr:txBody>
        <a:bodyPr wrap="square" lIns="0"/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sz="1500" b="0" kern="1200" baseline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수행조직명 기재</a:t>
          </a:r>
        </a:p>
      </xdr:txBody>
    </xdr:sp>
    <xdr:clientData/>
  </xdr:twoCellAnchor>
  <xdr:twoCellAnchor>
    <xdr:from>
      <xdr:col>1</xdr:col>
      <xdr:colOff>180000</xdr:colOff>
      <xdr:row>7</xdr:row>
      <xdr:rowOff>952</xdr:rowOff>
    </xdr:from>
    <xdr:to>
      <xdr:col>8</xdr:col>
      <xdr:colOff>619220</xdr:colOff>
      <xdr:row>12</xdr:row>
      <xdr:rowOff>156403</xdr:rowOff>
    </xdr:to>
    <xdr:sp macro="" textlink="">
      <xdr:nvSpPr>
        <xdr:cNvPr id="9" name="내용 개체 틀 19"/>
        <xdr:cNvSpPr>
          <a:spLocks noGrp="1"/>
        </xdr:cNvSpPr>
      </xdr:nvSpPr>
      <xdr:spPr>
        <a:xfrm>
          <a:off x="180000" y="1547812"/>
          <a:ext cx="5133140" cy="126035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3200"/>
            <a:t>이행계획서</a:t>
          </a:r>
          <a:r>
            <a:rPr lang="en-US" altLang="ko-KR" sz="3200"/>
            <a:t>(</a:t>
          </a:r>
          <a:r>
            <a:rPr lang="ko-KR" altLang="en-US" sz="3200"/>
            <a:t>상세일정</a:t>
          </a:r>
          <a:r>
            <a:rPr lang="en-US" altLang="ko-KR" sz="3200"/>
            <a:t>)</a:t>
          </a:r>
          <a:endParaRPr lang="ko-KR" altLang="en-US" sz="3200"/>
        </a:p>
      </xdr:txBody>
    </xdr:sp>
    <xdr:clientData/>
  </xdr:twoCellAnchor>
  <xdr:twoCellAnchor>
    <xdr:from>
      <xdr:col>9</xdr:col>
      <xdr:colOff>264583</xdr:colOff>
      <xdr:row>1</xdr:row>
      <xdr:rowOff>120649</xdr:rowOff>
    </xdr:from>
    <xdr:to>
      <xdr:col>13</xdr:col>
      <xdr:colOff>210608</xdr:colOff>
      <xdr:row>3</xdr:row>
      <xdr:rowOff>218351</xdr:rowOff>
    </xdr:to>
    <xdr:sp macro="" textlink="">
      <xdr:nvSpPr>
        <xdr:cNvPr id="11" name="직사각형 10"/>
        <xdr:cNvSpPr/>
      </xdr:nvSpPr>
      <xdr:spPr>
        <a:xfrm>
          <a:off x="5945716" y="340782"/>
          <a:ext cx="2502959" cy="537969"/>
        </a:xfrm>
        <a:prstGeom prst="rect">
          <a:avLst/>
        </a:prstGeom>
        <a:ln>
          <a:solidFill>
            <a:srgbClr val="7F7F7F"/>
          </a:solidFill>
        </a:ln>
      </xdr:spPr>
      <xdr:txBody>
        <a:bodyPr wrap="square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고객사 </a:t>
          </a:r>
          <a:r>
            <a:rPr lang="en-US" altLang="ko-KR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CI(optional)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129107</xdr:colOff>
      <xdr:row>2</xdr:row>
      <xdr:rowOff>25241</xdr:rowOff>
    </xdr:to>
    <xdr:sp macro="" textlink="">
      <xdr:nvSpPr>
        <xdr:cNvPr id="14" name="TextBox 22"/>
        <xdr:cNvSpPr txBox="1"/>
      </xdr:nvSpPr>
      <xdr:spPr>
        <a:xfrm>
          <a:off x="0" y="0"/>
          <a:ext cx="2811347" cy="246221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US" altLang="ko-KR" sz="1600" b="1"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lang="ko-KR" altLang="en-US" sz="16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</xdr:colOff>
      <xdr:row>5</xdr:row>
      <xdr:rowOff>51963</xdr:rowOff>
    </xdr:from>
    <xdr:to>
      <xdr:col>9</xdr:col>
      <xdr:colOff>149021</xdr:colOff>
      <xdr:row>19</xdr:row>
      <xdr:rowOff>198242</xdr:rowOff>
    </xdr:to>
    <xdr:grpSp>
      <xdr:nvGrpSpPr>
        <xdr:cNvPr id="16" name="그룹 15"/>
        <xdr:cNvGrpSpPr/>
      </xdr:nvGrpSpPr>
      <xdr:grpSpPr>
        <a:xfrm>
          <a:off x="330201" y="1152630"/>
          <a:ext cx="5499953" cy="3228145"/>
          <a:chOff x="900000" y="1513268"/>
          <a:chExt cx="5513500" cy="3239999"/>
        </a:xfrm>
        <a:solidFill>
          <a:srgbClr val="005AB4"/>
        </a:solidFill>
      </xdr:grpSpPr>
      <xdr:grpSp>
        <xdr:nvGrpSpPr>
          <xdr:cNvPr id="20" name="그룹 19"/>
          <xdr:cNvGrpSpPr/>
        </xdr:nvGrpSpPr>
        <xdr:grpSpPr>
          <a:xfrm>
            <a:off x="900000" y="1513268"/>
            <a:ext cx="180000" cy="3239999"/>
            <a:chOff x="900000" y="1513268"/>
            <a:chExt cx="180000" cy="3239999"/>
          </a:xfrm>
          <a:grpFill/>
        </xdr:grpSpPr>
        <xdr:sp macro="" textlink="">
          <xdr:nvSpPr>
            <xdr:cNvPr id="27" name="직사각형 26"/>
            <xdr:cNvSpPr/>
          </xdr:nvSpPr>
          <xdr:spPr>
            <a:xfrm>
              <a:off x="9000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8" name="직사각형 27"/>
            <xdr:cNvSpPr/>
          </xdr:nvSpPr>
          <xdr:spPr>
            <a:xfrm rot="10800000">
              <a:off x="9000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grpSp>
        <xdr:nvGrpSpPr>
          <xdr:cNvPr id="21" name="그룹 20"/>
          <xdr:cNvGrpSpPr/>
        </xdr:nvGrpSpPr>
        <xdr:grpSpPr>
          <a:xfrm>
            <a:off x="900000" y="1513268"/>
            <a:ext cx="5513500" cy="3239999"/>
            <a:chOff x="900000" y="1513268"/>
            <a:chExt cx="5513500" cy="3239999"/>
          </a:xfrm>
          <a:grpFill/>
        </xdr:grpSpPr>
        <xdr:sp macro="" textlink="">
          <xdr:nvSpPr>
            <xdr:cNvPr id="22" name="직사각형 21"/>
            <xdr:cNvSpPr/>
          </xdr:nvSpPr>
          <xdr:spPr>
            <a:xfrm>
              <a:off x="62335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solidFill>
                  <a:srgbClr val="005AB4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grpSp>
          <xdr:nvGrpSpPr>
            <xdr:cNvPr id="23" name="그룹 22"/>
            <xdr:cNvGrpSpPr/>
          </xdr:nvGrpSpPr>
          <xdr:grpSpPr>
            <a:xfrm>
              <a:off x="900000" y="1513269"/>
              <a:ext cx="5513500" cy="3239997"/>
              <a:chOff x="900000" y="1513269"/>
              <a:chExt cx="3240000" cy="3239997"/>
            </a:xfrm>
            <a:grpFill/>
          </xdr:grpSpPr>
          <xdr:sp macro="" textlink="">
            <xdr:nvSpPr>
              <xdr:cNvPr id="25" name="직사각형 24"/>
              <xdr:cNvSpPr/>
            </xdr:nvSpPr>
            <xdr:spPr>
              <a:xfrm rot="16200000">
                <a:off x="2430000" y="-16731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26" name="직사각형 25"/>
              <xdr:cNvSpPr/>
            </xdr:nvSpPr>
            <xdr:spPr>
              <a:xfrm rot="5400000">
                <a:off x="2430000" y="3043266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24" name="직사각형 23"/>
            <xdr:cNvSpPr/>
          </xdr:nvSpPr>
          <xdr:spPr>
            <a:xfrm rot="10800000">
              <a:off x="62335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</xdr:grpSp>
    <xdr:clientData/>
  </xdr:twoCellAnchor>
  <xdr:twoCellAnchor>
    <xdr:from>
      <xdr:col>1</xdr:col>
      <xdr:colOff>180001</xdr:colOff>
      <xdr:row>13</xdr:row>
      <xdr:rowOff>127846</xdr:rowOff>
    </xdr:from>
    <xdr:to>
      <xdr:col>8</xdr:col>
      <xdr:colOff>619221</xdr:colOff>
      <xdr:row>16</xdr:row>
      <xdr:rowOff>184987</xdr:rowOff>
    </xdr:to>
    <xdr:sp macro="" textlink="">
      <xdr:nvSpPr>
        <xdr:cNvPr id="17" name="내용 개체 틀 27"/>
        <xdr:cNvSpPr>
          <a:spLocks noGrp="1"/>
        </xdr:cNvSpPr>
      </xdr:nvSpPr>
      <xdr:spPr>
        <a:xfrm>
          <a:off x="180001" y="3000586"/>
          <a:ext cx="5133140" cy="72008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342861" indent="-342861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endParaRPr lang="ko-KR" altLang="en-US"/>
        </a:p>
      </xdr:txBody>
    </xdr:sp>
    <xdr:clientData/>
  </xdr:twoCellAnchor>
  <xdr:twoCellAnchor editAs="oneCell">
    <xdr:from>
      <xdr:col>10</xdr:col>
      <xdr:colOff>466816</xdr:colOff>
      <xdr:row>25</xdr:row>
      <xdr:rowOff>0</xdr:rowOff>
    </xdr:from>
    <xdr:to>
      <xdr:col>12</xdr:col>
      <xdr:colOff>501552</xdr:colOff>
      <xdr:row>25</xdr:row>
      <xdr:rowOff>223272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816" y="5503333"/>
          <a:ext cx="1372469" cy="223272"/>
        </a:xfrm>
        <a:prstGeom prst="rect">
          <a:avLst/>
        </a:prstGeom>
      </xdr:spPr>
    </xdr:pic>
    <xdr:clientData/>
  </xdr:twoCellAnchor>
  <xdr:twoCellAnchor>
    <xdr:from>
      <xdr:col>1</xdr:col>
      <xdr:colOff>186267</xdr:colOff>
      <xdr:row>11</xdr:row>
      <xdr:rowOff>211666</xdr:rowOff>
    </xdr:from>
    <xdr:to>
      <xdr:col>8</xdr:col>
      <xdr:colOff>625487</xdr:colOff>
      <xdr:row>17</xdr:row>
      <xdr:rowOff>146984</xdr:rowOff>
    </xdr:to>
    <xdr:sp macro="" textlink="">
      <xdr:nvSpPr>
        <xdr:cNvPr id="29" name="내용 개체 틀 19"/>
        <xdr:cNvSpPr>
          <a:spLocks noGrp="1"/>
        </xdr:cNvSpPr>
      </xdr:nvSpPr>
      <xdr:spPr>
        <a:xfrm>
          <a:off x="516467" y="2633133"/>
          <a:ext cx="5121287" cy="1256118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200"/>
            <a:t>문서 부제목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87505</xdr:colOff>
      <xdr:row>2</xdr:row>
      <xdr:rowOff>323942</xdr:rowOff>
    </xdr:from>
    <xdr:to>
      <xdr:col>5</xdr:col>
      <xdr:colOff>326415</xdr:colOff>
      <xdr:row>3</xdr:row>
      <xdr:rowOff>143752</xdr:rowOff>
    </xdr:to>
    <xdr:sp macro="" textlink="">
      <xdr:nvSpPr>
        <xdr:cNvPr id="2" name="아래쪽 화살표 1"/>
        <xdr:cNvSpPr/>
      </xdr:nvSpPr>
      <xdr:spPr>
        <a:xfrm>
          <a:off x="2236345" y="971642"/>
          <a:ext cx="238910" cy="223670"/>
        </a:xfrm>
        <a:prstGeom prst="downArrow">
          <a:avLst>
            <a:gd name="adj1" fmla="val 50000"/>
            <a:gd name="adj2" fmla="val 63953"/>
          </a:avLst>
        </a:prstGeom>
        <a:solidFill>
          <a:srgbClr val="FF0000"/>
        </a:solidFill>
        <a:ln w="12700" cap="rnd">
          <a:solidFill>
            <a:srgbClr val="FF0000"/>
          </a:solidFill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50275</xdr:colOff>
      <xdr:row>4</xdr:row>
      <xdr:rowOff>41357</xdr:rowOff>
    </xdr:from>
    <xdr:to>
      <xdr:col>10</xdr:col>
      <xdr:colOff>241892</xdr:colOff>
      <xdr:row>4</xdr:row>
      <xdr:rowOff>346157</xdr:rowOff>
    </xdr:to>
    <xdr:sp macro="" textlink="">
      <xdr:nvSpPr>
        <xdr:cNvPr id="3" name="TextBox 2"/>
        <xdr:cNvSpPr txBox="1"/>
      </xdr:nvSpPr>
      <xdr:spPr>
        <a:xfrm>
          <a:off x="3052555" y="1313897"/>
          <a:ext cx="1471777" cy="3048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bg1">
              <a:lumMod val="7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t"/>
        <a:lstStyle/>
        <a:p>
          <a:pPr algn="l">
            <a:lnSpc>
              <a:spcPts val="1000"/>
            </a:lnSpc>
          </a:pPr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◀ </a:t>
          </a:r>
          <a:r>
            <a:rPr lang="en-US" altLang="ko-KR" sz="1000" b="0">
              <a:solidFill>
                <a:srgbClr val="FF0000"/>
              </a:solidFill>
              <a:latin typeface="+mn-ea"/>
              <a:ea typeface="+mn-ea"/>
            </a:rPr>
            <a:t>D-3  </a:t>
          </a:r>
        </a:p>
      </xdr:txBody>
    </xdr:sp>
    <xdr:clientData/>
  </xdr:twoCellAnchor>
  <xdr:twoCellAnchor>
    <xdr:from>
      <xdr:col>28</xdr:col>
      <xdr:colOff>25521</xdr:colOff>
      <xdr:row>4</xdr:row>
      <xdr:rowOff>48978</xdr:rowOff>
    </xdr:from>
    <xdr:to>
      <xdr:col>30</xdr:col>
      <xdr:colOff>217709</xdr:colOff>
      <xdr:row>4</xdr:row>
      <xdr:rowOff>353778</xdr:rowOff>
    </xdr:to>
    <xdr:sp macro="" textlink="">
      <xdr:nvSpPr>
        <xdr:cNvPr id="4" name="TextBox 3"/>
        <xdr:cNvSpPr txBox="1"/>
      </xdr:nvSpPr>
      <xdr:spPr>
        <a:xfrm>
          <a:off x="11988921" y="1321518"/>
          <a:ext cx="1045628" cy="30480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lumMod val="7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t"/>
        <a:lstStyle/>
        <a:p>
          <a:pPr algn="l">
            <a:lnSpc>
              <a:spcPts val="1000"/>
            </a:lnSpc>
          </a:pPr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◀ </a:t>
          </a:r>
          <a:r>
            <a:rPr lang="en-US" altLang="ko-KR" sz="1000" b="0">
              <a:solidFill>
                <a:srgbClr val="FF0000"/>
              </a:solidFill>
              <a:latin typeface="+mn-ea"/>
              <a:ea typeface="+mn-ea"/>
            </a:rPr>
            <a:t>D-1 04:00</a:t>
          </a:r>
        </a:p>
        <a:p>
          <a:pPr algn="l">
            <a:lnSpc>
              <a:spcPts val="1000"/>
            </a:lnSpc>
          </a:pPr>
          <a:r>
            <a:rPr lang="en-US" altLang="ko-KR" sz="1000" b="0">
              <a:solidFill>
                <a:srgbClr val="FF0000"/>
              </a:solidFill>
              <a:latin typeface="+mn-ea"/>
              <a:ea typeface="+mn-ea"/>
            </a:rPr>
            <a:t>    RB</a:t>
          </a:r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서비스 종료</a:t>
          </a:r>
          <a:endParaRPr lang="en-US" altLang="ko-KR" sz="10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403234</xdr:colOff>
      <xdr:row>2</xdr:row>
      <xdr:rowOff>17291</xdr:rowOff>
    </xdr:from>
    <xdr:to>
      <xdr:col>7</xdr:col>
      <xdr:colOff>104376</xdr:colOff>
      <xdr:row>2</xdr:row>
      <xdr:rowOff>386383</xdr:rowOff>
    </xdr:to>
    <xdr:sp macro="" textlink="">
      <xdr:nvSpPr>
        <xdr:cNvPr id="5" name="TextBox 4"/>
        <xdr:cNvSpPr txBox="1"/>
      </xdr:nvSpPr>
      <xdr:spPr>
        <a:xfrm>
          <a:off x="1698634" y="664991"/>
          <a:ext cx="1408022" cy="369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t"/>
        <a:lstStyle/>
        <a:p>
          <a:pPr algn="l">
            <a:lnSpc>
              <a:spcPts val="1200"/>
            </a:lnSpc>
          </a:pPr>
          <a:r>
            <a:rPr lang="ko-KR" altLang="en-US" sz="1000" b="1">
              <a:solidFill>
                <a:srgbClr val="0000CC"/>
              </a:solidFill>
              <a:latin typeface="+mn-ea"/>
              <a:ea typeface="+mn-ea"/>
            </a:rPr>
            <a:t>운영환경 설정점검</a:t>
          </a:r>
          <a:r>
            <a:rPr lang="en-US" altLang="ko-KR" sz="1000" b="1">
              <a:solidFill>
                <a:srgbClr val="0000CC"/>
              </a:solidFill>
              <a:latin typeface="+mn-ea"/>
              <a:ea typeface="+mn-ea"/>
            </a:rPr>
            <a:t>(</a:t>
          </a:r>
          <a:r>
            <a:rPr lang="ko-KR" altLang="en-US" sz="1000" b="1">
              <a:solidFill>
                <a:srgbClr val="0000CC"/>
              </a:solidFill>
              <a:latin typeface="+mn-ea"/>
              <a:ea typeface="+mn-ea"/>
            </a:rPr>
            <a:t>병테</a:t>
          </a:r>
          <a:r>
            <a:rPr lang="en-US" altLang="ko-KR" sz="1000" b="1">
              <a:solidFill>
                <a:srgbClr val="0000CC"/>
              </a:solidFill>
              <a:latin typeface="+mn-ea"/>
              <a:ea typeface="+mn-ea"/>
            </a:rPr>
            <a:t>)</a:t>
          </a:r>
        </a:p>
        <a:p>
          <a:pPr algn="l">
            <a:lnSpc>
              <a:spcPts val="1000"/>
            </a:lnSpc>
          </a:pPr>
          <a:r>
            <a:rPr lang="en-US" altLang="ko-KR" sz="1000" b="1">
              <a:solidFill>
                <a:srgbClr val="0000CC"/>
              </a:solidFill>
              <a:latin typeface="+mn-ea"/>
              <a:ea typeface="+mn-ea"/>
            </a:rPr>
            <a:t>(D-3 20:00)</a:t>
          </a:r>
          <a:endParaRPr lang="ko-KR" altLang="en-US" sz="1000" b="1">
            <a:solidFill>
              <a:srgbClr val="0000CC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410160</xdr:colOff>
      <xdr:row>2</xdr:row>
      <xdr:rowOff>50589</xdr:rowOff>
    </xdr:from>
    <xdr:to>
      <xdr:col>30</xdr:col>
      <xdr:colOff>87086</xdr:colOff>
      <xdr:row>3</xdr:row>
      <xdr:rowOff>16269</xdr:rowOff>
    </xdr:to>
    <xdr:sp macro="" textlink="">
      <xdr:nvSpPr>
        <xdr:cNvPr id="6" name="TextBox 5"/>
        <xdr:cNvSpPr txBox="1"/>
      </xdr:nvSpPr>
      <xdr:spPr>
        <a:xfrm>
          <a:off x="11946840" y="698289"/>
          <a:ext cx="957086" cy="369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t"/>
        <a:lstStyle/>
        <a:p>
          <a:pPr algn="l">
            <a:lnSpc>
              <a:spcPts val="1200"/>
            </a:lnSpc>
          </a:pPr>
          <a:r>
            <a:rPr lang="ko-KR" altLang="en-US" sz="1000" b="1">
              <a:solidFill>
                <a:srgbClr val="0000CC"/>
              </a:solidFill>
              <a:latin typeface="+mn-ea"/>
              <a:ea typeface="+mn-ea"/>
            </a:rPr>
            <a:t>운영환경설정</a:t>
          </a:r>
          <a:endParaRPr lang="en-US" altLang="ko-KR" sz="1000" b="1">
            <a:solidFill>
              <a:srgbClr val="0000CC"/>
            </a:solidFill>
            <a:latin typeface="+mn-ea"/>
            <a:ea typeface="+mn-ea"/>
          </a:endParaRPr>
        </a:p>
        <a:p>
          <a:pPr algn="l">
            <a:lnSpc>
              <a:spcPts val="1000"/>
            </a:lnSpc>
          </a:pPr>
          <a:r>
            <a:rPr lang="en-US" altLang="ko-KR" sz="1000" b="1">
              <a:solidFill>
                <a:srgbClr val="0000CC"/>
              </a:solidFill>
              <a:latin typeface="+mn-ea"/>
              <a:ea typeface="+mn-ea"/>
            </a:rPr>
            <a:t>(D-1 04:00)</a:t>
          </a:r>
          <a:endParaRPr lang="ko-KR" altLang="en-US" sz="1000" b="1">
            <a:solidFill>
              <a:srgbClr val="0000CC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35</xdr:col>
      <xdr:colOff>10655</xdr:colOff>
      <xdr:row>2</xdr:row>
      <xdr:rowOff>50584</xdr:rowOff>
    </xdr:from>
    <xdr:to>
      <xdr:col>38</xdr:col>
      <xdr:colOff>20459</xdr:colOff>
      <xdr:row>3</xdr:row>
      <xdr:rowOff>16264</xdr:rowOff>
    </xdr:to>
    <xdr:sp macro="" textlink="">
      <xdr:nvSpPr>
        <xdr:cNvPr id="7" name="TextBox 6"/>
        <xdr:cNvSpPr txBox="1"/>
      </xdr:nvSpPr>
      <xdr:spPr>
        <a:xfrm>
          <a:off x="14961095" y="698284"/>
          <a:ext cx="1289964" cy="369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t"/>
        <a:lstStyle/>
        <a:p>
          <a:pPr algn="l">
            <a:lnSpc>
              <a:spcPts val="1200"/>
            </a:lnSpc>
          </a:pPr>
          <a:r>
            <a:rPr lang="ko-KR" altLang="en-US" sz="1000" b="1">
              <a:solidFill>
                <a:srgbClr val="0000CC"/>
              </a:solidFill>
              <a:latin typeface="+mn-ea"/>
              <a:ea typeface="+mn-ea"/>
            </a:rPr>
            <a:t>운영전환</a:t>
          </a:r>
          <a:r>
            <a:rPr lang="en-US" altLang="ko-KR" sz="1000" b="1">
              <a:solidFill>
                <a:srgbClr val="0000CC"/>
              </a:solidFill>
              <a:latin typeface="+mn-ea"/>
              <a:ea typeface="+mn-ea"/>
            </a:rPr>
            <a:t>/</a:t>
          </a:r>
          <a:r>
            <a:rPr lang="ko-KR" altLang="en-US" sz="1000" b="1">
              <a:solidFill>
                <a:srgbClr val="0000CC"/>
              </a:solidFill>
              <a:latin typeface="+mn-ea"/>
              <a:ea typeface="+mn-ea"/>
            </a:rPr>
            <a:t>점검</a:t>
          </a:r>
          <a:endParaRPr lang="en-US" altLang="ko-KR" sz="1000" b="1">
            <a:solidFill>
              <a:srgbClr val="0000CC"/>
            </a:solidFill>
            <a:latin typeface="+mn-ea"/>
            <a:ea typeface="+mn-ea"/>
          </a:endParaRPr>
        </a:p>
        <a:p>
          <a:pPr algn="l">
            <a:lnSpc>
              <a:spcPts val="1000"/>
            </a:lnSpc>
          </a:pPr>
          <a:r>
            <a:rPr lang="en-US" altLang="ko-KR" sz="1000" b="1">
              <a:solidFill>
                <a:srgbClr val="0000CC"/>
              </a:solidFill>
              <a:latin typeface="+mn-ea"/>
              <a:ea typeface="+mn-ea"/>
            </a:rPr>
            <a:t>(D-1 18:00)</a:t>
          </a:r>
          <a:endParaRPr lang="ko-KR" altLang="en-US" sz="1000" b="1">
            <a:solidFill>
              <a:srgbClr val="0000CC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40</xdr:col>
      <xdr:colOff>211941</xdr:colOff>
      <xdr:row>2</xdr:row>
      <xdr:rowOff>298973</xdr:rowOff>
    </xdr:from>
    <xdr:to>
      <xdr:col>41</xdr:col>
      <xdr:colOff>25028</xdr:colOff>
      <xdr:row>3</xdr:row>
      <xdr:rowOff>118783</xdr:rowOff>
    </xdr:to>
    <xdr:sp macro="" textlink="">
      <xdr:nvSpPr>
        <xdr:cNvPr id="8" name="아래쪽 화살표 7"/>
        <xdr:cNvSpPr/>
      </xdr:nvSpPr>
      <xdr:spPr>
        <a:xfrm>
          <a:off x="17295981" y="946673"/>
          <a:ext cx="239807" cy="223670"/>
        </a:xfrm>
        <a:prstGeom prst="downArrow">
          <a:avLst>
            <a:gd name="adj1" fmla="val 50000"/>
            <a:gd name="adj2" fmla="val 63953"/>
          </a:avLst>
        </a:prstGeom>
        <a:solidFill>
          <a:srgbClr val="FF0000"/>
        </a:solidFill>
        <a:ln w="12700" cap="rnd">
          <a:solidFill>
            <a:srgbClr val="FF0000"/>
          </a:solidFill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24405</xdr:colOff>
      <xdr:row>2</xdr:row>
      <xdr:rowOff>51231</xdr:rowOff>
    </xdr:from>
    <xdr:to>
      <xdr:col>43</xdr:col>
      <xdr:colOff>168088</xdr:colOff>
      <xdr:row>3</xdr:row>
      <xdr:rowOff>0</xdr:rowOff>
    </xdr:to>
    <xdr:sp macro="" textlink="">
      <xdr:nvSpPr>
        <xdr:cNvPr id="9" name="TextBox 8"/>
        <xdr:cNvSpPr txBox="1"/>
      </xdr:nvSpPr>
      <xdr:spPr>
        <a:xfrm>
          <a:off x="17535165" y="698931"/>
          <a:ext cx="997123" cy="352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t"/>
        <a:lstStyle/>
        <a:p>
          <a:pPr algn="l">
            <a:lnSpc>
              <a:spcPts val="1000"/>
            </a:lnSpc>
          </a:pPr>
          <a:r>
            <a:rPr lang="ko-KR" altLang="en-US" sz="1000" b="1">
              <a:solidFill>
                <a:srgbClr val="FF0000"/>
              </a:solidFill>
              <a:latin typeface="+mn-ea"/>
              <a:ea typeface="+mn-ea"/>
            </a:rPr>
            <a:t>新</a:t>
          </a:r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 MES </a:t>
          </a:r>
          <a:r>
            <a:rPr lang="ko-KR" altLang="en-US" sz="1000" b="1">
              <a:solidFill>
                <a:srgbClr val="FF0000"/>
              </a:solidFill>
              <a:latin typeface="+mn-ea"/>
              <a:ea typeface="+mn-ea"/>
            </a:rPr>
            <a:t>오픈</a:t>
          </a:r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200"/>
            </a:lnSpc>
          </a:pPr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(D-Day 07:30~)</a:t>
          </a:r>
        </a:p>
      </xdr:txBody>
    </xdr:sp>
    <xdr:clientData/>
  </xdr:twoCellAnchor>
  <xdr:twoCellAnchor>
    <xdr:from>
      <xdr:col>27</xdr:col>
      <xdr:colOff>217719</xdr:colOff>
      <xdr:row>6</xdr:row>
      <xdr:rowOff>33528</xdr:rowOff>
    </xdr:from>
    <xdr:to>
      <xdr:col>27</xdr:col>
      <xdr:colOff>415719</xdr:colOff>
      <xdr:row>8</xdr:row>
      <xdr:rowOff>1492728</xdr:rowOff>
    </xdr:to>
    <xdr:sp macro="" textlink="">
      <xdr:nvSpPr>
        <xdr:cNvPr id="10" name="TextBox 9"/>
        <xdr:cNvSpPr txBox="1"/>
      </xdr:nvSpPr>
      <xdr:spPr>
        <a:xfrm>
          <a:off x="11754399" y="3211068"/>
          <a:ext cx="198000" cy="4507200"/>
        </a:xfrm>
        <a:prstGeom prst="rect">
          <a:avLst/>
        </a:prstGeom>
        <a:solidFill>
          <a:schemeClr val="accent6">
            <a:lumMod val="75000"/>
            <a:alpha val="50000"/>
          </a:schemeClr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/>
        <a:lstStyle/>
        <a:p>
          <a:pPr algn="ctr"/>
          <a:endParaRPr lang="en-US" altLang="ko-KR" sz="10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7</a:t>
          </a:r>
        </a:p>
        <a:p>
          <a:pPr algn="ctr"/>
          <a:endParaRPr lang="en-US" altLang="ko-KR" sz="10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M</a:t>
          </a: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E</a:t>
          </a: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S</a:t>
          </a:r>
        </a:p>
        <a:p>
          <a:pPr algn="ctr"/>
          <a:r>
            <a:rPr lang="ko-KR" altLang="en-US" sz="1000" b="1">
              <a:solidFill>
                <a:schemeClr val="tx1"/>
              </a:solidFill>
              <a:latin typeface="+mj-ea"/>
              <a:ea typeface="+mj-ea"/>
            </a:rPr>
            <a:t>중</a:t>
          </a:r>
          <a:endParaRPr lang="en-US" altLang="ko-KR" sz="10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ko-KR" altLang="en-US" sz="1000" b="1">
              <a:solidFill>
                <a:schemeClr val="tx1"/>
              </a:solidFill>
              <a:latin typeface="+mj-ea"/>
              <a:ea typeface="+mj-ea"/>
            </a:rPr>
            <a:t>지</a:t>
          </a:r>
        </a:p>
      </xdr:txBody>
    </xdr:sp>
    <xdr:clientData/>
  </xdr:twoCellAnchor>
  <xdr:twoCellAnchor>
    <xdr:from>
      <xdr:col>40</xdr:col>
      <xdr:colOff>326978</xdr:colOff>
      <xdr:row>3</xdr:row>
      <xdr:rowOff>206819</xdr:rowOff>
    </xdr:from>
    <xdr:to>
      <xdr:col>40</xdr:col>
      <xdr:colOff>373979</xdr:colOff>
      <xdr:row>8</xdr:row>
      <xdr:rowOff>1513075</xdr:rowOff>
    </xdr:to>
    <xdr:sp macro="" textlink="">
      <xdr:nvSpPr>
        <xdr:cNvPr id="11" name="TextBox 10"/>
        <xdr:cNvSpPr txBox="1"/>
      </xdr:nvSpPr>
      <xdr:spPr>
        <a:xfrm>
          <a:off x="17411018" y="1258379"/>
          <a:ext cx="47001" cy="6480236"/>
        </a:xfrm>
        <a:prstGeom prst="rect">
          <a:avLst/>
        </a:prstGeom>
        <a:solidFill>
          <a:srgbClr val="FF0000">
            <a:alpha val="50000"/>
          </a:srgbClr>
        </a:solidFill>
        <a:ln w="31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/>
        <a:lstStyle/>
        <a:p>
          <a:pPr algn="ctr"/>
          <a:endParaRPr lang="en-US" altLang="ko-KR" sz="1000" b="1">
            <a:solidFill>
              <a:srgbClr val="0000CC"/>
            </a:solidFill>
          </a:endParaRPr>
        </a:p>
        <a:p>
          <a:pPr algn="ctr"/>
          <a:endParaRPr lang="en-US" altLang="ko-KR" sz="1000" b="1">
            <a:solidFill>
              <a:srgbClr val="0000CC"/>
            </a:solidFill>
          </a:endParaRPr>
        </a:p>
        <a:p>
          <a:pPr algn="ctr"/>
          <a:endParaRPr lang="en-US" altLang="ko-KR" sz="1000" b="1">
            <a:solidFill>
              <a:srgbClr val="0000CC"/>
            </a:solidFill>
          </a:endParaRPr>
        </a:p>
        <a:p>
          <a:pPr algn="ctr"/>
          <a:endParaRPr lang="en-US" altLang="ko-KR" sz="1000" b="1">
            <a:solidFill>
              <a:srgbClr val="0000CC"/>
            </a:solidFill>
          </a:endParaRPr>
        </a:p>
        <a:p>
          <a:pPr algn="ctr"/>
          <a:endParaRPr lang="en-US" altLang="ko-KR" sz="1000" b="1">
            <a:solidFill>
              <a:srgbClr val="0000CC"/>
            </a:solidFill>
          </a:endParaRPr>
        </a:p>
        <a:p>
          <a:pPr algn="ctr"/>
          <a:endParaRPr lang="en-US" altLang="ko-KR" sz="1000" b="1">
            <a:solidFill>
              <a:srgbClr val="0000CC"/>
            </a:solidFill>
          </a:endParaRPr>
        </a:p>
        <a:p>
          <a:pPr algn="ctr"/>
          <a:endParaRPr lang="en-US" altLang="ko-KR" sz="1000" b="1">
            <a:solidFill>
              <a:srgbClr val="0000CC"/>
            </a:solidFill>
          </a:endParaRPr>
        </a:p>
        <a:p>
          <a:pPr algn="ctr"/>
          <a:endParaRPr lang="ko-KR" altLang="en-US" sz="1000" b="1">
            <a:solidFill>
              <a:srgbClr val="0000CC"/>
            </a:solidFill>
          </a:endParaRPr>
        </a:p>
      </xdr:txBody>
    </xdr:sp>
    <xdr:clientData/>
  </xdr:twoCellAnchor>
  <xdr:twoCellAnchor>
    <xdr:from>
      <xdr:col>30</xdr:col>
      <xdr:colOff>26397</xdr:colOff>
      <xdr:row>7</xdr:row>
      <xdr:rowOff>93098</xdr:rowOff>
    </xdr:from>
    <xdr:to>
      <xdr:col>31</xdr:col>
      <xdr:colOff>404635</xdr:colOff>
      <xdr:row>7</xdr:row>
      <xdr:rowOff>741098</xdr:rowOff>
    </xdr:to>
    <xdr:sp macro="" textlink="">
      <xdr:nvSpPr>
        <xdr:cNvPr id="12" name="TextBox 11"/>
        <xdr:cNvSpPr txBox="1"/>
      </xdr:nvSpPr>
      <xdr:spPr>
        <a:xfrm>
          <a:off x="12843237" y="4794638"/>
          <a:ext cx="804958" cy="648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marL="0" marR="0" indent="0" algn="ctr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9.1</a:t>
          </a:r>
        </a:p>
        <a:p>
          <a:pPr marL="0" marR="0" indent="0" algn="ctr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운영</a:t>
          </a: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DB</a:t>
          </a:r>
        </a:p>
        <a:p>
          <a:pPr marL="0" marR="0" indent="0" algn="ctr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형상변경</a:t>
          </a:r>
          <a:endParaRPr lang="en-US" altLang="ko-KR" sz="10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28</xdr:col>
      <xdr:colOff>21328</xdr:colOff>
      <xdr:row>8</xdr:row>
      <xdr:rowOff>100139</xdr:rowOff>
    </xdr:from>
    <xdr:to>
      <xdr:col>29</xdr:col>
      <xdr:colOff>399585</xdr:colOff>
      <xdr:row>8</xdr:row>
      <xdr:rowOff>1432139</xdr:rowOff>
    </xdr:to>
    <xdr:sp macro="" textlink="">
      <xdr:nvSpPr>
        <xdr:cNvPr id="13" name="TextBox 12"/>
        <xdr:cNvSpPr txBox="1"/>
      </xdr:nvSpPr>
      <xdr:spPr>
        <a:xfrm>
          <a:off x="11984728" y="6325679"/>
          <a:ext cx="804977" cy="133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8.3</a:t>
          </a: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Mig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前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운영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DB</a:t>
          </a: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Full</a:t>
          </a: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BackUp</a:t>
          </a:r>
        </a:p>
      </xdr:txBody>
    </xdr:sp>
    <xdr:clientData/>
  </xdr:twoCellAnchor>
  <xdr:twoCellAnchor>
    <xdr:from>
      <xdr:col>39</xdr:col>
      <xdr:colOff>18428</xdr:colOff>
      <xdr:row>8</xdr:row>
      <xdr:rowOff>100139</xdr:rowOff>
    </xdr:from>
    <xdr:to>
      <xdr:col>40</xdr:col>
      <xdr:colOff>96604</xdr:colOff>
      <xdr:row>8</xdr:row>
      <xdr:rowOff>1432139</xdr:rowOff>
    </xdr:to>
    <xdr:sp macro="" textlink="">
      <xdr:nvSpPr>
        <xdr:cNvPr id="14" name="TextBox 13"/>
        <xdr:cNvSpPr txBox="1"/>
      </xdr:nvSpPr>
      <xdr:spPr>
        <a:xfrm>
          <a:off x="16675748" y="6325679"/>
          <a:ext cx="504896" cy="133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15</a:t>
          </a: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Mig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後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운영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DB</a:t>
          </a: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Full</a:t>
          </a: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BackUp</a:t>
          </a:r>
        </a:p>
      </xdr:txBody>
    </xdr:sp>
    <xdr:clientData/>
  </xdr:twoCellAnchor>
  <xdr:twoCellAnchor>
    <xdr:from>
      <xdr:col>6</xdr:col>
      <xdr:colOff>32978</xdr:colOff>
      <xdr:row>7</xdr:row>
      <xdr:rowOff>93097</xdr:rowOff>
    </xdr:from>
    <xdr:to>
      <xdr:col>6</xdr:col>
      <xdr:colOff>415841</xdr:colOff>
      <xdr:row>7</xdr:row>
      <xdr:rowOff>1425097</xdr:rowOff>
    </xdr:to>
    <xdr:sp macro="" textlink="">
      <xdr:nvSpPr>
        <xdr:cNvPr id="15" name="TextBox 14"/>
        <xdr:cNvSpPr txBox="1"/>
      </xdr:nvSpPr>
      <xdr:spPr>
        <a:xfrm>
          <a:off x="2608538" y="4794637"/>
          <a:ext cx="382863" cy="133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</a:t>
          </a: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소스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동기화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병테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7</xdr:col>
      <xdr:colOff>24010</xdr:colOff>
      <xdr:row>7</xdr:row>
      <xdr:rowOff>93098</xdr:rowOff>
    </xdr:from>
    <xdr:to>
      <xdr:col>9</xdr:col>
      <xdr:colOff>196262</xdr:colOff>
      <xdr:row>7</xdr:row>
      <xdr:rowOff>1425098</xdr:rowOff>
    </xdr:to>
    <xdr:sp macro="" textlink="">
      <xdr:nvSpPr>
        <xdr:cNvPr id="16" name="TextBox 15"/>
        <xdr:cNvSpPr txBox="1"/>
      </xdr:nvSpPr>
      <xdr:spPr>
        <a:xfrm>
          <a:off x="3026290" y="4794638"/>
          <a:ext cx="1025692" cy="1332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marL="0" marR="0" indent="0" algn="ctr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3</a:t>
          </a:r>
        </a:p>
        <a:p>
          <a:pPr marL="0" marR="0" indent="0" algn="ctr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Migration</a:t>
          </a:r>
          <a:endParaRPr lang="ko-KR" altLang="ko-KR" sz="1000" b="0">
            <a:effectLst/>
            <a:latin typeface="+mj-ea"/>
            <a:ea typeface="+mj-ea"/>
          </a:endParaRP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기준정보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)</a:t>
          </a: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업무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DATA)</a:t>
          </a:r>
        </a:p>
      </xdr:txBody>
    </xdr:sp>
    <xdr:clientData/>
  </xdr:twoCellAnchor>
  <xdr:twoCellAnchor>
    <xdr:from>
      <xdr:col>40</xdr:col>
      <xdr:colOff>390280</xdr:colOff>
      <xdr:row>8</xdr:row>
      <xdr:rowOff>100139</xdr:rowOff>
    </xdr:from>
    <xdr:to>
      <xdr:col>44</xdr:col>
      <xdr:colOff>303778</xdr:colOff>
      <xdr:row>8</xdr:row>
      <xdr:rowOff>1432139</xdr:rowOff>
    </xdr:to>
    <xdr:sp macro="" textlink="">
      <xdr:nvSpPr>
        <xdr:cNvPr id="17" name="TextBox 16"/>
        <xdr:cNvSpPr txBox="1"/>
      </xdr:nvSpPr>
      <xdr:spPr>
        <a:xfrm>
          <a:off x="17474320" y="6325679"/>
          <a:ext cx="1620378" cy="1332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시스템 모니터링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40</xdr:col>
      <xdr:colOff>384819</xdr:colOff>
      <xdr:row>7</xdr:row>
      <xdr:rowOff>93098</xdr:rowOff>
    </xdr:from>
    <xdr:to>
      <xdr:col>44</xdr:col>
      <xdr:colOff>292893</xdr:colOff>
      <xdr:row>7</xdr:row>
      <xdr:rowOff>1425098</xdr:rowOff>
    </xdr:to>
    <xdr:sp macro="" textlink="">
      <xdr:nvSpPr>
        <xdr:cNvPr id="18" name="TextBox 17"/>
        <xdr:cNvSpPr txBox="1"/>
      </xdr:nvSpPr>
      <xdr:spPr>
        <a:xfrm>
          <a:off x="17468859" y="4794638"/>
          <a:ext cx="1614954" cy="1332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안정화 지원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T/F</a:t>
          </a:r>
        </a:p>
      </xdr:txBody>
    </xdr:sp>
    <xdr:clientData/>
  </xdr:twoCellAnchor>
  <xdr:twoCellAnchor>
    <xdr:from>
      <xdr:col>28</xdr:col>
      <xdr:colOff>28044</xdr:colOff>
      <xdr:row>7</xdr:row>
      <xdr:rowOff>93098</xdr:rowOff>
    </xdr:from>
    <xdr:to>
      <xdr:col>28</xdr:col>
      <xdr:colOff>409644</xdr:colOff>
      <xdr:row>7</xdr:row>
      <xdr:rowOff>741098</xdr:rowOff>
    </xdr:to>
    <xdr:sp macro="" textlink="">
      <xdr:nvSpPr>
        <xdr:cNvPr id="19" name="TextBox 18"/>
        <xdr:cNvSpPr txBox="1"/>
      </xdr:nvSpPr>
      <xdr:spPr>
        <a:xfrm>
          <a:off x="11991444" y="4794638"/>
          <a:ext cx="381600" cy="648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8.1</a:t>
          </a: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소스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백업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운영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32</xdr:col>
      <xdr:colOff>23636</xdr:colOff>
      <xdr:row>7</xdr:row>
      <xdr:rowOff>93097</xdr:rowOff>
    </xdr:from>
    <xdr:to>
      <xdr:col>34</xdr:col>
      <xdr:colOff>393750</xdr:colOff>
      <xdr:row>7</xdr:row>
      <xdr:rowOff>1426018</xdr:rowOff>
    </xdr:to>
    <xdr:sp macro="" textlink="">
      <xdr:nvSpPr>
        <xdr:cNvPr id="20" name="TextBox 19"/>
        <xdr:cNvSpPr txBox="1"/>
      </xdr:nvSpPr>
      <xdr:spPr>
        <a:xfrm>
          <a:off x="13693916" y="4794637"/>
          <a:ext cx="1223554" cy="1332921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marL="0" marR="0" indent="0" algn="ctr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10</a:t>
          </a:r>
        </a:p>
        <a:p>
          <a:pPr marL="0" marR="0" indent="0" algn="ctr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Migration</a:t>
          </a:r>
          <a:endParaRPr lang="ko-KR" altLang="ko-KR" sz="1000" b="0">
            <a:effectLst/>
            <a:latin typeface="+mj-ea"/>
            <a:ea typeface="+mj-ea"/>
          </a:endParaRP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기준정보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)</a:t>
          </a: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업무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DATA)</a:t>
          </a:r>
        </a:p>
      </xdr:txBody>
    </xdr:sp>
    <xdr:clientData/>
  </xdr:twoCellAnchor>
  <xdr:twoCellAnchor>
    <xdr:from>
      <xdr:col>30</xdr:col>
      <xdr:colOff>31450</xdr:colOff>
      <xdr:row>7</xdr:row>
      <xdr:rowOff>779903</xdr:rowOff>
    </xdr:from>
    <xdr:to>
      <xdr:col>31</xdr:col>
      <xdr:colOff>409707</xdr:colOff>
      <xdr:row>7</xdr:row>
      <xdr:rowOff>1427903</xdr:rowOff>
    </xdr:to>
    <xdr:sp macro="" textlink="">
      <xdr:nvSpPr>
        <xdr:cNvPr id="21" name="TextBox 20"/>
        <xdr:cNvSpPr txBox="1"/>
      </xdr:nvSpPr>
      <xdr:spPr>
        <a:xfrm>
          <a:off x="12848290" y="5481443"/>
          <a:ext cx="804977" cy="648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9.2</a:t>
          </a:r>
        </a:p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Mig</a:t>
          </a: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대상 데이터</a:t>
          </a:r>
          <a:endParaRPr lang="en-US" altLang="ko-KR" sz="10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SEV</a:t>
          </a: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전송</a:t>
          </a:r>
          <a:endParaRPr lang="en-US" altLang="ko-KR" sz="10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28</xdr:col>
      <xdr:colOff>35000</xdr:colOff>
      <xdr:row>7</xdr:row>
      <xdr:rowOff>779903</xdr:rowOff>
    </xdr:from>
    <xdr:to>
      <xdr:col>29</xdr:col>
      <xdr:colOff>413257</xdr:colOff>
      <xdr:row>7</xdr:row>
      <xdr:rowOff>1427903</xdr:rowOff>
    </xdr:to>
    <xdr:sp macro="" textlink="">
      <xdr:nvSpPr>
        <xdr:cNvPr id="22" name="TextBox 21"/>
        <xdr:cNvSpPr txBox="1"/>
      </xdr:nvSpPr>
      <xdr:spPr>
        <a:xfrm>
          <a:off x="11998400" y="5481443"/>
          <a:ext cx="804977" cy="648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8.2</a:t>
          </a:r>
        </a:p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Mig </a:t>
          </a: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데이타</a:t>
          </a: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/>
          </a:r>
          <a:b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</a:b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파일추출</a:t>
          </a:r>
          <a:endParaRPr lang="en-US" altLang="ko-KR" sz="10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29</xdr:col>
      <xdr:colOff>24276</xdr:colOff>
      <xdr:row>7</xdr:row>
      <xdr:rowOff>93098</xdr:rowOff>
    </xdr:from>
    <xdr:to>
      <xdr:col>29</xdr:col>
      <xdr:colOff>405876</xdr:colOff>
      <xdr:row>7</xdr:row>
      <xdr:rowOff>741098</xdr:rowOff>
    </xdr:to>
    <xdr:sp macro="" textlink="">
      <xdr:nvSpPr>
        <xdr:cNvPr id="23" name="TextBox 22"/>
        <xdr:cNvSpPr txBox="1"/>
      </xdr:nvSpPr>
      <xdr:spPr>
        <a:xfrm>
          <a:off x="12414396" y="4794638"/>
          <a:ext cx="381600" cy="648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8.4</a:t>
          </a: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소스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동기화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(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운영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35</xdr:col>
      <xdr:colOff>241350</xdr:colOff>
      <xdr:row>8</xdr:row>
      <xdr:rowOff>100139</xdr:rowOff>
    </xdr:from>
    <xdr:to>
      <xdr:col>38</xdr:col>
      <xdr:colOff>208693</xdr:colOff>
      <xdr:row>8</xdr:row>
      <xdr:rowOff>1432139</xdr:rowOff>
    </xdr:to>
    <xdr:sp macro="" textlink="">
      <xdr:nvSpPr>
        <xdr:cNvPr id="24" name="TextBox 23"/>
        <xdr:cNvSpPr txBox="1"/>
      </xdr:nvSpPr>
      <xdr:spPr>
        <a:xfrm>
          <a:off x="15191790" y="6325679"/>
          <a:ext cx="1247503" cy="1332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200"/>
            </a:lnSpc>
          </a:pP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12.2</a:t>
          </a:r>
        </a:p>
        <a:p>
          <a:pPr algn="ctr">
            <a:lnSpc>
              <a:spcPts val="1200"/>
            </a:lnSpc>
          </a:pP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시스템 모니터링</a:t>
          </a:r>
          <a:endParaRPr lang="en-US" altLang="ko-KR" sz="10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38</xdr:col>
      <xdr:colOff>217721</xdr:colOff>
      <xdr:row>6</xdr:row>
      <xdr:rowOff>22639</xdr:rowOff>
    </xdr:from>
    <xdr:to>
      <xdr:col>38</xdr:col>
      <xdr:colOff>415721</xdr:colOff>
      <xdr:row>8</xdr:row>
      <xdr:rowOff>1481754</xdr:rowOff>
    </xdr:to>
    <xdr:sp macro="" textlink="">
      <xdr:nvSpPr>
        <xdr:cNvPr id="25" name="TextBox 24"/>
        <xdr:cNvSpPr txBox="1"/>
      </xdr:nvSpPr>
      <xdr:spPr>
        <a:xfrm>
          <a:off x="16448321" y="3200179"/>
          <a:ext cx="198000" cy="4507115"/>
        </a:xfrm>
        <a:prstGeom prst="rect">
          <a:avLst/>
        </a:prstGeom>
        <a:solidFill>
          <a:schemeClr val="accent6">
            <a:lumMod val="75000"/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/>
        <a:lstStyle/>
        <a:p>
          <a:pPr algn="ctr"/>
          <a:endParaRPr lang="en-US" altLang="ko-KR" sz="10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14</a:t>
          </a:r>
        </a:p>
        <a:p>
          <a:pPr algn="ctr"/>
          <a:endParaRPr lang="en-US" altLang="ko-KR" sz="10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M</a:t>
          </a: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E</a:t>
          </a:r>
        </a:p>
        <a:p>
          <a:pPr algn="ctr"/>
          <a:r>
            <a:rPr lang="en-US" altLang="ko-KR" sz="1000" b="1">
              <a:solidFill>
                <a:schemeClr val="tx1"/>
              </a:solidFill>
              <a:latin typeface="+mj-ea"/>
              <a:ea typeface="+mj-ea"/>
            </a:rPr>
            <a:t>S</a:t>
          </a:r>
        </a:p>
        <a:p>
          <a:pPr algn="ctr"/>
          <a:r>
            <a:rPr lang="ko-KR" altLang="en-US" sz="1000" b="1">
              <a:solidFill>
                <a:schemeClr val="tx1"/>
              </a:solidFill>
              <a:latin typeface="+mj-ea"/>
              <a:ea typeface="+mj-ea"/>
            </a:rPr>
            <a:t>중</a:t>
          </a:r>
          <a:endParaRPr lang="en-US" altLang="ko-KR" sz="10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ko-KR" altLang="en-US" sz="1000" b="1">
              <a:solidFill>
                <a:schemeClr val="tx1"/>
              </a:solidFill>
              <a:latin typeface="+mj-ea"/>
              <a:ea typeface="+mj-ea"/>
            </a:rPr>
            <a:t>지</a:t>
          </a:r>
        </a:p>
      </xdr:txBody>
    </xdr:sp>
    <xdr:clientData/>
  </xdr:twoCellAnchor>
  <xdr:twoCellAnchor>
    <xdr:from>
      <xdr:col>40</xdr:col>
      <xdr:colOff>116857</xdr:colOff>
      <xdr:row>6</xdr:row>
      <xdr:rowOff>28145</xdr:rowOff>
    </xdr:from>
    <xdr:to>
      <xdr:col>40</xdr:col>
      <xdr:colOff>314857</xdr:colOff>
      <xdr:row>8</xdr:row>
      <xdr:rowOff>1487260</xdr:rowOff>
    </xdr:to>
    <xdr:sp macro="" textlink="">
      <xdr:nvSpPr>
        <xdr:cNvPr id="26" name="TextBox 25"/>
        <xdr:cNvSpPr txBox="1"/>
      </xdr:nvSpPr>
      <xdr:spPr>
        <a:xfrm>
          <a:off x="17200897" y="3205685"/>
          <a:ext cx="198000" cy="4507115"/>
        </a:xfrm>
        <a:prstGeom prst="rect">
          <a:avLst/>
        </a:prstGeom>
        <a:solidFill>
          <a:srgbClr val="FFFF00">
            <a:alpha val="55000"/>
          </a:srgbClr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/>
        <a:lstStyle/>
        <a:p>
          <a:pPr algn="ctr"/>
          <a:endParaRPr lang="en-US" altLang="ko-KR" sz="1000" b="1">
            <a:solidFill>
              <a:srgbClr val="0000CC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16</a:t>
          </a:r>
        </a:p>
        <a:p>
          <a:pPr algn="ctr"/>
          <a:endParaRPr lang="en-US" altLang="ko-KR" sz="1000" b="1">
            <a:solidFill>
              <a:srgbClr val="0000CC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M</a:t>
          </a:r>
          <a:b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</a:br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E</a:t>
          </a:r>
          <a:b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</a:br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S</a:t>
          </a:r>
        </a:p>
        <a:p>
          <a:pPr algn="ctr"/>
          <a:r>
            <a:rPr lang="ko-KR" altLang="en-US" sz="1000" b="1">
              <a:solidFill>
                <a:srgbClr val="0000CC"/>
              </a:solidFill>
              <a:latin typeface="+mj-ea"/>
              <a:ea typeface="+mj-ea"/>
            </a:rPr>
            <a:t>가</a:t>
          </a:r>
          <a:endParaRPr lang="en-US" altLang="ko-KR" sz="1000" b="1">
            <a:solidFill>
              <a:srgbClr val="0000CC"/>
            </a:solidFill>
            <a:latin typeface="+mj-ea"/>
            <a:ea typeface="+mj-ea"/>
          </a:endParaRPr>
        </a:p>
        <a:p>
          <a:pPr algn="ctr"/>
          <a:r>
            <a:rPr lang="ko-KR" altLang="en-US" sz="1000" b="1">
              <a:solidFill>
                <a:srgbClr val="0000CC"/>
              </a:solidFill>
              <a:latin typeface="+mj-ea"/>
              <a:ea typeface="+mj-ea"/>
            </a:rPr>
            <a:t>동</a:t>
          </a:r>
          <a:endParaRPr lang="en-US" altLang="ko-KR" sz="1000" b="1">
            <a:solidFill>
              <a:srgbClr val="0000CC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7722</xdr:colOff>
      <xdr:row>6</xdr:row>
      <xdr:rowOff>21761</xdr:rowOff>
    </xdr:from>
    <xdr:to>
      <xdr:col>35</xdr:col>
      <xdr:colOff>205722</xdr:colOff>
      <xdr:row>8</xdr:row>
      <xdr:rowOff>1480876</xdr:rowOff>
    </xdr:to>
    <xdr:sp macro="" textlink="">
      <xdr:nvSpPr>
        <xdr:cNvPr id="27" name="TextBox 26"/>
        <xdr:cNvSpPr txBox="1"/>
      </xdr:nvSpPr>
      <xdr:spPr>
        <a:xfrm>
          <a:off x="14958162" y="3199301"/>
          <a:ext cx="198000" cy="4507115"/>
        </a:xfrm>
        <a:prstGeom prst="rect">
          <a:avLst/>
        </a:prstGeom>
        <a:solidFill>
          <a:srgbClr val="FFFF00">
            <a:alpha val="50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/>
        <a:lstStyle/>
        <a:p>
          <a:pPr algn="ctr"/>
          <a:endParaRPr lang="en-US" altLang="ko-KR" sz="1000" b="1">
            <a:solidFill>
              <a:srgbClr val="0000CC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11</a:t>
          </a:r>
        </a:p>
        <a:p>
          <a:pPr algn="ctr"/>
          <a:endParaRPr lang="en-US" altLang="ko-KR" sz="1000" b="1">
            <a:solidFill>
              <a:srgbClr val="0000CC"/>
            </a:solidFill>
            <a:latin typeface="+mj-ea"/>
            <a:ea typeface="+mj-ea"/>
          </a:endParaRPr>
        </a:p>
        <a:p>
          <a:pPr algn="ctr"/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M</a:t>
          </a:r>
        </a:p>
        <a:p>
          <a:pPr algn="ctr"/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E</a:t>
          </a:r>
        </a:p>
        <a:p>
          <a:pPr algn="ctr"/>
          <a:r>
            <a:rPr lang="en-US" altLang="ko-KR" sz="1000" b="1">
              <a:solidFill>
                <a:srgbClr val="0000CC"/>
              </a:solidFill>
              <a:latin typeface="+mj-ea"/>
              <a:ea typeface="+mj-ea"/>
            </a:rPr>
            <a:t>S</a:t>
          </a:r>
        </a:p>
        <a:p>
          <a:pPr algn="ctr"/>
          <a:r>
            <a:rPr lang="ko-KR" altLang="en-US" sz="1000" b="1">
              <a:solidFill>
                <a:srgbClr val="0000CC"/>
              </a:solidFill>
              <a:latin typeface="+mj-ea"/>
              <a:ea typeface="+mj-ea"/>
            </a:rPr>
            <a:t>가</a:t>
          </a:r>
          <a:endParaRPr lang="en-US" altLang="ko-KR" sz="1000" b="1">
            <a:solidFill>
              <a:srgbClr val="0000CC"/>
            </a:solidFill>
            <a:latin typeface="+mj-ea"/>
            <a:ea typeface="+mj-ea"/>
          </a:endParaRPr>
        </a:p>
        <a:p>
          <a:pPr algn="ctr"/>
          <a:r>
            <a:rPr lang="ko-KR" altLang="en-US" sz="1000" b="1">
              <a:solidFill>
                <a:srgbClr val="0000CC"/>
              </a:solidFill>
              <a:latin typeface="+mj-ea"/>
              <a:ea typeface="+mj-ea"/>
            </a:rPr>
            <a:t>동</a:t>
          </a:r>
        </a:p>
      </xdr:txBody>
    </xdr:sp>
    <xdr:clientData/>
  </xdr:twoCellAnchor>
  <xdr:twoCellAnchor>
    <xdr:from>
      <xdr:col>27</xdr:col>
      <xdr:colOff>217720</xdr:colOff>
      <xdr:row>6</xdr:row>
      <xdr:rowOff>35677</xdr:rowOff>
    </xdr:from>
    <xdr:to>
      <xdr:col>28</xdr:col>
      <xdr:colOff>6</xdr:colOff>
      <xdr:row>8</xdr:row>
      <xdr:rowOff>1487677</xdr:rowOff>
    </xdr:to>
    <xdr:sp macro="" textlink="">
      <xdr:nvSpPr>
        <xdr:cNvPr id="28" name="직사각형 27"/>
        <xdr:cNvSpPr/>
      </xdr:nvSpPr>
      <xdr:spPr>
        <a:xfrm>
          <a:off x="11754400" y="3213217"/>
          <a:ext cx="209006" cy="4500000"/>
        </a:xfrm>
        <a:prstGeom prst="rect">
          <a:avLst/>
        </a:prstGeom>
        <a:noFill/>
        <a:ln w="12700">
          <a:solidFill>
            <a:srgbClr val="FF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10893</xdr:colOff>
      <xdr:row>6</xdr:row>
      <xdr:rowOff>46561</xdr:rowOff>
    </xdr:from>
    <xdr:to>
      <xdr:col>35</xdr:col>
      <xdr:colOff>217721</xdr:colOff>
      <xdr:row>8</xdr:row>
      <xdr:rowOff>1498561</xdr:rowOff>
    </xdr:to>
    <xdr:sp macro="" textlink="">
      <xdr:nvSpPr>
        <xdr:cNvPr id="29" name="직사각형 28"/>
        <xdr:cNvSpPr/>
      </xdr:nvSpPr>
      <xdr:spPr>
        <a:xfrm>
          <a:off x="14961333" y="3224101"/>
          <a:ext cx="206828" cy="4500000"/>
        </a:xfrm>
        <a:prstGeom prst="rect">
          <a:avLst/>
        </a:prstGeom>
        <a:noFill/>
        <a:ln w="12700">
          <a:solidFill>
            <a:srgbClr val="FF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217756</xdr:colOff>
      <xdr:row>6</xdr:row>
      <xdr:rowOff>46557</xdr:rowOff>
    </xdr:from>
    <xdr:to>
      <xdr:col>39</xdr:col>
      <xdr:colOff>41</xdr:colOff>
      <xdr:row>8</xdr:row>
      <xdr:rowOff>1498557</xdr:rowOff>
    </xdr:to>
    <xdr:sp macro="" textlink="">
      <xdr:nvSpPr>
        <xdr:cNvPr id="30" name="직사각형 29"/>
        <xdr:cNvSpPr/>
      </xdr:nvSpPr>
      <xdr:spPr>
        <a:xfrm>
          <a:off x="16448356" y="3224097"/>
          <a:ext cx="209005" cy="4500000"/>
        </a:xfrm>
        <a:prstGeom prst="rect">
          <a:avLst/>
        </a:prstGeom>
        <a:noFill/>
        <a:ln w="12700">
          <a:solidFill>
            <a:srgbClr val="FF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106040</xdr:colOff>
      <xdr:row>6</xdr:row>
      <xdr:rowOff>35347</xdr:rowOff>
    </xdr:from>
    <xdr:to>
      <xdr:col>40</xdr:col>
      <xdr:colOff>312868</xdr:colOff>
      <xdr:row>8</xdr:row>
      <xdr:rowOff>1487347</xdr:rowOff>
    </xdr:to>
    <xdr:sp macro="" textlink="">
      <xdr:nvSpPr>
        <xdr:cNvPr id="31" name="직사각형 30"/>
        <xdr:cNvSpPr/>
      </xdr:nvSpPr>
      <xdr:spPr>
        <a:xfrm>
          <a:off x="17190080" y="3212887"/>
          <a:ext cx="206828" cy="4500000"/>
        </a:xfrm>
        <a:prstGeom prst="rect">
          <a:avLst/>
        </a:prstGeom>
        <a:noFill/>
        <a:ln w="12700">
          <a:solidFill>
            <a:srgbClr val="FF0000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207154</xdr:colOff>
      <xdr:row>6</xdr:row>
      <xdr:rowOff>34796</xdr:rowOff>
    </xdr:from>
    <xdr:to>
      <xdr:col>5</xdr:col>
      <xdr:colOff>413982</xdr:colOff>
      <xdr:row>8</xdr:row>
      <xdr:rowOff>1486796</xdr:rowOff>
    </xdr:to>
    <xdr:sp macro="" textlink="">
      <xdr:nvSpPr>
        <xdr:cNvPr id="32" name="직사각형 31"/>
        <xdr:cNvSpPr/>
      </xdr:nvSpPr>
      <xdr:spPr>
        <a:xfrm>
          <a:off x="2355994" y="3212336"/>
          <a:ext cx="206828" cy="4500000"/>
        </a:xfrm>
        <a:prstGeom prst="rect">
          <a:avLst/>
        </a:prstGeom>
        <a:solidFill>
          <a:schemeClr val="accent1">
            <a:lumMod val="75000"/>
          </a:schemeClr>
        </a:solidFill>
        <a:ln w="12700">
          <a:solidFill>
            <a:schemeClr val="bg2">
              <a:lumMod val="50000"/>
            </a:schemeClr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tlCol="0" anchor="ctr"/>
        <a:lstStyle/>
        <a:p>
          <a:pPr algn="l"/>
          <a:r>
            <a:rPr lang="en-US" altLang="ko-KR" sz="1100"/>
            <a:t>1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B</a:t>
          </a:r>
        </a:p>
        <a:p>
          <a:pPr algn="l"/>
          <a:r>
            <a:rPr lang="ko-KR" altLang="en-US" sz="1100"/>
            <a:t>서비스</a:t>
          </a:r>
        </a:p>
        <a:p>
          <a:pPr algn="l"/>
          <a:endParaRPr lang="ko-KR" altLang="en-US" sz="1100"/>
        </a:p>
        <a:p>
          <a:pPr algn="l"/>
          <a:r>
            <a:rPr lang="ko-KR" altLang="en-US" sz="1100"/>
            <a:t>중</a:t>
          </a:r>
        </a:p>
        <a:p>
          <a:pPr algn="l"/>
          <a:r>
            <a:rPr lang="ko-KR" altLang="en-US" sz="1100"/>
            <a:t>지</a:t>
          </a:r>
        </a:p>
      </xdr:txBody>
    </xdr:sp>
    <xdr:clientData/>
  </xdr:twoCellAnchor>
  <xdr:twoCellAnchor>
    <xdr:from>
      <xdr:col>15</xdr:col>
      <xdr:colOff>240493</xdr:colOff>
      <xdr:row>6</xdr:row>
      <xdr:rowOff>34472</xdr:rowOff>
    </xdr:from>
    <xdr:to>
      <xdr:col>16</xdr:col>
      <xdr:colOff>21498</xdr:colOff>
      <xdr:row>8</xdr:row>
      <xdr:rowOff>1486472</xdr:rowOff>
    </xdr:to>
    <xdr:sp macro="" textlink="">
      <xdr:nvSpPr>
        <xdr:cNvPr id="33" name="직사각형 32"/>
        <xdr:cNvSpPr/>
      </xdr:nvSpPr>
      <xdr:spPr>
        <a:xfrm>
          <a:off x="6656533" y="3212012"/>
          <a:ext cx="207725" cy="4500000"/>
        </a:xfrm>
        <a:prstGeom prst="rect">
          <a:avLst/>
        </a:prstGeom>
        <a:solidFill>
          <a:schemeClr val="accent1">
            <a:lumMod val="75000"/>
          </a:schemeClr>
        </a:solidFill>
        <a:ln w="12700">
          <a:solidFill>
            <a:schemeClr val="bg2">
              <a:lumMod val="50000"/>
            </a:schemeClr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33842</xdr:colOff>
      <xdr:row>6</xdr:row>
      <xdr:rowOff>93054</xdr:rowOff>
    </xdr:from>
    <xdr:to>
      <xdr:col>17</xdr:col>
      <xdr:colOff>412099</xdr:colOff>
      <xdr:row>6</xdr:row>
      <xdr:rowOff>1425054</xdr:rowOff>
    </xdr:to>
    <xdr:sp macro="" textlink="">
      <xdr:nvSpPr>
        <xdr:cNvPr id="34" name="TextBox 33"/>
        <xdr:cNvSpPr txBox="1"/>
      </xdr:nvSpPr>
      <xdr:spPr>
        <a:xfrm>
          <a:off x="6876602" y="3270594"/>
          <a:ext cx="804977" cy="1332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400"/>
            </a:lnSpc>
          </a:pP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  <a:p>
          <a:pPr algn="ctr">
            <a:lnSpc>
              <a:spcPts val="1400"/>
            </a:lnSpc>
          </a:pPr>
          <a:r>
            <a:rPr lang="ko-KR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데이터 검증</a:t>
          </a:r>
          <a:endParaRPr lang="ko-KR" altLang="ko-KR" sz="1000">
            <a:effectLst/>
          </a:endParaRP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기준정보</a:t>
          </a: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000">
            <a:effectLst/>
          </a:endParaRP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업무</a:t>
          </a: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DATA)</a:t>
          </a:r>
          <a:endParaRPr lang="ko-KR" altLang="ko-KR" sz="1000">
            <a:effectLst/>
          </a:endParaRPr>
        </a:p>
      </xdr:txBody>
    </xdr:sp>
    <xdr:clientData/>
  </xdr:twoCellAnchor>
  <xdr:twoCellAnchor>
    <xdr:from>
      <xdr:col>18</xdr:col>
      <xdr:colOff>30716</xdr:colOff>
      <xdr:row>6</xdr:row>
      <xdr:rowOff>93054</xdr:rowOff>
    </xdr:from>
    <xdr:to>
      <xdr:col>19</xdr:col>
      <xdr:colOff>408973</xdr:colOff>
      <xdr:row>6</xdr:row>
      <xdr:rowOff>1425054</xdr:rowOff>
    </xdr:to>
    <xdr:sp macro="" textlink="">
      <xdr:nvSpPr>
        <xdr:cNvPr id="35" name="TextBox 34"/>
        <xdr:cNvSpPr txBox="1"/>
      </xdr:nvSpPr>
      <xdr:spPr>
        <a:xfrm>
          <a:off x="7726916" y="3270594"/>
          <a:ext cx="804977" cy="1332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>
            <a:lnSpc>
              <a:spcPts val="1400"/>
            </a:lnSpc>
          </a:pPr>
          <a:r>
            <a:rPr lang="en-US" altLang="ko-KR" sz="1000">
              <a:effectLst/>
            </a:rPr>
            <a:t>6</a:t>
          </a:r>
        </a:p>
        <a:p>
          <a:pPr algn="ctr">
            <a:lnSpc>
              <a:spcPts val="1400"/>
            </a:lnSpc>
          </a:pPr>
          <a:r>
            <a:rPr lang="en-US" altLang="ko-KR" sz="1000">
              <a:effectLst/>
            </a:rPr>
            <a:t>AP</a:t>
          </a:r>
          <a:r>
            <a:rPr lang="ko-KR" altLang="en-US" sz="1000">
              <a:effectLst/>
            </a:rPr>
            <a:t>화면 점검</a:t>
          </a:r>
          <a:endParaRPr lang="ko-KR" altLang="ko-KR" sz="1000">
            <a:effectLst/>
          </a:endParaRP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공통화면</a:t>
          </a: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000">
            <a:effectLst/>
          </a:endParaRPr>
        </a:p>
        <a:p>
          <a:pPr algn="ctr">
            <a:lnSpc>
              <a:spcPts val="1400"/>
            </a:lnSpc>
          </a:pP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업무</a:t>
          </a:r>
          <a:r>
            <a:rPr lang="ko-KR" altLang="en-US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화면</a:t>
          </a: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000">
            <a:effectLst/>
          </a:endParaRPr>
        </a:p>
      </xdr:txBody>
    </xdr:sp>
    <xdr:clientData/>
  </xdr:twoCellAnchor>
  <xdr:twoCellAnchor>
    <xdr:from>
      <xdr:col>37</xdr:col>
      <xdr:colOff>21027</xdr:colOff>
      <xdr:row>6</xdr:row>
      <xdr:rowOff>103940</xdr:rowOff>
    </xdr:from>
    <xdr:to>
      <xdr:col>38</xdr:col>
      <xdr:colOff>183284</xdr:colOff>
      <xdr:row>6</xdr:row>
      <xdr:rowOff>751940</xdr:rowOff>
    </xdr:to>
    <xdr:sp macro="" textlink="">
      <xdr:nvSpPr>
        <xdr:cNvPr id="36" name="TextBox 35"/>
        <xdr:cNvSpPr txBox="1"/>
      </xdr:nvSpPr>
      <xdr:spPr>
        <a:xfrm>
          <a:off x="15824907" y="3281480"/>
          <a:ext cx="588977" cy="648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13.1</a:t>
          </a:r>
        </a:p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AP</a:t>
          </a: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화면 점검</a:t>
          </a:r>
          <a:endParaRPr lang="ko-KR" altLang="ko-KR" sz="10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업무</a:t>
          </a: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화면</a:t>
          </a: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ko-KR" sz="10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35</xdr:col>
      <xdr:colOff>241341</xdr:colOff>
      <xdr:row>6</xdr:row>
      <xdr:rowOff>103940</xdr:rowOff>
    </xdr:from>
    <xdr:to>
      <xdr:col>36</xdr:col>
      <xdr:colOff>403598</xdr:colOff>
      <xdr:row>6</xdr:row>
      <xdr:rowOff>1435940</xdr:rowOff>
    </xdr:to>
    <xdr:sp macro="" textlink="">
      <xdr:nvSpPr>
        <xdr:cNvPr id="37" name="TextBox 36"/>
        <xdr:cNvSpPr txBox="1"/>
      </xdr:nvSpPr>
      <xdr:spPr>
        <a:xfrm>
          <a:off x="15191781" y="3281480"/>
          <a:ext cx="588977" cy="1332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algn="ctr"/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12.1</a:t>
          </a:r>
        </a:p>
        <a:p>
          <a:pPr algn="ctr"/>
          <a:r>
            <a:rPr lang="ko-KR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데이터 검증</a:t>
          </a:r>
          <a:endParaRPr lang="ko-KR" altLang="ko-KR" sz="1000">
            <a:effectLst/>
          </a:endParaRPr>
        </a:p>
        <a:p>
          <a:pPr algn="ctr"/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기준정보</a:t>
          </a: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000">
            <a:effectLst/>
          </a:endParaRPr>
        </a:p>
        <a:p>
          <a:pPr algn="ctr"/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업무</a:t>
          </a:r>
          <a:r>
            <a:rPr lang="en-US" altLang="ko-KR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DATA)</a:t>
          </a:r>
          <a:endParaRPr lang="ko-KR" altLang="ko-KR" sz="1000">
            <a:effectLst/>
          </a:endParaRPr>
        </a:p>
      </xdr:txBody>
    </xdr:sp>
    <xdr:clientData/>
  </xdr:twoCellAnchor>
  <xdr:twoCellAnchor>
    <xdr:from>
      <xdr:col>37</xdr:col>
      <xdr:colOff>26235</xdr:colOff>
      <xdr:row>6</xdr:row>
      <xdr:rowOff>792947</xdr:rowOff>
    </xdr:from>
    <xdr:to>
      <xdr:col>38</xdr:col>
      <xdr:colOff>188492</xdr:colOff>
      <xdr:row>6</xdr:row>
      <xdr:rowOff>1440947</xdr:rowOff>
    </xdr:to>
    <xdr:sp macro="" textlink="">
      <xdr:nvSpPr>
        <xdr:cNvPr id="38" name="TextBox 37"/>
        <xdr:cNvSpPr txBox="1"/>
      </xdr:nvSpPr>
      <xdr:spPr>
        <a:xfrm>
          <a:off x="15830115" y="3970487"/>
          <a:ext cx="588977" cy="648000"/>
        </a:xfrm>
        <a:prstGeom prst="rect">
          <a:avLst/>
        </a:prstGeom>
        <a:solidFill>
          <a:schemeClr val="bg1"/>
        </a:solidFill>
        <a:ln w="3175" cmpd="sng">
          <a:solidFill>
            <a:schemeClr val="accent4">
              <a:lumMod val="50000"/>
            </a:schemeClr>
          </a:solidFill>
          <a:prstDash val="sysDot"/>
        </a:ln>
        <a:scene3d>
          <a:camera prst="orthographicFront"/>
          <a:lightRig rig="balanced" dir="t"/>
        </a:scene3d>
        <a:sp3d extrusionH="50800" contourW="12700" prstMaterial="powder">
          <a:bevelT/>
          <a:bevelB/>
          <a:extrusionClr>
            <a:schemeClr val="tx2">
              <a:lumMod val="60000"/>
              <a:lumOff val="40000"/>
            </a:schemeClr>
          </a:extrusionClr>
          <a:contourClr>
            <a:schemeClr val="bg1">
              <a:lumMod val="65000"/>
            </a:schemeClr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ctr"/>
        <a:lstStyle/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13.2</a:t>
          </a:r>
        </a:p>
        <a:p>
          <a:pPr marL="0" marR="0" indent="0" algn="ctr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IF </a:t>
          </a:r>
          <a:r>
            <a:rPr lang="ko-KR" altLang="en-US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점검</a:t>
          </a: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/>
          </a:r>
          <a:b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</a:br>
          <a:r>
            <a:rPr lang="en-US" altLang="ko-KR" sz="10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(MES</a:t>
          </a:r>
          <a:r>
            <a:rPr lang="en-US" altLang="ko-KR" sz="1000" b="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000" b="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↔ </a:t>
          </a:r>
          <a:r>
            <a:rPr lang="en-US" altLang="ko-KR" sz="1000" b="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ERP</a:t>
          </a:r>
          <a:endParaRPr lang="ko-KR" altLang="ko-KR" sz="10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4</xdr:col>
      <xdr:colOff>25521</xdr:colOff>
      <xdr:row>4</xdr:row>
      <xdr:rowOff>48978</xdr:rowOff>
    </xdr:from>
    <xdr:to>
      <xdr:col>6</xdr:col>
      <xdr:colOff>217709</xdr:colOff>
      <xdr:row>4</xdr:row>
      <xdr:rowOff>353778</xdr:rowOff>
    </xdr:to>
    <xdr:sp macro="" textlink="">
      <xdr:nvSpPr>
        <xdr:cNvPr id="39" name="TextBox 38"/>
        <xdr:cNvSpPr txBox="1"/>
      </xdr:nvSpPr>
      <xdr:spPr>
        <a:xfrm>
          <a:off x="1747641" y="1321518"/>
          <a:ext cx="1045628" cy="30480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lumMod val="7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36000" rIns="0" bIns="0" rtlCol="0" anchor="t"/>
        <a:lstStyle/>
        <a:p>
          <a:pPr algn="l">
            <a:lnSpc>
              <a:spcPts val="1000"/>
            </a:lnSpc>
          </a:pPr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◀ </a:t>
          </a:r>
          <a:r>
            <a:rPr lang="en-US" altLang="ko-KR" sz="1000" b="0">
              <a:solidFill>
                <a:srgbClr val="FF0000"/>
              </a:solidFill>
              <a:latin typeface="+mn-ea"/>
              <a:ea typeface="+mn-ea"/>
            </a:rPr>
            <a:t>D-1 04:00</a:t>
          </a:r>
        </a:p>
        <a:p>
          <a:pPr algn="l">
            <a:lnSpc>
              <a:spcPts val="1000"/>
            </a:lnSpc>
          </a:pPr>
          <a:r>
            <a:rPr lang="en-US" altLang="ko-KR" sz="1000" b="0">
              <a:solidFill>
                <a:srgbClr val="FF0000"/>
              </a:solidFill>
              <a:latin typeface="+mn-ea"/>
              <a:ea typeface="+mn-ea"/>
            </a:rPr>
            <a:t>    RB</a:t>
          </a:r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서비스 종료</a:t>
          </a:r>
          <a:endParaRPr lang="en-US" altLang="ko-KR" sz="1000" b="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574876</xdr:colOff>
      <xdr:row>9</xdr:row>
      <xdr:rowOff>73450</xdr:rowOff>
    </xdr:from>
    <xdr:to>
      <xdr:col>11</xdr:col>
      <xdr:colOff>33423</xdr:colOff>
      <xdr:row>10</xdr:row>
      <xdr:rowOff>98691</xdr:rowOff>
    </xdr:to>
    <xdr:sp macro="" textlink="">
      <xdr:nvSpPr>
        <xdr:cNvPr id="4" name="TextBox 14"/>
        <xdr:cNvSpPr txBox="1"/>
      </xdr:nvSpPr>
      <xdr:spPr>
        <a:xfrm>
          <a:off x="4588076" y="2054650"/>
          <a:ext cx="2802880" cy="245374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altLang="ko-KR" sz="1600" b="1">
              <a:ln>
                <a:solidFill>
                  <a:srgbClr val="4F81BD">
                    <a:shade val="50000"/>
                    <a:alpha val="0"/>
                  </a:srgb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kumimoji="0" lang="ko-KR" altLang="en-US" sz="1600" b="1" i="0" u="none" strike="noStrike" kern="1200" cap="none" spc="0" normalizeH="0" baseline="0">
            <a:ln>
              <a:solidFill>
                <a:srgbClr val="4F81BD">
                  <a:shade val="50000"/>
                  <a:alpha val="0"/>
                </a:srgbClr>
              </a:solidFill>
            </a:ln>
            <a:solidFill>
              <a:prstClr val="black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517829</xdr:colOff>
      <xdr:row>9</xdr:row>
      <xdr:rowOff>22013</xdr:rowOff>
    </xdr:from>
    <xdr:to>
      <xdr:col>6</xdr:col>
      <xdr:colOff>457957</xdr:colOff>
      <xdr:row>10</xdr:row>
      <xdr:rowOff>118125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429" y="2003213"/>
          <a:ext cx="1946728" cy="3162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212824</xdr:colOff>
      <xdr:row>0</xdr:row>
      <xdr:rowOff>53340</xdr:rowOff>
    </xdr:from>
    <xdr:to>
      <xdr:col>5</xdr:col>
      <xdr:colOff>330720</xdr:colOff>
      <xdr:row>2</xdr:row>
      <xdr:rowOff>10464</xdr:rowOff>
    </xdr:to>
    <xdr:sp macro="" textlink="">
      <xdr:nvSpPr>
        <xdr:cNvPr id="2" name="TextBox 7"/>
        <xdr:cNvSpPr txBox="1"/>
      </xdr:nvSpPr>
      <xdr:spPr>
        <a:xfrm>
          <a:off x="212824" y="53340"/>
          <a:ext cx="3470696" cy="399084"/>
        </a:xfrm>
        <a:prstGeom prst="rect">
          <a:avLst/>
        </a:prstGeom>
        <a:noFill/>
      </xdr:spPr>
      <xdr:txBody>
        <a:bodyPr wrap="square" lIns="0" tIns="0" rIns="0" bIns="0" rtlCol="0" anchor="t" anchorCtr="0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400"/>
          <a:r>
            <a:rPr lang="ko-KR" altLang="en-US" b="1">
              <a:ln>
                <a:solidFill>
                  <a:schemeClr val="accent1">
                    <a:shade val="50000"/>
                    <a:alpha val="0"/>
                  </a:scheme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문서표준</a:t>
          </a:r>
          <a:endParaRPr lang="en-US" altLang="ko-KR" b="1">
            <a:ln>
              <a:solidFill>
                <a:schemeClr val="accent1">
                  <a:shade val="50000"/>
                  <a:alpha val="0"/>
                </a:schemeClr>
              </a:solidFill>
            </a:ln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184140</xdr:colOff>
      <xdr:row>3</xdr:row>
      <xdr:rowOff>46489</xdr:rowOff>
    </xdr:from>
    <xdr:to>
      <xdr:col>15</xdr:col>
      <xdr:colOff>22860</xdr:colOff>
      <xdr:row>20</xdr:row>
      <xdr:rowOff>137160</xdr:rowOff>
    </xdr:to>
    <xdr:sp macro="" textlink="">
      <xdr:nvSpPr>
        <xdr:cNvPr id="3" name="텍스트 개체 틀 1"/>
        <xdr:cNvSpPr txBox="1">
          <a:spLocks/>
        </xdr:cNvSpPr>
      </xdr:nvSpPr>
      <xdr:spPr>
        <a:xfrm>
          <a:off x="184140" y="709429"/>
          <a:ext cx="9897120" cy="4251191"/>
        </a:xfrm>
        <a:prstGeom prst="rect">
          <a:avLst/>
        </a:prstGeom>
      </xdr:spPr>
      <xdr:txBody>
        <a:bodyPr vert="horz" wrap="square" lIns="0" tIns="45720" rIns="0" bIns="45720" rtlCol="0">
          <a:norm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문서의 모든 글자체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(font)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는 ‘맑은 고딕’을 기본으로 사용하며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상황에 맞게 크기만 변경하여 사용</a:t>
          </a:r>
        </a:p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 :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14pt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2 :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12pt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en-US" altLang="ko-KR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 </a:t>
          </a:r>
          <a:r>
            <a:rPr lang="ko-KR" altLang="en-US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문서내용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: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10pt</a:t>
          </a:r>
        </a:p>
      </xdr:txBody>
    </xdr:sp>
    <xdr:clientData/>
  </xdr:twoCellAnchor>
  <xdr:twoCellAnchor>
    <xdr:from>
      <xdr:col>0</xdr:col>
      <xdr:colOff>121920</xdr:colOff>
      <xdr:row>2</xdr:row>
      <xdr:rowOff>8498</xdr:rowOff>
    </xdr:from>
    <xdr:to>
      <xdr:col>15</xdr:col>
      <xdr:colOff>236220</xdr:colOff>
      <xdr:row>22</xdr:row>
      <xdr:rowOff>68580</xdr:rowOff>
    </xdr:to>
    <xdr:sp macro="" textlink="">
      <xdr:nvSpPr>
        <xdr:cNvPr id="4" name="Rectangle 6"/>
        <xdr:cNvSpPr>
          <a:spLocks noChangeArrowheads="1"/>
        </xdr:cNvSpPr>
      </xdr:nvSpPr>
      <xdr:spPr bwMode="auto">
        <a:xfrm>
          <a:off x="121920" y="450458"/>
          <a:ext cx="10172700" cy="4898782"/>
        </a:xfrm>
        <a:prstGeom prst="rect">
          <a:avLst/>
        </a:prstGeom>
        <a:noFill/>
        <a:ln w="127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107287" tIns="53643" rIns="107287" bIns="53643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prstClr val="white"/>
            </a:solidFill>
            <a:latin typeface="Segoe UI" panose="020B0502040204020203" pitchFamily="34" charset="0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341.(&#54364;&#51456;&#53596;&#54540;&#47551;)&#51060;&#54665;&#44228;&#54925;&#49436;%20&#49345;&#49464;&#51068;&#51221;(&#49368;&#54540;)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1Overseas%20Subsidiary_IF%20Inventory_Form_eng-070912_4118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ar-Frontier/Global%20ERP/90Interface/&#49444;&#44228;&#48143;&#44060;&#48156;/01.&#54788;&#54889;&#52628;&#44032;&#51312;&#49324;/&#54644;&#50808;&#48277;&#51064;_IF_&#54788;&#54889;&#51312;&#49324;&#50577;&#49885;_v1.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F%20&#25991;&#20214;(&#26368;&#26032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9679;%201.%20Overseas%20Subsidiary_IF%20Inventory_Form_eng-S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(&#50836;&#44396;&#49324;&#54637;%20&#48288;&#51060;&#49828;&#46972;&#51064;)&#47785;&#47197;2023_07_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DS/My%20Documents/0.%20&#54924;&#49324;&#50629;&#47924;/97.%20&#51088;&#47308;&#46308;/G-ERP%20&#48169;&#48277;&#47200;%20&#51088;&#47308;%20(&#51208;&#45824;&#48372;&#50504;)/&#51064;&#53552;&#54168;&#51060;&#49828;%20&#47785;&#47197;_V2.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/Documents/&#50629;&#47924;/&#44060;&#48156;&#49468;&#53552;/&#44060;&#48156;&#54364;&#51456;&#51089;&#50629;/&#44060;&#48156;&#49328;&#52636;&#47932;_new/G-ERP/&#51064;&#53552;&#54168;&#51060;&#49828;%20&#51221;&#51032;&#49436;_V2.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S&#54016;_&#49884;&#49828;&#53596;&#47785;&#47197;_&#50577;&#49885;_4118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4532;&#47196;&#51229;&#53944;/1.%20Global%20ERP%20Project/24.%20&#49884;&#49828;&#53596;&#49345;&#49464;&#51312;&#49324;/1.%20&#52712;&#54633;&#54028;&#51068;/&#51204;&#51088;&#44396;&#47588;&#51204;&#47029;&#50868;&#50689;&#54028;&#53944;_&#49569;&#51652;&#481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57_G_ERP_Interface/10_&#54788;&#54889;&#51312;&#49324;/1.1%20As-Is%20&#51064;&#53552;&#54168;&#51060;&#49828;_&#49884;&#49828;&#53596;%20&#54788;&#54889;&#51312;&#49324;/1.1.1%20&#54788;&#54889;%20&#51312;&#49324;/2&#52264;%20&#51089;&#50629;(&#54620;&#44305;&#54984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s_ww_zhou/Local%20Settings/Temporary%20Internet%20Files/OLK3/%201%20%20Overseas%20Subsidiary_IF%20Inventory_Form_eng-070912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ion"/>
      <sheetName val="타임스케쥴"/>
      <sheetName val="체크리스트"/>
      <sheetName val="Migration 관련"/>
      <sheetName val="Tail"/>
      <sheetName val="문서표준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Interface list"/>
      <sheetName val="lay1"/>
      <sheetName val="lay2"/>
      <sheetName val="lay3"/>
      <sheetName val="lay4"/>
      <sheetName val="lay5"/>
      <sheetName val="lay6"/>
      <sheetName val="lay7"/>
      <sheetName val="1-3. Reference_Applica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-표지"/>
      <sheetName val="1-1. 인터페이스 목록"/>
      <sheetName val="1-2. 양식_IF 레이아웃(레이아웃_연계번호)"/>
      <sheetName val="1-3. 참조_애플리케이션"/>
    </sheetNames>
    <sheetDataSet>
      <sheetData sheetId="0"/>
      <sheetData sheetId="1"/>
      <sheetData sheetId="2"/>
      <sheetData sheetId="3">
        <row r="6">
          <cell r="F6" t="str">
            <v>S-Focus (LCD) - RMA관리</v>
          </cell>
        </row>
        <row r="7">
          <cell r="F7" t="str">
            <v>Q-Focus (LCD) - 품질관리</v>
          </cell>
        </row>
        <row r="8">
          <cell r="F8" t="str">
            <v>AEGIS (LCD) - 통합설비보전관리</v>
          </cell>
        </row>
        <row r="9">
          <cell r="F9" t="str">
            <v>SIMAX (LCD) - 천안</v>
          </cell>
        </row>
        <row r="10">
          <cell r="F10" t="str">
            <v>AIMS (LCD) - C/F 제조공정</v>
          </cell>
        </row>
        <row r="11">
          <cell r="F11" t="str">
            <v>IDIX (LCD) - 제안관리</v>
          </cell>
        </row>
        <row r="12">
          <cell r="F12" t="str">
            <v>e-Mate (LCD) - 협력사 지원</v>
          </cell>
        </row>
        <row r="13">
          <cell r="F13" t="str">
            <v>PDM (LCD)</v>
          </cell>
        </row>
        <row r="14">
          <cell r="F14" t="str">
            <v>전용 R&amp;D 정보 Infra (LCD)</v>
          </cell>
        </row>
        <row r="15">
          <cell r="F15" t="str">
            <v>SPDM for LCD (LCD)</v>
          </cell>
        </row>
        <row r="16">
          <cell r="F16" t="str">
            <v>SiMAX (LCD) - 기흥</v>
          </cell>
        </row>
        <row r="17">
          <cell r="F17" t="str">
            <v>Partner-M (LCD) - 외주 Workplace</v>
          </cell>
        </row>
        <row r="18">
          <cell r="F18" t="str">
            <v>TPSS (LCD) - 생산성지표관리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종합생산관리 AMPIS</v>
          </cell>
        </row>
        <row r="26">
          <cell r="F26" t="str">
            <v>VD TV 용 LCD 원료과세 시스템 구축</v>
          </cell>
        </row>
        <row r="27">
          <cell r="F27" t="str">
            <v>WISE (LCD) - 경영 BI</v>
          </cell>
        </row>
        <row r="28">
          <cell r="F28" t="str">
            <v>Sigma Manager (LCD)</v>
          </cell>
        </row>
        <row r="29">
          <cell r="F29" t="str">
            <v>SPMS (LCD) - 폐제품관리</v>
          </cell>
        </row>
        <row r="30">
          <cell r="F30" t="str">
            <v>SLIM (LCD) - 투자관리</v>
          </cell>
        </row>
        <row r="31">
          <cell r="F31" t="str">
            <v>Econo (LCD)</v>
          </cell>
        </row>
        <row r="32">
          <cell r="F32" t="str">
            <v>MIDAS (LCD) - 종합정보관리</v>
          </cell>
        </row>
        <row r="33">
          <cell r="F33" t="str">
            <v>LCIS (LCD) - 원가관리</v>
          </cell>
        </row>
        <row r="34">
          <cell r="F34" t="str">
            <v>SIHUB (LCD) - IT 기간망</v>
          </cell>
        </row>
        <row r="35">
          <cell r="F35" t="str">
            <v>CLM (LCD)</v>
          </cell>
        </row>
        <row r="36">
          <cell r="F36" t="str">
            <v>e-SPEC (LCD) - 표준관리</v>
          </cell>
        </row>
        <row r="37">
          <cell r="F37" t="str">
            <v>SLCIS (LCD) - SLCD 원가관리</v>
          </cell>
        </row>
        <row r="38">
          <cell r="F38" t="str">
            <v>TAMS (LCD) - 통합자산관리</v>
          </cell>
        </row>
        <row r="39">
          <cell r="F39" t="str">
            <v>LIS (LCD) - 인사/총무지원관리</v>
          </cell>
        </row>
        <row r="40">
          <cell r="F40" t="str">
            <v>IRFRIENDS (IR)</v>
          </cell>
        </row>
        <row r="41">
          <cell r="F41" t="str">
            <v>GAS (감사) - 감사시스템</v>
          </cell>
        </row>
        <row r="42">
          <cell r="F42" t="str">
            <v>감사시스템 (감사)</v>
          </cell>
        </row>
        <row r="43">
          <cell r="F43" t="str">
            <v>삼성전자 윤리경영 (감사)</v>
          </cell>
        </row>
        <row r="44">
          <cell r="F44" t="str">
            <v>GMAS (경영지원) - 연계 경영관리</v>
          </cell>
        </row>
        <row r="45">
          <cell r="F45" t="str">
            <v>신원가시스템 (경영지원)</v>
          </cell>
        </row>
        <row r="46">
          <cell r="F46" t="str">
            <v>GIMS (경영지원)</v>
          </cell>
        </row>
        <row r="47">
          <cell r="F47" t="str">
            <v>C2C (경영지원) - Cash To Cash</v>
          </cell>
        </row>
        <row r="48">
          <cell r="F48" t="str">
            <v>GCNS (경영지원) - 글로벌 네팅</v>
          </cell>
        </row>
        <row r="49">
          <cell r="F49" t="str">
            <v>전사 통합 SCM UI (경영혁신)</v>
          </cell>
        </row>
        <row r="50">
          <cell r="F50" t="str">
            <v>APS-DP (경영혁신)</v>
          </cell>
        </row>
        <row r="51">
          <cell r="F51" t="str">
            <v>APS-DF (경영혁신)</v>
          </cell>
        </row>
        <row r="52">
          <cell r="F52" t="str">
            <v>APS (경영혁신) - 메타프레임</v>
          </cell>
        </row>
        <row r="53">
          <cell r="F53" t="str">
            <v>GSBN (경영혁신)</v>
          </cell>
        </row>
        <row r="54">
          <cell r="F54" t="str">
            <v>PRM (경영혁신) - Partner Relationship Management</v>
          </cell>
        </row>
        <row r="55">
          <cell r="F55" t="str">
            <v>samsung.com (경영혁신)</v>
          </cell>
        </row>
        <row r="56">
          <cell r="F56" t="str">
            <v>MDPS (경영혁신)</v>
          </cell>
        </row>
        <row r="57">
          <cell r="F57" t="str">
            <v>WTS (해외지원) - 신수출</v>
          </cell>
        </row>
        <row r="58">
          <cell r="F58" t="str">
            <v>WTS (경영혁신) - 신수출</v>
          </cell>
        </row>
        <row r="59">
          <cell r="F59" t="str">
            <v>eGLS (경영혁신) - 전사물류</v>
          </cell>
        </row>
        <row r="60">
          <cell r="F60" t="str">
            <v>e-ST (경영혁신) - S/T 자동산출</v>
          </cell>
        </row>
        <row r="61">
          <cell r="F61" t="str">
            <v>Global MES (경영혁신)</v>
          </cell>
        </row>
        <row r="62">
          <cell r="F62" t="str">
            <v>GDW (경영혁신) - Global Data Warehouse</v>
          </cell>
        </row>
        <row r="63">
          <cell r="F63" t="str">
            <v>mySingle (경영혁신) - Enterprise Portal</v>
          </cell>
        </row>
        <row r="64">
          <cell r="F64" t="str">
            <v>SIMS &amp; JOB 매뉴얼 (경영혁신)</v>
          </cell>
        </row>
        <row r="65">
          <cell r="F65" t="str">
            <v>SIMS &amp; JOB Manual (경영혁신)</v>
          </cell>
        </row>
        <row r="66">
          <cell r="F66" t="str">
            <v>SAP EP (경영혁신)</v>
          </cell>
        </row>
        <row r="67">
          <cell r="F67" t="str">
            <v>myDMS (경영혁신) - 문서관리</v>
          </cell>
        </row>
        <row r="68">
          <cell r="F68" t="str">
            <v>SILC (경영혁신) - 온라인 통합 로그분석</v>
          </cell>
        </row>
        <row r="69">
          <cell r="F69" t="str">
            <v>KAIS (경영혁신) - APS 관리</v>
          </cell>
        </row>
        <row r="70">
          <cell r="F70" t="str">
            <v>IT-VOC (경영혁신)</v>
          </cell>
        </row>
        <row r="71">
          <cell r="F71" t="str">
            <v>IT4U (경영혁신)</v>
          </cell>
        </row>
        <row r="72">
          <cell r="F72" t="str">
            <v>IRP (경영혁신) - 정보자원관리</v>
          </cell>
        </row>
        <row r="73">
          <cell r="F73" t="str">
            <v>ApMS (경영혁신) - 전사 지표관리 모니터링</v>
          </cell>
        </row>
        <row r="74">
          <cell r="F74" t="str">
            <v>myDMP (경영혁신)</v>
          </cell>
        </row>
        <row r="75">
          <cell r="F75" t="str">
            <v>EAMS (경영혁신) - TA, 전사 기술 표준화 관리</v>
          </cell>
        </row>
        <row r="76">
          <cell r="F76" t="str">
            <v>EAMS (경영혁신) - 전사 IT 아키텍처 관리</v>
          </cell>
        </row>
        <row r="77">
          <cell r="F77" t="str">
            <v>SigmaPark (경영혁신) - 6시그마 정보</v>
          </cell>
        </row>
        <row r="78">
          <cell r="F78" t="str">
            <v>myDMP (경영혁신) - C3</v>
          </cell>
        </row>
        <row r="79">
          <cell r="F79" t="str">
            <v>ROIS (경영혁신) - 지점영업</v>
          </cell>
        </row>
        <row r="80">
          <cell r="F80" t="str">
            <v>해외PMO 시스템 (경영혁신)</v>
          </cell>
        </row>
        <row r="81">
          <cell r="F81" t="str">
            <v>SELI (경영혁신)</v>
          </cell>
        </row>
        <row r="82">
          <cell r="F82" t="str">
            <v>WMC (경영혁신)_DEL</v>
          </cell>
        </row>
        <row r="83">
          <cell r="F83" t="str">
            <v>Web-CMS (경영혁신)</v>
          </cell>
        </row>
        <row r="84">
          <cell r="F84" t="str">
            <v>B2Bi (경영혁신)</v>
          </cell>
        </row>
        <row r="85">
          <cell r="F85" t="str">
            <v>EAI (경영혁신)</v>
          </cell>
        </row>
        <row r="86">
          <cell r="F86" t="str">
            <v>WTN (경영혁신) - 법인간 거래정보 연계</v>
          </cell>
        </row>
        <row r="87">
          <cell r="F87" t="str">
            <v>CIS (경영혁신) - 기준정보 통합 운영</v>
          </cell>
        </row>
        <row r="88">
          <cell r="F88" t="str">
            <v>PPDB (경영혁신) - 선행부품정보</v>
          </cell>
        </row>
        <row r="89">
          <cell r="F89" t="str">
            <v>GCS (경영혁신) - Customer &amp; Vendor Code 관리</v>
          </cell>
        </row>
        <row r="90">
          <cell r="F90" t="str">
            <v>SPSS (경영혁신) - 표준부품검색</v>
          </cell>
        </row>
        <row r="91">
          <cell r="F91" t="str">
            <v>OnLine 고객 DB (경영혁신)</v>
          </cell>
        </row>
        <row r="92">
          <cell r="F92" t="str">
            <v>CIS 통합코드관리 (경영혁신)</v>
          </cell>
        </row>
        <row r="93">
          <cell r="F93" t="str">
            <v>ESP (경영혁신) -  보안관리 시스템</v>
          </cell>
        </row>
        <row r="94">
          <cell r="F94" t="str">
            <v>SELP (경영혁신) - Samsung electronics Export Logistics</v>
          </cell>
        </row>
        <row r="95">
          <cell r="F95" t="str">
            <v>Apollo (경영혁신) - IT인프라모니터링</v>
          </cell>
        </row>
        <row r="96">
          <cell r="F96" t="str">
            <v>CMS (경영혁신) - Contents Management System</v>
          </cell>
        </row>
        <row r="97">
          <cell r="F97" t="str">
            <v>ERMS (경영혁신)</v>
          </cell>
        </row>
        <row r="98">
          <cell r="F98" t="str">
            <v>WMC (경영혁신)</v>
          </cell>
        </row>
        <row r="99">
          <cell r="F99" t="str">
            <v>ITTS (경영혁신) - 실시간 운송재고추적</v>
          </cell>
        </row>
        <row r="100">
          <cell r="F100" t="str">
            <v>해외 IPC (구매전략)</v>
          </cell>
        </row>
        <row r="101">
          <cell r="F101" t="str">
            <v>녹색구매시스템 (구매전략)</v>
          </cell>
        </row>
        <row r="102">
          <cell r="F102" t="str">
            <v>사내 GLONETS PLUS (구매전략)</v>
          </cell>
        </row>
        <row r="103">
          <cell r="F103" t="str">
            <v>외자물류 통합시스템 (구매전략)</v>
          </cell>
        </row>
        <row r="104">
          <cell r="F104" t="str">
            <v>eBIDDING (구매전략) - ebidding.sec.samsung.net</v>
          </cell>
        </row>
        <row r="105">
          <cell r="F105" t="str">
            <v>구매Workspace (구매전략)</v>
          </cell>
        </row>
        <row r="106">
          <cell r="F106" t="str">
            <v>e-Sourcing (구매전략)</v>
          </cell>
        </row>
        <row r="107">
          <cell r="F107" t="str">
            <v>SS시스템 (구매전략)</v>
          </cell>
        </row>
        <row r="108">
          <cell r="F108" t="str">
            <v>V-Glonets (구매전략) - 구매SCM</v>
          </cell>
        </row>
        <row r="109">
          <cell r="F109" t="str">
            <v>PES 시스템 (구매전략)</v>
          </cell>
        </row>
        <row r="110">
          <cell r="F110" t="str">
            <v>Global 금형관리시스템 (구매전략)</v>
          </cell>
        </row>
        <row r="111">
          <cell r="F111" t="str">
            <v>GLOWEB (구매전략)</v>
          </cell>
        </row>
        <row r="112">
          <cell r="F112" t="str">
            <v>V-Glonets Buyer (구매전략)</v>
          </cell>
        </row>
        <row r="113">
          <cell r="F113" t="str">
            <v>V-Glonets Supplier (구매전략)</v>
          </cell>
        </row>
        <row r="114">
          <cell r="F114" t="str">
            <v>SSeMS (구매전략) - Global 협력사종합관리시스템</v>
          </cell>
        </row>
        <row r="115">
          <cell r="F115" t="str">
            <v>s-mEp (구매전략) - 통합 설비구매 발주</v>
          </cell>
        </row>
        <row r="116">
          <cell r="F116" t="str">
            <v>Buyer Workspace (구매전략)</v>
          </cell>
        </row>
        <row r="117">
          <cell r="F117" t="str">
            <v>Global MCM (구매전략)</v>
          </cell>
        </row>
        <row r="118">
          <cell r="F118" t="str">
            <v>eBIDDING (구매전략) - ebidding.secbuy.com</v>
          </cell>
        </row>
        <row r="119">
          <cell r="F119" t="str">
            <v>구매포탈 (구매전략) - 한글,영문</v>
          </cell>
        </row>
        <row r="120">
          <cell r="F120" t="str">
            <v>Supplier Portal (구매전략)</v>
          </cell>
        </row>
        <row r="121">
          <cell r="F121" t="str">
            <v>SLPS (구매전략)</v>
          </cell>
        </row>
        <row r="122">
          <cell r="F122" t="str">
            <v>상표출원시스템 (법무)</v>
          </cell>
        </row>
        <row r="123">
          <cell r="F123" t="str">
            <v>법무관리시스템 (법무)</v>
          </cell>
        </row>
        <row r="124">
          <cell r="F124" t="str">
            <v>GHRS (인사) - 인사 D/W</v>
          </cell>
        </row>
        <row r="125">
          <cell r="F125" t="str">
            <v>mySecurity (인사) - 본관보안관리</v>
          </cell>
        </row>
        <row r="126">
          <cell r="F126" t="str">
            <v>GHR-Net (인사) - 해외인사관리</v>
          </cell>
        </row>
        <row r="127">
          <cell r="F127" t="str">
            <v>iTAMS (인사) - 통합근태</v>
          </cell>
        </row>
        <row r="128">
          <cell r="F128" t="str">
            <v>TNE (인사) - 해외출장</v>
          </cell>
        </row>
        <row r="129">
          <cell r="F129" t="str">
            <v>GAIS (인사) - 총무통합관리</v>
          </cell>
        </row>
        <row r="130">
          <cell r="F130" t="str">
            <v>EVERSS (인사) - 통합보안관리</v>
          </cell>
        </row>
        <row r="131">
          <cell r="F131" t="str">
            <v>Edu-Net 시스템 (인사)</v>
          </cell>
        </row>
        <row r="132">
          <cell r="F132" t="str">
            <v>협력사 지원 시스템 (인사)</v>
          </cell>
        </row>
        <row r="133">
          <cell r="F133" t="str">
            <v>자산관리시스템 (인사)</v>
          </cell>
        </row>
        <row r="134">
          <cell r="F134" t="str">
            <v>학술산학 양성 지원 시스템 (인사)</v>
          </cell>
        </row>
        <row r="135">
          <cell r="F135" t="str">
            <v>주주총회 시스템 (인사)</v>
          </cell>
        </row>
        <row r="136">
          <cell r="F136" t="str">
            <v>GHR (인사) - 해외인사관리시스템</v>
          </cell>
        </row>
        <row r="137">
          <cell r="F137" t="str">
            <v>노사관리시스템 (인사)</v>
          </cell>
        </row>
        <row r="138">
          <cell r="F138" t="str">
            <v>Cyberedu (인사)</v>
          </cell>
        </row>
        <row r="139">
          <cell r="F139" t="str">
            <v>HuRis (인사) - 채용</v>
          </cell>
        </row>
        <row r="140">
          <cell r="F140" t="str">
            <v>HR-HUB (인사) - PDSS 4.0</v>
          </cell>
        </row>
        <row r="141">
          <cell r="F141" t="str">
            <v>HR Partner (인사) - 통합인사</v>
          </cell>
        </row>
        <row r="142">
          <cell r="F142" t="str">
            <v>임원 인사관리시스템 (인사)</v>
          </cell>
        </row>
        <row r="143">
          <cell r="F143" t="str">
            <v>차량관리 시스템 (인사)</v>
          </cell>
        </row>
        <row r="144">
          <cell r="F144" t="str">
            <v>글로벌 위험경보시스템 (인사)</v>
          </cell>
        </row>
        <row r="145">
          <cell r="F145" t="str">
            <v>www.familyneti.com (인사)</v>
          </cell>
        </row>
        <row r="146">
          <cell r="F146" t="str">
            <v>www.iamsec.com (인사)</v>
          </cell>
        </row>
        <row r="147">
          <cell r="F147" t="str">
            <v>sadi (인사)</v>
          </cell>
        </row>
        <row r="148">
          <cell r="F148" t="str">
            <v>신재무시스템 (재경)</v>
          </cell>
        </row>
        <row r="149">
          <cell r="F149" t="str">
            <v>주석사항 접수/집계시스템 (재경)</v>
          </cell>
        </row>
        <row r="150">
          <cell r="F150" t="str">
            <v>GTMS (재경) - 해외자금</v>
          </cell>
        </row>
        <row r="151">
          <cell r="F151" t="str">
            <v>시스템통합 (재경)</v>
          </cell>
        </row>
        <row r="152">
          <cell r="F152" t="str">
            <v>자금운용시스템 (재경)</v>
          </cell>
        </row>
        <row r="153">
          <cell r="F153" t="str">
            <v>거래선 관리시스템 (재경)</v>
          </cell>
        </row>
        <row r="154">
          <cell r="F154" t="str">
            <v>본사 환관리시스템 (재경)</v>
          </cell>
        </row>
        <row r="155">
          <cell r="F155" t="str">
            <v>DC&amp;P 시스템 (재경)</v>
          </cell>
        </row>
        <row r="156">
          <cell r="F156" t="str">
            <v>DTi (재경) - 전자세금계산서</v>
          </cell>
        </row>
        <row r="157">
          <cell r="F157" t="str">
            <v>그룹 결합 재무제표시스템 (재경)</v>
          </cell>
        </row>
        <row r="158">
          <cell r="F158" t="str">
            <v>GCNS (재경) - 글로벌 네팅</v>
          </cell>
        </row>
        <row r="159">
          <cell r="F159" t="str">
            <v>myFinance (재경)</v>
          </cell>
        </row>
        <row r="160">
          <cell r="F160" t="str">
            <v>재경시스템 (재경)</v>
          </cell>
        </row>
        <row r="161">
          <cell r="F161" t="str">
            <v>e-GOTS (재경) - 해외지점 전도금 관리</v>
          </cell>
        </row>
        <row r="162">
          <cell r="F162" t="str">
            <v>RIS (재경) - 부동산 정보</v>
          </cell>
        </row>
        <row r="163">
          <cell r="F163" t="str">
            <v>FEMS (재경) - Foreign Exchange Management System</v>
          </cell>
        </row>
        <row r="164">
          <cell r="F164" t="str">
            <v>FSCS (재경) - 재무자가진단</v>
          </cell>
        </row>
        <row r="165">
          <cell r="F165" t="str">
            <v>FSCS WEB Monitoring 시스템 (재경)</v>
          </cell>
        </row>
        <row r="166">
          <cell r="F166" t="str">
            <v>SENS (재경) - 신본지사</v>
          </cell>
        </row>
        <row r="167">
          <cell r="F167" t="str">
            <v>SEGAM (재경) - Global 회계 메뉴얼</v>
          </cell>
        </row>
        <row r="168">
          <cell r="F168" t="str">
            <v>SEFN (재경) - 재무포탈</v>
          </cell>
        </row>
        <row r="169">
          <cell r="F169" t="str">
            <v>Global 자금관리시스템 (재경)</v>
          </cell>
        </row>
        <row r="170">
          <cell r="F170" t="str">
            <v>N-Project (재경) - 미환산 재무제표</v>
          </cell>
        </row>
        <row r="171">
          <cell r="F171" t="str">
            <v>GCoA (재경) - 글로벌계정관리</v>
          </cell>
        </row>
        <row r="172">
          <cell r="F172" t="str">
            <v>CAS (재경) - 외환관세심사시스템</v>
          </cell>
        </row>
        <row r="173">
          <cell r="F173" t="str">
            <v>장부관리시스템 (재경)</v>
          </cell>
        </row>
        <row r="174">
          <cell r="F174" t="str">
            <v>삼성전자 대금지급 조회서비스 (재경)</v>
          </cell>
        </row>
        <row r="175">
          <cell r="F175" t="str">
            <v>ROIS (해외지원) - 지점영업</v>
          </cell>
        </row>
        <row r="176">
          <cell r="F176" t="str">
            <v>GSBN (해외지원)</v>
          </cell>
        </row>
        <row r="177">
          <cell r="F177" t="str">
            <v>GMOS (해외지원) - 마케팅비용 예산실적 관리</v>
          </cell>
        </row>
        <row r="178">
          <cell r="F178" t="str">
            <v>STLS (해외지원) - 수출입 무역행정자동화</v>
          </cell>
        </row>
        <row r="179">
          <cell r="F179" t="str">
            <v>PTS (해외지원)</v>
          </cell>
        </row>
        <row r="180">
          <cell r="F180" t="str">
            <v>ITTS (해외지원) - 실시간 운송재고추적</v>
          </cell>
        </row>
        <row r="181">
          <cell r="F181" t="str">
            <v>WTS BW (해외지원)</v>
          </cell>
        </row>
        <row r="182">
          <cell r="F182" t="str">
            <v>RDW (해외지원) - Regional Data Warehouse</v>
          </cell>
        </row>
        <row r="183">
          <cell r="F183" t="str">
            <v>SIMS (해외지원)</v>
          </cell>
        </row>
        <row r="184">
          <cell r="F184" t="str">
            <v>GPPM/SIMS(해외지원) - 해외법인 메뉴얼/경영관리 포탈</v>
          </cell>
        </row>
        <row r="185">
          <cell r="F185" t="str">
            <v>GPPM (해외지원) - 해외법인 메뉴얼</v>
          </cell>
        </row>
        <row r="186">
          <cell r="F186" t="str">
            <v>해외PMO 시스템 (해외지원)</v>
          </cell>
        </row>
        <row r="187">
          <cell r="F187" t="str">
            <v>GSPM (해외지원) - Global Sales Minus &amp; Price Managemen</v>
          </cell>
        </row>
        <row r="188">
          <cell r="F188" t="str">
            <v>GSMS (해외지원) - 샘플관리</v>
          </cell>
        </row>
        <row r="189">
          <cell r="F189" t="str">
            <v>PRM (해외지원) - Partner Relationship Management</v>
          </cell>
        </row>
        <row r="190">
          <cell r="F190" t="str">
            <v>e-Office (해외지원)</v>
          </cell>
        </row>
        <row r="191">
          <cell r="F191" t="str">
            <v>SELI (해외지원)</v>
          </cell>
        </row>
        <row r="192">
          <cell r="F192" t="str">
            <v>GPMI (해외지원) - 경영속보</v>
          </cell>
        </row>
        <row r="193">
          <cell r="F193" t="str">
            <v>GMPS (해외지원) - 경영/실행계획</v>
          </cell>
        </row>
        <row r="194">
          <cell r="F194" t="str">
            <v>GCMS (해외지원) - 여신관리</v>
          </cell>
        </row>
        <row r="195">
          <cell r="F195" t="str">
            <v>GFIS (해외지원) - 연결결산</v>
          </cell>
        </row>
        <row r="196">
          <cell r="F196" t="str">
            <v>WTN (해외지원) - 법인간 거래정보 연계</v>
          </cell>
        </row>
        <row r="197">
          <cell r="F197" t="str">
            <v>SELP (해외지원) - Samsung electronics Export Logistics</v>
          </cell>
        </row>
        <row r="198">
          <cell r="F198" t="str">
            <v>홍보관리시스템 (홍보)</v>
          </cell>
        </row>
        <row r="199">
          <cell r="F199" t="str">
            <v>글로벌 PR Database (홍보)</v>
          </cell>
        </row>
        <row r="200">
          <cell r="F200" t="str">
            <v>Global Service 상황관리 (CS경영)</v>
          </cell>
        </row>
        <row r="201">
          <cell r="F201" t="str">
            <v>Eco-RIMS (CS경영) - 재활용정보 관리</v>
          </cell>
        </row>
        <row r="202">
          <cell r="F202" t="str">
            <v>Megasys (CS경영) - 수요예측</v>
          </cell>
        </row>
        <row r="203">
          <cell r="F203" t="str">
            <v>e-HMS (CS경영)</v>
          </cell>
        </row>
        <row r="204">
          <cell r="F204" t="str">
            <v>SAP (CS경영)</v>
          </cell>
        </row>
        <row r="205">
          <cell r="F205" t="str">
            <v>CS-NET (CS경영)</v>
          </cell>
        </row>
        <row r="206">
          <cell r="F206" t="str">
            <v>원가관리시스템 (CS경영)</v>
          </cell>
        </row>
        <row r="207">
          <cell r="F207" t="str">
            <v>STELS (CS경영) - Global 서비스 원격교육관리</v>
          </cell>
        </row>
        <row r="208">
          <cell r="F208" t="str">
            <v>ITSELF (CS경영)</v>
          </cell>
        </row>
        <row r="209">
          <cell r="F209" t="str">
            <v>SVOC (CS경영) - 전사 VOC 데이터 통합 DB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홈네트웍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홈비타 솔루션 마케팅 (DSC)</v>
          </cell>
        </row>
        <row r="219">
          <cell r="F219" t="str">
            <v>라인업 관리 시스템 (DSC)</v>
          </cell>
        </row>
        <row r="220">
          <cell r="F220" t="str">
            <v>secumax.com (DSC)</v>
          </cell>
        </row>
        <row r="221">
          <cell r="F221" t="str">
            <v>서비스 장애관리 시스템 (DSC)</v>
          </cell>
        </row>
        <row r="222">
          <cell r="F222" t="str">
            <v>www.jungum.com (DSC)</v>
          </cell>
        </row>
        <row r="223">
          <cell r="F223" t="str">
            <v>삼성 프로게임단 칸 (DSC)</v>
          </cell>
        </row>
        <row r="224">
          <cell r="F224" t="str">
            <v>영업 SCM Monitoring (국내영업)</v>
          </cell>
        </row>
        <row r="225">
          <cell r="F225" t="str">
            <v>단납기 시스템 (국내영업)</v>
          </cell>
        </row>
        <row r="226">
          <cell r="F226" t="str">
            <v>APS-DF (국내영업)</v>
          </cell>
        </row>
        <row r="227">
          <cell r="F227" t="str">
            <v>APS-MP (국내영업)</v>
          </cell>
        </row>
        <row r="228">
          <cell r="F228" t="str">
            <v>APS-DP/DF/MP (국내영업)</v>
          </cell>
        </row>
        <row r="229">
          <cell r="F229" t="str">
            <v>SMART CRM 시스템 (국내영업)</v>
          </cell>
        </row>
        <row r="230">
          <cell r="F230" t="str">
            <v>BTS 시스템 (국내영업)</v>
          </cell>
        </row>
        <row r="231">
          <cell r="F231" t="str">
            <v>SAP (국내영업) - TIP, 신영업</v>
          </cell>
        </row>
        <row r="232">
          <cell r="F232" t="str">
            <v>DMC (국내영업) - 국판 신정보계</v>
          </cell>
        </row>
        <row r="233">
          <cell r="F233" t="str">
            <v>정보기기 실판매 Upgrade (국내영업)</v>
          </cell>
        </row>
        <row r="234">
          <cell r="F234" t="str">
            <v>AnyWin BP (국내영업)</v>
          </cell>
        </row>
        <row r="235">
          <cell r="F235" t="str">
            <v>SIMS (국내영업)</v>
          </cell>
        </row>
        <row r="236">
          <cell r="F236" t="str">
            <v>MINE 시스템 (국내영업) - Marketing Intelligence Network E</v>
          </cell>
        </row>
        <row r="237">
          <cell r="F237" t="str">
            <v>DMPS (국내영업) - 신원가계획</v>
          </cell>
        </row>
        <row r="238">
          <cell r="F238" t="str">
            <v>PRM (국내영업) - 비전속</v>
          </cell>
        </row>
        <row r="239">
          <cell r="F239" t="str">
            <v>Anywin (국내영업)</v>
          </cell>
        </row>
        <row r="240">
          <cell r="F240" t="str">
            <v>삼성에듀닷컴 (국내영업)</v>
          </cell>
        </row>
        <row r="241">
          <cell r="F241" t="str">
            <v>스마트 파트너 (국내영업)</v>
          </cell>
        </row>
        <row r="242">
          <cell r="F242" t="str">
            <v>지사사이트 (국내영업)</v>
          </cell>
        </row>
        <row r="243">
          <cell r="F243" t="str">
            <v>경원지사 웹사이트 (국내영업)</v>
          </cell>
        </row>
        <row r="244">
          <cell r="F244" t="str">
            <v>HIMAS (국내영업)</v>
          </cell>
        </row>
        <row r="245">
          <cell r="F245" t="str">
            <v>DPS (국내영업) - Digital Plaza System</v>
          </cell>
        </row>
        <row r="246">
          <cell r="F246" t="str">
            <v>e-Biz센터 (국내영업) - 인터넷상담</v>
          </cell>
        </row>
        <row r="247">
          <cell r="F247" t="str">
            <v>IT비즈니스포털 (국내영업)</v>
          </cell>
        </row>
        <row r="248">
          <cell r="F248" t="str">
            <v>국가 사이트 (한국) - Korea</v>
          </cell>
        </row>
        <row r="249">
          <cell r="F249" t="str">
            <v>OA 프라자 (국내영업)</v>
          </cell>
        </row>
        <row r="250">
          <cell r="F250" t="str">
            <v>e-Biz센터 SEMS (국내영업)</v>
          </cell>
        </row>
        <row r="251">
          <cell r="F251" t="str">
            <v>GCIC (GMO) - Global 고객관리</v>
          </cell>
        </row>
        <row r="252">
          <cell r="F252" t="str">
            <v>MCS (GMO) - Merchandising Control System</v>
          </cell>
        </row>
        <row r="253">
          <cell r="F253" t="str">
            <v>mNet 시스템 (GMO)</v>
          </cell>
        </row>
        <row r="254">
          <cell r="F254" t="str">
            <v>Invest 시스템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디자인 과제관리 시스템 (디자인경영)</v>
          </cell>
        </row>
        <row r="258">
          <cell r="F258" t="str">
            <v>디자인출원시스템 (디자인경영)</v>
          </cell>
        </row>
        <row r="259">
          <cell r="F259" t="str">
            <v>관세환급시스템 (수원지원)</v>
          </cell>
        </row>
        <row r="260">
          <cell r="F260" t="str">
            <v>LOCAL L/C (수원지원)</v>
          </cell>
        </row>
        <row r="261">
          <cell r="F261" t="str">
            <v>신 외자물류 통합시스템 (수원지원)</v>
          </cell>
        </row>
        <row r="262">
          <cell r="F262" t="str">
            <v>e-Support (수원지원)</v>
          </cell>
        </row>
        <row r="263">
          <cell r="F263" t="str">
            <v>BlueEye (수원지원) - 고정자산관리</v>
          </cell>
        </row>
        <row r="264">
          <cell r="F264" t="str">
            <v>FMS (수원지원) - 시설물 관리, 공무환경관리</v>
          </cell>
        </row>
        <row r="265">
          <cell r="F265" t="str">
            <v>녹색경영시스템 (수원지원) - 공무환경관리</v>
          </cell>
        </row>
        <row r="266">
          <cell r="F266" t="str">
            <v>수원삼성블루윙즈축구단 공식 홈페이지</v>
          </cell>
        </row>
        <row r="267">
          <cell r="F267" t="str">
            <v>수원삼성블루윙즈축구단 공식 홈페이지  (전자스포츠구단)</v>
          </cell>
        </row>
        <row r="268">
          <cell r="F268" t="str">
            <v>삼성전자 육상단 (전자스포츠구단)</v>
          </cell>
        </row>
        <row r="269">
          <cell r="F269" t="str">
            <v>thunders농구단사이트 (전자스포츠구단)</v>
          </cell>
        </row>
        <row r="270">
          <cell r="F270" t="str">
            <v>삼성전자 육상단</v>
          </cell>
        </row>
        <row r="271">
          <cell r="F271" t="str">
            <v>thunders농구단사이트</v>
          </cell>
        </row>
        <row r="272">
          <cell r="F272" t="str">
            <v>IP Portal시스템 (CPO)</v>
          </cell>
        </row>
        <row r="273">
          <cell r="F273" t="str">
            <v>VP시스템 (CTO)</v>
          </cell>
        </row>
        <row r="274">
          <cell r="F274" t="str">
            <v>DEX/PDQ 변환 및 검증 시스템 (CTO)</v>
          </cell>
        </row>
        <row r="275">
          <cell r="F275" t="str">
            <v>CPCex (CTO)</v>
          </cell>
        </row>
        <row r="276">
          <cell r="F276" t="str">
            <v>DEX (CTO) - 데이터 자동 변환</v>
          </cell>
        </row>
        <row r="277">
          <cell r="F277" t="str">
            <v>기구 및 회로 BOM 자동 생성기 (CTO)</v>
          </cell>
        </row>
        <row r="278">
          <cell r="F278" t="str">
            <v>CAx 자산관리 및 CAD 자격제  Portal (CTO)</v>
          </cell>
        </row>
        <row r="279">
          <cell r="F279" t="str">
            <v>기술총괄 R&amp;D Portal Site (CTO)</v>
          </cell>
        </row>
        <row r="280">
          <cell r="F280" t="str">
            <v>R&amp;D SIMS (CTO)</v>
          </cell>
        </row>
        <row r="281">
          <cell r="F281" t="str">
            <v>벤처관리시스템 (CTO)</v>
          </cell>
        </row>
        <row r="282">
          <cell r="F282" t="str">
            <v>기술총괄 통합관리 (CTO)</v>
          </cell>
        </row>
        <row r="283">
          <cell r="F283" t="str">
            <v>해외연구분소 관리 (CTO)</v>
          </cell>
        </row>
        <row r="284">
          <cell r="F284" t="str">
            <v>종합품질시스템 (생기연)</v>
          </cell>
        </row>
        <row r="285">
          <cell r="F285" t="str">
            <v>SAP (생기연)</v>
          </cell>
        </row>
        <row r="286">
          <cell r="F286" t="str">
            <v>금형공정관리시스템 (생기연)</v>
          </cell>
        </row>
        <row r="287">
          <cell r="F287" t="str">
            <v>PDM (생기연)</v>
          </cell>
        </row>
        <row r="288">
          <cell r="F288" t="str">
            <v>SPDM (생기연)</v>
          </cell>
        </row>
        <row r="289">
          <cell r="F289" t="str">
            <v>구매 Portal System (생기연)</v>
          </cell>
        </row>
        <row r="290">
          <cell r="F290" t="str">
            <v>종합정보시스템 (생기연)</v>
          </cell>
        </row>
        <row r="291">
          <cell r="F291" t="str">
            <v>생산기술 KMS (생기연)</v>
          </cell>
        </row>
        <row r="292">
          <cell r="F292" t="str">
            <v>원가관리시스템 (생기연)</v>
          </cell>
        </row>
        <row r="293">
          <cell r="F293" t="str">
            <v>My SPDM (생기연)</v>
          </cell>
        </row>
        <row r="294">
          <cell r="F294" t="str">
            <v>www.atoms.co.kr (생기연)</v>
          </cell>
        </row>
        <row r="295">
          <cell r="F295" t="str">
            <v>S/W 멤버십 인트라넷 (S/W연)</v>
          </cell>
        </row>
        <row r="296">
          <cell r="F296" t="str">
            <v>DM-VOC (DM)</v>
          </cell>
        </row>
        <row r="297">
          <cell r="F297" t="str">
            <v>SAP (DM) - 한국 IPC</v>
          </cell>
        </row>
        <row r="298">
          <cell r="F298" t="str">
            <v>DM-Net (DM)</v>
          </cell>
        </row>
        <row r="299">
          <cell r="F299" t="str">
            <v>DM총괄 포탈 (DM)</v>
          </cell>
        </row>
        <row r="300">
          <cell r="F300" t="str">
            <v>SIMS (DM)</v>
          </cell>
        </row>
        <row r="301">
          <cell r="F301" t="str">
            <v>신원가시스템 (DM) - 경영관리</v>
          </cell>
        </row>
        <row r="302">
          <cell r="F302" t="str">
            <v>원가관리시스템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AV(사) 사업성평가 시스템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사운드온 (AV)</v>
          </cell>
        </row>
        <row r="313">
          <cell r="F313" t="str">
            <v>옙/예피존 (AV)</v>
          </cell>
        </row>
        <row r="314">
          <cell r="F314" t="str">
            <v>hidvs (AV)</v>
          </cell>
        </row>
        <row r="315">
          <cell r="F315" t="str">
            <v>AV 온라인 서비스 통합 운영 (AV)</v>
          </cell>
        </row>
        <row r="316">
          <cell r="F316" t="str">
            <v>SPDM (DM연)</v>
          </cell>
        </row>
        <row r="317">
          <cell r="F317" t="str">
            <v>PDM (DM연)</v>
          </cell>
        </row>
        <row r="318">
          <cell r="F318" t="str">
            <v>연구소 통합관리 (DM연)</v>
          </cell>
        </row>
        <row r="319">
          <cell r="F319" t="str">
            <v>통합 관리시스템 (DM연)</v>
          </cell>
        </row>
        <row r="320">
          <cell r="F320" t="str">
            <v>APS-MP (프린팅)</v>
          </cell>
        </row>
        <row r="321">
          <cell r="F321" t="str">
            <v>APS-FP (프린팅)</v>
          </cell>
        </row>
        <row r="322">
          <cell r="F322" t="str">
            <v>APS (프린팅)</v>
          </cell>
        </row>
        <row r="323">
          <cell r="F323" t="str">
            <v>SAP (프린팅)</v>
          </cell>
        </row>
        <row r="324">
          <cell r="F324" t="str">
            <v>MES (프린팅) - 제조현장관리</v>
          </cell>
        </row>
        <row r="325">
          <cell r="F325" t="str">
            <v>PDM (프린팅)</v>
          </cell>
        </row>
        <row r="326">
          <cell r="F326" t="str">
            <v>SPDM (프린팅)</v>
          </cell>
        </row>
        <row r="327">
          <cell r="F327" t="str">
            <v>e-BIZ (프린팅)</v>
          </cell>
        </row>
        <row r="328">
          <cell r="F328" t="str">
            <v>프린터119 (프린팅)</v>
          </cell>
        </row>
        <row r="329">
          <cell r="F329" t="str">
            <v>삼성 프린터진단 사이트 (프린팅) - http://www.samsungdp.com</v>
          </cell>
        </row>
        <row r="330">
          <cell r="F330" t="str">
            <v>prins (프린팅)</v>
          </cell>
        </row>
        <row r="331">
          <cell r="F331" t="str">
            <v>Imagingworld (프린팅)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통계적공정관리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샘트론 마케팅 (VD)</v>
          </cell>
        </row>
        <row r="345">
          <cell r="F345" t="str">
            <v>APS-FP/DP/DF/MP (컴퓨터)</v>
          </cell>
        </row>
        <row r="346">
          <cell r="F346" t="str">
            <v>APS-MP (컴퓨터)</v>
          </cell>
        </row>
        <row r="347">
          <cell r="F347" t="str">
            <v>m-silo (컴퓨터)</v>
          </cell>
        </row>
        <row r="348">
          <cell r="F348" t="str">
            <v>CTO (컴퓨터) - eBiz</v>
          </cell>
        </row>
        <row r="349">
          <cell r="F349" t="str">
            <v>Damoa (컴퓨터) - e-Biz</v>
          </cell>
        </row>
        <row r="350">
          <cell r="F350" t="str">
            <v>SAP (컴퓨터)</v>
          </cell>
        </row>
        <row r="351">
          <cell r="F351" t="str">
            <v>PCS (컴퓨터) - Product Control System</v>
          </cell>
        </row>
        <row r="352">
          <cell r="F352" t="str">
            <v>SPDM (컴퓨터)</v>
          </cell>
        </row>
        <row r="353">
          <cell r="F353" t="str">
            <v>PDM (컴퓨터)</v>
          </cell>
        </row>
        <row r="354">
          <cell r="F354" t="str">
            <v>WISE (컴퓨터)</v>
          </cell>
        </row>
        <row r="355">
          <cell r="F355" t="str">
            <v>www.esamsungpc.com (컴퓨터)</v>
          </cell>
        </row>
        <row r="356">
          <cell r="F356" t="str">
            <v>자이젠 (컴퓨터)</v>
          </cell>
        </row>
        <row r="357">
          <cell r="F357" t="str">
            <v>samsungcomputer.com (컴퓨터)</v>
          </cell>
        </row>
        <row r="358">
          <cell r="F358" t="str">
            <v>APS-FP (DP센터)</v>
          </cell>
        </row>
        <row r="359">
          <cell r="F359" t="str">
            <v>DREAMS (DP센터) - 기술품질</v>
          </cell>
        </row>
        <row r="360">
          <cell r="F360" t="str">
            <v>DREAMS (SESS) - 기술품질</v>
          </cell>
        </row>
        <row r="361">
          <cell r="F361" t="str">
            <v>TPSS(DP센터) - 종합생산성지원</v>
          </cell>
        </row>
        <row r="362">
          <cell r="F362" t="str">
            <v>e-TIMES (DP센터) - B/E TAT 관리</v>
          </cell>
        </row>
        <row r="363">
          <cell r="F363" t="str">
            <v>BASIS (DP센터)</v>
          </cell>
        </row>
        <row r="364">
          <cell r="F364" t="str">
            <v>AEGIS (DP센터)</v>
          </cell>
        </row>
        <row r="365">
          <cell r="F365" t="str">
            <v>UTOPIA (DP센터) - B/E 종합생산성관리</v>
          </cell>
        </row>
        <row r="366">
          <cell r="F366" t="str">
            <v>B/E 경영지원 (DP센터) - PASS, SEED, OSMS</v>
          </cell>
        </row>
        <row r="367">
          <cell r="F367" t="str">
            <v>EMS/DP (DP센터)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통합 경영정보시스템(OMS)</v>
          </cell>
        </row>
        <row r="375">
          <cell r="F375" t="str">
            <v>Vision (OMS)</v>
          </cell>
        </row>
        <row r="376">
          <cell r="F376" t="str">
            <v>마케팅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종합정보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종합생산성관리</v>
          </cell>
        </row>
        <row r="390">
          <cell r="F390" t="str">
            <v>SiMAX (SYS.LSI) - 기흥 K1</v>
          </cell>
        </row>
        <row r="391">
          <cell r="F391" t="str">
            <v>DIAS+ (SYS.LSI) - 프로젝트관리</v>
          </cell>
        </row>
        <row r="392">
          <cell r="F392" t="str">
            <v>MASS+ (SYS.LSI) - 엔지니어링분석</v>
          </cell>
        </row>
        <row r="393">
          <cell r="F393" t="str">
            <v>APS-DP (반도체)</v>
          </cell>
        </row>
        <row r="394">
          <cell r="F394" t="str">
            <v>CRM Workplace (반도체)</v>
          </cell>
        </row>
        <row r="395">
          <cell r="F395" t="str">
            <v>SAP (반도체) - SEMIS, 구매자재</v>
          </cell>
        </row>
        <row r="396">
          <cell r="F396" t="str">
            <v>SAP (반도체) - 온양 ASIMACS, 물류 입출하 관리</v>
          </cell>
        </row>
        <row r="397">
          <cell r="F397" t="str">
            <v>SAP (반도체) - 신영업, 출하/결산관리</v>
          </cell>
        </row>
        <row r="398">
          <cell r="F398" t="str">
            <v>SAP (반도체) - 신영업, 수주관리</v>
          </cell>
        </row>
        <row r="399">
          <cell r="F399" t="str">
            <v>BIMS (반도체) - 보세물류관리</v>
          </cell>
        </row>
        <row r="400">
          <cell r="F400" t="str">
            <v>Econo (반도체) - 종합 LOSS 관리</v>
          </cell>
        </row>
        <row r="401">
          <cell r="F401" t="str">
            <v>AEGIS (반도체) - 메모리 설비보전관리통합</v>
          </cell>
        </row>
        <row r="402">
          <cell r="F402" t="str">
            <v>GTS (반도체) - 통합수불관리</v>
          </cell>
        </row>
        <row r="403">
          <cell r="F403" t="str">
            <v>GOM (반도체) - 통합외주정보</v>
          </cell>
        </row>
        <row r="404">
          <cell r="F404" t="str">
            <v>GMS (반도체) - 종합생산현황</v>
          </cell>
        </row>
        <row r="405">
          <cell r="F405" t="str">
            <v>자재 QM 품질보증 (반도체)</v>
          </cell>
        </row>
        <row r="406">
          <cell r="F406" t="str">
            <v>SAMS (반도체) - 외주공정관리</v>
          </cell>
        </row>
        <row r="407">
          <cell r="F407" t="str">
            <v>IDSS (반도체) - 도면관리</v>
          </cell>
        </row>
        <row r="408">
          <cell r="F408" t="str">
            <v>PLM (반도체) - 품질정보 QM</v>
          </cell>
        </row>
        <row r="409">
          <cell r="F409" t="str">
            <v>경영지원 BI (반도체)</v>
          </cell>
        </row>
        <row r="410">
          <cell r="F410" t="str">
            <v>구매Workplace (반도체)</v>
          </cell>
        </row>
        <row r="411">
          <cell r="F411" t="str">
            <v>경영Workplace (반도체)</v>
          </cell>
        </row>
        <row r="412">
          <cell r="F412" t="str">
            <v>지원Workplace (반도체) - EASY</v>
          </cell>
        </row>
        <row r="413">
          <cell r="F413" t="str">
            <v>e-Learning (반도체) - 학습 교육</v>
          </cell>
        </row>
        <row r="414">
          <cell r="F414" t="str">
            <v>KMS (반도체) - 지식경영</v>
          </cell>
        </row>
        <row r="415">
          <cell r="F415" t="str">
            <v>LEADERS (반도체) - 통합문서</v>
          </cell>
        </row>
        <row r="416">
          <cell r="F416" t="str">
            <v>IDIX (반도체) - 제안관리</v>
          </cell>
        </row>
        <row r="417">
          <cell r="F417" t="str">
            <v>COMS (반도체) - 해외파견관리</v>
          </cell>
        </row>
        <row r="418">
          <cell r="F418" t="str">
            <v>GIS통합재해관리시스템 (반도체)</v>
          </cell>
        </row>
        <row r="419">
          <cell r="F419" t="str">
            <v>OA관리시스템 (반도체)</v>
          </cell>
        </row>
        <row r="420">
          <cell r="F420" t="str">
            <v>SEPS (반도체) - 환경전공정평가</v>
          </cell>
        </row>
        <row r="421">
          <cell r="F421" t="str">
            <v>SHINE (반도체) - 선진보건</v>
          </cell>
        </row>
        <row r="422">
          <cell r="F422" t="str">
            <v>TAMS (반도체) - 자산관리</v>
          </cell>
        </row>
        <row r="423">
          <cell r="F423" t="str">
            <v>e-SPEC (반도체) - 표준관리</v>
          </cell>
        </row>
        <row r="424">
          <cell r="F424" t="str">
            <v>SETTI (반도체) - 정보보안</v>
          </cell>
        </row>
        <row r="425">
          <cell r="F425" t="str">
            <v>SCIS (반도체) - 경영지원</v>
          </cell>
        </row>
        <row r="426">
          <cell r="F426" t="str">
            <v>InvestM (반도체)</v>
          </cell>
        </row>
        <row r="427">
          <cell r="F427" t="str">
            <v>IT Workplace (반도체)</v>
          </cell>
        </row>
        <row r="428">
          <cell r="F428" t="str">
            <v>GCM (반도체) - 통합기준정보</v>
          </cell>
        </row>
        <row r="429">
          <cell r="F429" t="str">
            <v>고객Workplace (반도체)</v>
          </cell>
        </row>
        <row r="430">
          <cell r="F430" t="str">
            <v>APS-EP (메모리)</v>
          </cell>
        </row>
        <row r="431">
          <cell r="F431" t="str">
            <v>APS-FP (메모리)</v>
          </cell>
        </row>
        <row r="432">
          <cell r="F432" t="str">
            <v>APS-CP (메모리)</v>
          </cell>
        </row>
        <row r="433">
          <cell r="F433" t="str">
            <v>APS-PO (메모리)</v>
          </cell>
        </row>
        <row r="434">
          <cell r="F434" t="str">
            <v>APS-MP (메모리)</v>
          </cell>
        </row>
        <row r="435">
          <cell r="F435" t="str">
            <v>APS-DF (메모리)</v>
          </cell>
        </row>
        <row r="436">
          <cell r="F436" t="str">
            <v>APS-DP (메모리)</v>
          </cell>
        </row>
        <row r="437">
          <cell r="F437" t="str">
            <v>APS-DP/DF (메모리)</v>
          </cell>
        </row>
        <row r="438">
          <cell r="F438" t="str">
            <v>TOBIS (메모리) - KPI분석</v>
          </cell>
        </row>
        <row r="439">
          <cell r="F439" t="str">
            <v>ECP (메모리) CS/ER</v>
          </cell>
        </row>
        <row r="440">
          <cell r="F440" t="str">
            <v>DLPS (메모리)</v>
          </cell>
        </row>
        <row r="441">
          <cell r="F441" t="str">
            <v>EDS DLPS (메모리)</v>
          </cell>
        </row>
        <row r="442">
          <cell r="F442" t="str">
            <v>글로벌 실시간 영업정보 체계 구축</v>
          </cell>
        </row>
        <row r="443">
          <cell r="F443" t="str">
            <v>c-Dance.samsungsemi.com (메모리)</v>
          </cell>
        </row>
        <row r="444">
          <cell r="F444" t="str">
            <v>글로벌 실시간 영업정보 (메모리)</v>
          </cell>
        </row>
        <row r="445">
          <cell r="F445" t="str">
            <v>TPSS (메모리) -종합생산성관리</v>
          </cell>
        </row>
        <row r="446">
          <cell r="F446" t="str">
            <v>Smart-Net (메모리) - 불합리정보관리</v>
          </cell>
        </row>
        <row r="447">
          <cell r="F447" t="str">
            <v>AEGIS(메모리) - 통합설비보전관리</v>
          </cell>
        </row>
        <row r="448">
          <cell r="F448" t="str">
            <v>EAS (메모리) - 엔지니어링 분석</v>
          </cell>
        </row>
        <row r="449">
          <cell r="F449" t="str">
            <v>e-BOM (메모리) - 재료생산성관리</v>
          </cell>
        </row>
        <row r="450">
          <cell r="F450" t="str">
            <v>연구소 Mask Eng분석 (메모리)</v>
          </cell>
        </row>
        <row r="451">
          <cell r="F451" t="str">
            <v>EMS (메모리)</v>
          </cell>
        </row>
        <row r="452">
          <cell r="F452" t="str">
            <v>e-CADIS (메모리) - PLM 과제관리</v>
          </cell>
        </row>
        <row r="453">
          <cell r="F453" t="str">
            <v>개발Workplace (메모리)</v>
          </cell>
        </row>
        <row r="454">
          <cell r="F454" t="str">
            <v>PLM (메모리) - 제품개발</v>
          </cell>
        </row>
        <row r="455">
          <cell r="F455" t="str">
            <v>TOSS (메모리) - Technical data Online Support System</v>
          </cell>
        </row>
        <row r="456">
          <cell r="F456" t="str">
            <v>CANARY (메모리) - 종합수율향상</v>
          </cell>
        </row>
        <row r="457">
          <cell r="F457" t="str">
            <v>CAFIS (메모리) - IPT 설계 자동화</v>
          </cell>
        </row>
        <row r="458">
          <cell r="F458" t="str">
            <v>Tessera社 기술료 산출 프로세스 전산화</v>
          </cell>
        </row>
        <row r="459">
          <cell r="F459" t="str">
            <v>Tessera社 기술료 산출 (메모리)</v>
          </cell>
        </row>
        <row r="460">
          <cell r="F460" t="str">
            <v>중기라인 운영 (메모리)</v>
          </cell>
        </row>
        <row r="461">
          <cell r="F461" t="str">
            <v>ECM (메모리) - 엔지니어형상관리</v>
          </cell>
        </row>
        <row r="462">
          <cell r="F462" t="str">
            <v>투자 Capa Simulation (메모리)</v>
          </cell>
        </row>
        <row r="463">
          <cell r="F463" t="str">
            <v>경제성 분석시스템 (메모리)</v>
          </cell>
        </row>
        <row r="464">
          <cell r="F464" t="str">
            <v>반도체 구매SRM (메모리)</v>
          </cell>
        </row>
        <row r="465">
          <cell r="F465" t="str">
            <v>SAP (스토리지)</v>
          </cell>
        </row>
        <row r="466">
          <cell r="F466" t="str">
            <v>PCBA 외주 임가공 시스템 (스토리지)</v>
          </cell>
        </row>
        <row r="467">
          <cell r="F467" t="str">
            <v>MES (스토리지) - 제조현장관리</v>
          </cell>
        </row>
        <row r="468">
          <cell r="F468" t="str">
            <v>SPDM (스토리지)</v>
          </cell>
        </row>
        <row r="469">
          <cell r="F469" t="str">
            <v>PDM (스토리지)</v>
          </cell>
        </row>
        <row r="470">
          <cell r="F470" t="str">
            <v>GCU (스토리지) - 정보공유</v>
          </cell>
        </row>
        <row r="471">
          <cell r="F471" t="str">
            <v>FSC (스토리지) - www.hddportal.com</v>
          </cell>
        </row>
        <row r="472">
          <cell r="F472" t="str">
            <v>HDD사업부 및 HP사 파트너 (스토리지)</v>
          </cell>
        </row>
        <row r="473">
          <cell r="F473" t="str">
            <v>APS-MP (생활가전)</v>
          </cell>
        </row>
        <row r="474">
          <cell r="F474" t="str">
            <v>VISS-Net (시스템가전) - VOC</v>
          </cell>
        </row>
        <row r="475">
          <cell r="F475" t="str">
            <v>SAP (시스템가전)</v>
          </cell>
        </row>
        <row r="476">
          <cell r="F476" t="str">
            <v>SPDM (리빙)</v>
          </cell>
        </row>
        <row r="477">
          <cell r="F477" t="str">
            <v>SPDM (시스템가전)</v>
          </cell>
        </row>
        <row r="478">
          <cell r="F478" t="str">
            <v>DA-Net (시스템가전) - 경영정보</v>
          </cell>
        </row>
        <row r="479">
          <cell r="F479" t="str">
            <v>Edison (시스템가전) - 가전연구소 Portal</v>
          </cell>
        </row>
        <row r="480">
          <cell r="F480" t="str">
            <v>CS Portal (시스템가전)</v>
          </cell>
        </row>
        <row r="481">
          <cell r="F481" t="str">
            <v>Aircon (시스템가전) - 공조 개발 Portal</v>
          </cell>
        </row>
        <row r="482">
          <cell r="F482" t="str">
            <v>SysNet (시스템가전) - 총괄 Portal</v>
          </cell>
        </row>
        <row r="483">
          <cell r="F483" t="str">
            <v>세탁기개발팀 Portal (시스템가전)</v>
          </cell>
        </row>
        <row r="484">
          <cell r="F484" t="str">
            <v>DA-GMS (시스템가전)</v>
          </cell>
        </row>
        <row r="485">
          <cell r="F485" t="str">
            <v>원가관리시스템 (시스템가전)</v>
          </cell>
        </row>
        <row r="486">
          <cell r="F486" t="str">
            <v>하우젠/지펠 (시스템가전)</v>
          </cell>
        </row>
        <row r="487">
          <cell r="F487" t="str">
            <v>삼성시스템에어컨 (시스템가전)</v>
          </cell>
        </row>
        <row r="488">
          <cell r="F488" t="str">
            <v>Smart-HA (시스템가전)</v>
          </cell>
        </row>
        <row r="489">
          <cell r="F489" t="str">
            <v>SAP (조리기기)</v>
          </cell>
        </row>
        <row r="490">
          <cell r="F490" t="str">
            <v>개발팀 Portal (세탁기)</v>
          </cell>
        </row>
        <row r="491">
          <cell r="F491" t="str">
            <v>APS-FP/DP/DF/MP (생활가전)</v>
          </cell>
        </row>
        <row r="492">
          <cell r="F492" t="str">
            <v>SAP (리빙)</v>
          </cell>
        </row>
        <row r="493">
          <cell r="F493" t="str">
            <v>PDM (리빙)</v>
          </cell>
        </row>
        <row r="494">
          <cell r="F494" t="str">
            <v>PDM (시스템가전)</v>
          </cell>
        </row>
        <row r="495">
          <cell r="F495" t="str">
            <v>DA-ROI (시스템가전) - 개발과제 성과관리</v>
          </cell>
        </row>
        <row r="496">
          <cell r="F496" t="str">
            <v>DA-DEW (시스템가전) - 개발혁신 관리</v>
          </cell>
        </row>
        <row r="497">
          <cell r="F497" t="str">
            <v>시스템에어컨 설치정보 관리시스템 (시스템가전)</v>
          </cell>
        </row>
        <row r="498">
          <cell r="F498" t="str">
            <v>지펠 (시스템가전)</v>
          </cell>
        </row>
        <row r="499">
          <cell r="F499" t="str">
            <v>하우젠 (시스템가전)</v>
          </cell>
        </row>
        <row r="500">
          <cell r="F500" t="str">
            <v>I-Project 전용 Web Site (정보통신)</v>
          </cell>
        </row>
        <row r="501">
          <cell r="F501" t="str">
            <v>TAC (정보통신) - I Project RMA/DOA</v>
          </cell>
        </row>
        <row r="502">
          <cell r="F502" t="str">
            <v>형상관리 시스템 (정보통신)</v>
          </cell>
        </row>
        <row r="503">
          <cell r="F503" t="str">
            <v>SIMS (정보통신)</v>
          </cell>
        </row>
        <row r="504">
          <cell r="F504" t="str">
            <v>TN-Valley (정보통신)</v>
          </cell>
        </row>
        <row r="505">
          <cell r="F505" t="str">
            <v>통합 경영지원시스템 (정보통신연)</v>
          </cell>
        </row>
        <row r="506">
          <cell r="F506" t="str">
            <v>신원가시스템 (정보통신)</v>
          </cell>
        </row>
        <row r="507">
          <cell r="F507" t="str">
            <v>통합 경영지원시스템 (정보통신)</v>
          </cell>
        </row>
        <row r="508">
          <cell r="F508" t="str">
            <v>정보통신총괄 TN-Route (TN)</v>
          </cell>
        </row>
        <row r="509">
          <cell r="F509" t="str">
            <v>PDM (광)</v>
          </cell>
        </row>
        <row r="510">
          <cell r="F510" t="str">
            <v>SPDM (광)</v>
          </cell>
        </row>
        <row r="511">
          <cell r="F511" t="str">
            <v>광 웹사이트 (광)</v>
          </cell>
        </row>
        <row r="512">
          <cell r="F512" t="str">
            <v>관세환급시스템 (구미지원)</v>
          </cell>
        </row>
        <row r="513">
          <cell r="F513" t="str">
            <v>ExcuSIS (구미지원) - 사업장 경영정보</v>
          </cell>
        </row>
        <row r="514">
          <cell r="F514" t="str">
            <v>통합 경영지원시스템 (구미지원)</v>
          </cell>
        </row>
        <row r="515">
          <cell r="F515" t="str">
            <v>개선제안시스템 (구미지원)</v>
          </cell>
        </row>
        <row r="516">
          <cell r="F516" t="str">
            <v>PRO 가꿈터 (구미지원)</v>
          </cell>
        </row>
        <row r="517">
          <cell r="F517" t="str">
            <v>신원가시스템 (구미지원)</v>
          </cell>
        </row>
        <row r="518">
          <cell r="F518" t="str">
            <v>매출집계시스템 (구미지원)</v>
          </cell>
        </row>
        <row r="519">
          <cell r="F519" t="str">
            <v>Any-pro (구미지원) - 손익분석</v>
          </cell>
        </row>
        <row r="520">
          <cell r="F520" t="str">
            <v>통합 보안관리시스템 (구미지원)</v>
          </cell>
        </row>
        <row r="521">
          <cell r="F521" t="str">
            <v>협력사 지원 시스템 (구미지원)</v>
          </cell>
        </row>
        <row r="522">
          <cell r="F522" t="str">
            <v>삼성전자구미사업장 채용홈페이지 (구미지원)</v>
          </cell>
        </row>
        <row r="523">
          <cell r="F523" t="str">
            <v>APS (네트웍) - 제조</v>
          </cell>
        </row>
        <row r="524">
          <cell r="F524" t="str">
            <v>영업 SCM (네트웍)</v>
          </cell>
        </row>
        <row r="525">
          <cell r="F525" t="str">
            <v>SCM (네트웍)</v>
          </cell>
        </row>
        <row r="526">
          <cell r="F526" t="str">
            <v>제조지원시스템 (네트웍)</v>
          </cell>
        </row>
        <row r="527">
          <cell r="F527" t="str">
            <v>i-Biz (네트웍)</v>
          </cell>
        </row>
        <row r="528">
          <cell r="F528" t="str">
            <v>Qnet (네트워크)</v>
          </cell>
        </row>
        <row r="529">
          <cell r="F529" t="str">
            <v>3rd Party management system (네트웍)</v>
          </cell>
        </row>
        <row r="530">
          <cell r="F530" t="str">
            <v>수주지원시스템 (네트웍)</v>
          </cell>
        </row>
        <row r="531">
          <cell r="F531" t="str">
            <v>1Q (네트웍)</v>
          </cell>
        </row>
        <row r="532">
          <cell r="F532" t="str">
            <v>WIn-21 영업관리 (네트웍)</v>
          </cell>
        </row>
        <row r="533">
          <cell r="F533" t="str">
            <v>SAP (네트웍) - 제조</v>
          </cell>
        </row>
        <row r="534">
          <cell r="F534" t="str">
            <v>NetMES (네트웍) - 제조현장관리</v>
          </cell>
        </row>
        <row r="535">
          <cell r="F535" t="str">
            <v>SPDM (네트웍)</v>
          </cell>
        </row>
        <row r="536">
          <cell r="F536" t="str">
            <v>PDM (네트웍)</v>
          </cell>
        </row>
        <row r="537">
          <cell r="F537" t="str">
            <v>PHIS (네트웍)</v>
          </cell>
        </row>
        <row r="538">
          <cell r="F538" t="str">
            <v>WiBro Ecosystem (네트웍)</v>
          </cell>
        </row>
        <row r="539">
          <cell r="F539" t="str">
            <v>DW (네트웍)_1</v>
          </cell>
        </row>
        <row r="540">
          <cell r="F540" t="str">
            <v>DW (네트웍)</v>
          </cell>
        </row>
        <row r="541">
          <cell r="F541" t="str">
            <v>TOMS (네트웍)</v>
          </cell>
        </row>
        <row r="542">
          <cell r="F542" t="str">
            <v>www.samsungdocs.com (네트웍)</v>
          </cell>
        </row>
        <row r="543">
          <cell r="F543" t="str">
            <v>OSCL (네트웍)</v>
          </cell>
        </row>
        <row r="544">
          <cell r="F544" t="str">
            <v>GCN (네트웍) - Global Corporate Network</v>
          </cell>
        </row>
        <row r="545">
          <cell r="F545" t="str">
            <v>G-SCM (무선)</v>
          </cell>
        </row>
        <row r="546">
          <cell r="F546" t="str">
            <v>APS-MP (무선)</v>
          </cell>
        </row>
        <row r="547">
          <cell r="F547" t="str">
            <v>APS-FP (무선)</v>
          </cell>
        </row>
        <row r="548">
          <cell r="F548" t="str">
            <v>MISS (무선)</v>
          </cell>
        </row>
        <row r="549">
          <cell r="F549" t="str">
            <v>SISO-Net (무선)</v>
          </cell>
        </row>
        <row r="550">
          <cell r="F550" t="str">
            <v>PC manager plus (무선) - 애니콜랜드 접근성 강화</v>
          </cell>
        </row>
        <row r="551">
          <cell r="F551" t="str">
            <v>mVOC.net (무선)</v>
          </cell>
        </row>
        <row r="552">
          <cell r="F552" t="str">
            <v>SFC 소셜 네트워킹 서비스 (무선) - Uberme</v>
          </cell>
        </row>
        <row r="553">
          <cell r="F553" t="str">
            <v>SFC 포토 블로그 서비스 (무선)</v>
          </cell>
        </row>
        <row r="554">
          <cell r="F554" t="str">
            <v>MDP (무선)</v>
          </cell>
        </row>
        <row r="555">
          <cell r="F555" t="str">
            <v>SAP (무선)</v>
          </cell>
        </row>
        <row r="556">
          <cell r="F556" t="str">
            <v>SAP (무선) - MDP</v>
          </cell>
        </row>
        <row r="557">
          <cell r="F557" t="str">
            <v>MES (무선) - 제조현장관리</v>
          </cell>
        </row>
        <row r="558">
          <cell r="F558" t="str">
            <v>MPS (무선)</v>
          </cell>
        </row>
        <row r="559">
          <cell r="F559" t="str">
            <v>ECIM-Net (무선)</v>
          </cell>
        </row>
        <row r="560">
          <cell r="F560" t="str">
            <v>SPDM (무선)</v>
          </cell>
        </row>
        <row r="561">
          <cell r="F561" t="str">
            <v>기구개발 Infra 시스템 (무선)</v>
          </cell>
        </row>
        <row r="562">
          <cell r="F562" t="str">
            <v>PDM (무선)</v>
          </cell>
        </row>
        <row r="563">
          <cell r="F563" t="str">
            <v>TAPS (무선) - 구매예술화</v>
          </cell>
        </row>
        <row r="564">
          <cell r="F564" t="str">
            <v>MD.Net (무선)</v>
          </cell>
        </row>
        <row r="565">
          <cell r="F565" t="str">
            <v>EGIS (무선)</v>
          </cell>
        </row>
        <row r="566">
          <cell r="F566" t="str">
            <v>SFC (무선) - Korea anycall</v>
          </cell>
        </row>
        <row r="567">
          <cell r="F567" t="str">
            <v>SFC 클럽 운영자 게시판 (무선)</v>
          </cell>
        </row>
        <row r="568">
          <cell r="F568" t="str">
            <v>소프트웨어 개발자사이트 (무선)</v>
          </cell>
        </row>
        <row r="569">
          <cell r="F569" t="str">
            <v>AnySVC mobile (무선)</v>
          </cell>
        </row>
        <row r="570">
          <cell r="F570" t="str">
            <v>Samsung Funclub (무선)</v>
          </cell>
        </row>
        <row r="571">
          <cell r="F571" t="str">
            <v>S/W 개발 Infra 시스템 (무선)</v>
          </cell>
        </row>
        <row r="572">
          <cell r="F572" t="str">
            <v>SSCM (무선)</v>
          </cell>
        </row>
        <row r="573">
          <cell r="F573" t="str">
            <v>SFC (무선) - Korea mobile</v>
          </cell>
        </row>
        <row r="574">
          <cell r="F574" t="str">
            <v>과제관리시스템 (통신연)</v>
          </cell>
        </row>
        <row r="575">
          <cell r="F575" t="str">
            <v>PMS (통신연)</v>
          </cell>
        </row>
        <row r="576">
          <cell r="F576" t="str">
            <v>삼성 4G 포럼 (통신연)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국가 사이트 (SEO) - Uzbekistan</v>
          </cell>
        </row>
        <row r="587">
          <cell r="F587" t="str">
            <v>국가 사이트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현지 Local 결산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국가 사이트 (SER) - Russia</v>
          </cell>
        </row>
        <row r="598">
          <cell r="F598" t="str">
            <v>러시아 연구소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국가 사이트 (SEU) - Estonia</v>
          </cell>
        </row>
        <row r="619">
          <cell r="F619" t="str">
            <v>SFC (SEU) - Ukraine</v>
          </cell>
        </row>
        <row r="620">
          <cell r="F620" t="str">
            <v>국가 사이트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국가 사이트 (SEU) - Ukraine</v>
          </cell>
        </row>
        <row r="624">
          <cell r="F624" t="str">
            <v>국가 사이트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국가 사이트 (SEAG) - Austria</v>
          </cell>
        </row>
        <row r="632">
          <cell r="F632" t="str">
            <v>국가 사이트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네델란드어</v>
          </cell>
        </row>
        <row r="641">
          <cell r="F641" t="str">
            <v>국가 사이트 (SEBN) - Netherlands</v>
          </cell>
        </row>
        <row r="642">
          <cell r="F642" t="str">
            <v>GSBN (SEBN) - 프랑스어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국가 사이트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법인 현지 경영관리</v>
          </cell>
        </row>
        <row r="649">
          <cell r="F649" t="str">
            <v>SIMS (SEF)</v>
          </cell>
        </row>
        <row r="650">
          <cell r="F650" t="str">
            <v>인사시스템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국가 사이트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관리시스템 (SEG)</v>
          </cell>
        </row>
        <row r="662">
          <cell r="F662" t="str">
            <v>Marketing Manager (SEG) - IT 제품군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국가 사이트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국가 사이트 (SEH) - Czech</v>
          </cell>
        </row>
        <row r="678">
          <cell r="F678" t="str">
            <v>무선제품 마케팅 (SEH)</v>
          </cell>
        </row>
        <row r="679">
          <cell r="F679" t="str">
            <v>국가 사이트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svc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인사시스템 (SEI)</v>
          </cell>
        </row>
        <row r="690">
          <cell r="F690" t="str">
            <v>B grade shop system (SEI) - 법인 등외급 판매</v>
          </cell>
        </row>
        <row r="691">
          <cell r="F691" t="str">
            <v>Samsung Mobile World (SEI)</v>
          </cell>
        </row>
        <row r="692">
          <cell r="F692" t="str">
            <v>국가 사이트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국가 사이트 (SENA) - Finland</v>
          </cell>
        </row>
        <row r="707">
          <cell r="F707" t="str">
            <v>국가 사이트 (SENA) - Sweden</v>
          </cell>
        </row>
        <row r="708">
          <cell r="F708" t="str">
            <v>SKP (SENA)</v>
          </cell>
        </row>
        <row r="709">
          <cell r="F709" t="str">
            <v>국가 사이트 (SENA) - Norway</v>
          </cell>
        </row>
        <row r="710">
          <cell r="F710" t="str">
            <v>국가 사이트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인사시스템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국가 사이트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국가 사이트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인사시스템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국가 사이트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영국 제품마케팅 (SEUK)</v>
          </cell>
        </row>
        <row r="754">
          <cell r="F754" t="str">
            <v>SISO-Net (SEUK)</v>
          </cell>
        </row>
        <row r="755">
          <cell r="F755" t="str">
            <v>국가 사이트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삼성반도체 유럽 웹사이트 (SSEG)</v>
          </cell>
        </row>
        <row r="764">
          <cell r="F764" t="str">
            <v>마케팅 (SSEG)</v>
          </cell>
        </row>
        <row r="765">
          <cell r="F765" t="str">
            <v>국가 사이트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(구주)</v>
          </cell>
        </row>
        <row r="771">
          <cell r="F771" t="str">
            <v>SISO (구주) - Sell-in Sell-out SYSTEM</v>
          </cell>
        </row>
        <row r="772">
          <cell r="F772" t="str">
            <v>CRM-CM (구주)</v>
          </cell>
        </row>
        <row r="773">
          <cell r="F773" t="str">
            <v>CRM-CIC (구주)</v>
          </cell>
        </row>
        <row r="774">
          <cell r="F774" t="str">
            <v>MCS (구주) - Merchandising Control System</v>
          </cell>
        </row>
        <row r="775">
          <cell r="F775" t="str">
            <v>RDW (구주) - Regional Data Warehouse</v>
          </cell>
        </row>
        <row r="776">
          <cell r="F776" t="str">
            <v>SIMS (구주)</v>
          </cell>
        </row>
        <row r="777">
          <cell r="F777" t="str">
            <v>eOffice (구주)</v>
          </cell>
        </row>
        <row r="778">
          <cell r="F778" t="str">
            <v>e-Office (구주)</v>
          </cell>
        </row>
        <row r="779">
          <cell r="F779" t="str">
            <v>STLS (구주)</v>
          </cell>
        </row>
        <row r="780">
          <cell r="F780" t="str">
            <v>STLS (구주) - 반도체</v>
          </cell>
        </row>
        <row r="781">
          <cell r="F781" t="str">
            <v>SFC (구주) - Greece</v>
          </cell>
        </row>
        <row r="782">
          <cell r="F782" t="str">
            <v>www.samsungpc.com (구주)</v>
          </cell>
        </row>
        <row r="783">
          <cell r="F783" t="str">
            <v>www.samsungsolutions.net (구주)</v>
          </cell>
        </row>
        <row r="784">
          <cell r="F784" t="str">
            <v>ESM포탈 (구주)</v>
          </cell>
        </row>
        <row r="785">
          <cell r="F785" t="str">
            <v>service (구주)</v>
          </cell>
        </row>
        <row r="786">
          <cell r="F786" t="str">
            <v>총괄 웹사이트 (구주)</v>
          </cell>
        </row>
        <row r="787">
          <cell r="F787" t="str">
            <v>SKP (구주)</v>
          </cell>
        </row>
        <row r="788">
          <cell r="F788" t="str">
            <v>Floor Salesman Training (구주)</v>
          </cell>
        </row>
        <row r="789">
          <cell r="F789" t="str">
            <v>SFC (구주)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구매 B2B 협업</v>
          </cell>
        </row>
        <row r="795">
          <cell r="F795" t="str">
            <v>COPS (SAPL) - 구매 현황 조회 프로그램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입찰 정보 관리</v>
          </cell>
        </row>
        <row r="799">
          <cell r="F799" t="str">
            <v>e-Expat (SAPL) - 역내 주재원 정보 관리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국가 사이트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국가 사이트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국가 사이트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국가 사이트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물류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인사시스템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국가 사이트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국가 사이트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국가 사이트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인사시스템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국가 사이트 (TSE) - Thailand</v>
          </cell>
        </row>
        <row r="877">
          <cell r="F877" t="str">
            <v>APS-DF (동남아)</v>
          </cell>
        </row>
        <row r="878">
          <cell r="F878" t="str">
            <v>APS-DF (동남아)</v>
          </cell>
        </row>
        <row r="879">
          <cell r="F879" t="str">
            <v>CRM-CIC (동남아)</v>
          </cell>
        </row>
        <row r="880">
          <cell r="F880" t="str">
            <v>MCS (SAPL) - Merchandising Control System</v>
          </cell>
        </row>
        <row r="881">
          <cell r="F881" t="str">
            <v>MI Sense (동남아) - Marketing Intelligence Sense</v>
          </cell>
        </row>
        <row r="882">
          <cell r="F882" t="str">
            <v>CRM-CM (동남아)</v>
          </cell>
        </row>
        <row r="883">
          <cell r="F883" t="str">
            <v>MCS (동남아) - Merchandising Control System</v>
          </cell>
        </row>
        <row r="884">
          <cell r="F884" t="str">
            <v>IALI (동남아)</v>
          </cell>
        </row>
        <row r="885">
          <cell r="F885" t="str">
            <v>RDW (동남아) - Regional Data Warehouse</v>
          </cell>
        </row>
        <row r="886">
          <cell r="F886" t="str">
            <v>SIMS (동남아)</v>
          </cell>
        </row>
        <row r="887">
          <cell r="F887" t="str">
            <v>GPMS (동남아)</v>
          </cell>
        </row>
        <row r="888">
          <cell r="F888" t="str">
            <v>e-Office (동남아)</v>
          </cell>
        </row>
        <row r="889">
          <cell r="F889" t="str">
            <v>FEMS (SAPL) - Foreign Exchange Management System</v>
          </cell>
        </row>
        <row r="890">
          <cell r="F890" t="str">
            <v>e-Contract (동남아)</v>
          </cell>
        </row>
        <row r="891">
          <cell r="F891" t="str">
            <v>STLS (동남아) - Asia</v>
          </cell>
        </row>
        <row r="892">
          <cell r="F892" t="str">
            <v>GSPN 구축 프로젝트(동남아 총괄)</v>
          </cell>
        </row>
        <row r="893">
          <cell r="F893" t="str">
            <v>PR Portal (동남아)</v>
          </cell>
        </row>
        <row r="894">
          <cell r="F894" t="str">
            <v>SFC (동남아) - Asia</v>
          </cell>
        </row>
        <row r="895">
          <cell r="F895" t="str">
            <v>Local M-net (동남아)</v>
          </cell>
        </row>
        <row r="896">
          <cell r="F896" t="str">
            <v>Asia Service Bridge Page (동남아)</v>
          </cell>
        </row>
        <row r="897">
          <cell r="F897" t="str">
            <v>Product Marketing (동남아)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결재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결재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구축 프로젝트(북미 총괄)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결재</v>
          </cell>
        </row>
        <row r="923">
          <cell r="F923" t="str">
            <v>Zesati (SEA) - Web-based 결재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A/R collection system</v>
          </cell>
        </row>
        <row r="927">
          <cell r="F927" t="str">
            <v>인사시스템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회원제 사이트 (SEA) - ditd.samsungusa.com</v>
          </cell>
        </row>
        <row r="931">
          <cell r="F931" t="str">
            <v>포시즌 마케팅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회원제 사이트 (SEA) - bcsd.samsungusa.com</v>
          </cell>
        </row>
        <row r="936">
          <cell r="F936" t="str">
            <v>B2B, 회원제 사이트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결재</v>
          </cell>
        </row>
        <row r="941">
          <cell r="F941" t="str">
            <v>SIMS (SECA)</v>
          </cell>
        </row>
        <row r="942">
          <cell r="F942" t="str">
            <v>무선 서비스 수리 및 Return 관리 Web System (SECA)</v>
          </cell>
        </row>
        <row r="943">
          <cell r="F943" t="str">
            <v>thesamsungway.ca (SECA)</v>
          </cell>
        </row>
        <row r="944">
          <cell r="F944" t="str">
            <v>Wireless RMA 시스템 (SECA)</v>
          </cell>
        </row>
        <row r="945">
          <cell r="F945" t="str">
            <v>국가 사이트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결재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국가 사이트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결재</v>
          </cell>
        </row>
        <row r="969">
          <cell r="F969" t="str">
            <v>인사시스템 (SISA) - PDSS</v>
          </cell>
        </row>
        <row r="970">
          <cell r="F970" t="str">
            <v>SISA 홍보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결재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시스템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인사시스템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무선단말기 필수키 관리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서비스관리 북미 STA (STA)</v>
          </cell>
        </row>
        <row r="1031">
          <cell r="F1031" t="str">
            <v>APS-DF (북미)</v>
          </cell>
        </row>
        <row r="1032">
          <cell r="F1032" t="str">
            <v>GSCM (북미 )</v>
          </cell>
        </row>
        <row r="1033">
          <cell r="F1033" t="str">
            <v>CRM-CIC (북미)</v>
          </cell>
        </row>
        <row r="1034">
          <cell r="F1034" t="str">
            <v>Field marketing Dash Board (북미)</v>
          </cell>
        </row>
        <row r="1035">
          <cell r="F1035" t="str">
            <v>CRM-CM (북미)</v>
          </cell>
        </row>
        <row r="1036">
          <cell r="F1036" t="str">
            <v>e-Commerce (북미)</v>
          </cell>
        </row>
        <row r="1037">
          <cell r="F1037" t="str">
            <v>e-Commerce (북미)</v>
          </cell>
        </row>
        <row r="1038">
          <cell r="F1038" t="str">
            <v>SAP SVC (북미)</v>
          </cell>
        </row>
        <row r="1039">
          <cell r="F1039" t="str">
            <v>미국 삼성전자 국가사이트 Promotion 관리 (북미)</v>
          </cell>
        </row>
        <row r="1040">
          <cell r="F1040" t="str">
            <v>RDW (북미) - SEA, SECA, ADC, SEM</v>
          </cell>
        </row>
        <row r="1041">
          <cell r="F1041" t="str">
            <v>President e-Dash Board (북미)</v>
          </cell>
        </row>
        <row r="1042">
          <cell r="F1042" t="str">
            <v>RDW (북미) - Regional Data Warehouse</v>
          </cell>
        </row>
        <row r="1043">
          <cell r="F1043" t="str">
            <v>e-Dash Board (북미)</v>
          </cell>
        </row>
        <row r="1044">
          <cell r="F1044" t="str">
            <v>ASBW (북미) - America Service Biz Warehouse</v>
          </cell>
        </row>
        <row r="1045">
          <cell r="F1045" t="str">
            <v>상황판 (북미) - ADC</v>
          </cell>
        </row>
        <row r="1046">
          <cell r="F1046" t="str">
            <v>e-Contract (북미)</v>
          </cell>
        </row>
        <row r="1047">
          <cell r="F1047" t="str">
            <v>Zesati (북미) - Web-based 결재</v>
          </cell>
        </row>
        <row r="1048">
          <cell r="F1048" t="str">
            <v>SIMS (북미)</v>
          </cell>
        </row>
        <row r="1049">
          <cell r="F1049" t="str">
            <v>KM (북미)</v>
          </cell>
        </row>
        <row r="1050">
          <cell r="F1050" t="str">
            <v>e-Office (북미)</v>
          </cell>
        </row>
        <row r="1051">
          <cell r="F1051" t="str">
            <v>Risk Management (북미)</v>
          </cell>
        </row>
        <row r="1052">
          <cell r="F1052" t="str">
            <v>GPMS (북미)</v>
          </cell>
        </row>
        <row r="1053">
          <cell r="F1053" t="str">
            <v>eMBO (북미)</v>
          </cell>
        </row>
        <row r="1054">
          <cell r="F1054" t="str">
            <v>GSPN (북미)</v>
          </cell>
        </row>
        <row r="1055">
          <cell r="F1055" t="str">
            <v>국가 사이트 (북미) - USA</v>
          </cell>
        </row>
        <row r="1056">
          <cell r="F1056" t="str">
            <v>GSBN (북미)</v>
          </cell>
        </row>
        <row r="1057">
          <cell r="F1057" t="str">
            <v>Employee Sales (북미) - Internal, Partner</v>
          </cell>
        </row>
        <row r="1058">
          <cell r="F1058" t="str">
            <v>SKP (북미)</v>
          </cell>
        </row>
        <row r="1059">
          <cell r="F1059" t="str">
            <v>STLS (미주)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국가 사이트 (SIEL) - India</v>
          </cell>
        </row>
        <row r="1076">
          <cell r="F1076" t="str">
            <v>NotePC 웹사이트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웹사이트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(서남아)</v>
          </cell>
        </row>
        <row r="1086">
          <cell r="F1086" t="str">
            <v>CRM-CIC (서남아)</v>
          </cell>
        </row>
        <row r="1087">
          <cell r="F1087" t="str">
            <v>SPDM (서남아) - SISO</v>
          </cell>
        </row>
        <row r="1088">
          <cell r="F1088" t="str">
            <v>RDW (서남아) - Regional Data Warehouse</v>
          </cell>
        </row>
        <row r="1089">
          <cell r="F1089" t="str">
            <v>SIMS (서남아)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진단대책시스템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인사</v>
          </cell>
        </row>
        <row r="1101">
          <cell r="F1101" t="str">
            <v>PDSS GHR (SJC) - 인사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국가 사이트 (SJC) - Japan</v>
          </cell>
        </row>
        <row r="1105">
          <cell r="F1105" t="str">
            <v>B2B (SJC) - 제품 전시관련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장봉행 (SJC) - 구매관리</v>
          </cell>
        </row>
        <row r="1109">
          <cell r="F1109" t="str">
            <v>CYBOZU (SJC) - 사내 Groupware</v>
          </cell>
        </row>
        <row r="1110">
          <cell r="F1110" t="str">
            <v>감정봉행 (SJC) - 회계</v>
          </cell>
        </row>
        <row r="1111">
          <cell r="F1111" t="str">
            <v>상각봉행 (SJC) - 자산관리</v>
          </cell>
        </row>
        <row r="1112">
          <cell r="F1112" t="str">
            <v>EMASS (SJC) - e-mail 사내 체크</v>
          </cell>
        </row>
        <row r="1113">
          <cell r="F1113" t="str">
            <v>CVOC (CS팀)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제조현장관리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HongKongB2B (SEHK)</v>
          </cell>
        </row>
        <row r="1131">
          <cell r="F1131" t="str">
            <v>국가 사이트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</v>
          </cell>
        </row>
        <row r="1146">
          <cell r="F1146" t="str">
            <v>GAMMA (SESS) - 반도체 수율 관리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공정 관리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국가 사이트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(중국)</v>
          </cell>
        </row>
        <row r="1213">
          <cell r="F1213" t="str">
            <v>CMAS (중국) - 가격/판매 분석</v>
          </cell>
        </row>
        <row r="1214">
          <cell r="F1214" t="str">
            <v>MCS (중국) - Merchandising Control System</v>
          </cell>
        </row>
        <row r="1215">
          <cell r="F1215" t="str">
            <v>RMS (중국) - SBSC 반품관리</v>
          </cell>
        </row>
        <row r="1216">
          <cell r="F1216" t="str">
            <v>CRM-CM (중국)</v>
          </cell>
        </row>
        <row r="1217">
          <cell r="F1217" t="str">
            <v>SAP SVC (중국) - SBSC</v>
          </cell>
        </row>
        <row r="1218">
          <cell r="F1218" t="str">
            <v>SAP (중국) - SCIC</v>
          </cell>
        </row>
        <row r="1219">
          <cell r="F1219" t="str">
            <v>RDW (중국) - Regional Data Warehouse</v>
          </cell>
        </row>
        <row r="1220">
          <cell r="F1220" t="str">
            <v>SIMS (중국) - SBSC</v>
          </cell>
        </row>
        <row r="1221">
          <cell r="F1221" t="str">
            <v>SIMS (중국) - SCIC</v>
          </cell>
        </row>
        <row r="1222">
          <cell r="F1222" t="str">
            <v>SIMS (중국)</v>
          </cell>
        </row>
        <row r="1223">
          <cell r="F1223" t="str">
            <v>e-Office (중국)</v>
          </cell>
        </row>
        <row r="1224">
          <cell r="F1224" t="str">
            <v>GSBN (중국)</v>
          </cell>
        </row>
        <row r="1225">
          <cell r="F1225" t="str">
            <v>LMS (중국) - 신제품런칭관리</v>
          </cell>
        </row>
        <row r="1226">
          <cell r="F1226" t="str">
            <v>Samsung Monitor Partner Relationshipe Website (중국)</v>
          </cell>
        </row>
        <row r="1227">
          <cell r="F1227" t="str">
            <v>Samsung MP3 (중국)</v>
          </cell>
        </row>
        <row r="1228">
          <cell r="F1228" t="str">
            <v>Samsung notebook dealer website (중국)</v>
          </cell>
        </row>
        <row r="1229">
          <cell r="F1229" t="str">
            <v>Samsung Online Magazine (중국)</v>
          </cell>
        </row>
        <row r="1230">
          <cell r="F1230" t="str">
            <v>Samsung Online Marketing Analysis System (중국)</v>
          </cell>
        </row>
        <row r="1231">
          <cell r="F1231" t="str">
            <v>Samsung Printer (중국)</v>
          </cell>
        </row>
        <row r="1232">
          <cell r="F1232" t="str">
            <v>SFC (중국)</v>
          </cell>
        </row>
        <row r="1233">
          <cell r="F1233" t="str">
            <v>Samsung Family (중국)</v>
          </cell>
        </row>
        <row r="1234">
          <cell r="F1234" t="str">
            <v>Samsung E-Marketing (중국)</v>
          </cell>
        </row>
        <row r="1235">
          <cell r="F1235" t="str">
            <v>Samsung Electronics Service Center (중국)</v>
          </cell>
        </row>
        <row r="1236">
          <cell r="F1236" t="str">
            <v>Samsung Digitalman (중국)</v>
          </cell>
        </row>
        <row r="1237">
          <cell r="F1237" t="str">
            <v>Samsung Club (중국)</v>
          </cell>
        </row>
        <row r="1238">
          <cell r="F1238" t="str">
            <v>Samsung Shopping Mall (중국)</v>
          </cell>
        </row>
        <row r="1239">
          <cell r="F1239" t="str">
            <v>Samsung Sales Promotion web site (중국)</v>
          </cell>
        </row>
        <row r="1240">
          <cell r="F1240" t="str">
            <v>China Samsung (중국)</v>
          </cell>
        </row>
        <row r="1241">
          <cell r="F1241" t="str">
            <v>China Monitor Website (중국)</v>
          </cell>
        </row>
        <row r="1242">
          <cell r="F1242" t="str">
            <v>CCTV (중국)</v>
          </cell>
        </row>
        <row r="1243">
          <cell r="F1243" t="str">
            <v>MCS (중국) - Merchandising Control System_OLD</v>
          </cell>
        </row>
        <row r="1244">
          <cell r="F1244" t="str">
            <v>a3s (중국)</v>
          </cell>
        </row>
        <row r="1245">
          <cell r="F1245" t="str">
            <v>GSPN (중국)</v>
          </cell>
        </row>
        <row r="1246">
          <cell r="F1246" t="str">
            <v>GSBN (SESY)</v>
          </cell>
        </row>
        <row r="1247">
          <cell r="F1247" t="str">
            <v>국가 사이트 (중국) - Chi</v>
          </cell>
        </row>
        <row r="1248">
          <cell r="F1248" t="str">
            <v>중국본사 채용사이트 (중국)</v>
          </cell>
        </row>
        <row r="1249">
          <cell r="F1249" t="str">
            <v>반도체 웹사이트 (중국)</v>
          </cell>
        </row>
        <row r="1250">
          <cell r="F1250" t="str">
            <v>www.iro.samsung.com (중국)</v>
          </cell>
        </row>
        <row r="1251">
          <cell r="F1251" t="str">
            <v>YEPP Suppoters Website (중국)</v>
          </cell>
        </row>
        <row r="1252">
          <cell r="F1252" t="str">
            <v>STS (중국)</v>
          </cell>
        </row>
        <row r="1253">
          <cell r="F1253" t="str">
            <v>STLS (중국)</v>
          </cell>
        </row>
        <row r="1254">
          <cell r="F1254" t="str">
            <v>LCD 웹사이트 (중국)</v>
          </cell>
        </row>
        <row r="1255">
          <cell r="F1255" t="str">
            <v>SIS (중국) - SAMSUNG Internet Service</v>
          </cell>
        </row>
        <row r="1256">
          <cell r="F1256" t="str">
            <v>Printer Website (중국)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국가 사이트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국가 사이트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제조현장관리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국가 사이트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국가 사이트 (SELA) - Panama</v>
          </cell>
        </row>
        <row r="1304">
          <cell r="F1304" t="str">
            <v>APS-DF (중남미)</v>
          </cell>
        </row>
        <row r="1305">
          <cell r="F1305" t="str">
            <v>CRM-CM (중남미)</v>
          </cell>
        </row>
        <row r="1306">
          <cell r="F1306" t="str">
            <v>MCS (중남미) - Merchandising Control System</v>
          </cell>
        </row>
        <row r="1307">
          <cell r="F1307" t="str">
            <v>CRM-CIC (중남미)</v>
          </cell>
        </row>
        <row r="1308">
          <cell r="F1308" t="str">
            <v>SAP (중남미) - SEASA</v>
          </cell>
        </row>
        <row r="1309">
          <cell r="F1309" t="str">
            <v>RDW (중남미) - Regional Data Warehouse</v>
          </cell>
        </row>
        <row r="1310">
          <cell r="F1310" t="str">
            <v>RSDW (SEDA)</v>
          </cell>
        </row>
        <row r="1311">
          <cell r="F1311" t="str">
            <v>RSDW (중남미)</v>
          </cell>
        </row>
        <row r="1312">
          <cell r="F1312" t="str">
            <v>SIMS (중남미)</v>
          </cell>
        </row>
        <row r="1313">
          <cell r="F1313" t="str">
            <v>e-Office (중남미)</v>
          </cell>
        </row>
        <row r="1314">
          <cell r="F1314" t="str">
            <v>Local M-Net (SEDA)</v>
          </cell>
        </row>
        <row r="1315">
          <cell r="F1315" t="str">
            <v>Local M-net (중남미)</v>
          </cell>
        </row>
        <row r="1316">
          <cell r="F1316" t="str">
            <v>Club Samsung Per？ (중남미)</v>
          </cell>
        </row>
        <row r="1317">
          <cell r="F1317" t="str">
            <v>국가 사이트 (중남미) - Peru</v>
          </cell>
        </row>
        <row r="1318">
          <cell r="F1318" t="str">
            <v>SamsungNet (중남미)</v>
          </cell>
        </row>
        <row r="1319">
          <cell r="F1319" t="str">
            <v>국가 사이트 (중남미) - Argentina</v>
          </cell>
        </row>
        <row r="1320">
          <cell r="F1320" t="str">
            <v>TDIS (GCS) - Training &amp; Distributor Information Sy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반품관리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국가 사이트 (SSA) - South Africa</v>
          </cell>
        </row>
        <row r="1338">
          <cell r="F1338" t="str">
            <v>SKP (SSA)</v>
          </cell>
        </row>
        <row r="1339">
          <cell r="F1339" t="str">
            <v>MCS (중아) - Merchandising Control System</v>
          </cell>
        </row>
        <row r="1340">
          <cell r="F1340" t="str">
            <v>CRM-CM (중아)</v>
          </cell>
        </row>
        <row r="1341">
          <cell r="F1341" t="str">
            <v>RDW (중아) - Regional Data Warehouse</v>
          </cell>
        </row>
        <row r="1342">
          <cell r="F1342" t="str">
            <v>SIMS (중아)</v>
          </cell>
        </row>
        <row r="1343">
          <cell r="F1343" t="str">
            <v>e-Office (중아)</v>
          </cell>
        </row>
        <row r="1344">
          <cell r="F1344" t="str">
            <v>SFC (중아) - Turkey</v>
          </cell>
        </row>
        <row r="1345">
          <cell r="F1345" t="str">
            <v>국가 사이트 (중아) - Turkey</v>
          </cell>
        </row>
        <row r="1346">
          <cell r="F1346" t="str">
            <v>SFC (중아) - MEA &amp; Africa</v>
          </cell>
        </row>
        <row r="1347">
          <cell r="F1347" t="str">
            <v>국가 사이트 (중아) - Iran</v>
          </cell>
        </row>
        <row r="1348">
          <cell r="F1348" t="str">
            <v>총괄 웹사이트 (중아)</v>
          </cell>
        </row>
        <row r="1349">
          <cell r="F1349" t="str">
            <v>GSPN (중아)</v>
          </cell>
        </row>
        <row r="1350">
          <cell r="F1350" t="str">
            <v>국가 사이트 (중아) - UAE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43"/>
      <sheetName val="44-53"/>
      <sheetName val="54-61"/>
      <sheetName val="62"/>
      <sheetName val="63-66"/>
      <sheetName val="67-70"/>
      <sheetName val="71-73"/>
      <sheetName val="74-76"/>
      <sheetName val="77-79"/>
      <sheetName val="1-3. Reference_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1)"/>
      <sheetName val="1-2.Form_IF layout(2)"/>
      <sheetName val="1-2.Form_IF layout(3)"/>
      <sheetName val="1-2.Form_IF layout(4)"/>
      <sheetName val="1-2.Form_IF layout(4R)"/>
      <sheetName val="1-3. Reference_Appli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Document Meth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eSheet"/>
      <sheetName val="Sheet3"/>
    </sheetNames>
    <sheetDataSet>
      <sheetData sheetId="0" refreshError="1"/>
      <sheetData sheetId="1">
        <row r="1">
          <cell r="A1" t="str">
            <v>1|신규</v>
          </cell>
          <cell r="H1" t="str">
            <v>admin|Administrator</v>
          </cell>
          <cell r="I1" t="str">
            <v>1|기능</v>
          </cell>
          <cell r="J1" t="str">
            <v>1|상</v>
          </cell>
          <cell r="K1" t="str">
            <v>1|상</v>
          </cell>
          <cell r="M1" t="str">
            <v>Y|Y</v>
          </cell>
          <cell r="R1" t="str">
            <v>admin|Administrator</v>
          </cell>
          <cell r="S1" t="str">
            <v>1|신규</v>
          </cell>
          <cell r="T1" t="str">
            <v>PROCESS_ANALYSIS_PJT202306281539|분석진척</v>
          </cell>
          <cell r="V1" t="str">
            <v>1|상위</v>
          </cell>
        </row>
        <row r="2">
          <cell r="A2" t="str">
            <v>2|수정</v>
          </cell>
          <cell r="H2" t="str">
            <v>ckm884|차경민</v>
          </cell>
          <cell r="I2" t="str">
            <v>2|기술</v>
          </cell>
          <cell r="J2" t="str">
            <v>2|중</v>
          </cell>
          <cell r="K2" t="str">
            <v>2|중</v>
          </cell>
          <cell r="M2" t="str">
            <v>N|N</v>
          </cell>
          <cell r="R2" t="str">
            <v>ckm884|차경민</v>
          </cell>
          <cell r="S2" t="str">
            <v>3|삭제</v>
          </cell>
          <cell r="T2" t="str">
            <v>PROCESS_DESIGN_PJT202306281539|설계진척</v>
          </cell>
          <cell r="V2" t="str">
            <v>4|하위</v>
          </cell>
        </row>
        <row r="3">
          <cell r="A3" t="str">
            <v>3|삭제</v>
          </cell>
          <cell r="H3" t="str">
            <v>daeil.an|안대일</v>
          </cell>
          <cell r="I3" t="str">
            <v>3|비기능</v>
          </cell>
          <cell r="J3" t="str">
            <v>3|하</v>
          </cell>
          <cell r="K3" t="str">
            <v>3|하</v>
          </cell>
          <cell r="R3" t="str">
            <v>daeil.an|안대일</v>
          </cell>
          <cell r="S3" t="str">
            <v>4|유지</v>
          </cell>
        </row>
        <row r="4">
          <cell r="A4" t="str">
            <v>4|유지</v>
          </cell>
          <cell r="H4" t="str">
            <v>daeuk.choi|최대욱</v>
          </cell>
          <cell r="R4" t="str">
            <v>daeuk.choi|최대욱</v>
          </cell>
        </row>
        <row r="5">
          <cell r="H5" t="str">
            <v>dmkim.kim|김동명</v>
          </cell>
          <cell r="R5" t="str">
            <v>dmkim.kim|김동명</v>
          </cell>
        </row>
        <row r="6">
          <cell r="H6" t="str">
            <v>donghan.kwon|권동한</v>
          </cell>
          <cell r="R6" t="str">
            <v>donghan.kwon|권동한</v>
          </cell>
        </row>
        <row r="7">
          <cell r="H7" t="str">
            <v>ishwang1565|황인선</v>
          </cell>
          <cell r="R7" t="str">
            <v>ishwang1565|황인선</v>
          </cell>
        </row>
        <row r="8">
          <cell r="H8" t="str">
            <v>kismet1223|이경태</v>
          </cell>
          <cell r="R8" t="str">
            <v>kismet1223|이경태</v>
          </cell>
        </row>
        <row r="9">
          <cell r="H9" t="str">
            <v>ROOT|Root manager</v>
          </cell>
          <cell r="R9" t="str">
            <v>ROOT|Root manager</v>
          </cell>
        </row>
        <row r="10">
          <cell r="H10" t="str">
            <v>youngjun1.lim|임영준</v>
          </cell>
          <cell r="R10" t="str">
            <v>youngjun1.lim|임영준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목록(양식)"/>
      <sheetName val="인터페이스목록(샘플)"/>
      <sheetName val="대상시스템(NON-ERP)"/>
      <sheetName val="대상시스템(ERP)"/>
      <sheetName val="참조_정보분류"/>
      <sheetName val="조직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  <sheetData sheetId="8">
        <row r="3">
          <cell r="D3" t="str">
            <v>리빙프라자</v>
          </cell>
        </row>
        <row r="4">
          <cell r="D4" t="str">
            <v>세크론</v>
          </cell>
        </row>
        <row r="5">
          <cell r="D5" t="str">
            <v>로지텍</v>
          </cell>
        </row>
        <row r="6">
          <cell r="D6" t="str">
            <v>세메스</v>
          </cell>
        </row>
        <row r="7">
          <cell r="D7" t="str">
            <v>서울통신</v>
          </cell>
        </row>
        <row r="8">
          <cell r="D8" t="str">
            <v>광주전자</v>
          </cell>
        </row>
        <row r="9">
          <cell r="D9" t="str">
            <v>S-LCD</v>
          </cell>
        </row>
        <row r="10">
          <cell r="D10" t="str">
            <v>전자서비스</v>
          </cell>
        </row>
        <row r="11">
          <cell r="D11" t="str">
            <v>스테코</v>
          </cell>
        </row>
        <row r="12">
          <cell r="D12" t="str">
            <v>생활가전총괄지원</v>
          </cell>
        </row>
        <row r="13">
          <cell r="D13" t="str">
            <v>시스템가전사업부</v>
          </cell>
        </row>
        <row r="14">
          <cell r="D14" t="str">
            <v>세탁기사업부</v>
          </cell>
        </row>
        <row r="15">
          <cell r="D15" t="str">
            <v>전자렌지사업팀</v>
          </cell>
        </row>
        <row r="16">
          <cell r="D16" t="str">
            <v>디지털비데오</v>
          </cell>
        </row>
        <row r="17">
          <cell r="D17" t="str">
            <v>DM연구소</v>
          </cell>
        </row>
        <row r="18">
          <cell r="D18" t="str">
            <v>VD사업부</v>
          </cell>
        </row>
        <row r="19">
          <cell r="D19" t="str">
            <v>DM총괄지원</v>
          </cell>
        </row>
        <row r="20">
          <cell r="D20" t="str">
            <v>컴퓨터시스템</v>
          </cell>
        </row>
        <row r="21">
          <cell r="D21" t="str">
            <v>디지털프린팅</v>
          </cell>
        </row>
        <row r="22">
          <cell r="D22" t="str">
            <v>STORAGE사업부</v>
          </cell>
        </row>
        <row r="23">
          <cell r="D23" t="str">
            <v>OMS운영팀</v>
          </cell>
        </row>
        <row r="24">
          <cell r="D24" t="str">
            <v>DS총괄지원</v>
          </cell>
        </row>
        <row r="25">
          <cell r="D25" t="str">
            <v>메모리사업부</v>
          </cell>
        </row>
        <row r="26">
          <cell r="D26" t="str">
            <v>S.LSI 사업부</v>
          </cell>
        </row>
        <row r="27">
          <cell r="D27" t="str">
            <v>DP센터</v>
          </cell>
        </row>
        <row r="28">
          <cell r="D28" t="str">
            <v>수원지원센터</v>
          </cell>
        </row>
        <row r="29">
          <cell r="D29" t="str">
            <v>CS경영센터</v>
          </cell>
        </row>
        <row r="30">
          <cell r="D30" t="str">
            <v>국내영업</v>
          </cell>
        </row>
        <row r="31">
          <cell r="D31" t="str">
            <v>M/D사업</v>
          </cell>
        </row>
        <row r="32">
          <cell r="D32" t="str">
            <v>종합기술원</v>
          </cell>
        </row>
        <row r="33">
          <cell r="D33" t="str">
            <v>디자인경영센터</v>
          </cell>
        </row>
        <row r="34">
          <cell r="D34" t="str">
            <v>DS센터</v>
          </cell>
        </row>
        <row r="35">
          <cell r="D35" t="str">
            <v>AM LCD</v>
          </cell>
        </row>
        <row r="36">
          <cell r="D36" t="str">
            <v>LCD총괄 지원</v>
          </cell>
        </row>
        <row r="37">
          <cell r="D37" t="str">
            <v>본사지원</v>
          </cell>
        </row>
        <row r="38">
          <cell r="D38" t="str">
            <v>해외지원</v>
          </cell>
        </row>
        <row r="39">
          <cell r="D39" t="str">
            <v>메카연구소</v>
          </cell>
        </row>
        <row r="40">
          <cell r="D40" t="str">
            <v>기술총괄지원</v>
          </cell>
        </row>
        <row r="41">
          <cell r="D41" t="str">
            <v>생명과학연구소</v>
          </cell>
        </row>
        <row r="42">
          <cell r="D42" t="str">
            <v>경영지원실</v>
          </cell>
        </row>
        <row r="43">
          <cell r="D43" t="str">
            <v>구미지원센터</v>
          </cell>
        </row>
        <row r="44">
          <cell r="D44" t="str">
            <v>통신연구소</v>
          </cell>
        </row>
        <row r="45">
          <cell r="D45" t="str">
            <v>네트웍</v>
          </cell>
        </row>
        <row r="46">
          <cell r="D46" t="str">
            <v>무선</v>
          </cell>
        </row>
        <row r="47">
          <cell r="D47" t="str">
            <v>광</v>
          </cell>
        </row>
        <row r="48">
          <cell r="D48" t="str">
            <v>SAMEX</v>
          </cell>
        </row>
        <row r="49">
          <cell r="D49" t="str">
            <v>SAS</v>
          </cell>
        </row>
        <row r="50">
          <cell r="D50" t="str">
            <v>SEA</v>
          </cell>
        </row>
        <row r="51">
          <cell r="D51" t="str">
            <v>SECA</v>
          </cell>
        </row>
        <row r="52">
          <cell r="D52" t="str">
            <v>SELAMI</v>
          </cell>
        </row>
        <row r="53">
          <cell r="D53" t="str">
            <v>SEM</v>
          </cell>
        </row>
        <row r="54">
          <cell r="D54" t="str">
            <v>SII</v>
          </cell>
        </row>
        <row r="55">
          <cell r="D55" t="str">
            <v>SISA</v>
          </cell>
        </row>
        <row r="56">
          <cell r="D56" t="str">
            <v>SRC</v>
          </cell>
        </row>
        <row r="57">
          <cell r="D57" t="str">
            <v>SSI</v>
          </cell>
        </row>
        <row r="58">
          <cell r="D58" t="str">
            <v>STA</v>
          </cell>
        </row>
        <row r="59">
          <cell r="D59" t="str">
            <v>SAMCOL</v>
          </cell>
        </row>
        <row r="60">
          <cell r="D60" t="str">
            <v>SEASA</v>
          </cell>
        </row>
        <row r="61">
          <cell r="D61" t="str">
            <v>SECH</v>
          </cell>
        </row>
        <row r="62">
          <cell r="D62" t="str">
            <v>SEDA</v>
          </cell>
        </row>
        <row r="63">
          <cell r="D63" t="str">
            <v>SELAPA</v>
          </cell>
        </row>
        <row r="64">
          <cell r="D64" t="str">
            <v>SAPL</v>
          </cell>
        </row>
        <row r="65">
          <cell r="D65" t="str">
            <v>SAVINA</v>
          </cell>
        </row>
        <row r="66">
          <cell r="D66" t="str">
            <v>SDMA</v>
          </cell>
        </row>
        <row r="67">
          <cell r="D67" t="str">
            <v>SEAU</v>
          </cell>
        </row>
        <row r="68">
          <cell r="D68" t="str">
            <v>SEIN</v>
          </cell>
        </row>
        <row r="69">
          <cell r="D69" t="str">
            <v>SEMA</v>
          </cell>
        </row>
        <row r="70">
          <cell r="D70" t="str">
            <v>SEPCO</v>
          </cell>
        </row>
        <row r="71">
          <cell r="D71" t="str">
            <v>SEPHIL</v>
          </cell>
        </row>
        <row r="72">
          <cell r="D72" t="str">
            <v>SIEL</v>
          </cell>
        </row>
        <row r="73">
          <cell r="D73" t="str">
            <v>SISO</v>
          </cell>
        </row>
        <row r="74">
          <cell r="D74" t="str">
            <v>SME</v>
          </cell>
        </row>
        <row r="75">
          <cell r="D75" t="str">
            <v>STI</v>
          </cell>
        </row>
        <row r="76">
          <cell r="D76" t="str">
            <v>STIN</v>
          </cell>
        </row>
        <row r="77">
          <cell r="D77" t="str">
            <v>TSE</v>
          </cell>
        </row>
        <row r="78">
          <cell r="D78" t="str">
            <v>SCT</v>
          </cell>
        </row>
        <row r="79">
          <cell r="D79" t="str">
            <v>SEK</v>
          </cell>
        </row>
        <row r="80">
          <cell r="D80" t="str">
            <v>SEO</v>
          </cell>
        </row>
        <row r="81">
          <cell r="D81" t="str">
            <v>SER</v>
          </cell>
        </row>
        <row r="82">
          <cell r="D82" t="str">
            <v>SERC</v>
          </cell>
        </row>
        <row r="83">
          <cell r="D83" t="str">
            <v>SEU</v>
          </cell>
        </row>
        <row r="84">
          <cell r="D84" t="str">
            <v>SRSC</v>
          </cell>
        </row>
        <row r="85">
          <cell r="D85" t="str">
            <v>BST</v>
          </cell>
        </row>
        <row r="86">
          <cell r="D86" t="str">
            <v>HSEN</v>
          </cell>
        </row>
        <row r="87">
          <cell r="D87" t="str">
            <v>SBSC</v>
          </cell>
        </row>
        <row r="88">
          <cell r="D88" t="str">
            <v>SCIC</v>
          </cell>
        </row>
        <row r="89">
          <cell r="D89" t="str">
            <v>SCRC</v>
          </cell>
        </row>
        <row r="90">
          <cell r="D90" t="str">
            <v>SEHF</v>
          </cell>
        </row>
        <row r="91">
          <cell r="D91" t="str">
            <v>SEHK</v>
          </cell>
        </row>
        <row r="92">
          <cell r="D92" t="str">
            <v>SEHZ</v>
          </cell>
        </row>
        <row r="93">
          <cell r="D93" t="str">
            <v>SESC</v>
          </cell>
        </row>
        <row r="94">
          <cell r="D94" t="str">
            <v>SESL</v>
          </cell>
        </row>
        <row r="95">
          <cell r="D95" t="str">
            <v>SESS</v>
          </cell>
        </row>
        <row r="96">
          <cell r="D96" t="str">
            <v>SET</v>
          </cell>
        </row>
        <row r="97">
          <cell r="D97" t="str">
            <v>SSCR</v>
          </cell>
        </row>
        <row r="98">
          <cell r="D98" t="str">
            <v>SSDP</v>
          </cell>
        </row>
        <row r="99">
          <cell r="D99" t="str">
            <v>SSEC</v>
          </cell>
        </row>
        <row r="100">
          <cell r="D100" t="str">
            <v>SSKMT</v>
          </cell>
        </row>
        <row r="101">
          <cell r="D101" t="str">
            <v>SSM(SBSCMC)</v>
          </cell>
        </row>
        <row r="102">
          <cell r="D102" t="str">
            <v>SSS</v>
          </cell>
        </row>
        <row r="103">
          <cell r="D103" t="str">
            <v>TSEC</v>
          </cell>
        </row>
        <row r="104">
          <cell r="D104" t="str">
            <v>TSED</v>
          </cell>
        </row>
        <row r="105">
          <cell r="D105" t="str">
            <v>TSTC</v>
          </cell>
        </row>
        <row r="106">
          <cell r="D106" t="str">
            <v>TTSEC</v>
          </cell>
        </row>
        <row r="107">
          <cell r="D107" t="str">
            <v>SGE</v>
          </cell>
        </row>
        <row r="108">
          <cell r="D108" t="str">
            <v>SSA</v>
          </cell>
        </row>
        <row r="109">
          <cell r="D109" t="str">
            <v>SEP</v>
          </cell>
        </row>
        <row r="110">
          <cell r="D110" t="str">
            <v>SEAG</v>
          </cell>
        </row>
        <row r="111">
          <cell r="D111" t="str">
            <v>SEBN</v>
          </cell>
        </row>
        <row r="112">
          <cell r="D112" t="str">
            <v>SEBN-B</v>
          </cell>
        </row>
        <row r="113">
          <cell r="D113" t="str">
            <v>SEF</v>
          </cell>
        </row>
        <row r="114">
          <cell r="D114" t="str">
            <v>SEG</v>
          </cell>
        </row>
        <row r="115">
          <cell r="D115" t="str">
            <v>SEH</v>
          </cell>
        </row>
        <row r="116">
          <cell r="D116" t="str">
            <v>SEH-CZECH</v>
          </cell>
        </row>
        <row r="117">
          <cell r="D117" t="str">
            <v>SEHG</v>
          </cell>
        </row>
        <row r="118">
          <cell r="D118" t="str">
            <v>SEI</v>
          </cell>
        </row>
        <row r="119">
          <cell r="D119" t="str">
            <v>SELS</v>
          </cell>
        </row>
        <row r="120">
          <cell r="D120" t="str">
            <v>SENA</v>
          </cell>
        </row>
        <row r="121">
          <cell r="D121" t="str">
            <v>SEPOL</v>
          </cell>
        </row>
        <row r="122">
          <cell r="D122" t="str">
            <v>SESA</v>
          </cell>
        </row>
        <row r="123">
          <cell r="D123" t="str">
            <v>SESK</v>
          </cell>
        </row>
        <row r="124">
          <cell r="D124" t="str">
            <v>SEUK</v>
          </cell>
        </row>
        <row r="125">
          <cell r="D125" t="str">
            <v>SSEG</v>
          </cell>
        </row>
        <row r="126">
          <cell r="D126" t="str">
            <v>SSEL</v>
          </cell>
        </row>
        <row r="127">
          <cell r="D127" t="str">
            <v>STBN</v>
          </cell>
        </row>
        <row r="128">
          <cell r="D128" t="str">
            <v>SJC</v>
          </cell>
        </row>
        <row r="129">
          <cell r="D129" t="str">
            <v>SYRI</v>
          </cell>
        </row>
        <row r="136">
          <cell r="C136" t="str">
            <v>경영지원</v>
          </cell>
        </row>
        <row r="137">
          <cell r="C137" t="str">
            <v>구주총괄</v>
          </cell>
        </row>
        <row r="138">
          <cell r="C138" t="str">
            <v>기술총괄</v>
          </cell>
        </row>
        <row r="139">
          <cell r="C139" t="str">
            <v>기타</v>
          </cell>
        </row>
        <row r="140">
          <cell r="C140" t="str">
            <v>디지털미디어총괄</v>
          </cell>
        </row>
        <row r="141">
          <cell r="C141" t="str">
            <v>미주총괄</v>
          </cell>
        </row>
        <row r="142">
          <cell r="C142" t="str">
            <v>반도체총괄</v>
          </cell>
        </row>
        <row r="143">
          <cell r="C143" t="str">
            <v>생활가전총괄</v>
          </cell>
        </row>
        <row r="144">
          <cell r="C144" t="str">
            <v>아주총괄</v>
          </cell>
        </row>
        <row r="145">
          <cell r="C145" t="str">
            <v>일본총괄</v>
          </cell>
        </row>
        <row r="146">
          <cell r="C146" t="str">
            <v>자회사</v>
          </cell>
        </row>
        <row r="147">
          <cell r="C147" t="str">
            <v>정보통신총괄</v>
          </cell>
        </row>
        <row r="148">
          <cell r="C148" t="str">
            <v>중국총괄</v>
          </cell>
        </row>
        <row r="149">
          <cell r="C149" t="str">
            <v>중남미총괄</v>
          </cell>
        </row>
        <row r="150">
          <cell r="C150" t="str">
            <v>중아총괄</v>
          </cell>
        </row>
        <row r="151">
          <cell r="C151" t="str">
            <v>CIS총괄</v>
          </cell>
        </row>
        <row r="152">
          <cell r="C152" t="str">
            <v>LCD 총괄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정의서(양식)"/>
      <sheetName val="인터페이스정의서 (샘플)"/>
      <sheetName val="참조_정보분류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대상시스템 현황"/>
      <sheetName val="Sheet1"/>
      <sheetName val="참조_애플리케이션"/>
    </sheetNames>
    <sheetDataSet>
      <sheetData sheetId="0" refreshError="1"/>
      <sheetData sheetId="1" refreshError="1"/>
      <sheetData sheetId="2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자구매전략운영파트_송진미"/>
      <sheetName val="참조_애플리케이션"/>
    </sheetNames>
    <sheetDataSet>
      <sheetData sheetId="0" refreshError="1"/>
      <sheetData sheetId="1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코드"/>
      <sheetName val="(작업용)As-Is 목록"/>
      <sheetName val="To-Be 목록"/>
      <sheetName val="별첨_파일변환"/>
      <sheetName val="별첨_전사정보분류"/>
      <sheetName val="별첨_시스템현황"/>
      <sheetName val="1차집계_현황"/>
      <sheetName val="1차집계_정리"/>
    </sheetNames>
    <sheetDataSet>
      <sheetData sheetId="0">
        <row r="4">
          <cell r="B4" t="str">
            <v>삭제</v>
          </cell>
          <cell r="C4" t="str">
            <v>시스템</v>
          </cell>
          <cell r="D4" t="str">
            <v>정보분류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lay_ref. no)"/>
      <sheetName val="1-3. Reference_Applications"/>
    </sheetNames>
    <sheetDataSet>
      <sheetData sheetId="0" refreshError="1"/>
      <sheetData sheetId="1" refreshError="1"/>
      <sheetData sheetId="2" refreshError="1"/>
      <sheetData sheetId="3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6"/>
  <sheetViews>
    <sheetView showGridLines="0" tabSelected="1" view="pageBreakPreview" zoomScale="90" zoomScaleNormal="100" zoomScaleSheetLayoutView="90" workbookViewId="0">
      <selection activeCell="L10" sqref="L10"/>
    </sheetView>
  </sheetViews>
  <sheetFormatPr defaultRowHeight="17.399999999999999" x14ac:dyDescent="0.4"/>
  <cols>
    <col min="1" max="1" width="4.296875" customWidth="1"/>
    <col min="13" max="13" width="7.19921875" customWidth="1"/>
    <col min="14" max="14" width="5.296875" customWidth="1"/>
  </cols>
  <sheetData>
    <row r="26" ht="21" customHeight="1" x14ac:dyDescent="0.4"/>
  </sheetData>
  <phoneticPr fontId="1" type="noConversion"/>
  <pageMargins left="0.7" right="0.7" top="0.75" bottom="0.75" header="0.3" footer="0.3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showGridLines="0" zoomScaleNormal="100" zoomScaleSheetLayoutView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21" sqref="H21"/>
    </sheetView>
  </sheetViews>
  <sheetFormatPr defaultRowHeight="17.399999999999999" x14ac:dyDescent="0.4"/>
  <cols>
    <col min="1" max="1" width="3" customWidth="1"/>
    <col min="3" max="3" width="12.296875" customWidth="1"/>
    <col min="4" max="4" width="43.8984375" customWidth="1"/>
    <col min="5" max="5" width="14.19921875" customWidth="1"/>
    <col min="6" max="6" width="3.69921875" customWidth="1"/>
  </cols>
  <sheetData>
    <row r="2" spans="2:5" ht="19.2" x14ac:dyDescent="0.4">
      <c r="B2" s="19" t="s">
        <v>9</v>
      </c>
      <c r="C2" s="19"/>
      <c r="D2" s="19"/>
      <c r="E2" s="19"/>
    </row>
    <row r="3" spans="2:5" ht="19.2" x14ac:dyDescent="0.25">
      <c r="B3" s="19" t="s">
        <v>8</v>
      </c>
      <c r="C3" s="19"/>
      <c r="D3" s="20"/>
      <c r="E3" s="20"/>
    </row>
    <row r="4" spans="2:5" ht="19.2" x14ac:dyDescent="0.4">
      <c r="B4" s="7" t="s">
        <v>1</v>
      </c>
      <c r="C4" s="7" t="s">
        <v>3</v>
      </c>
      <c r="D4" s="7" t="s">
        <v>4</v>
      </c>
      <c r="E4" s="7" t="s">
        <v>5</v>
      </c>
    </row>
    <row r="5" spans="2:5" x14ac:dyDescent="0.4">
      <c r="B5" s="3" t="s">
        <v>0</v>
      </c>
      <c r="C5" s="2" t="s">
        <v>6</v>
      </c>
      <c r="D5" s="2"/>
      <c r="E5" s="17" t="s">
        <v>7</v>
      </c>
    </row>
    <row r="6" spans="2:5" x14ac:dyDescent="0.4">
      <c r="B6" s="3"/>
      <c r="C6" s="4"/>
      <c r="D6" s="2"/>
      <c r="E6" s="1"/>
    </row>
    <row r="7" spans="2:5" x14ac:dyDescent="0.4">
      <c r="B7" s="3"/>
      <c r="C7" s="4"/>
      <c r="D7" s="2"/>
      <c r="E7" s="1"/>
    </row>
    <row r="8" spans="2:5" x14ac:dyDescent="0.4">
      <c r="B8" s="3"/>
      <c r="C8" s="4"/>
      <c r="D8" s="5"/>
      <c r="E8" s="1"/>
    </row>
    <row r="9" spans="2:5" x14ac:dyDescent="0.4">
      <c r="B9" s="3"/>
      <c r="C9" s="4"/>
      <c r="D9" s="5"/>
      <c r="E9" s="1"/>
    </row>
    <row r="10" spans="2:5" x14ac:dyDescent="0.4">
      <c r="B10" s="3"/>
      <c r="C10" s="4"/>
      <c r="D10" s="5"/>
      <c r="E10" s="1"/>
    </row>
    <row r="11" spans="2:5" x14ac:dyDescent="0.4">
      <c r="B11" s="3"/>
      <c r="C11" s="4"/>
      <c r="D11" s="5"/>
      <c r="E11" s="1"/>
    </row>
    <row r="12" spans="2:5" x14ac:dyDescent="0.4">
      <c r="B12" s="3"/>
      <c r="C12" s="4"/>
      <c r="E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="4"/>
      <c r="D14" s="6"/>
      <c r="E14" s="1"/>
    </row>
    <row r="15" spans="2:5" x14ac:dyDescent="0.35">
      <c r="B15" s="3"/>
      <c r="C15" s="4"/>
      <c r="D15" s="6"/>
      <c r="E15" s="1"/>
    </row>
    <row r="16" spans="2:5" x14ac:dyDescent="0.35">
      <c r="B16" s="3"/>
      <c r="C16" s="4"/>
      <c r="D16" s="6"/>
      <c r="E16" s="1"/>
    </row>
    <row r="17" spans="2:5" x14ac:dyDescent="0.4">
      <c r="B17" s="18"/>
      <c r="C17" s="18"/>
      <c r="D17" s="18"/>
      <c r="E17" s="18"/>
    </row>
    <row r="18" spans="2:5" x14ac:dyDescent="0.4">
      <c r="B18" s="18"/>
      <c r="C18" s="18"/>
      <c r="D18" s="18"/>
      <c r="E18" s="18"/>
    </row>
    <row r="19" spans="2:5" x14ac:dyDescent="0.4">
      <c r="B19" s="18"/>
      <c r="C19" s="18"/>
      <c r="D19" s="18"/>
      <c r="E19" s="18"/>
    </row>
    <row r="20" spans="2:5" x14ac:dyDescent="0.4">
      <c r="B20" s="18"/>
      <c r="C20" s="18"/>
      <c r="D20" s="18"/>
      <c r="E20" s="18"/>
    </row>
    <row r="21" spans="2:5" x14ac:dyDescent="0.4">
      <c r="B21" s="18"/>
      <c r="C21" s="18"/>
      <c r="D21" s="18"/>
      <c r="E21" s="18"/>
    </row>
    <row r="22" spans="2:5" x14ac:dyDescent="0.4">
      <c r="B22" s="18"/>
      <c r="C22" s="18"/>
      <c r="D22" s="18"/>
      <c r="E22" s="18"/>
    </row>
    <row r="23" spans="2:5" x14ac:dyDescent="0.4">
      <c r="B23" s="18"/>
      <c r="C23" s="18"/>
      <c r="D23" s="18"/>
      <c r="E23" s="18"/>
    </row>
    <row r="24" spans="2:5" x14ac:dyDescent="0.4">
      <c r="B24" s="18"/>
      <c r="C24" s="18"/>
      <c r="D24" s="18"/>
      <c r="E24" s="18"/>
    </row>
    <row r="25" spans="2:5" x14ac:dyDescent="0.4">
      <c r="B25" s="18"/>
      <c r="C25" s="18"/>
      <c r="D25" s="18"/>
      <c r="E25" s="18"/>
    </row>
    <row r="26" spans="2:5" x14ac:dyDescent="0.4">
      <c r="B26" s="18"/>
      <c r="C26" s="18"/>
      <c r="D26" s="18"/>
      <c r="E26" s="18"/>
    </row>
    <row r="27" spans="2:5" x14ac:dyDescent="0.4">
      <c r="B27" s="18"/>
      <c r="C27" s="18"/>
      <c r="D27" s="18"/>
      <c r="E27" s="18"/>
    </row>
    <row r="28" spans="2:5" x14ac:dyDescent="0.4">
      <c r="B28" s="18"/>
      <c r="C28" s="18"/>
      <c r="D28" s="18"/>
      <c r="E28" s="18"/>
    </row>
    <row r="29" spans="2:5" x14ac:dyDescent="0.4">
      <c r="B29" s="18"/>
      <c r="C29" s="18"/>
      <c r="D29" s="18"/>
      <c r="E29" s="18"/>
    </row>
    <row r="30" spans="2:5" x14ac:dyDescent="0.4">
      <c r="B30" s="18"/>
      <c r="C30" s="18"/>
      <c r="D30" s="18"/>
      <c r="E30" s="18"/>
    </row>
    <row r="31" spans="2:5" x14ac:dyDescent="0.4">
      <c r="B31" s="18"/>
      <c r="C31" s="18"/>
      <c r="D31" s="18"/>
      <c r="E31" s="18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1"/>
  <sheetViews>
    <sheetView zoomScale="85" zoomScaleNormal="85" workbookViewId="0">
      <selection activeCell="R22" sqref="R22:S23"/>
    </sheetView>
  </sheetViews>
  <sheetFormatPr defaultRowHeight="17.399999999999999" x14ac:dyDescent="0.4"/>
  <cols>
    <col min="1" max="1" width="1.69921875" customWidth="1"/>
    <col min="2" max="2" width="9.69921875" style="22" customWidth="1"/>
    <col min="3" max="46" width="5.59765625" customWidth="1"/>
    <col min="47" max="47" width="2.8984375" customWidth="1"/>
  </cols>
  <sheetData>
    <row r="1" spans="2:46" ht="25.2" x14ac:dyDescent="0.4">
      <c r="B1" s="21" t="s">
        <v>10</v>
      </c>
    </row>
    <row r="2" spans="2:46" ht="25.95" customHeight="1" x14ac:dyDescent="0.4">
      <c r="E2" s="23" t="s">
        <v>11</v>
      </c>
      <c r="AC2" s="23" t="s">
        <v>12</v>
      </c>
      <c r="AJ2" t="s">
        <v>13</v>
      </c>
      <c r="AP2" s="24" t="s">
        <v>14</v>
      </c>
    </row>
    <row r="3" spans="2:46" s="29" customFormat="1" ht="31.95" customHeight="1" x14ac:dyDescent="0.4">
      <c r="B3" s="25"/>
      <c r="C3" s="26" t="s">
        <v>15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 t="s">
        <v>16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6" t="s">
        <v>17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8" t="s">
        <v>18</v>
      </c>
      <c r="AN3" s="28"/>
      <c r="AO3" s="28"/>
      <c r="AP3" s="28"/>
      <c r="AQ3" s="28"/>
      <c r="AR3" s="28"/>
      <c r="AS3" s="28"/>
      <c r="AT3" s="28"/>
    </row>
    <row r="4" spans="2:46" s="33" customFormat="1" ht="17.399999999999999" customHeight="1" x14ac:dyDescent="0.4">
      <c r="B4" s="30"/>
      <c r="C4" s="31" t="s">
        <v>19</v>
      </c>
      <c r="D4" s="31" t="s">
        <v>20</v>
      </c>
      <c r="E4" s="31" t="s">
        <v>21</v>
      </c>
      <c r="F4" s="31" t="s">
        <v>22</v>
      </c>
      <c r="G4" s="31" t="s">
        <v>23</v>
      </c>
      <c r="H4" s="31" t="s">
        <v>24</v>
      </c>
      <c r="I4" s="31" t="s">
        <v>25</v>
      </c>
      <c r="J4" s="31" t="s">
        <v>26</v>
      </c>
      <c r="K4" s="31" t="s">
        <v>27</v>
      </c>
      <c r="L4" s="31" t="s">
        <v>29</v>
      </c>
      <c r="M4" s="31" t="s">
        <v>30</v>
      </c>
      <c r="N4" s="31" t="s">
        <v>31</v>
      </c>
      <c r="O4" s="32" t="s">
        <v>19</v>
      </c>
      <c r="P4" s="32" t="s">
        <v>20</v>
      </c>
      <c r="Q4" s="32" t="s">
        <v>21</v>
      </c>
      <c r="R4" s="32" t="s">
        <v>22</v>
      </c>
      <c r="S4" s="32" t="s">
        <v>23</v>
      </c>
      <c r="T4" s="32" t="s">
        <v>24</v>
      </c>
      <c r="U4" s="32" t="s">
        <v>25</v>
      </c>
      <c r="V4" s="32" t="s">
        <v>26</v>
      </c>
      <c r="W4" s="32" t="s">
        <v>32</v>
      </c>
      <c r="X4" s="32" t="s">
        <v>33</v>
      </c>
      <c r="Y4" s="32" t="s">
        <v>34</v>
      </c>
      <c r="Z4" s="32" t="s">
        <v>35</v>
      </c>
      <c r="AA4" s="31" t="s">
        <v>19</v>
      </c>
      <c r="AB4" s="31" t="s">
        <v>20</v>
      </c>
      <c r="AC4" s="31" t="s">
        <v>21</v>
      </c>
      <c r="AD4" s="31" t="s">
        <v>22</v>
      </c>
      <c r="AE4" s="31" t="s">
        <v>23</v>
      </c>
      <c r="AF4" s="31" t="s">
        <v>24</v>
      </c>
      <c r="AG4" s="31" t="s">
        <v>25</v>
      </c>
      <c r="AH4" s="31" t="s">
        <v>26</v>
      </c>
      <c r="AI4" s="31" t="s">
        <v>27</v>
      </c>
      <c r="AJ4" s="31" t="s">
        <v>28</v>
      </c>
      <c r="AK4" s="31" t="s">
        <v>30</v>
      </c>
      <c r="AL4" s="31" t="s">
        <v>31</v>
      </c>
      <c r="AM4" s="32" t="s">
        <v>36</v>
      </c>
      <c r="AN4" s="32" t="s">
        <v>37</v>
      </c>
      <c r="AO4" s="32" t="s">
        <v>38</v>
      </c>
      <c r="AP4" s="32" t="s">
        <v>39</v>
      </c>
      <c r="AQ4" s="32" t="s">
        <v>40</v>
      </c>
      <c r="AR4" s="32" t="s">
        <v>41</v>
      </c>
      <c r="AS4" s="32" t="s">
        <v>42</v>
      </c>
      <c r="AT4" s="32" t="s">
        <v>43</v>
      </c>
    </row>
    <row r="5" spans="2:46" s="33" customFormat="1" ht="30" customHeight="1" x14ac:dyDescent="0.4">
      <c r="B5" s="34" t="s">
        <v>44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2"/>
      <c r="AN5" s="32"/>
      <c r="AO5" s="32"/>
      <c r="AP5" s="32"/>
      <c r="AQ5" s="32"/>
      <c r="AR5" s="32"/>
      <c r="AS5" s="32"/>
      <c r="AT5" s="32"/>
    </row>
    <row r="6" spans="2:46" s="29" customFormat="1" ht="120" customHeight="1" x14ac:dyDescent="0.4">
      <c r="B6" s="35" t="s">
        <v>45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7"/>
      <c r="AN6" s="37"/>
      <c r="AO6" s="37"/>
      <c r="AP6" s="37"/>
      <c r="AQ6" s="37"/>
      <c r="AR6" s="37"/>
      <c r="AS6" s="37"/>
      <c r="AT6" s="37"/>
    </row>
    <row r="7" spans="2:46" s="29" customFormat="1" ht="120" customHeight="1" x14ac:dyDescent="0.4">
      <c r="B7" s="35" t="s">
        <v>46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7"/>
      <c r="AN7" s="37"/>
      <c r="AO7" s="37"/>
      <c r="AP7" s="37"/>
      <c r="AQ7" s="37"/>
      <c r="AR7" s="37"/>
      <c r="AS7" s="37"/>
      <c r="AT7" s="37"/>
    </row>
    <row r="8" spans="2:46" s="29" customFormat="1" ht="120" customHeight="1" x14ac:dyDescent="0.4">
      <c r="B8" s="35" t="s">
        <v>47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7"/>
      <c r="AN8" s="37"/>
      <c r="AO8" s="37"/>
      <c r="AP8" s="37"/>
      <c r="AQ8" s="37"/>
      <c r="AR8" s="37"/>
      <c r="AS8" s="37"/>
      <c r="AT8" s="37"/>
    </row>
    <row r="9" spans="2:46" s="29" customFormat="1" ht="120" customHeight="1" x14ac:dyDescent="0.4">
      <c r="B9" s="35" t="s">
        <v>48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7"/>
      <c r="AN9" s="37"/>
      <c r="AO9" s="37"/>
      <c r="AP9" s="37"/>
      <c r="AQ9" s="37"/>
      <c r="AR9" s="37"/>
      <c r="AS9" s="37"/>
      <c r="AT9" s="37"/>
    </row>
    <row r="10" spans="2:46" ht="34.200000000000003" customHeight="1" x14ac:dyDescent="0.4"/>
    <row r="11" spans="2:46" ht="19.95" customHeight="1" x14ac:dyDescent="0.4"/>
  </sheetData>
  <mergeCells count="5">
    <mergeCell ref="B3:B4"/>
    <mergeCell ref="C3:N3"/>
    <mergeCell ref="O3:Z3"/>
    <mergeCell ref="AA3:AL3"/>
    <mergeCell ref="AM3:AT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zoomScaleNormal="100" workbookViewId="0">
      <selection activeCell="R22" sqref="R22:S23"/>
    </sheetView>
  </sheetViews>
  <sheetFormatPr defaultColWidth="9" defaultRowHeight="15.6" x14ac:dyDescent="0.4"/>
  <cols>
    <col min="1" max="1" width="7.69921875" style="110" customWidth="1"/>
    <col min="2" max="2" width="51.19921875" style="29" customWidth="1"/>
    <col min="3" max="3" width="6.5" style="29" bestFit="1" customWidth="1"/>
    <col min="4" max="4" width="12.59765625" style="39" customWidth="1"/>
    <col min="5" max="5" width="7.59765625" style="39" customWidth="1"/>
    <col min="6" max="7" width="15.69921875" style="40" customWidth="1"/>
    <col min="8" max="8" width="10.3984375" style="41" bestFit="1" customWidth="1"/>
    <col min="9" max="10" width="15.69921875" style="40" customWidth="1"/>
    <col min="11" max="11" width="10.3984375" style="41" bestFit="1" customWidth="1"/>
    <col min="12" max="12" width="6.19921875" style="39" customWidth="1"/>
    <col min="13" max="13" width="6" style="39" customWidth="1"/>
    <col min="14" max="14" width="34.09765625" style="42" customWidth="1"/>
    <col min="15" max="16" width="37.5" style="42" customWidth="1"/>
    <col min="17" max="16384" width="9" style="29"/>
  </cols>
  <sheetData>
    <row r="1" spans="1:16" ht="30" customHeight="1" x14ac:dyDescent="0.4">
      <c r="A1" s="38" t="s">
        <v>49</v>
      </c>
    </row>
    <row r="2" spans="1:16" ht="6" customHeight="1" thickBot="1" x14ac:dyDescent="0.45">
      <c r="A2" s="38"/>
      <c r="B2" s="43"/>
    </row>
    <row r="3" spans="1:16" ht="27" customHeight="1" thickBot="1" x14ac:dyDescent="0.45">
      <c r="A3" s="44" t="s">
        <v>50</v>
      </c>
      <c r="B3" s="45">
        <v>44099.333333333336</v>
      </c>
      <c r="C3" s="46" t="s">
        <v>51</v>
      </c>
      <c r="D3" s="47">
        <f xml:space="preserve"> COUNTIF(L5:L64,"완료")/A64</f>
        <v>0</v>
      </c>
      <c r="E3" s="48"/>
      <c r="F3" s="49" t="s">
        <v>52</v>
      </c>
      <c r="G3" s="50"/>
      <c r="H3" s="51"/>
      <c r="I3" s="52" t="s">
        <v>53</v>
      </c>
      <c r="J3" s="52"/>
      <c r="K3" s="52"/>
    </row>
    <row r="4" spans="1:16" ht="31.2" x14ac:dyDescent="0.4">
      <c r="A4" s="53" t="s">
        <v>54</v>
      </c>
      <c r="B4" s="54" t="s">
        <v>55</v>
      </c>
      <c r="C4" s="55" t="s">
        <v>56</v>
      </c>
      <c r="D4" s="55" t="s">
        <v>57</v>
      </c>
      <c r="E4" s="55" t="s">
        <v>58</v>
      </c>
      <c r="F4" s="56" t="s">
        <v>59</v>
      </c>
      <c r="G4" s="56" t="s">
        <v>60</v>
      </c>
      <c r="H4" s="57" t="s">
        <v>61</v>
      </c>
      <c r="I4" s="56"/>
      <c r="J4" s="56" t="s">
        <v>62</v>
      </c>
      <c r="K4" s="57" t="s">
        <v>61</v>
      </c>
      <c r="L4" s="58" t="s">
        <v>63</v>
      </c>
      <c r="M4" s="58" t="s">
        <v>64</v>
      </c>
      <c r="N4" s="55" t="s">
        <v>65</v>
      </c>
      <c r="O4" s="55" t="s">
        <v>66</v>
      </c>
      <c r="P4" s="55" t="s">
        <v>67</v>
      </c>
    </row>
    <row r="5" spans="1:16" s="70" customFormat="1" ht="36.6" customHeight="1" x14ac:dyDescent="0.4">
      <c r="A5" s="59" t="s">
        <v>68</v>
      </c>
      <c r="B5" s="60" t="s">
        <v>69</v>
      </c>
      <c r="C5" s="61"/>
      <c r="D5" s="62" t="s">
        <v>7</v>
      </c>
      <c r="E5" s="61" t="s">
        <v>7</v>
      </c>
      <c r="F5" s="63">
        <f>$B$3-DAY(12) + TIME(9,0,0)</f>
        <v>44087.708333333336</v>
      </c>
      <c r="G5" s="63">
        <f>F5+TIME(1,0,0)</f>
        <v>44087.75</v>
      </c>
      <c r="H5" s="64">
        <f>G5-F5</f>
        <v>4.1666666664241347E-2</v>
      </c>
      <c r="I5" s="65"/>
      <c r="J5" s="65"/>
      <c r="K5" s="66" t="str">
        <f>IF(J5&lt;&gt;"",J5-I5,"")</f>
        <v/>
      </c>
      <c r="L5" s="67"/>
      <c r="M5" s="67"/>
      <c r="N5" s="68"/>
      <c r="O5" s="69"/>
      <c r="P5" s="69"/>
    </row>
    <row r="6" spans="1:16" s="70" customFormat="1" ht="36.6" customHeight="1" x14ac:dyDescent="0.4">
      <c r="A6" s="71" t="s">
        <v>70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3"/>
    </row>
    <row r="7" spans="1:16" s="70" customFormat="1" ht="36.6" customHeight="1" x14ac:dyDescent="0.4">
      <c r="A7" s="74" t="s">
        <v>71</v>
      </c>
      <c r="B7" s="60" t="s">
        <v>72</v>
      </c>
      <c r="C7" s="61" t="s">
        <v>73</v>
      </c>
      <c r="D7" s="62" t="s">
        <v>7</v>
      </c>
      <c r="E7" s="61"/>
      <c r="F7" s="63">
        <f>G5+TIME(0,0,0)</f>
        <v>44087.75</v>
      </c>
      <c r="G7" s="63">
        <f>F7+TIME(8,0,0)</f>
        <v>44088.083333333336</v>
      </c>
      <c r="H7" s="64">
        <f t="shared" ref="H7:H63" si="0">G7-F7</f>
        <v>0.33333333333575865</v>
      </c>
      <c r="I7" s="65" t="s">
        <v>74</v>
      </c>
      <c r="J7" s="65"/>
      <c r="K7" s="66" t="str">
        <f t="shared" ref="K7:K15" si="1">IF(J7&lt;&gt;"",J7-I7,"")</f>
        <v/>
      </c>
      <c r="L7" s="67" t="str">
        <f t="shared" ref="L7:L64" si="2">IF(J7&lt;&gt;"", "완료","")</f>
        <v/>
      </c>
      <c r="M7" s="67"/>
      <c r="N7" s="68"/>
      <c r="O7" s="69"/>
      <c r="P7" s="69"/>
    </row>
    <row r="8" spans="1:16" s="70" customFormat="1" ht="36.6" customHeight="1" x14ac:dyDescent="0.4">
      <c r="A8" s="74" t="s">
        <v>75</v>
      </c>
      <c r="B8" s="60" t="s">
        <v>76</v>
      </c>
      <c r="C8" s="61" t="s">
        <v>77</v>
      </c>
      <c r="D8" s="62" t="s">
        <v>7</v>
      </c>
      <c r="E8" s="61"/>
      <c r="F8" s="63">
        <f>$B$3-DAY(7) +TIME(1,0,0)</f>
        <v>44092.375</v>
      </c>
      <c r="G8" s="63">
        <f>F8+TIME(5,0,0)</f>
        <v>44092.583333333336</v>
      </c>
      <c r="H8" s="64">
        <f t="shared" si="0"/>
        <v>0.20833333333575865</v>
      </c>
      <c r="I8" s="65"/>
      <c r="J8" s="65"/>
      <c r="K8" s="66" t="str">
        <f t="shared" si="1"/>
        <v/>
      </c>
      <c r="L8" s="61" t="str">
        <f t="shared" si="2"/>
        <v/>
      </c>
      <c r="M8" s="61"/>
      <c r="N8" s="75"/>
      <c r="O8" s="69"/>
      <c r="P8" s="69"/>
    </row>
    <row r="9" spans="1:16" s="70" customFormat="1" ht="36.6" customHeight="1" x14ac:dyDescent="0.4">
      <c r="A9" s="74" t="s">
        <v>78</v>
      </c>
      <c r="B9" s="60" t="s">
        <v>79</v>
      </c>
      <c r="C9" s="61" t="s">
        <v>77</v>
      </c>
      <c r="D9" s="62" t="s">
        <v>7</v>
      </c>
      <c r="E9" s="61"/>
      <c r="F9" s="63">
        <f t="shared" ref="F9:F11" si="3">$B$3-DAY(7) +TIME(1,0,0)</f>
        <v>44092.375</v>
      </c>
      <c r="G9" s="63">
        <f>F9+TIME(4,0,0)</f>
        <v>44092.541666666664</v>
      </c>
      <c r="H9" s="64">
        <f>G9-F9</f>
        <v>0.16666666666424135</v>
      </c>
      <c r="I9" s="65"/>
      <c r="J9" s="65"/>
      <c r="K9" s="66" t="str">
        <f t="shared" si="1"/>
        <v/>
      </c>
      <c r="L9" s="61" t="str">
        <f t="shared" si="2"/>
        <v/>
      </c>
      <c r="M9" s="61"/>
      <c r="N9" s="75"/>
      <c r="O9" s="69"/>
      <c r="P9" s="69"/>
    </row>
    <row r="10" spans="1:16" s="70" customFormat="1" ht="36.6" customHeight="1" x14ac:dyDescent="0.4">
      <c r="A10" s="74" t="s">
        <v>80</v>
      </c>
      <c r="B10" s="60" t="s">
        <v>81</v>
      </c>
      <c r="C10" s="61" t="s">
        <v>77</v>
      </c>
      <c r="D10" s="62" t="s">
        <v>7</v>
      </c>
      <c r="E10" s="61"/>
      <c r="F10" s="63">
        <f t="shared" si="3"/>
        <v>44092.375</v>
      </c>
      <c r="G10" s="63">
        <f>F10+TIME(4,0,0)</f>
        <v>44092.541666666664</v>
      </c>
      <c r="H10" s="64">
        <f t="shared" ref="H10:H14" si="4">G10-F10</f>
        <v>0.16666666666424135</v>
      </c>
      <c r="I10" s="65"/>
      <c r="J10" s="65"/>
      <c r="K10" s="66" t="str">
        <f t="shared" si="1"/>
        <v/>
      </c>
      <c r="L10" s="67" t="str">
        <f t="shared" si="2"/>
        <v/>
      </c>
      <c r="M10" s="67"/>
      <c r="N10" s="68"/>
      <c r="O10" s="69"/>
      <c r="P10" s="69"/>
    </row>
    <row r="11" spans="1:16" s="70" customFormat="1" ht="36.6" customHeight="1" x14ac:dyDescent="0.4">
      <c r="A11" s="74" t="s">
        <v>82</v>
      </c>
      <c r="B11" s="60" t="s">
        <v>83</v>
      </c>
      <c r="C11" s="61" t="s">
        <v>77</v>
      </c>
      <c r="D11" s="62" t="s">
        <v>7</v>
      </c>
      <c r="E11" s="61"/>
      <c r="F11" s="63">
        <f t="shared" si="3"/>
        <v>44092.375</v>
      </c>
      <c r="G11" s="63">
        <f>F11+TIME(4,0,0)</f>
        <v>44092.541666666664</v>
      </c>
      <c r="H11" s="64">
        <f t="shared" si="4"/>
        <v>0.16666666666424135</v>
      </c>
      <c r="I11" s="65"/>
      <c r="J11" s="65"/>
      <c r="K11" s="66" t="str">
        <f t="shared" si="1"/>
        <v/>
      </c>
      <c r="L11" s="67" t="str">
        <f t="shared" si="2"/>
        <v/>
      </c>
      <c r="M11" s="67"/>
      <c r="N11" s="68"/>
      <c r="O11" s="69"/>
      <c r="P11" s="69"/>
    </row>
    <row r="12" spans="1:16" s="70" customFormat="1" ht="36.6" customHeight="1" x14ac:dyDescent="0.4">
      <c r="A12" s="74" t="s">
        <v>84</v>
      </c>
      <c r="B12" s="60" t="s">
        <v>85</v>
      </c>
      <c r="C12" s="61" t="s">
        <v>77</v>
      </c>
      <c r="D12" s="62" t="s">
        <v>7</v>
      </c>
      <c r="E12" s="61"/>
      <c r="F12" s="63">
        <f>$B$3-DAY(7) +TIME(1,0,0)</f>
        <v>44092.375</v>
      </c>
      <c r="G12" s="63">
        <f>F12+TIME(4,0,0)</f>
        <v>44092.541666666664</v>
      </c>
      <c r="H12" s="64">
        <f t="shared" si="4"/>
        <v>0.16666666666424135</v>
      </c>
      <c r="I12" s="65"/>
      <c r="J12" s="65"/>
      <c r="K12" s="66" t="str">
        <f t="shared" si="1"/>
        <v/>
      </c>
      <c r="L12" s="67" t="str">
        <f t="shared" si="2"/>
        <v/>
      </c>
      <c r="M12" s="67"/>
      <c r="N12" s="68"/>
      <c r="O12" s="69"/>
      <c r="P12" s="69"/>
    </row>
    <row r="13" spans="1:16" s="70" customFormat="1" ht="36.6" customHeight="1" x14ac:dyDescent="0.4">
      <c r="A13" s="74" t="s">
        <v>86</v>
      </c>
      <c r="B13" s="60" t="s">
        <v>87</v>
      </c>
      <c r="C13" s="61" t="s">
        <v>88</v>
      </c>
      <c r="D13" s="62" t="s">
        <v>7</v>
      </c>
      <c r="E13" s="61"/>
      <c r="F13" s="63">
        <f>$B$3-DAY(7) +TIME(1,0,0)</f>
        <v>44092.375</v>
      </c>
      <c r="G13" s="63">
        <f>F13+TIME(10,0,0)</f>
        <v>44092.791666666664</v>
      </c>
      <c r="H13" s="64">
        <f t="shared" si="4"/>
        <v>0.41666666666424135</v>
      </c>
      <c r="I13" s="65" t="s">
        <v>89</v>
      </c>
      <c r="J13" s="65"/>
      <c r="K13" s="66" t="str">
        <f t="shared" si="1"/>
        <v/>
      </c>
      <c r="L13" s="67" t="str">
        <f t="shared" si="2"/>
        <v/>
      </c>
      <c r="M13" s="67"/>
      <c r="N13" s="68"/>
      <c r="O13" s="69"/>
      <c r="P13" s="69"/>
    </row>
    <row r="14" spans="1:16" s="70" customFormat="1" ht="36.6" customHeight="1" x14ac:dyDescent="0.4">
      <c r="A14" s="74" t="s">
        <v>90</v>
      </c>
      <c r="B14" s="60" t="s">
        <v>91</v>
      </c>
      <c r="C14" s="61" t="s">
        <v>88</v>
      </c>
      <c r="D14" s="62" t="s">
        <v>7</v>
      </c>
      <c r="E14" s="61"/>
      <c r="F14" s="63">
        <f>$B$3-DAY(7) +TIME(1,0,0)</f>
        <v>44092.375</v>
      </c>
      <c r="G14" s="63">
        <f>F14+TIME(10,0,0)</f>
        <v>44092.791666666664</v>
      </c>
      <c r="H14" s="64">
        <f t="shared" si="4"/>
        <v>0.41666666666424135</v>
      </c>
      <c r="I14" s="65" t="s">
        <v>92</v>
      </c>
      <c r="J14" s="65"/>
      <c r="K14" s="66" t="str">
        <f t="shared" si="1"/>
        <v/>
      </c>
      <c r="L14" s="67" t="str">
        <f t="shared" si="2"/>
        <v/>
      </c>
      <c r="M14" s="67"/>
      <c r="N14" s="68"/>
      <c r="O14" s="69"/>
      <c r="P14" s="69"/>
    </row>
    <row r="15" spans="1:16" s="70" customFormat="1" ht="36.6" customHeight="1" x14ac:dyDescent="0.4">
      <c r="A15" s="74" t="s">
        <v>93</v>
      </c>
      <c r="B15" s="60" t="s">
        <v>94</v>
      </c>
      <c r="C15" s="61" t="s">
        <v>77</v>
      </c>
      <c r="D15" s="62" t="s">
        <v>7</v>
      </c>
      <c r="E15" s="61"/>
      <c r="F15" s="63">
        <f>$B$3-DAY(7) +TIME(1,0,0)</f>
        <v>44092.375</v>
      </c>
      <c r="G15" s="63">
        <f>F15+TIME(4,0,0)</f>
        <v>44092.541666666664</v>
      </c>
      <c r="H15" s="64">
        <f t="shared" si="0"/>
        <v>0.16666666666424135</v>
      </c>
      <c r="I15" s="65"/>
      <c r="J15" s="65"/>
      <c r="K15" s="66" t="str">
        <f t="shared" si="1"/>
        <v/>
      </c>
      <c r="L15" s="67" t="str">
        <f t="shared" si="2"/>
        <v/>
      </c>
      <c r="M15" s="67"/>
      <c r="N15" s="68"/>
      <c r="O15" s="69"/>
      <c r="P15" s="69"/>
    </row>
    <row r="16" spans="1:16" s="70" customFormat="1" ht="36.6" customHeight="1" x14ac:dyDescent="0.4">
      <c r="A16" s="71" t="s">
        <v>95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7"/>
    </row>
    <row r="17" spans="1:16" s="70" customFormat="1" ht="30.6" customHeight="1" x14ac:dyDescent="0.4">
      <c r="A17" s="78" t="s">
        <v>96</v>
      </c>
      <c r="B17" s="60" t="s">
        <v>97</v>
      </c>
      <c r="C17" s="61" t="s">
        <v>77</v>
      </c>
      <c r="D17" s="62" t="s">
        <v>7</v>
      </c>
      <c r="E17" s="61"/>
      <c r="F17" s="63">
        <f>$B$3-DAY(2)-TIME(0,30,0)</f>
        <v>44097.3125</v>
      </c>
      <c r="G17" s="63">
        <f>F17+TIME(,30,0)</f>
        <v>44097.333333333336</v>
      </c>
      <c r="H17" s="64">
        <f t="shared" ref="H17" si="5">G17-F17</f>
        <v>2.0833333335758653E-2</v>
      </c>
      <c r="I17" s="65"/>
      <c r="J17" s="65"/>
      <c r="K17" s="66" t="str">
        <f t="shared" ref="K17:K64" si="6">IF(J17&lt;&gt;"",J17-I17,"")</f>
        <v/>
      </c>
      <c r="L17" s="67" t="str">
        <f t="shared" ref="L17" si="7">IF(J17&lt;&gt;"", "완료","")</f>
        <v/>
      </c>
      <c r="M17" s="67"/>
      <c r="N17" s="68"/>
      <c r="O17" s="69"/>
      <c r="P17" s="69"/>
    </row>
    <row r="18" spans="1:16" s="70" customFormat="1" ht="30.6" customHeight="1" x14ac:dyDescent="0.4">
      <c r="A18" s="78" t="s">
        <v>98</v>
      </c>
      <c r="B18" s="60" t="s">
        <v>99</v>
      </c>
      <c r="C18" s="61" t="s">
        <v>77</v>
      </c>
      <c r="D18" s="61"/>
      <c r="E18" s="61"/>
      <c r="F18" s="63">
        <f>G17+TIME(0,0,0)</f>
        <v>44097.333333333336</v>
      </c>
      <c r="G18" s="63">
        <f t="shared" ref="G18:G23" si="8">F18+TIME(1,0,0)</f>
        <v>44097.375</v>
      </c>
      <c r="H18" s="64">
        <f t="shared" si="0"/>
        <v>4.1666666664241347E-2</v>
      </c>
      <c r="I18" s="65"/>
      <c r="J18" s="65"/>
      <c r="K18" s="66" t="str">
        <f t="shared" si="6"/>
        <v/>
      </c>
      <c r="L18" s="67" t="str">
        <f t="shared" si="2"/>
        <v/>
      </c>
      <c r="M18" s="67"/>
      <c r="N18" s="68"/>
      <c r="O18" s="68"/>
      <c r="P18" s="68"/>
    </row>
    <row r="19" spans="1:16" s="70" customFormat="1" ht="30.6" customHeight="1" x14ac:dyDescent="0.4">
      <c r="A19" s="78" t="s">
        <v>100</v>
      </c>
      <c r="B19" s="60" t="s">
        <v>101</v>
      </c>
      <c r="C19" s="61" t="s">
        <v>77</v>
      </c>
      <c r="D19" s="61"/>
      <c r="E19" s="61"/>
      <c r="F19" s="63">
        <f>G17+TIME(0,0,0)</f>
        <v>44097.333333333336</v>
      </c>
      <c r="G19" s="63">
        <f t="shared" si="8"/>
        <v>44097.375</v>
      </c>
      <c r="H19" s="64">
        <f t="shared" si="0"/>
        <v>4.1666666664241347E-2</v>
      </c>
      <c r="I19" s="65"/>
      <c r="J19" s="65"/>
      <c r="K19" s="66" t="str">
        <f t="shared" si="6"/>
        <v/>
      </c>
      <c r="L19" s="67" t="str">
        <f t="shared" si="2"/>
        <v/>
      </c>
      <c r="M19" s="67"/>
      <c r="N19" s="68"/>
      <c r="O19" s="68"/>
      <c r="P19" s="68"/>
    </row>
    <row r="20" spans="1:16" s="70" customFormat="1" ht="54" customHeight="1" x14ac:dyDescent="0.4">
      <c r="A20" s="78" t="s">
        <v>102</v>
      </c>
      <c r="B20" s="60" t="s">
        <v>103</v>
      </c>
      <c r="C20" s="61" t="s">
        <v>77</v>
      </c>
      <c r="D20" s="62"/>
      <c r="E20" s="61"/>
      <c r="F20" s="63">
        <f>G17+TIME(0,0,0)</f>
        <v>44097.333333333336</v>
      </c>
      <c r="G20" s="63">
        <f t="shared" si="8"/>
        <v>44097.375</v>
      </c>
      <c r="H20" s="64">
        <f t="shared" si="0"/>
        <v>4.1666666664241347E-2</v>
      </c>
      <c r="I20" s="65"/>
      <c r="J20" s="65"/>
      <c r="K20" s="66" t="str">
        <f>IF(J20&lt;&gt;"",J20-I20,"")</f>
        <v/>
      </c>
      <c r="L20" s="67" t="str">
        <f>IF(J20&lt;&gt;"", "완료","")</f>
        <v/>
      </c>
      <c r="M20" s="67"/>
      <c r="N20" s="68"/>
      <c r="O20" s="68"/>
      <c r="P20" s="68"/>
    </row>
    <row r="21" spans="1:16" s="70" customFormat="1" ht="30.6" customHeight="1" x14ac:dyDescent="0.4">
      <c r="A21" s="79" t="s">
        <v>104</v>
      </c>
      <c r="B21" s="80" t="s">
        <v>105</v>
      </c>
      <c r="C21" s="81" t="s">
        <v>88</v>
      </c>
      <c r="D21" s="82" t="s">
        <v>7</v>
      </c>
      <c r="E21" s="81"/>
      <c r="F21" s="83">
        <v>44076.333333333336</v>
      </c>
      <c r="G21" s="83">
        <f t="shared" si="8"/>
        <v>44076.375</v>
      </c>
      <c r="H21" s="84">
        <f t="shared" si="0"/>
        <v>4.1666666664241347E-2</v>
      </c>
      <c r="I21" s="65" t="s">
        <v>74</v>
      </c>
      <c r="J21" s="65"/>
      <c r="K21" s="66"/>
      <c r="L21" s="67"/>
      <c r="M21" s="67"/>
      <c r="N21" s="68"/>
      <c r="O21" s="68"/>
      <c r="P21" s="68"/>
    </row>
    <row r="22" spans="1:16" s="70" customFormat="1" ht="30.6" customHeight="1" x14ac:dyDescent="0.4">
      <c r="A22" s="79" t="s">
        <v>106</v>
      </c>
      <c r="B22" s="80" t="s">
        <v>107</v>
      </c>
      <c r="C22" s="81" t="s">
        <v>88</v>
      </c>
      <c r="D22" s="82" t="s">
        <v>7</v>
      </c>
      <c r="E22" s="81"/>
      <c r="F22" s="83">
        <v>44076.333333333336</v>
      </c>
      <c r="G22" s="83">
        <f t="shared" si="8"/>
        <v>44076.375</v>
      </c>
      <c r="H22" s="84">
        <f t="shared" si="0"/>
        <v>4.1666666664241347E-2</v>
      </c>
      <c r="I22" s="65" t="s">
        <v>108</v>
      </c>
      <c r="J22" s="65"/>
      <c r="K22" s="66"/>
      <c r="L22" s="67"/>
      <c r="M22" s="67"/>
      <c r="N22" s="68"/>
      <c r="O22" s="68"/>
      <c r="P22" s="68"/>
    </row>
    <row r="23" spans="1:16" s="70" customFormat="1" ht="30.6" customHeight="1" x14ac:dyDescent="0.4">
      <c r="A23" s="79" t="s">
        <v>109</v>
      </c>
      <c r="B23" s="80" t="s">
        <v>110</v>
      </c>
      <c r="C23" s="81" t="s">
        <v>88</v>
      </c>
      <c r="D23" s="82" t="s">
        <v>7</v>
      </c>
      <c r="E23" s="81"/>
      <c r="F23" s="83">
        <v>44076.333333333336</v>
      </c>
      <c r="G23" s="83">
        <f t="shared" si="8"/>
        <v>44076.375</v>
      </c>
      <c r="H23" s="84">
        <f t="shared" si="0"/>
        <v>4.1666666664241347E-2</v>
      </c>
      <c r="I23" s="65" t="s">
        <v>74</v>
      </c>
      <c r="J23" s="65"/>
      <c r="K23" s="66"/>
      <c r="L23" s="67"/>
      <c r="M23" s="67"/>
      <c r="N23" s="68"/>
      <c r="O23" s="68"/>
      <c r="P23" s="68"/>
    </row>
    <row r="24" spans="1:16" s="70" customFormat="1" ht="30.6" customHeight="1" x14ac:dyDescent="0.4">
      <c r="A24" s="78" t="s">
        <v>111</v>
      </c>
      <c r="B24" s="60" t="s">
        <v>112</v>
      </c>
      <c r="C24" s="61" t="s">
        <v>113</v>
      </c>
      <c r="D24" s="62"/>
      <c r="E24" s="61"/>
      <c r="F24" s="63">
        <f>B3-DAY(3)+TIME(11,0,0)</f>
        <v>44096.791666666672</v>
      </c>
      <c r="G24" s="63">
        <f>F24+TIME(6,0,0)+TIME(7,0,0)</f>
        <v>44097.333333333336</v>
      </c>
      <c r="H24" s="64">
        <f t="shared" si="0"/>
        <v>0.54166666666424135</v>
      </c>
      <c r="I24" s="65"/>
      <c r="J24" s="65"/>
      <c r="K24" s="66" t="str">
        <f t="shared" si="6"/>
        <v/>
      </c>
      <c r="L24" s="67" t="str">
        <f t="shared" si="2"/>
        <v/>
      </c>
      <c r="M24" s="67"/>
      <c r="N24" s="68"/>
      <c r="O24" s="68"/>
      <c r="P24" s="68"/>
    </row>
    <row r="25" spans="1:16" s="70" customFormat="1" ht="30.6" customHeight="1" x14ac:dyDescent="0.4">
      <c r="A25" s="78" t="s">
        <v>114</v>
      </c>
      <c r="B25" s="60" t="s">
        <v>115</v>
      </c>
      <c r="C25" s="61" t="s">
        <v>113</v>
      </c>
      <c r="D25" s="61"/>
      <c r="E25" s="61"/>
      <c r="F25" s="63">
        <f>B3-DAY(3)+TIME(13,0,0)</f>
        <v>44096.875</v>
      </c>
      <c r="G25" s="63">
        <f>F25+TIME(13,0,0)</f>
        <v>44097.416666666664</v>
      </c>
      <c r="H25" s="64">
        <f t="shared" si="0"/>
        <v>0.54166666666424135</v>
      </c>
      <c r="I25" s="65"/>
      <c r="J25" s="65"/>
      <c r="K25" s="66" t="str">
        <f t="shared" si="6"/>
        <v/>
      </c>
      <c r="L25" s="67" t="str">
        <f t="shared" si="2"/>
        <v/>
      </c>
      <c r="M25" s="67"/>
      <c r="N25" s="68"/>
      <c r="O25" s="68"/>
      <c r="P25" s="68"/>
    </row>
    <row r="26" spans="1:16" s="70" customFormat="1" ht="35.25" customHeight="1" x14ac:dyDescent="0.4">
      <c r="A26" s="78" t="s">
        <v>116</v>
      </c>
      <c r="B26" s="60" t="s">
        <v>117</v>
      </c>
      <c r="C26" s="61" t="s">
        <v>113</v>
      </c>
      <c r="D26" s="61"/>
      <c r="E26" s="61"/>
      <c r="F26" s="63">
        <f>MAXA(G19,G22)+TIME(0,0,0)</f>
        <v>44097.375</v>
      </c>
      <c r="G26" s="63">
        <f>F26+TIME(5,0,0)</f>
        <v>44097.583333333336</v>
      </c>
      <c r="H26" s="64">
        <f t="shared" si="0"/>
        <v>0.20833333333575865</v>
      </c>
      <c r="I26" s="65"/>
      <c r="J26" s="65"/>
      <c r="K26" s="66" t="str">
        <f t="shared" si="6"/>
        <v/>
      </c>
      <c r="L26" s="67" t="str">
        <f t="shared" si="2"/>
        <v/>
      </c>
      <c r="M26" s="67"/>
      <c r="N26" s="68"/>
      <c r="O26" s="68"/>
      <c r="P26" s="68"/>
    </row>
    <row r="27" spans="1:16" s="70" customFormat="1" ht="45.75" customHeight="1" x14ac:dyDescent="0.4">
      <c r="A27" s="78" t="s">
        <v>118</v>
      </c>
      <c r="B27" s="60" t="s">
        <v>119</v>
      </c>
      <c r="C27" s="61" t="s">
        <v>113</v>
      </c>
      <c r="D27" s="61"/>
      <c r="E27" s="61"/>
      <c r="F27" s="63">
        <f>MAXA(G20,G22)+TIME(0,0,0)</f>
        <v>44097.375</v>
      </c>
      <c r="G27" s="63">
        <f>F27+TIME(5,0,0)</f>
        <v>44097.583333333336</v>
      </c>
      <c r="H27" s="64">
        <f t="shared" si="0"/>
        <v>0.20833333333575865</v>
      </c>
      <c r="I27" s="65"/>
      <c r="J27" s="65"/>
      <c r="K27" s="66" t="str">
        <f t="shared" si="6"/>
        <v/>
      </c>
      <c r="L27" s="67" t="str">
        <f t="shared" si="2"/>
        <v/>
      </c>
      <c r="M27" s="67"/>
      <c r="N27" s="68"/>
      <c r="O27" s="68"/>
      <c r="P27" s="68"/>
    </row>
    <row r="28" spans="1:16" s="70" customFormat="1" ht="30.6" customHeight="1" x14ac:dyDescent="0.4">
      <c r="A28" s="79" t="s">
        <v>120</v>
      </c>
      <c r="B28" s="80" t="s">
        <v>121</v>
      </c>
      <c r="C28" s="81" t="s">
        <v>88</v>
      </c>
      <c r="D28" s="82" t="s">
        <v>7</v>
      </c>
      <c r="E28" s="81"/>
      <c r="F28" s="83">
        <f>MAXA(G24:G26)+TIME(0,2,0)</f>
        <v>44097.584722222222</v>
      </c>
      <c r="G28" s="83">
        <f>F28+TIME(0,3,0)</f>
        <v>44097.586805555555</v>
      </c>
      <c r="H28" s="84">
        <f t="shared" si="0"/>
        <v>2.0833333328482695E-3</v>
      </c>
      <c r="I28" s="65" t="s">
        <v>122</v>
      </c>
      <c r="J28" s="65"/>
      <c r="K28" s="66"/>
      <c r="L28" s="67"/>
      <c r="M28" s="67"/>
      <c r="N28" s="68"/>
      <c r="O28" s="68"/>
      <c r="P28" s="68"/>
    </row>
    <row r="29" spans="1:16" s="70" customFormat="1" ht="30.6" customHeight="1" x14ac:dyDescent="0.4">
      <c r="A29" s="79" t="s">
        <v>123</v>
      </c>
      <c r="B29" s="80" t="s">
        <v>124</v>
      </c>
      <c r="C29" s="81" t="s">
        <v>88</v>
      </c>
      <c r="D29" s="82" t="s">
        <v>125</v>
      </c>
      <c r="E29" s="81"/>
      <c r="F29" s="83">
        <f>G28+TIME(0,20,0)</f>
        <v>44097.600694444445</v>
      </c>
      <c r="G29" s="83">
        <f>F29+TIME(1,0,0)</f>
        <v>44097.642361111109</v>
      </c>
      <c r="H29" s="84">
        <f t="shared" si="0"/>
        <v>4.1666666664241347E-2</v>
      </c>
      <c r="I29" s="65" t="s">
        <v>126</v>
      </c>
      <c r="J29" s="65"/>
      <c r="K29" s="66"/>
      <c r="L29" s="67"/>
      <c r="M29" s="67"/>
      <c r="N29" s="68"/>
      <c r="O29" s="68"/>
      <c r="P29" s="68"/>
    </row>
    <row r="30" spans="1:16" s="70" customFormat="1" ht="30.6" customHeight="1" x14ac:dyDescent="0.4">
      <c r="A30" s="85" t="s">
        <v>127</v>
      </c>
      <c r="B30" s="86" t="s">
        <v>128</v>
      </c>
      <c r="C30" s="87" t="s">
        <v>129</v>
      </c>
      <c r="D30" s="88"/>
      <c r="E30" s="87"/>
      <c r="F30" s="89">
        <f>MAXA(G24:G27)+TIME(0,20,0)</f>
        <v>44097.597222222226</v>
      </c>
      <c r="G30" s="89">
        <f>F30+TIME(4,0,0)</f>
        <v>44097.763888888891</v>
      </c>
      <c r="H30" s="90">
        <f t="shared" si="0"/>
        <v>0.16666666666424135</v>
      </c>
      <c r="I30" s="65"/>
      <c r="J30" s="65"/>
      <c r="K30" s="66" t="str">
        <f>IF(J30&lt;&gt;"",J30-I30,"")</f>
        <v/>
      </c>
      <c r="L30" s="67" t="str">
        <f>IF(J30&lt;&gt;"", "완료","")</f>
        <v/>
      </c>
      <c r="M30" s="67"/>
      <c r="N30" s="68"/>
      <c r="O30" s="68"/>
      <c r="P30" s="68"/>
    </row>
    <row r="31" spans="1:16" s="70" customFormat="1" ht="30.6" customHeight="1" x14ac:dyDescent="0.4">
      <c r="A31" s="85" t="s">
        <v>130</v>
      </c>
      <c r="B31" s="86" t="s">
        <v>131</v>
      </c>
      <c r="C31" s="87" t="s">
        <v>129</v>
      </c>
      <c r="D31" s="88"/>
      <c r="E31" s="87"/>
      <c r="F31" s="89">
        <f>MAXA(G24:G30)+TIME(0,0,0)</f>
        <v>44097.763888888891</v>
      </c>
      <c r="G31" s="89">
        <f>F31+TIME(3,0,0)</f>
        <v>44097.888888888891</v>
      </c>
      <c r="H31" s="90">
        <f t="shared" si="0"/>
        <v>0.125</v>
      </c>
      <c r="I31" s="65"/>
      <c r="J31" s="65"/>
      <c r="K31" s="66" t="str">
        <f>IF(J31&lt;&gt;"",J31-I31,"")</f>
        <v/>
      </c>
      <c r="L31" s="67" t="str">
        <f>IF(J31&lt;&gt;"", "완료","")</f>
        <v/>
      </c>
      <c r="M31" s="67"/>
      <c r="N31" s="68"/>
      <c r="O31" s="68"/>
      <c r="P31" s="68"/>
    </row>
    <row r="32" spans="1:16" s="70" customFormat="1" ht="46.5" customHeight="1" x14ac:dyDescent="0.4">
      <c r="A32" s="85" t="s">
        <v>132</v>
      </c>
      <c r="B32" s="86" t="s">
        <v>133</v>
      </c>
      <c r="C32" s="87" t="s">
        <v>129</v>
      </c>
      <c r="D32" s="88"/>
      <c r="E32" s="87"/>
      <c r="F32" s="89">
        <f>G31+TIME(0,0,0)</f>
        <v>44097.888888888891</v>
      </c>
      <c r="G32" s="89">
        <f>F32+TIME(3,0,0)</f>
        <v>44098.013888888891</v>
      </c>
      <c r="H32" s="90">
        <f t="shared" si="0"/>
        <v>0.125</v>
      </c>
      <c r="I32" s="65"/>
      <c r="J32" s="65"/>
      <c r="K32" s="66" t="str">
        <f>IF(J32&lt;&gt;"",J32-I32,"")</f>
        <v/>
      </c>
      <c r="L32" s="67" t="str">
        <f>IF(J32&lt;&gt;"", "완료","")</f>
        <v/>
      </c>
      <c r="M32" s="67"/>
      <c r="N32" s="68"/>
      <c r="O32" s="68"/>
      <c r="P32" s="68"/>
    </row>
    <row r="33" spans="1:16" s="70" customFormat="1" ht="36.6" customHeight="1" x14ac:dyDescent="0.4">
      <c r="A33" s="71" t="s">
        <v>134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7"/>
    </row>
    <row r="34" spans="1:16" s="70" customFormat="1" ht="43.5" customHeight="1" x14ac:dyDescent="0.4">
      <c r="A34" s="91" t="s">
        <v>135</v>
      </c>
      <c r="B34" s="60" t="s">
        <v>136</v>
      </c>
      <c r="C34" s="61" t="s">
        <v>129</v>
      </c>
      <c r="D34" s="62"/>
      <c r="E34" s="61"/>
      <c r="F34" s="63">
        <f>MAXA(G24:G27)+TIME(0,0,0)</f>
        <v>44097.583333333336</v>
      </c>
      <c r="G34" s="63">
        <f>F34+TIME(3,0,0)</f>
        <v>44097.708333333336</v>
      </c>
      <c r="H34" s="64">
        <f t="shared" si="0"/>
        <v>0.125</v>
      </c>
      <c r="I34" s="65"/>
      <c r="J34" s="65"/>
      <c r="K34" s="66" t="str">
        <f t="shared" ref="K34:K40" si="9">IF(J34&lt;&gt;"",J34-I34,"")</f>
        <v/>
      </c>
      <c r="L34" s="67" t="str">
        <f t="shared" ref="L34:L35" si="10">IF(J34&lt;&gt;"", "완료","")</f>
        <v/>
      </c>
      <c r="M34" s="67"/>
      <c r="N34" s="68"/>
      <c r="O34" s="69"/>
      <c r="P34" s="69"/>
    </row>
    <row r="35" spans="1:16" s="70" customFormat="1" ht="30.6" customHeight="1" x14ac:dyDescent="0.4">
      <c r="A35" s="91" t="s">
        <v>137</v>
      </c>
      <c r="B35" s="60" t="s">
        <v>138</v>
      </c>
      <c r="C35" s="61" t="s">
        <v>88</v>
      </c>
      <c r="D35" s="62"/>
      <c r="E35" s="61"/>
      <c r="F35" s="63">
        <f>G34+TIME(1,0,0)</f>
        <v>44097.75</v>
      </c>
      <c r="G35" s="63">
        <f>F35+TIME(3,0,0)</f>
        <v>44097.875</v>
      </c>
      <c r="H35" s="64">
        <f t="shared" si="0"/>
        <v>0.125</v>
      </c>
      <c r="I35" s="65"/>
      <c r="J35" s="65"/>
      <c r="K35" s="66" t="str">
        <f t="shared" si="9"/>
        <v/>
      </c>
      <c r="L35" s="67" t="str">
        <f t="shared" si="10"/>
        <v/>
      </c>
      <c r="M35" s="67"/>
      <c r="N35" s="68"/>
      <c r="O35" s="69"/>
      <c r="P35" s="69"/>
    </row>
    <row r="36" spans="1:16" s="70" customFormat="1" ht="30.6" customHeight="1" x14ac:dyDescent="0.4">
      <c r="A36" s="91" t="s">
        <v>137</v>
      </c>
      <c r="B36" s="60" t="s">
        <v>139</v>
      </c>
      <c r="C36" s="61" t="s">
        <v>88</v>
      </c>
      <c r="D36" s="62"/>
      <c r="E36" s="61"/>
      <c r="F36" s="63">
        <f>G24+TIME(0,0,0)</f>
        <v>44097.333333333336</v>
      </c>
      <c r="G36" s="63">
        <f>F36+TIME(3,0,0)</f>
        <v>44097.458333333336</v>
      </c>
      <c r="H36" s="64">
        <f t="shared" si="0"/>
        <v>0.125</v>
      </c>
      <c r="I36" s="65"/>
      <c r="J36" s="65"/>
      <c r="K36" s="66" t="str">
        <f t="shared" si="9"/>
        <v/>
      </c>
      <c r="L36" s="67" t="str">
        <f t="shared" si="2"/>
        <v/>
      </c>
      <c r="M36" s="67"/>
      <c r="N36" s="68"/>
      <c r="O36" s="69"/>
      <c r="P36" s="69"/>
    </row>
    <row r="37" spans="1:16" s="70" customFormat="1" ht="30.6" customHeight="1" x14ac:dyDescent="0.4">
      <c r="A37" s="91" t="s">
        <v>140</v>
      </c>
      <c r="B37" s="60" t="s">
        <v>141</v>
      </c>
      <c r="C37" s="61" t="s">
        <v>129</v>
      </c>
      <c r="D37" s="62"/>
      <c r="E37" s="61"/>
      <c r="F37" s="63">
        <f>G35+TIME(0,0,0)</f>
        <v>44097.875</v>
      </c>
      <c r="G37" s="63">
        <f>F37+TIME(3,0,0)</f>
        <v>44098</v>
      </c>
      <c r="H37" s="64">
        <f t="shared" si="0"/>
        <v>0.125</v>
      </c>
      <c r="I37" s="65"/>
      <c r="J37" s="65"/>
      <c r="K37" s="66" t="str">
        <f t="shared" si="9"/>
        <v/>
      </c>
      <c r="L37" s="67" t="str">
        <f t="shared" si="2"/>
        <v/>
      </c>
      <c r="M37" s="67"/>
      <c r="N37" s="92"/>
      <c r="O37" s="69"/>
      <c r="P37" s="69"/>
    </row>
    <row r="38" spans="1:16" s="70" customFormat="1" ht="43.5" customHeight="1" x14ac:dyDescent="0.4">
      <c r="A38" s="91" t="s">
        <v>142</v>
      </c>
      <c r="B38" s="60" t="s">
        <v>143</v>
      </c>
      <c r="C38" s="61" t="s">
        <v>129</v>
      </c>
      <c r="D38" s="62"/>
      <c r="E38" s="61"/>
      <c r="F38" s="63">
        <f>$B$3-DAY(2)+TIME(2,0,0)</f>
        <v>44097.416666666672</v>
      </c>
      <c r="G38" s="63">
        <f>F38+TIME(3,0,0)</f>
        <v>44097.541666666672</v>
      </c>
      <c r="H38" s="64">
        <f t="shared" si="0"/>
        <v>0.125</v>
      </c>
      <c r="I38" s="65"/>
      <c r="J38" s="65"/>
      <c r="K38" s="66" t="str">
        <f t="shared" si="9"/>
        <v/>
      </c>
      <c r="L38" s="67" t="str">
        <f t="shared" si="2"/>
        <v/>
      </c>
      <c r="M38" s="67"/>
      <c r="N38" s="68"/>
      <c r="O38" s="69"/>
      <c r="P38" s="69"/>
    </row>
    <row r="39" spans="1:16" s="70" customFormat="1" ht="30.6" customHeight="1" x14ac:dyDescent="0.4">
      <c r="A39" s="91" t="s">
        <v>144</v>
      </c>
      <c r="B39" s="60" t="s">
        <v>145</v>
      </c>
      <c r="C39" s="61" t="s">
        <v>77</v>
      </c>
      <c r="D39" s="62"/>
      <c r="E39" s="61"/>
      <c r="F39" s="63">
        <f>G37+TIME(0,0,0)</f>
        <v>44098</v>
      </c>
      <c r="G39" s="63">
        <f>F39+TIME(4,0,0)</f>
        <v>44098.166666666664</v>
      </c>
      <c r="H39" s="64">
        <f t="shared" si="0"/>
        <v>0.16666666666424135</v>
      </c>
      <c r="I39" s="65"/>
      <c r="J39" s="65"/>
      <c r="K39" s="66" t="str">
        <f t="shared" si="9"/>
        <v/>
      </c>
      <c r="L39" s="67" t="str">
        <f t="shared" si="2"/>
        <v/>
      </c>
      <c r="M39" s="67"/>
      <c r="N39" s="68"/>
      <c r="O39" s="69"/>
      <c r="P39" s="69"/>
    </row>
    <row r="40" spans="1:16" s="70" customFormat="1" ht="30.6" customHeight="1" x14ac:dyDescent="0.4">
      <c r="A40" s="93" t="s">
        <v>146</v>
      </c>
      <c r="B40" s="94" t="s">
        <v>147</v>
      </c>
      <c r="C40" s="95" t="s">
        <v>77</v>
      </c>
      <c r="D40" s="96"/>
      <c r="E40" s="95"/>
      <c r="F40" s="97">
        <f>G36+TIME(0,0,0)</f>
        <v>44097.458333333336</v>
      </c>
      <c r="G40" s="97">
        <f>F40+TIME(4,0,0)</f>
        <v>44097.625</v>
      </c>
      <c r="H40" s="98">
        <f t="shared" si="0"/>
        <v>0.16666666666424135</v>
      </c>
      <c r="I40" s="65" t="s">
        <v>148</v>
      </c>
      <c r="J40" s="65"/>
      <c r="K40" s="66" t="str">
        <f t="shared" si="9"/>
        <v/>
      </c>
      <c r="L40" s="67" t="str">
        <f t="shared" si="2"/>
        <v/>
      </c>
      <c r="M40" s="67"/>
      <c r="N40" s="92"/>
      <c r="O40" s="69"/>
      <c r="P40" s="69"/>
    </row>
    <row r="41" spans="1:16" s="70" customFormat="1" ht="36.6" customHeight="1" x14ac:dyDescent="0.4">
      <c r="A41" s="71" t="s">
        <v>149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7"/>
    </row>
    <row r="42" spans="1:16" s="70" customFormat="1" ht="30.6" customHeight="1" x14ac:dyDescent="0.4">
      <c r="A42" s="79" t="s">
        <v>150</v>
      </c>
      <c r="B42" s="80" t="s">
        <v>151</v>
      </c>
      <c r="C42" s="81" t="s">
        <v>88</v>
      </c>
      <c r="D42" s="82" t="s">
        <v>7</v>
      </c>
      <c r="E42" s="81"/>
      <c r="F42" s="83">
        <f>B3-DAY(1)+TIME(0,0,0)</f>
        <v>44098.333333333336</v>
      </c>
      <c r="G42" s="83">
        <f>F42+TIME(1,0,0)</f>
        <v>44098.375</v>
      </c>
      <c r="H42" s="84">
        <f t="shared" ref="H42:H55" si="11">G42-F42</f>
        <v>4.1666666664241347E-2</v>
      </c>
      <c r="I42" s="65"/>
      <c r="J42" s="65"/>
      <c r="K42" s="66"/>
      <c r="L42" s="67"/>
      <c r="M42" s="67"/>
      <c r="N42" s="68"/>
      <c r="O42" s="68"/>
      <c r="P42" s="68"/>
    </row>
    <row r="43" spans="1:16" s="70" customFormat="1" ht="30.6" customHeight="1" x14ac:dyDescent="0.4">
      <c r="A43" s="91" t="s">
        <v>152</v>
      </c>
      <c r="B43" s="60" t="s">
        <v>153</v>
      </c>
      <c r="C43" s="61" t="s">
        <v>73</v>
      </c>
      <c r="D43" s="62"/>
      <c r="E43" s="61"/>
      <c r="F43" s="63">
        <f>B3-DAY(1)+TIME(0,0,0)</f>
        <v>44098.333333333336</v>
      </c>
      <c r="G43" s="63">
        <f>F43+TIME(4,0,0)</f>
        <v>44098.5</v>
      </c>
      <c r="H43" s="64">
        <f t="shared" si="11"/>
        <v>0.16666666666424135</v>
      </c>
      <c r="I43" s="65"/>
      <c r="J43" s="65"/>
      <c r="K43" s="66" t="str">
        <f t="shared" ref="K43:K49" si="12">IF(J43&lt;&gt;"",J43-I43,"")</f>
        <v/>
      </c>
      <c r="L43" s="67" t="str">
        <f t="shared" ref="L43:L49" si="13">IF(J43&lt;&gt;"", "완료","")</f>
        <v/>
      </c>
      <c r="M43" s="67"/>
      <c r="N43" s="68"/>
      <c r="O43" s="69"/>
      <c r="P43" s="69"/>
    </row>
    <row r="44" spans="1:16" s="70" customFormat="1" ht="30.6" customHeight="1" x14ac:dyDescent="0.4">
      <c r="A44" s="93" t="s">
        <v>154</v>
      </c>
      <c r="B44" s="94" t="s">
        <v>155</v>
      </c>
      <c r="C44" s="95" t="s">
        <v>73</v>
      </c>
      <c r="D44" s="96"/>
      <c r="E44" s="95"/>
      <c r="F44" s="97">
        <f>G40+TIME(0,0,0)</f>
        <v>44097.625</v>
      </c>
      <c r="G44" s="97">
        <f>F44+TIME(12,0,0)</f>
        <v>44098.125</v>
      </c>
      <c r="H44" s="98">
        <f t="shared" si="11"/>
        <v>0.5</v>
      </c>
      <c r="I44" s="65" t="s">
        <v>148</v>
      </c>
      <c r="J44" s="65"/>
      <c r="K44" s="66" t="str">
        <f t="shared" si="12"/>
        <v/>
      </c>
      <c r="L44" s="67" t="str">
        <f t="shared" si="13"/>
        <v/>
      </c>
      <c r="M44" s="67"/>
      <c r="N44" s="68"/>
      <c r="O44" s="69"/>
      <c r="P44" s="69"/>
    </row>
    <row r="45" spans="1:16" s="70" customFormat="1" ht="30.6" customHeight="1" x14ac:dyDescent="0.4">
      <c r="A45" s="79" t="s">
        <v>156</v>
      </c>
      <c r="B45" s="80" t="s">
        <v>107</v>
      </c>
      <c r="C45" s="81" t="s">
        <v>88</v>
      </c>
      <c r="D45" s="82" t="s">
        <v>7</v>
      </c>
      <c r="E45" s="81"/>
      <c r="F45" s="83">
        <f>MAXA(G43:G44)+TIME(0,2,0)</f>
        <v>44098.501388888886</v>
      </c>
      <c r="G45" s="83">
        <f>F45+TIME(0,5,0)</f>
        <v>44098.504861111105</v>
      </c>
      <c r="H45" s="84">
        <f t="shared" si="11"/>
        <v>3.4722222189884633E-3</v>
      </c>
      <c r="I45" s="65"/>
      <c r="J45" s="65"/>
      <c r="K45" s="66"/>
      <c r="L45" s="67"/>
      <c r="M45" s="67"/>
      <c r="N45" s="68"/>
      <c r="O45" s="68"/>
      <c r="P45" s="68"/>
    </row>
    <row r="46" spans="1:16" s="70" customFormat="1" ht="30.6" customHeight="1" x14ac:dyDescent="0.4">
      <c r="A46" s="93" t="s">
        <v>157</v>
      </c>
      <c r="B46" s="94" t="s">
        <v>112</v>
      </c>
      <c r="C46" s="95" t="s">
        <v>113</v>
      </c>
      <c r="D46" s="96"/>
      <c r="E46" s="95"/>
      <c r="F46" s="97">
        <f>G44+TIME(0,0,0)</f>
        <v>44098.125</v>
      </c>
      <c r="G46" s="97">
        <f>F46+TIME(10,0,0)</f>
        <v>44098.541666666664</v>
      </c>
      <c r="H46" s="98">
        <f t="shared" si="11"/>
        <v>0.41666666666424135</v>
      </c>
      <c r="I46" s="65" t="s">
        <v>158</v>
      </c>
      <c r="J46" s="65"/>
      <c r="K46" s="66" t="str">
        <f t="shared" si="12"/>
        <v/>
      </c>
      <c r="L46" s="67" t="str">
        <f t="shared" si="13"/>
        <v/>
      </c>
      <c r="M46" s="67"/>
      <c r="N46" s="92"/>
      <c r="O46" s="69"/>
      <c r="P46" s="69"/>
    </row>
    <row r="47" spans="1:16" s="70" customFormat="1" ht="30.6" customHeight="1" x14ac:dyDescent="0.4">
      <c r="A47" s="91" t="s">
        <v>159</v>
      </c>
      <c r="B47" s="60" t="s">
        <v>160</v>
      </c>
      <c r="C47" s="61" t="s">
        <v>113</v>
      </c>
      <c r="D47" s="62"/>
      <c r="E47" s="61"/>
      <c r="F47" s="63">
        <f>MAXA(G45,G44)+TIME(0,3,0)</f>
        <v>44098.506944444438</v>
      </c>
      <c r="G47" s="63">
        <f>F47+TIME(3,50,0)</f>
        <v>44098.666666666657</v>
      </c>
      <c r="H47" s="64">
        <f t="shared" si="11"/>
        <v>0.15972222221898846</v>
      </c>
      <c r="I47" s="65"/>
      <c r="J47" s="65"/>
      <c r="K47" s="66" t="str">
        <f t="shared" si="12"/>
        <v/>
      </c>
      <c r="L47" s="67" t="str">
        <f t="shared" si="13"/>
        <v/>
      </c>
      <c r="M47" s="67"/>
      <c r="N47" s="68"/>
      <c r="O47" s="69"/>
      <c r="P47" s="69"/>
    </row>
    <row r="48" spans="1:16" s="70" customFormat="1" ht="30.6" customHeight="1" x14ac:dyDescent="0.4">
      <c r="A48" s="91" t="s">
        <v>161</v>
      </c>
      <c r="B48" s="60" t="s">
        <v>117</v>
      </c>
      <c r="C48" s="61" t="s">
        <v>113</v>
      </c>
      <c r="D48" s="62"/>
      <c r="E48" s="61"/>
      <c r="F48" s="63">
        <f>MAXA(G45,G44)+TIME(0,3,0)</f>
        <v>44098.506944444438</v>
      </c>
      <c r="G48" s="63">
        <f>F48+TIME(3,50,0)</f>
        <v>44098.666666666657</v>
      </c>
      <c r="H48" s="64">
        <f t="shared" si="11"/>
        <v>0.15972222221898846</v>
      </c>
      <c r="I48" s="65"/>
      <c r="J48" s="65"/>
      <c r="K48" s="66" t="str">
        <f t="shared" si="12"/>
        <v/>
      </c>
      <c r="L48" s="67" t="str">
        <f t="shared" si="13"/>
        <v/>
      </c>
      <c r="M48" s="67"/>
      <c r="N48" s="92"/>
      <c r="O48" s="69"/>
      <c r="P48" s="69"/>
    </row>
    <row r="49" spans="1:16" s="70" customFormat="1" ht="53.25" customHeight="1" x14ac:dyDescent="0.4">
      <c r="A49" s="91" t="s">
        <v>162</v>
      </c>
      <c r="B49" s="60" t="s">
        <v>163</v>
      </c>
      <c r="C49" s="61" t="s">
        <v>113</v>
      </c>
      <c r="D49" s="62"/>
      <c r="E49" s="61"/>
      <c r="F49" s="63">
        <f>MAXA(G45,G44)+TIME(0,3,0)</f>
        <v>44098.506944444438</v>
      </c>
      <c r="G49" s="63">
        <f>F49+TIME(3,10,0)</f>
        <v>44098.638888888883</v>
      </c>
      <c r="H49" s="64">
        <f t="shared" si="11"/>
        <v>0.13194444444525288</v>
      </c>
      <c r="I49" s="65"/>
      <c r="J49" s="65"/>
      <c r="K49" s="66" t="str">
        <f t="shared" si="12"/>
        <v/>
      </c>
      <c r="L49" s="67" t="str">
        <f t="shared" si="13"/>
        <v/>
      </c>
      <c r="M49" s="67"/>
      <c r="N49" s="68"/>
      <c r="O49" s="69"/>
      <c r="P49" s="69"/>
    </row>
    <row r="50" spans="1:16" s="70" customFormat="1" ht="39.75" customHeight="1" x14ac:dyDescent="0.4">
      <c r="A50" s="79" t="s">
        <v>164</v>
      </c>
      <c r="B50" s="80" t="s">
        <v>121</v>
      </c>
      <c r="C50" s="81" t="s">
        <v>88</v>
      </c>
      <c r="D50" s="82" t="s">
        <v>7</v>
      </c>
      <c r="E50" s="81"/>
      <c r="F50" s="83">
        <f>MAXA(G47:G49)+TIME(0,2,0)</f>
        <v>44098.668055555543</v>
      </c>
      <c r="G50" s="83">
        <f>F50+TIME(0,3,0)</f>
        <v>44098.670138888876</v>
      </c>
      <c r="H50" s="84">
        <f t="shared" si="11"/>
        <v>2.0833333328482695E-3</v>
      </c>
      <c r="I50" s="65"/>
      <c r="J50" s="65"/>
      <c r="K50" s="66"/>
      <c r="L50" s="67"/>
      <c r="M50" s="67"/>
      <c r="N50" s="68"/>
      <c r="O50" s="69"/>
      <c r="P50" s="69"/>
    </row>
    <row r="51" spans="1:16" s="70" customFormat="1" ht="39.75" customHeight="1" x14ac:dyDescent="0.4">
      <c r="A51" s="79" t="s">
        <v>165</v>
      </c>
      <c r="B51" s="80" t="s">
        <v>166</v>
      </c>
      <c r="C51" s="81" t="s">
        <v>88</v>
      </c>
      <c r="D51" s="82" t="s">
        <v>7</v>
      </c>
      <c r="E51" s="81"/>
      <c r="F51" s="83">
        <f>G50-TIME(0,30,0)</f>
        <v>44098.64930555554</v>
      </c>
      <c r="G51" s="83">
        <f>F51+TIME(0,3,0)</f>
        <v>44098.651388888873</v>
      </c>
      <c r="H51" s="84">
        <f t="shared" si="11"/>
        <v>2.0833333328482695E-3</v>
      </c>
      <c r="I51" s="65"/>
      <c r="J51" s="65"/>
      <c r="K51" s="66"/>
      <c r="L51" s="67"/>
      <c r="M51" s="67"/>
      <c r="N51" s="68"/>
      <c r="O51" s="69"/>
      <c r="P51" s="69"/>
    </row>
    <row r="52" spans="1:16" s="70" customFormat="1" ht="53.25" customHeight="1" x14ac:dyDescent="0.4">
      <c r="A52" s="91" t="s">
        <v>167</v>
      </c>
      <c r="B52" s="60" t="s">
        <v>168</v>
      </c>
      <c r="C52" s="61" t="s">
        <v>129</v>
      </c>
      <c r="D52" s="62"/>
      <c r="E52" s="61"/>
      <c r="F52" s="63">
        <f>MAXA(G49,G47:G48)+TIME(0,5,0)</f>
        <v>44098.670138888876</v>
      </c>
      <c r="G52" s="63">
        <f>F52+TIME(2,0,0)</f>
        <v>44098.753472222212</v>
      </c>
      <c r="H52" s="64">
        <f t="shared" si="11"/>
        <v>8.3333333335758653E-2</v>
      </c>
      <c r="I52" s="65"/>
      <c r="J52" s="65"/>
      <c r="K52" s="66"/>
      <c r="L52" s="67"/>
      <c r="M52" s="67"/>
      <c r="N52" s="68"/>
      <c r="O52" s="69"/>
      <c r="P52" s="69"/>
    </row>
    <row r="53" spans="1:16" s="70" customFormat="1" ht="53.25" customHeight="1" x14ac:dyDescent="0.4">
      <c r="A53" s="91" t="s">
        <v>169</v>
      </c>
      <c r="B53" s="60" t="s">
        <v>170</v>
      </c>
      <c r="C53" s="61" t="s">
        <v>88</v>
      </c>
      <c r="D53" s="62"/>
      <c r="E53" s="61"/>
      <c r="F53" s="63">
        <f>MAXA(G50,G47:G49)+TIME(0,5,0)</f>
        <v>44098.673611111095</v>
      </c>
      <c r="G53" s="63">
        <f>F53+TIME(4,0,0)</f>
        <v>44098.840277777759</v>
      </c>
      <c r="H53" s="64">
        <f t="shared" si="11"/>
        <v>0.16666666666424135</v>
      </c>
      <c r="I53" s="65"/>
      <c r="J53" s="65"/>
      <c r="K53" s="66"/>
      <c r="L53" s="67"/>
      <c r="M53" s="67"/>
      <c r="N53" s="68"/>
      <c r="O53" s="69"/>
      <c r="P53" s="69"/>
    </row>
    <row r="54" spans="1:16" s="70" customFormat="1" ht="39.75" customHeight="1" x14ac:dyDescent="0.4">
      <c r="A54" s="79" t="s">
        <v>171</v>
      </c>
      <c r="B54" s="80" t="s">
        <v>172</v>
      </c>
      <c r="C54" s="81" t="s">
        <v>88</v>
      </c>
      <c r="D54" s="82" t="s">
        <v>7</v>
      </c>
      <c r="E54" s="81"/>
      <c r="F54" s="83">
        <f>MAXA(G50:G53)+TIME(0,2,0)</f>
        <v>44098.841666666645</v>
      </c>
      <c r="G54" s="83">
        <f>F54+TIME(0,3,0)</f>
        <v>44098.843749999978</v>
      </c>
      <c r="H54" s="84">
        <f t="shared" si="11"/>
        <v>2.0833333328482695E-3</v>
      </c>
      <c r="I54" s="65"/>
      <c r="J54" s="65"/>
      <c r="K54" s="66"/>
      <c r="L54" s="67"/>
      <c r="M54" s="67"/>
      <c r="N54" s="68"/>
      <c r="O54" s="69"/>
      <c r="P54" s="69"/>
    </row>
    <row r="55" spans="1:16" s="70" customFormat="1" ht="36.6" customHeight="1" x14ac:dyDescent="0.4">
      <c r="A55" s="91" t="s">
        <v>173</v>
      </c>
      <c r="B55" s="60" t="s">
        <v>174</v>
      </c>
      <c r="C55" s="61" t="s">
        <v>77</v>
      </c>
      <c r="D55" s="62"/>
      <c r="E55" s="61"/>
      <c r="F55" s="63">
        <f>B3-DAY(1)+TIME(1,0,0)</f>
        <v>44098.375</v>
      </c>
      <c r="G55" s="63">
        <f>F55+TIME(8,0,0)</f>
        <v>44098.708333333336</v>
      </c>
      <c r="H55" s="64">
        <f t="shared" si="11"/>
        <v>0.33333333333575865</v>
      </c>
      <c r="I55" s="65"/>
      <c r="J55" s="65"/>
      <c r="K55" s="66" t="str">
        <f t="shared" ref="K55:K58" si="14">IF(J55&lt;&gt;"",J55-I55,"")</f>
        <v/>
      </c>
      <c r="L55" s="61" t="str">
        <f t="shared" ref="L55:L58" si="15">IF(J55&lt;&gt;"", "완료","")</f>
        <v/>
      </c>
      <c r="M55" s="61"/>
      <c r="N55" s="75"/>
      <c r="O55" s="69"/>
      <c r="P55" s="69"/>
    </row>
    <row r="56" spans="1:16" s="70" customFormat="1" ht="36.6" customHeight="1" x14ac:dyDescent="0.4">
      <c r="A56" s="91" t="s">
        <v>175</v>
      </c>
      <c r="B56" s="60" t="s">
        <v>176</v>
      </c>
      <c r="C56" s="61" t="s">
        <v>77</v>
      </c>
      <c r="D56" s="62"/>
      <c r="E56" s="61"/>
      <c r="F56" s="63">
        <f>B3-DAY(1)+TIME(1,0,0)</f>
        <v>44098.375</v>
      </c>
      <c r="G56" s="63">
        <f>F56+TIME(8,0,0)</f>
        <v>44098.708333333336</v>
      </c>
      <c r="H56" s="64">
        <f>G56-F56</f>
        <v>0.33333333333575865</v>
      </c>
      <c r="I56" s="65"/>
      <c r="J56" s="65"/>
      <c r="K56" s="66" t="str">
        <f t="shared" si="14"/>
        <v/>
      </c>
      <c r="L56" s="61" t="str">
        <f t="shared" si="15"/>
        <v/>
      </c>
      <c r="M56" s="61"/>
      <c r="N56" s="75"/>
      <c r="O56" s="69"/>
      <c r="P56" s="69"/>
    </row>
    <row r="57" spans="1:16" s="70" customFormat="1" ht="36.6" customHeight="1" x14ac:dyDescent="0.4">
      <c r="A57" s="91" t="s">
        <v>177</v>
      </c>
      <c r="B57" s="60" t="s">
        <v>178</v>
      </c>
      <c r="C57" s="61" t="s">
        <v>77</v>
      </c>
      <c r="D57" s="61"/>
      <c r="E57" s="61"/>
      <c r="F57" s="63">
        <f>B3-DAY(1)+TIME(1,0,0)</f>
        <v>44098.375</v>
      </c>
      <c r="G57" s="63">
        <f>F57+TIME(8,0,0)</f>
        <v>44098.708333333336</v>
      </c>
      <c r="H57" s="64">
        <f t="shared" ref="H57:H60" si="16">G57-F57</f>
        <v>0.33333333333575865</v>
      </c>
      <c r="I57" s="65"/>
      <c r="J57" s="65"/>
      <c r="K57" s="66" t="str">
        <f t="shared" si="14"/>
        <v/>
      </c>
      <c r="L57" s="67" t="str">
        <f t="shared" si="15"/>
        <v/>
      </c>
      <c r="M57" s="67"/>
      <c r="N57" s="68"/>
      <c r="O57" s="69"/>
      <c r="P57" s="69"/>
    </row>
    <row r="58" spans="1:16" s="70" customFormat="1" ht="36.6" customHeight="1" x14ac:dyDescent="0.4">
      <c r="A58" s="91" t="s">
        <v>177</v>
      </c>
      <c r="B58" s="60" t="s">
        <v>179</v>
      </c>
      <c r="C58" s="61" t="s">
        <v>77</v>
      </c>
      <c r="D58" s="61"/>
      <c r="E58" s="61"/>
      <c r="F58" s="63">
        <f>B3-DAY(1)+TIME(1,0,0)</f>
        <v>44098.375</v>
      </c>
      <c r="G58" s="63">
        <f>F58+TIME(8,0,0)</f>
        <v>44098.708333333336</v>
      </c>
      <c r="H58" s="64">
        <f t="shared" si="16"/>
        <v>0.33333333333575865</v>
      </c>
      <c r="I58" s="65"/>
      <c r="J58" s="65"/>
      <c r="K58" s="66" t="str">
        <f t="shared" si="14"/>
        <v/>
      </c>
      <c r="L58" s="67" t="str">
        <f t="shared" si="15"/>
        <v/>
      </c>
      <c r="M58" s="67"/>
      <c r="N58" s="68"/>
      <c r="O58" s="69"/>
      <c r="P58" s="69"/>
    </row>
    <row r="59" spans="1:16" s="70" customFormat="1" ht="39.75" customHeight="1" x14ac:dyDescent="0.4">
      <c r="A59" s="79" t="s">
        <v>180</v>
      </c>
      <c r="B59" s="80" t="s">
        <v>181</v>
      </c>
      <c r="C59" s="81" t="s">
        <v>88</v>
      </c>
      <c r="D59" s="82" t="s">
        <v>182</v>
      </c>
      <c r="E59" s="81"/>
      <c r="F59" s="83">
        <f>MAXA(G52:G58)+TIME(0,0,0)</f>
        <v>44098.843749999978</v>
      </c>
      <c r="G59" s="83">
        <f>F59+TIME(0,10,0)</f>
        <v>44098.850694444423</v>
      </c>
      <c r="H59" s="84">
        <f t="shared" si="16"/>
        <v>6.9444444452528842E-3</v>
      </c>
      <c r="I59" s="65"/>
      <c r="J59" s="65"/>
      <c r="K59" s="66"/>
      <c r="L59" s="67"/>
      <c r="M59" s="67"/>
      <c r="N59" s="68"/>
      <c r="O59" s="69"/>
      <c r="P59" s="69"/>
    </row>
    <row r="60" spans="1:16" s="70" customFormat="1" ht="48" customHeight="1" x14ac:dyDescent="0.4">
      <c r="A60" s="79" t="s">
        <v>183</v>
      </c>
      <c r="B60" s="80" t="s">
        <v>184</v>
      </c>
      <c r="C60" s="81" t="s">
        <v>88</v>
      </c>
      <c r="D60" s="82" t="s">
        <v>182</v>
      </c>
      <c r="E60" s="81"/>
      <c r="F60" s="83">
        <f>G59+TIME(0,0,0)</f>
        <v>44098.850694444423</v>
      </c>
      <c r="G60" s="83">
        <f>F60+TIME(4,0,0)</f>
        <v>44099.017361111088</v>
      </c>
      <c r="H60" s="84">
        <f t="shared" si="16"/>
        <v>0.16666666666424135</v>
      </c>
      <c r="I60" s="65"/>
      <c r="J60" s="65"/>
      <c r="K60" s="66"/>
      <c r="L60" s="67"/>
      <c r="M60" s="67"/>
      <c r="N60" s="68"/>
      <c r="O60" s="68"/>
      <c r="P60" s="68"/>
    </row>
    <row r="61" spans="1:16" s="70" customFormat="1" ht="36.6" customHeight="1" x14ac:dyDescent="0.4">
      <c r="A61" s="71" t="s">
        <v>185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7"/>
    </row>
    <row r="62" spans="1:16" s="70" customFormat="1" ht="39.75" customHeight="1" x14ac:dyDescent="0.4">
      <c r="A62" s="79" t="s">
        <v>186</v>
      </c>
      <c r="B62" s="80" t="s">
        <v>187</v>
      </c>
      <c r="C62" s="81" t="s">
        <v>88</v>
      </c>
      <c r="D62" s="82" t="s">
        <v>182</v>
      </c>
      <c r="E62" s="81"/>
      <c r="F62" s="83">
        <f>B3-TIME(1,0,0)</f>
        <v>44099.291666666672</v>
      </c>
      <c r="G62" s="83">
        <f>F62+TIME(0,30,0)</f>
        <v>44099.312500000007</v>
      </c>
      <c r="H62" s="84">
        <f t="shared" ref="H62" si="17">G62-F62</f>
        <v>2.0833333335758653E-2</v>
      </c>
      <c r="I62" s="65"/>
      <c r="J62" s="65"/>
      <c r="K62" s="66"/>
      <c r="L62" s="67"/>
      <c r="M62" s="67"/>
      <c r="N62" s="68"/>
      <c r="O62" s="69"/>
      <c r="P62" s="69"/>
    </row>
    <row r="63" spans="1:16" s="105" customFormat="1" ht="30.6" customHeight="1" x14ac:dyDescent="0.4">
      <c r="A63" s="99" t="s">
        <v>188</v>
      </c>
      <c r="B63" s="100" t="s">
        <v>189</v>
      </c>
      <c r="C63" s="101"/>
      <c r="D63" s="101"/>
      <c r="E63" s="101"/>
      <c r="F63" s="102">
        <f>G62</f>
        <v>44099.312500000007</v>
      </c>
      <c r="G63" s="102">
        <f>F63+TIME(1,0,0)</f>
        <v>44099.354166666672</v>
      </c>
      <c r="H63" s="103">
        <f t="shared" si="0"/>
        <v>4.1666666664241347E-2</v>
      </c>
      <c r="I63" s="102"/>
      <c r="J63" s="102"/>
      <c r="K63" s="103" t="str">
        <f t="shared" si="6"/>
        <v/>
      </c>
      <c r="L63" s="101" t="str">
        <f t="shared" si="2"/>
        <v/>
      </c>
      <c r="M63" s="101"/>
      <c r="N63" s="104"/>
      <c r="O63" s="104"/>
      <c r="P63" s="104"/>
    </row>
    <row r="64" spans="1:16" ht="30.6" customHeight="1" x14ac:dyDescent="0.4">
      <c r="A64" s="91" t="s">
        <v>190</v>
      </c>
      <c r="B64" s="106"/>
      <c r="C64" s="61"/>
      <c r="D64" s="61"/>
      <c r="E64" s="61"/>
      <c r="F64" s="107">
        <f t="shared" ref="F64" si="18">G63+TIME(0,0,0)</f>
        <v>44099.354166666672</v>
      </c>
      <c r="G64" s="107"/>
      <c r="H64" s="108"/>
      <c r="I64" s="109"/>
      <c r="J64" s="109"/>
      <c r="K64" s="108" t="str">
        <f t="shared" si="6"/>
        <v/>
      </c>
      <c r="L64" s="61" t="str">
        <f t="shared" si="2"/>
        <v/>
      </c>
      <c r="M64" s="61"/>
      <c r="N64" s="75"/>
      <c r="O64" s="69"/>
      <c r="P64" s="69"/>
    </row>
  </sheetData>
  <autoFilter ref="A4:P64"/>
  <mergeCells count="8">
    <mergeCell ref="A41:P41"/>
    <mergeCell ref="A61:P61"/>
    <mergeCell ref="D3:E3"/>
    <mergeCell ref="F3:H3"/>
    <mergeCell ref="I3:K3"/>
    <mergeCell ref="A6:P6"/>
    <mergeCell ref="A16:P16"/>
    <mergeCell ref="A33:P33"/>
  </mergeCells>
  <phoneticPr fontId="1" type="noConversion"/>
  <dataValidations count="1">
    <dataValidation type="list" allowBlank="1" showInputMessage="1" showErrorMessage="1" sqref="C5 C34:C40 C42:C60 C17:C32 C62 C7:C15">
      <formula1>"실사,IT,현장,정리"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8"/>
  <sheetViews>
    <sheetView workbookViewId="0">
      <selection activeCell="R22" sqref="R22:S23"/>
    </sheetView>
  </sheetViews>
  <sheetFormatPr defaultRowHeight="17.399999999999999" x14ac:dyDescent="0.4"/>
  <cols>
    <col min="1" max="2" width="2.69921875" customWidth="1"/>
    <col min="4" max="7" width="10.59765625" customWidth="1"/>
    <col min="8" max="8" width="13" customWidth="1"/>
    <col min="9" max="9" width="10.59765625" customWidth="1"/>
    <col min="10" max="10" width="13" customWidth="1"/>
    <col min="11" max="13" width="10.59765625" customWidth="1"/>
  </cols>
  <sheetData>
    <row r="3" spans="2:13" x14ac:dyDescent="0.4">
      <c r="B3" t="s">
        <v>191</v>
      </c>
    </row>
    <row r="4" spans="2:13" ht="18" thickBot="1" x14ac:dyDescent="0.45">
      <c r="C4" t="s">
        <v>192</v>
      </c>
    </row>
    <row r="5" spans="2:13" ht="20.100000000000001" customHeight="1" x14ac:dyDescent="0.4">
      <c r="C5" s="111" t="s">
        <v>193</v>
      </c>
      <c r="D5" s="112" t="s">
        <v>194</v>
      </c>
      <c r="E5" s="112" t="s">
        <v>196</v>
      </c>
      <c r="F5" s="112" t="s">
        <v>198</v>
      </c>
      <c r="G5" s="112" t="s">
        <v>200</v>
      </c>
      <c r="H5" s="112" t="s">
        <v>201</v>
      </c>
      <c r="I5" s="113" t="s">
        <v>202</v>
      </c>
      <c r="J5" s="111" t="s">
        <v>203</v>
      </c>
      <c r="K5" s="112" t="s">
        <v>204</v>
      </c>
      <c r="L5" s="112" t="s">
        <v>205</v>
      </c>
      <c r="M5" s="114" t="s">
        <v>206</v>
      </c>
    </row>
    <row r="6" spans="2:13" ht="20.100000000000001" customHeight="1" x14ac:dyDescent="0.4">
      <c r="C6" s="115" t="s">
        <v>208</v>
      </c>
      <c r="D6" s="116"/>
      <c r="E6" s="117"/>
      <c r="F6" s="116"/>
      <c r="G6" s="116"/>
      <c r="H6" s="116"/>
      <c r="I6" s="118"/>
      <c r="J6" s="115" t="s">
        <v>209</v>
      </c>
      <c r="K6" s="116" t="s">
        <v>210</v>
      </c>
      <c r="L6" s="116" t="s">
        <v>211</v>
      </c>
      <c r="M6" s="119" t="s">
        <v>212</v>
      </c>
    </row>
    <row r="7" spans="2:13" ht="20.100000000000001" customHeight="1" thickBot="1" x14ac:dyDescent="0.45">
      <c r="C7" s="120" t="s">
        <v>213</v>
      </c>
      <c r="D7" s="121" t="s">
        <v>215</v>
      </c>
      <c r="E7" s="121" t="s">
        <v>217</v>
      </c>
      <c r="F7" s="121" t="s">
        <v>217</v>
      </c>
      <c r="G7" s="121" t="s">
        <v>217</v>
      </c>
      <c r="H7" s="121" t="s">
        <v>217</v>
      </c>
      <c r="I7" s="122" t="s">
        <v>217</v>
      </c>
      <c r="J7" s="123" t="s">
        <v>216</v>
      </c>
      <c r="K7" s="121" t="s">
        <v>217</v>
      </c>
      <c r="L7" s="121" t="s">
        <v>217</v>
      </c>
      <c r="M7" s="124" t="s">
        <v>217</v>
      </c>
    </row>
    <row r="8" spans="2:13" x14ac:dyDescent="0.4">
      <c r="G8" t="s">
        <v>218</v>
      </c>
      <c r="J8" s="125" t="s">
        <v>219</v>
      </c>
      <c r="K8" s="126"/>
      <c r="L8" s="126"/>
      <c r="M8" s="127"/>
    </row>
    <row r="9" spans="2:13" ht="18" thickBot="1" x14ac:dyDescent="0.45">
      <c r="J9" s="128" t="s">
        <v>220</v>
      </c>
      <c r="K9" s="129"/>
      <c r="L9" s="129"/>
      <c r="M9" s="130"/>
    </row>
    <row r="10" spans="2:13" ht="8.25" customHeight="1" x14ac:dyDescent="0.4"/>
    <row r="11" spans="2:13" ht="18" thickBot="1" x14ac:dyDescent="0.45">
      <c r="C11" t="s">
        <v>221</v>
      </c>
    </row>
    <row r="12" spans="2:13" x14ac:dyDescent="0.4">
      <c r="C12" s="111" t="s">
        <v>222</v>
      </c>
      <c r="D12" s="112" t="s">
        <v>223</v>
      </c>
      <c r="E12" s="112" t="s">
        <v>195</v>
      </c>
      <c r="F12" s="112" t="s">
        <v>197</v>
      </c>
      <c r="G12" s="112" t="s">
        <v>199</v>
      </c>
      <c r="H12" s="112" t="s">
        <v>224</v>
      </c>
      <c r="I12" s="113" t="s">
        <v>225</v>
      </c>
      <c r="J12" s="114" t="s">
        <v>226</v>
      </c>
    </row>
    <row r="13" spans="2:13" x14ac:dyDescent="0.4">
      <c r="C13" s="115" t="s">
        <v>207</v>
      </c>
      <c r="D13" s="116"/>
      <c r="E13" s="117"/>
      <c r="F13" s="116"/>
      <c r="G13" s="116"/>
      <c r="H13" s="116"/>
      <c r="I13" s="118"/>
      <c r="J13" s="119"/>
    </row>
    <row r="14" spans="2:13" ht="18" thickBot="1" x14ac:dyDescent="0.45">
      <c r="C14" s="120" t="s">
        <v>227</v>
      </c>
      <c r="D14" s="121" t="s">
        <v>214</v>
      </c>
      <c r="E14" s="121" t="s">
        <v>228</v>
      </c>
      <c r="F14" s="121" t="s">
        <v>228</v>
      </c>
      <c r="G14" s="121" t="s">
        <v>216</v>
      </c>
      <c r="H14" s="121" t="s">
        <v>216</v>
      </c>
      <c r="I14" s="122" t="s">
        <v>216</v>
      </c>
      <c r="J14" s="124" t="s">
        <v>216</v>
      </c>
    </row>
    <row r="15" spans="2:13" ht="18" thickBot="1" x14ac:dyDescent="0.45">
      <c r="J15" s="131" t="s">
        <v>229</v>
      </c>
    </row>
    <row r="17" spans="3:3" x14ac:dyDescent="0.4">
      <c r="C17" t="s">
        <v>230</v>
      </c>
    </row>
    <row r="18" spans="3:3" x14ac:dyDescent="0.4">
      <c r="C18" t="s">
        <v>231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view="pageBreakPreview" zoomScale="90" zoomScaleNormal="100" zoomScaleSheetLayoutView="90" workbookViewId="0">
      <selection activeCell="D19" sqref="D19"/>
    </sheetView>
  </sheetViews>
  <sheetFormatPr defaultRowHeight="17.399999999999999" x14ac:dyDescent="0.4"/>
  <sheetData/>
  <phoneticPr fontId="1" type="noConversion"/>
  <pageMargins left="0.7" right="0.7" top="0.75" bottom="0.75" header="0.3" footer="0.3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I22"/>
  <sheetViews>
    <sheetView showGridLines="0" zoomScaleNormal="100" zoomScaleSheetLayoutView="100" workbookViewId="0">
      <selection activeCell="E19" sqref="E19"/>
    </sheetView>
  </sheetViews>
  <sheetFormatPr defaultRowHeight="17.399999999999999" x14ac:dyDescent="0.4"/>
  <sheetData>
    <row r="15" spans="1:1" ht="27.6" x14ac:dyDescent="0.4">
      <c r="A15" s="15" t="s">
        <v>2</v>
      </c>
    </row>
    <row r="16" spans="1:1" ht="27.6" x14ac:dyDescent="0.4">
      <c r="A16" s="15"/>
    </row>
    <row r="17" spans="2:9" ht="28.8" customHeight="1" x14ac:dyDescent="0.4">
      <c r="B17" s="16"/>
      <c r="C17" s="8"/>
      <c r="D17" s="9"/>
      <c r="E17" s="10"/>
      <c r="F17" s="11"/>
      <c r="G17" s="12"/>
      <c r="H17" s="13"/>
      <c r="I17" s="14"/>
    </row>
    <row r="22" spans="2:9" ht="18.600000000000001" customHeight="1" x14ac:dyDescent="0.4"/>
  </sheetData>
  <phoneticPr fontId="1" type="noConversion"/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4</vt:i4>
      </vt:variant>
    </vt:vector>
  </HeadingPairs>
  <TitlesOfParts>
    <vt:vector size="11" baseType="lpstr">
      <vt:lpstr>Cover</vt:lpstr>
      <vt:lpstr>Revision</vt:lpstr>
      <vt:lpstr>타임스케쥴</vt:lpstr>
      <vt:lpstr>체크리스트</vt:lpstr>
      <vt:lpstr>Migration 관련</vt:lpstr>
      <vt:lpstr>Tail</vt:lpstr>
      <vt:lpstr>문서표준</vt:lpstr>
      <vt:lpstr>Cover!Print_Area</vt:lpstr>
      <vt:lpstr>Revision!Print_Area</vt:lpstr>
      <vt:lpstr>Tail!Print_Area</vt:lpstr>
      <vt:lpstr>문서표준!Print_Area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Miracom</cp:lastModifiedBy>
  <cp:lastPrinted>2025-03-17T01:12:09Z</cp:lastPrinted>
  <dcterms:created xsi:type="dcterms:W3CDTF">2017-10-17T02:20:08Z</dcterms:created>
  <dcterms:modified xsi:type="dcterms:W3CDTF">2025-06-26T07:34:07Z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