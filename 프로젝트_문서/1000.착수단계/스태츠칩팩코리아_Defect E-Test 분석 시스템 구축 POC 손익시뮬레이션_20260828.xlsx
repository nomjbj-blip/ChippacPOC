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 미라콤 자료\1. 업무자료\1. 사업 관리\24. 스태츠칩팩_BO\Auto Correlation POC\손익시뮬레이션\"/>
    </mc:Choice>
  </mc:AlternateContent>
  <bookViews>
    <workbookView xWindow="0" yWindow="0" windowWidth="2153" windowHeight="0" tabRatio="897" firstSheet="2" activeTab="2"/>
  </bookViews>
  <sheets>
    <sheet name="작성방법" sheetId="22" state="hidden" r:id="rId1"/>
    <sheet name="수주품의 Check" sheetId="28" state="hidden" r:id="rId2"/>
    <sheet name="손익시뮬레이션" sheetId="24" r:id="rId3"/>
    <sheet name="input=&gt;" sheetId="21" r:id="rId4"/>
    <sheet name="1. 판매품의서" sheetId="8" r:id="rId5"/>
    <sheet name="2. 인건비" sheetId="6" r:id="rId6"/>
    <sheet name="2-1. 사전영업비" sheetId="31" r:id="rId7"/>
    <sheet name="3. 외주비&amp;재료비" sheetId="11" r:id="rId8"/>
    <sheet name="4. 경비(실비정산성경비)" sheetId="12" r:id="rId9"/>
    <sheet name="4-1.경비_보증보험료" sheetId="32" r:id="rId10"/>
    <sheet name="4-2. 미국 L1비자 발급비용" sheetId="35" r:id="rId11"/>
    <sheet name="MESplus SE V7.2" sheetId="36" state="hidden" r:id="rId12"/>
    <sheet name="MESplus SE V7.1" sheetId="37" state="hidden" r:id="rId13"/>
    <sheet name="MESplus SE V7.0" sheetId="38" state="hidden" r:id="rId14"/>
    <sheet name="6. 청구계획" sheetId="26" r:id="rId15"/>
    <sheet name="5. 수주액 상세" sheetId="27" r:id="rId16"/>
    <sheet name="간접비 계산" sheetId="18" state="hidden" r:id="rId17"/>
    <sheet name="경비 기준" sheetId="13" state="hidden" r:id="rId18"/>
    <sheet name="보증보험요율" sheetId="33" state="hidden" r:id="rId19"/>
    <sheet name="Labor Cost_Master" sheetId="7" state="hidden" r:id="rId20"/>
    <sheet name="Benefit_Master" sheetId="10" state="hidden" r:id="rId21"/>
    <sheet name="Master" sheetId="9" state="hidden" r:id="rId22"/>
    <sheet name="Sheet1" sheetId="39" state="hidden" r:id="rId23"/>
    <sheet name="버전이력" sheetId="34" r:id="rId24"/>
    <sheet name="Labor" sheetId="2" state="hidden" r:id="rId25"/>
  </sheets>
  <definedNames>
    <definedName name="_xlnm._FilterDatabase" localSheetId="5" hidden="1">'2. 인건비'!$B$11:$DN$11</definedName>
    <definedName name="_xlnm._FilterDatabase" localSheetId="6" hidden="1">'2-1. 사전영업비'!$B$12:$BN$12</definedName>
    <definedName name="_xlnm._FilterDatabase" localSheetId="7" hidden="1">'3. 외주비&amp;재료비'!$B$5:$K$5</definedName>
    <definedName name="_xlnm._FilterDatabase" localSheetId="20" hidden="1">Benefit_Master!$A$3:$BH$135</definedName>
    <definedName name="_xlnm._FilterDatabase" localSheetId="24" hidden="1">Labor!$A$1:$M$1</definedName>
    <definedName name="_xlnm._FilterDatabase" localSheetId="19" hidden="1">'Labor Cost_Master'!$A$3:$BX$135</definedName>
    <definedName name="_xlnm._FilterDatabase" localSheetId="16" hidden="1">'간접비 계산'!$A$2:$R$2</definedName>
    <definedName name="_xlnm.Print_Area" localSheetId="4">'1. 판매품의서'!$B$2:$AE$47</definedName>
    <definedName name="_xlnm.Print_Area" localSheetId="5">'2. 인건비'!$B$1:$L$52</definedName>
    <definedName name="_xlnm.Print_Area" localSheetId="6">'2-1. 사전영업비'!$B$3:$L$20</definedName>
    <definedName name="_xlnm.Print_Area" localSheetId="7">'3. 외주비&amp;재료비'!$B$2:$L$37</definedName>
    <definedName name="_xlnm.Print_Area" localSheetId="8">'4. 경비(실비정산성경비)'!$B$1:$AI$66</definedName>
    <definedName name="_xlnm.Print_Area" localSheetId="15">'5. 수주액 상세'!$B$2:$AH$42</definedName>
    <definedName name="_xlnm.Print_Area" localSheetId="14">'6. 청구계획'!$B$1:$W$30</definedName>
    <definedName name="_xlnm.Print_Area" localSheetId="13">'MESplus SE V7.0'!$A$1:$J$51</definedName>
    <definedName name="_xlnm.Print_Area" localSheetId="12">'MESplus SE V7.1'!$A$1:$K$83</definedName>
    <definedName name="_xlnm.Print_Area" localSheetId="11">'MESplus SE V7.2'!$A$1:$K$98</definedName>
    <definedName name="_xlnm.Print_Area" localSheetId="22">Sheet1!$A$7:$C$32</definedName>
    <definedName name="_xlnm.Print_Area" localSheetId="17">'경비 기준'!$B$1:$M$84</definedName>
    <definedName name="_xlnm.Print_Area" localSheetId="2">손익시뮬레이션!$B$2:$T$44</definedName>
    <definedName name="_xlnm.Print_Area" localSheetId="0">작성방법!$B$2:$P$130</definedName>
    <definedName name="_xlnm.Print_Titles" localSheetId="7">'3. 외주비&amp;재료비'!$4:$5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8" i="26" l="1"/>
  <c r="N25" i="24" l="1"/>
  <c r="AH31" i="12" l="1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R31" i="12"/>
  <c r="Q31" i="12"/>
  <c r="P31" i="12"/>
  <c r="N31" i="12"/>
  <c r="M31" i="12"/>
  <c r="L31" i="12"/>
  <c r="J31" i="12"/>
  <c r="I31" i="12"/>
  <c r="H31" i="12"/>
  <c r="G31" i="12"/>
  <c r="F31" i="12"/>
  <c r="K5" i="32" l="1"/>
  <c r="K11" i="32" s="1"/>
  <c r="E24" i="35" l="1"/>
  <c r="Q27" i="24"/>
  <c r="P25" i="24"/>
  <c r="J8" i="26" l="1"/>
  <c r="M8" i="26" s="1"/>
  <c r="R20" i="24" l="1"/>
  <c r="Q20" i="24" s="1"/>
  <c r="E23" i="35" l="1"/>
  <c r="E22" i="35"/>
  <c r="F17" i="35"/>
  <c r="E21" i="35" l="1"/>
  <c r="Q25" i="24" l="1"/>
  <c r="M12" i="24" l="1"/>
  <c r="M26" i="24" s="1"/>
  <c r="P26" i="24" l="1"/>
  <c r="E10" i="35" l="1"/>
  <c r="G11" i="35" l="1"/>
  <c r="G12" i="35" s="1"/>
  <c r="F7" i="35"/>
  <c r="P15" i="24"/>
  <c r="N14" i="24"/>
  <c r="R24" i="24" l="1"/>
  <c r="R23" i="24"/>
  <c r="R22" i="24"/>
  <c r="R21" i="24"/>
  <c r="R18" i="24"/>
  <c r="R17" i="24"/>
  <c r="R16" i="24"/>
  <c r="R15" i="24"/>
  <c r="J22" i="12"/>
  <c r="K153" i="18" l="1"/>
  <c r="K152" i="18"/>
  <c r="K151" i="18"/>
  <c r="K150" i="18"/>
  <c r="K149" i="18"/>
  <c r="K148" i="18"/>
  <c r="K147" i="18"/>
  <c r="K146" i="18"/>
  <c r="K145" i="18"/>
  <c r="K144" i="18"/>
  <c r="K143" i="18"/>
  <c r="K142" i="18"/>
  <c r="K141" i="18"/>
  <c r="K140" i="18"/>
  <c r="K139" i="18"/>
  <c r="K138" i="18"/>
  <c r="K137" i="18"/>
  <c r="K136" i="18"/>
  <c r="K135" i="18"/>
  <c r="K134" i="18"/>
  <c r="K126" i="18"/>
  <c r="L19" i="27" l="1"/>
  <c r="L22" i="27"/>
  <c r="AE10" i="27"/>
  <c r="AE19" i="27"/>
  <c r="AE22" i="27"/>
  <c r="AE28" i="27"/>
  <c r="AE30" i="27"/>
  <c r="AE31" i="27"/>
  <c r="AE32" i="27"/>
  <c r="AE35" i="27"/>
  <c r="AE38" i="27" s="1"/>
  <c r="AE36" i="27"/>
  <c r="AE37" i="27"/>
  <c r="AE39" i="27"/>
  <c r="G173" i="18" s="1"/>
  <c r="AE40" i="27"/>
  <c r="K173" i="18" s="1"/>
  <c r="AE42" i="27"/>
  <c r="M173" i="18" s="1"/>
  <c r="J129" i="18"/>
  <c r="J126" i="18"/>
  <c r="F126" i="18" s="1"/>
  <c r="G151" i="18"/>
  <c r="H151" i="18"/>
  <c r="H61" i="18" s="1"/>
  <c r="J151" i="18"/>
  <c r="G148" i="18"/>
  <c r="H148" i="18"/>
  <c r="J148" i="18"/>
  <c r="O40" i="18"/>
  <c r="M40" i="18" s="1"/>
  <c r="M61" i="18" s="1"/>
  <c r="P40" i="18"/>
  <c r="F40" i="18" s="1"/>
  <c r="Q40" i="18"/>
  <c r="G40" i="18" s="1"/>
  <c r="R40" i="18"/>
  <c r="I40" i="18" s="1"/>
  <c r="I61" i="18" s="1"/>
  <c r="S40" i="18"/>
  <c r="K40" i="18" s="1"/>
  <c r="T40" i="18"/>
  <c r="U40" i="18"/>
  <c r="AE24" i="27" l="1"/>
  <c r="F173" i="18"/>
  <c r="G19" i="18"/>
  <c r="G61" i="18" s="1"/>
  <c r="AG42" i="27"/>
  <c r="M175" i="18" s="1"/>
  <c r="AF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Q42" i="27"/>
  <c r="P42" i="27"/>
  <c r="O42" i="27"/>
  <c r="M42" i="27"/>
  <c r="L42" i="27"/>
  <c r="K42" i="27"/>
  <c r="I42" i="27"/>
  <c r="H42" i="27"/>
  <c r="G42" i="27"/>
  <c r="F42" i="27"/>
  <c r="E42" i="27"/>
  <c r="Z37" i="8" l="1"/>
  <c r="AB37" i="8"/>
  <c r="M51" i="12" l="1"/>
  <c r="J51" i="12"/>
  <c r="I51" i="12"/>
  <c r="H51" i="12"/>
  <c r="G51" i="12"/>
  <c r="F51" i="12"/>
  <c r="F9" i="35" l="1"/>
  <c r="F8" i="35"/>
  <c r="Q23" i="24" l="1"/>
  <c r="Q18" i="24" l="1"/>
  <c r="Q15" i="24"/>
  <c r="N51" i="12" l="1"/>
  <c r="J56" i="12" l="1"/>
  <c r="H37" i="27" l="1"/>
  <c r="H40" i="27" s="1"/>
  <c r="H36" i="27"/>
  <c r="H39" i="27" s="1"/>
  <c r="H35" i="27"/>
  <c r="H38" i="27" s="1"/>
  <c r="F35" i="27"/>
  <c r="F38" i="27" s="1"/>
  <c r="G35" i="27"/>
  <c r="G38" i="27" s="1"/>
  <c r="I35" i="27"/>
  <c r="I38" i="27" s="1"/>
  <c r="K35" i="27"/>
  <c r="K38" i="27" s="1"/>
  <c r="L35" i="27"/>
  <c r="L38" i="27" s="1"/>
  <c r="M35" i="27"/>
  <c r="M38" i="27" s="1"/>
  <c r="O35" i="27"/>
  <c r="O38" i="27" s="1"/>
  <c r="P35" i="27"/>
  <c r="P38" i="27" s="1"/>
  <c r="Q35" i="27"/>
  <c r="Q38" i="27" s="1"/>
  <c r="S35" i="27"/>
  <c r="S38" i="27" s="1"/>
  <c r="T35" i="27"/>
  <c r="T38" i="27" s="1"/>
  <c r="U35" i="27"/>
  <c r="U38" i="27" s="1"/>
  <c r="V35" i="27"/>
  <c r="V38" i="27" s="1"/>
  <c r="W35" i="27"/>
  <c r="W38" i="27" s="1"/>
  <c r="X35" i="27"/>
  <c r="X38" i="27" s="1"/>
  <c r="Y35" i="27"/>
  <c r="Y38" i="27" s="1"/>
  <c r="Z35" i="27"/>
  <c r="Z38" i="27" s="1"/>
  <c r="AA35" i="27"/>
  <c r="AA38" i="27" s="1"/>
  <c r="AB35" i="27"/>
  <c r="AB38" i="27" s="1"/>
  <c r="AC35" i="27"/>
  <c r="AC38" i="27" s="1"/>
  <c r="AD35" i="27"/>
  <c r="AD38" i="27" s="1"/>
  <c r="AF35" i="27"/>
  <c r="AF38" i="27" s="1"/>
  <c r="AG35" i="27"/>
  <c r="AG38" i="27" s="1"/>
  <c r="F175" i="18" s="1"/>
  <c r="E35" i="27"/>
  <c r="E38" i="27" s="1"/>
  <c r="J153" i="18" l="1"/>
  <c r="J152" i="18"/>
  <c r="J150" i="18"/>
  <c r="J149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H134" i="18"/>
  <c r="N36" i="12" l="1"/>
  <c r="N35" i="12"/>
  <c r="G153" i="18" l="1"/>
  <c r="G152" i="18"/>
  <c r="G150" i="18"/>
  <c r="G149" i="18"/>
  <c r="G147" i="18"/>
  <c r="G146" i="18"/>
  <c r="G145" i="18"/>
  <c r="G144" i="18"/>
  <c r="G143" i="18"/>
  <c r="G142" i="18"/>
  <c r="G141" i="18"/>
  <c r="G140" i="18"/>
  <c r="G139" i="18"/>
  <c r="G138" i="18"/>
  <c r="G137" i="18"/>
  <c r="G136" i="18"/>
  <c r="G135" i="18"/>
  <c r="G134" i="18"/>
  <c r="W22" i="12" l="1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R23" i="12"/>
  <c r="Q23" i="12"/>
  <c r="P23" i="12"/>
  <c r="M23" i="12"/>
  <c r="L23" i="12"/>
  <c r="J23" i="12"/>
  <c r="I23" i="12"/>
  <c r="H23" i="12"/>
  <c r="G23" i="12"/>
  <c r="F23" i="12"/>
  <c r="E25" i="12"/>
  <c r="DN13" i="6"/>
  <c r="N56" i="12" l="1"/>
  <c r="H153" i="18" l="1"/>
  <c r="H152" i="18"/>
  <c r="H150" i="18"/>
  <c r="H149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3" i="11" l="1"/>
  <c r="I3" i="11"/>
  <c r="N22" i="27" l="1"/>
  <c r="N19" i="27"/>
  <c r="G56" i="12" l="1"/>
  <c r="AH54" i="12" l="1"/>
  <c r="AH56" i="12"/>
  <c r="AH34" i="12"/>
  <c r="AH33" i="12"/>
  <c r="AH30" i="12"/>
  <c r="AH29" i="12"/>
  <c r="AH28" i="12"/>
  <c r="AG22" i="12"/>
  <c r="AH40" i="12"/>
  <c r="AG56" i="12"/>
  <c r="AG54" i="12"/>
  <c r="AG49" i="12"/>
  <c r="AG47" i="12"/>
  <c r="AG45" i="12"/>
  <c r="AG42" i="12"/>
  <c r="AG41" i="12"/>
  <c r="AG40" i="12"/>
  <c r="AG39" i="12"/>
  <c r="AG36" i="12"/>
  <c r="AG35" i="12"/>
  <c r="AG34" i="12"/>
  <c r="AG33" i="12"/>
  <c r="AG30" i="12"/>
  <c r="AG29" i="12"/>
  <c r="AG28" i="12"/>
  <c r="AG19" i="12"/>
  <c r="Q42" i="18"/>
  <c r="G42" i="18" s="1"/>
  <c r="U42" i="18"/>
  <c r="T42" i="18"/>
  <c r="S42" i="18"/>
  <c r="K42" i="18" s="1"/>
  <c r="R42" i="18"/>
  <c r="I42" i="18" s="1"/>
  <c r="I63" i="18" s="1"/>
  <c r="P42" i="18"/>
  <c r="F42" i="18" s="1"/>
  <c r="O42" i="18"/>
  <c r="M42" i="18" s="1"/>
  <c r="M63" i="18" s="1"/>
  <c r="D41" i="27"/>
  <c r="I56" i="12"/>
  <c r="I54" i="12"/>
  <c r="I52" i="12" s="1"/>
  <c r="I49" i="12"/>
  <c r="I47" i="12"/>
  <c r="I42" i="12"/>
  <c r="I41" i="12"/>
  <c r="I40" i="12"/>
  <c r="I39" i="12"/>
  <c r="I36" i="12"/>
  <c r="I35" i="12"/>
  <c r="I34" i="12"/>
  <c r="I33" i="12"/>
  <c r="I30" i="12"/>
  <c r="I29" i="12"/>
  <c r="I28" i="12"/>
  <c r="H24" i="27"/>
  <c r="H22" i="27"/>
  <c r="H19" i="27"/>
  <c r="H10" i="27"/>
  <c r="AG52" i="12" l="1"/>
  <c r="AG32" i="12"/>
  <c r="I32" i="12"/>
  <c r="AG18" i="12"/>
  <c r="AG20" i="12" s="1"/>
  <c r="AG38" i="12"/>
  <c r="I38" i="12"/>
  <c r="AG27" i="12"/>
  <c r="AG24" i="12"/>
  <c r="I45" i="12"/>
  <c r="I27" i="12"/>
  <c r="I26" i="12" s="1"/>
  <c r="AG26" i="12" l="1"/>
  <c r="N29" i="12"/>
  <c r="H63" i="18" l="1"/>
  <c r="X37" i="8" l="1"/>
  <c r="Y13" i="6"/>
  <c r="AD37" i="8"/>
  <c r="V37" i="8"/>
  <c r="T37" i="8"/>
  <c r="R37" i="8"/>
  <c r="P37" i="8"/>
  <c r="N37" i="8"/>
  <c r="L37" i="8"/>
  <c r="J37" i="8"/>
  <c r="K25" i="18"/>
  <c r="G25" i="18"/>
  <c r="F25" i="18"/>
  <c r="U29" i="24"/>
  <c r="L21" i="27"/>
  <c r="L20" i="27"/>
  <c r="L47" i="12"/>
  <c r="L49" i="12"/>
  <c r="L45" i="12"/>
  <c r="L42" i="12"/>
  <c r="L41" i="12"/>
  <c r="L40" i="12"/>
  <c r="L39" i="12"/>
  <c r="L36" i="12"/>
  <c r="L35" i="12"/>
  <c r="L34" i="12"/>
  <c r="L33" i="12"/>
  <c r="L30" i="12"/>
  <c r="L29" i="12"/>
  <c r="L28" i="12"/>
  <c r="H52" i="6"/>
  <c r="H51" i="6"/>
  <c r="H50" i="6"/>
  <c r="H49" i="6"/>
  <c r="H48" i="6"/>
  <c r="H47" i="6"/>
  <c r="H46" i="6"/>
  <c r="H45" i="6"/>
  <c r="H44" i="6"/>
  <c r="H43" i="6"/>
  <c r="H42" i="6"/>
  <c r="H41" i="6"/>
  <c r="L32" i="12" l="1"/>
  <c r="L38" i="12"/>
  <c r="L27" i="12"/>
  <c r="L26" i="12" s="1"/>
  <c r="J155" i="18"/>
  <c r="K155" i="18"/>
  <c r="AG37" i="27" l="1"/>
  <c r="AG40" i="27" s="1"/>
  <c r="K175" i="18" s="1"/>
  <c r="AG36" i="27"/>
  <c r="AG39" i="27" s="1"/>
  <c r="G175" i="18" s="1"/>
  <c r="AG32" i="27"/>
  <c r="AG30" i="27"/>
  <c r="AG22" i="27"/>
  <c r="AG19" i="27"/>
  <c r="AG10" i="27"/>
  <c r="AG31" i="27" s="1"/>
  <c r="B107" i="10"/>
  <c r="B108" i="10" s="1"/>
  <c r="B109" i="10" s="1"/>
  <c r="B110" i="10" s="1"/>
  <c r="B111" i="10" s="1"/>
  <c r="B107" i="7"/>
  <c r="B108" i="7" s="1"/>
  <c r="B109" i="7" s="1"/>
  <c r="B110" i="7" s="1"/>
  <c r="B111" i="7" s="1"/>
  <c r="I2" i="24"/>
  <c r="AG28" i="27" l="1"/>
  <c r="AG24" i="27"/>
  <c r="M25" i="18" l="1"/>
  <c r="M46" i="18" s="1"/>
  <c r="I25" i="18"/>
  <c r="I46" i="18" s="1"/>
  <c r="U41" i="18" l="1"/>
  <c r="U39" i="18"/>
  <c r="U38" i="18"/>
  <c r="U37" i="18"/>
  <c r="U36" i="18"/>
  <c r="U35" i="18"/>
  <c r="U34" i="18"/>
  <c r="U33" i="18"/>
  <c r="U32" i="18"/>
  <c r="U31" i="18"/>
  <c r="U30" i="18"/>
  <c r="U29" i="18"/>
  <c r="U28" i="18"/>
  <c r="T41" i="18"/>
  <c r="T39" i="18"/>
  <c r="T38" i="18"/>
  <c r="T37" i="18"/>
  <c r="T36" i="18"/>
  <c r="T35" i="18"/>
  <c r="T34" i="18"/>
  <c r="T33" i="18"/>
  <c r="T32" i="18"/>
  <c r="T31" i="18"/>
  <c r="T30" i="18"/>
  <c r="T29" i="18"/>
  <c r="T28" i="18"/>
  <c r="S41" i="18"/>
  <c r="K41" i="18" s="1"/>
  <c r="S39" i="18"/>
  <c r="K39" i="18" s="1"/>
  <c r="S38" i="18"/>
  <c r="K38" i="18" s="1"/>
  <c r="S37" i="18"/>
  <c r="K37" i="18" s="1"/>
  <c r="S36" i="18"/>
  <c r="K36" i="18" s="1"/>
  <c r="S35" i="18"/>
  <c r="K35" i="18" s="1"/>
  <c r="S34" i="18"/>
  <c r="K34" i="18" s="1"/>
  <c r="S33" i="18"/>
  <c r="K33" i="18" s="1"/>
  <c r="S32" i="18"/>
  <c r="K32" i="18" s="1"/>
  <c r="S31" i="18"/>
  <c r="K31" i="18" s="1"/>
  <c r="S30" i="18"/>
  <c r="K30" i="18" s="1"/>
  <c r="S29" i="18"/>
  <c r="K29" i="18" s="1"/>
  <c r="S28" i="18"/>
  <c r="K28" i="18" s="1"/>
  <c r="R41" i="18"/>
  <c r="I41" i="18" s="1"/>
  <c r="I62" i="18" s="1"/>
  <c r="R39" i="18"/>
  <c r="I39" i="18" s="1"/>
  <c r="I60" i="18" s="1"/>
  <c r="R38" i="18"/>
  <c r="I38" i="18" s="1"/>
  <c r="I59" i="18" s="1"/>
  <c r="R37" i="18"/>
  <c r="I37" i="18" s="1"/>
  <c r="I58" i="18" s="1"/>
  <c r="R36" i="18"/>
  <c r="I36" i="18" s="1"/>
  <c r="I57" i="18" s="1"/>
  <c r="R35" i="18"/>
  <c r="I35" i="18" s="1"/>
  <c r="I56" i="18" s="1"/>
  <c r="R34" i="18"/>
  <c r="I34" i="18" s="1"/>
  <c r="I55" i="18" s="1"/>
  <c r="R33" i="18"/>
  <c r="I33" i="18" s="1"/>
  <c r="I54" i="18" s="1"/>
  <c r="R32" i="18"/>
  <c r="R31" i="18"/>
  <c r="I31" i="18" s="1"/>
  <c r="I52" i="18" s="1"/>
  <c r="R30" i="18"/>
  <c r="I30" i="18" s="1"/>
  <c r="I51" i="18" s="1"/>
  <c r="R29" i="18"/>
  <c r="I29" i="18" s="1"/>
  <c r="I50" i="18" s="1"/>
  <c r="R28" i="18"/>
  <c r="I28" i="18" s="1"/>
  <c r="I49" i="18" s="1"/>
  <c r="Q41" i="18"/>
  <c r="Q39" i="18"/>
  <c r="Q38" i="18"/>
  <c r="Q37" i="18"/>
  <c r="Q36" i="18"/>
  <c r="Q35" i="18"/>
  <c r="Q34" i="18"/>
  <c r="Q33" i="18"/>
  <c r="Q32" i="18"/>
  <c r="Q31" i="18"/>
  <c r="G31" i="18" s="1"/>
  <c r="Q30" i="18"/>
  <c r="G30" i="18" s="1"/>
  <c r="Q29" i="18"/>
  <c r="G29" i="18" s="1"/>
  <c r="Q28" i="18"/>
  <c r="G28" i="18" s="1"/>
  <c r="P41" i="18"/>
  <c r="F41" i="18" s="1"/>
  <c r="P39" i="18"/>
  <c r="F39" i="18" s="1"/>
  <c r="P38" i="18"/>
  <c r="F38" i="18" s="1"/>
  <c r="P37" i="18"/>
  <c r="F37" i="18" s="1"/>
  <c r="P36" i="18"/>
  <c r="F36" i="18" s="1"/>
  <c r="P35" i="18"/>
  <c r="F35" i="18" s="1"/>
  <c r="P34" i="18"/>
  <c r="F34" i="18" s="1"/>
  <c r="P33" i="18"/>
  <c r="F33" i="18" s="1"/>
  <c r="P32" i="18"/>
  <c r="F32" i="18" s="1"/>
  <c r="P31" i="18"/>
  <c r="F31" i="18" s="1"/>
  <c r="P30" i="18"/>
  <c r="F30" i="18" s="1"/>
  <c r="P29" i="18"/>
  <c r="F29" i="18" s="1"/>
  <c r="P28" i="18"/>
  <c r="F28" i="18" s="1"/>
  <c r="O41" i="18"/>
  <c r="O39" i="18"/>
  <c r="O38" i="18"/>
  <c r="O37" i="18"/>
  <c r="O36" i="18"/>
  <c r="O35" i="18"/>
  <c r="O34" i="18"/>
  <c r="O33" i="18"/>
  <c r="O32" i="18"/>
  <c r="O31" i="18"/>
  <c r="M31" i="18" s="1"/>
  <c r="M52" i="18" s="1"/>
  <c r="O30" i="18"/>
  <c r="O29" i="18"/>
  <c r="O28" i="18"/>
  <c r="M28" i="18" s="1"/>
  <c r="I32" i="18" l="1"/>
  <c r="I53" i="18" s="1"/>
  <c r="N54" i="12"/>
  <c r="N52" i="12" s="1"/>
  <c r="N49" i="12"/>
  <c r="N47" i="12"/>
  <c r="N42" i="12"/>
  <c r="N41" i="12"/>
  <c r="N40" i="12"/>
  <c r="N39" i="12"/>
  <c r="N34" i="12"/>
  <c r="N33" i="12"/>
  <c r="N30" i="12"/>
  <c r="N28" i="12"/>
  <c r="N38" i="12" l="1"/>
  <c r="N45" i="12"/>
  <c r="N27" i="12"/>
  <c r="J177" i="18"/>
  <c r="O64" i="12"/>
  <c r="O63" i="12"/>
  <c r="O62" i="12"/>
  <c r="O61" i="12"/>
  <c r="O60" i="12"/>
  <c r="O59" i="12"/>
  <c r="O58" i="12"/>
  <c r="O57" i="12"/>
  <c r="O55" i="12"/>
  <c r="O53" i="12"/>
  <c r="O50" i="12"/>
  <c r="O48" i="12"/>
  <c r="O46" i="12"/>
  <c r="O44" i="12"/>
  <c r="O43" i="12"/>
  <c r="O37" i="12"/>
  <c r="K64" i="12"/>
  <c r="K63" i="12"/>
  <c r="K62" i="12"/>
  <c r="K61" i="12"/>
  <c r="K60" i="12"/>
  <c r="K59" i="12"/>
  <c r="K58" i="12"/>
  <c r="K57" i="12"/>
  <c r="K55" i="12"/>
  <c r="K53" i="12"/>
  <c r="K50" i="12"/>
  <c r="K48" i="12"/>
  <c r="K46" i="12"/>
  <c r="K44" i="12"/>
  <c r="K43" i="12"/>
  <c r="O17" i="12"/>
  <c r="O16" i="12"/>
  <c r="O15" i="12"/>
  <c r="O14" i="12"/>
  <c r="O13" i="12"/>
  <c r="M56" i="12"/>
  <c r="O56" i="12" s="1"/>
  <c r="M54" i="12"/>
  <c r="M52" i="12" s="1"/>
  <c r="O52" i="12" s="1"/>
  <c r="M49" i="12"/>
  <c r="M47" i="12"/>
  <c r="O47" i="12" s="1"/>
  <c r="M42" i="12"/>
  <c r="M41" i="12"/>
  <c r="M40" i="12"/>
  <c r="M39" i="12"/>
  <c r="M36" i="12"/>
  <c r="M35" i="12"/>
  <c r="O35" i="12" s="1"/>
  <c r="M34" i="12"/>
  <c r="O34" i="12" s="1"/>
  <c r="M33" i="12"/>
  <c r="O33" i="12" s="1"/>
  <c r="M30" i="12"/>
  <c r="M29" i="12"/>
  <c r="K17" i="12"/>
  <c r="K16" i="12"/>
  <c r="K15" i="12"/>
  <c r="K14" i="12"/>
  <c r="O54" i="12" l="1"/>
  <c r="M32" i="12"/>
  <c r="M38" i="12"/>
  <c r="M45" i="12"/>
  <c r="O45" i="12" s="1"/>
  <c r="O49" i="12"/>
  <c r="O51" i="12"/>
  <c r="K13" i="12"/>
  <c r="N17" i="27"/>
  <c r="N16" i="27"/>
  <c r="N42" i="27" s="1"/>
  <c r="N15" i="27"/>
  <c r="S26" i="18" s="1"/>
  <c r="K26" i="18" s="1"/>
  <c r="N14" i="27"/>
  <c r="T26" i="18" s="1"/>
  <c r="N13" i="27"/>
  <c r="R26" i="18" s="1"/>
  <c r="I26" i="18" s="1"/>
  <c r="I47" i="18" s="1"/>
  <c r="N12" i="27"/>
  <c r="Q26" i="18" s="1"/>
  <c r="G26" i="18" s="1"/>
  <c r="N11" i="27"/>
  <c r="R11" i="27"/>
  <c r="J17" i="27"/>
  <c r="J16" i="27"/>
  <c r="J42" i="27" s="1"/>
  <c r="J15" i="27"/>
  <c r="J14" i="27"/>
  <c r="J13" i="27"/>
  <c r="J12" i="27"/>
  <c r="J11" i="27"/>
  <c r="S22" i="27"/>
  <c r="S19" i="27"/>
  <c r="F114" i="18" l="1"/>
  <c r="O23" i="12"/>
  <c r="J35" i="27"/>
  <c r="J38" i="27" s="1"/>
  <c r="K23" i="12"/>
  <c r="U26" i="18"/>
  <c r="N35" i="27"/>
  <c r="N38" i="27" s="1"/>
  <c r="O26" i="18"/>
  <c r="M26" i="18" s="1"/>
  <c r="O24" i="18"/>
  <c r="M24" i="18" s="1"/>
  <c r="D11" i="27"/>
  <c r="S24" i="18"/>
  <c r="K24" i="18" s="1"/>
  <c r="U24" i="18"/>
  <c r="Q24" i="18"/>
  <c r="G24" i="18" s="1"/>
  <c r="R24" i="18"/>
  <c r="I24" i="18" s="1"/>
  <c r="I45" i="18" s="1"/>
  <c r="T24" i="18"/>
  <c r="N36" i="27"/>
  <c r="N39" i="27" s="1"/>
  <c r="P27" i="18"/>
  <c r="F27" i="18" s="1"/>
  <c r="P26" i="18"/>
  <c r="P24" i="18"/>
  <c r="F24" i="18" s="1"/>
  <c r="N37" i="27"/>
  <c r="N40" i="27" s="1"/>
  <c r="N10" i="27"/>
  <c r="O19" i="24"/>
  <c r="M19" i="24"/>
  <c r="P20" i="24"/>
  <c r="T22" i="27" l="1"/>
  <c r="G14" i="31"/>
  <c r="G13" i="6"/>
  <c r="M44" i="24" l="1"/>
  <c r="J25" i="24" l="1"/>
  <c r="V22" i="12"/>
  <c r="T22" i="12"/>
  <c r="I25" i="24" l="1"/>
  <c r="G25" i="24" l="1"/>
  <c r="H25" i="24" s="1"/>
  <c r="B77" i="10"/>
  <c r="B78" i="10" s="1"/>
  <c r="B79" i="10" s="1"/>
  <c r="B80" i="10" s="1"/>
  <c r="B81" i="10" s="1"/>
  <c r="B71" i="10"/>
  <c r="B72" i="10" s="1"/>
  <c r="B73" i="10" s="1"/>
  <c r="B74" i="10" s="1"/>
  <c r="B75" i="10" s="1"/>
  <c r="AT69" i="10"/>
  <c r="AU69" i="10" s="1"/>
  <c r="AV69" i="10" s="1"/>
  <c r="AW69" i="10" s="1"/>
  <c r="AX69" i="10" s="1"/>
  <c r="AY69" i="10" s="1"/>
  <c r="AZ69" i="10" s="1"/>
  <c r="BA69" i="10" s="1"/>
  <c r="BB69" i="10" s="1"/>
  <c r="AQ69" i="10"/>
  <c r="AR69" i="10" s="1"/>
  <c r="AT68" i="10"/>
  <c r="AU68" i="10" s="1"/>
  <c r="AV68" i="10" s="1"/>
  <c r="AW68" i="10" s="1"/>
  <c r="AX68" i="10" s="1"/>
  <c r="AY68" i="10" s="1"/>
  <c r="AZ68" i="10" s="1"/>
  <c r="BA68" i="10" s="1"/>
  <c r="BB68" i="10" s="1"/>
  <c r="AQ68" i="10"/>
  <c r="AR68" i="10" s="1"/>
  <c r="J67" i="10"/>
  <c r="K67" i="10" s="1"/>
  <c r="L67" i="10" s="1"/>
  <c r="M67" i="10" s="1"/>
  <c r="N67" i="10" s="1"/>
  <c r="O67" i="10" s="1"/>
  <c r="P67" i="10" s="1"/>
  <c r="Q67" i="10" s="1"/>
  <c r="S67" i="10" s="1"/>
  <c r="T67" i="10" s="1"/>
  <c r="J66" i="10"/>
  <c r="K66" i="10" s="1"/>
  <c r="L66" i="10" s="1"/>
  <c r="M66" i="10" s="1"/>
  <c r="N66" i="10" s="1"/>
  <c r="O66" i="10" s="1"/>
  <c r="P66" i="10" s="1"/>
  <c r="Q66" i="10" s="1"/>
  <c r="S66" i="10" s="1"/>
  <c r="T66" i="10" s="1"/>
  <c r="J65" i="10"/>
  <c r="K65" i="10" s="1"/>
  <c r="L65" i="10" s="1"/>
  <c r="M65" i="10" s="1"/>
  <c r="N65" i="10" s="1"/>
  <c r="O65" i="10" s="1"/>
  <c r="P65" i="10" s="1"/>
  <c r="Q65" i="10" s="1"/>
  <c r="S65" i="10" s="1"/>
  <c r="T65" i="10" s="1"/>
  <c r="B65" i="10"/>
  <c r="B66" i="10" s="1"/>
  <c r="A66" i="10" s="1"/>
  <c r="BD64" i="10"/>
  <c r="BC64" i="10"/>
  <c r="J64" i="10"/>
  <c r="K64" i="10" s="1"/>
  <c r="L64" i="10" s="1"/>
  <c r="M64" i="10" s="1"/>
  <c r="N64" i="10" s="1"/>
  <c r="O64" i="10" s="1"/>
  <c r="P64" i="10" s="1"/>
  <c r="Q64" i="10" s="1"/>
  <c r="S64" i="10" s="1"/>
  <c r="T64" i="10" s="1"/>
  <c r="A64" i="10"/>
  <c r="B53" i="10"/>
  <c r="B54" i="10" s="1"/>
  <c r="B55" i="10" s="1"/>
  <c r="B56" i="10" s="1"/>
  <c r="B57" i="10" s="1"/>
  <c r="A106" i="10"/>
  <c r="I106" i="10"/>
  <c r="J106" i="10" s="1"/>
  <c r="K106" i="10" s="1"/>
  <c r="L106" i="10" s="1"/>
  <c r="M106" i="10" s="1"/>
  <c r="N106" i="10" s="1"/>
  <c r="O106" i="10" s="1"/>
  <c r="P106" i="10" s="1"/>
  <c r="Q106" i="10" s="1"/>
  <c r="R106" i="10" s="1"/>
  <c r="S106" i="10" s="1"/>
  <c r="T106" i="10" s="1"/>
  <c r="BC106" i="10"/>
  <c r="BD106" i="10"/>
  <c r="B41" i="10"/>
  <c r="B42" i="10" s="1"/>
  <c r="B43" i="10" s="1"/>
  <c r="B44" i="10" s="1"/>
  <c r="B45" i="10" s="1"/>
  <c r="W66" i="10" l="1"/>
  <c r="X66" i="10" s="1"/>
  <c r="Y66" i="10" s="1"/>
  <c r="Z66" i="10" s="1"/>
  <c r="AA66" i="10" s="1"/>
  <c r="AB66" i="10" s="1"/>
  <c r="AC66" i="10" s="1"/>
  <c r="U66" i="10"/>
  <c r="W67" i="10"/>
  <c r="X67" i="10" s="1"/>
  <c r="Y67" i="10" s="1"/>
  <c r="Z67" i="10" s="1"/>
  <c r="AA67" i="10" s="1"/>
  <c r="AB67" i="10" s="1"/>
  <c r="AC67" i="10" s="1"/>
  <c r="AD67" i="10" s="1"/>
  <c r="AE67" i="10" s="1"/>
  <c r="AF67" i="10" s="1"/>
  <c r="U67" i="10"/>
  <c r="U64" i="10"/>
  <c r="V64" i="10" s="1"/>
  <c r="W64" i="10" s="1"/>
  <c r="X64" i="10" s="1"/>
  <c r="Y64" i="10" s="1"/>
  <c r="Z64" i="10" s="1"/>
  <c r="AA64" i="10" s="1"/>
  <c r="AB64" i="10" s="1"/>
  <c r="AC64" i="10" s="1"/>
  <c r="W65" i="10"/>
  <c r="X65" i="10" s="1"/>
  <c r="Y65" i="10" s="1"/>
  <c r="Z65" i="10" s="1"/>
  <c r="AA65" i="10" s="1"/>
  <c r="AB65" i="10" s="1"/>
  <c r="AC65" i="10" s="1"/>
  <c r="AD65" i="10" s="1"/>
  <c r="AE65" i="10" s="1"/>
  <c r="AF65" i="10" s="1"/>
  <c r="U65" i="10"/>
  <c r="U106" i="10"/>
  <c r="V106" i="10" s="1"/>
  <c r="W106" i="10" s="1"/>
  <c r="X106" i="10" s="1"/>
  <c r="Y106" i="10" s="1"/>
  <c r="Z106" i="10" s="1"/>
  <c r="AA106" i="10" s="1"/>
  <c r="AB106" i="10" s="1"/>
  <c r="AC106" i="10" s="1"/>
  <c r="AP65" i="10"/>
  <c r="AQ65" i="10" s="1"/>
  <c r="AR65" i="10" s="1"/>
  <c r="AP66" i="10"/>
  <c r="AQ66" i="10" s="1"/>
  <c r="AR66" i="10" s="1"/>
  <c r="AD66" i="10"/>
  <c r="AE66" i="10" s="1"/>
  <c r="AF66" i="10" s="1"/>
  <c r="BC66" i="10"/>
  <c r="B67" i="10"/>
  <c r="BD65" i="10"/>
  <c r="A65" i="10"/>
  <c r="BC65" i="10"/>
  <c r="BD66" i="10"/>
  <c r="B101" i="7"/>
  <c r="B102" i="7" s="1"/>
  <c r="B103" i="7" s="1"/>
  <c r="B104" i="7" s="1"/>
  <c r="B105" i="7" s="1"/>
  <c r="B77" i="7"/>
  <c r="B78" i="7" s="1"/>
  <c r="B79" i="7" s="1"/>
  <c r="B80" i="7" s="1"/>
  <c r="B81" i="7" s="1"/>
  <c r="B71" i="7"/>
  <c r="B72" i="7" s="1"/>
  <c r="B73" i="7" s="1"/>
  <c r="B74" i="7" s="1"/>
  <c r="B75" i="7" s="1"/>
  <c r="BS69" i="7"/>
  <c r="BR69" i="7"/>
  <c r="BQ69" i="7"/>
  <c r="AS69" i="7"/>
  <c r="AT69" i="7" s="1"/>
  <c r="AU69" i="7" s="1"/>
  <c r="AV69" i="7" s="1"/>
  <c r="AW69" i="7" s="1"/>
  <c r="AX69" i="7" s="1"/>
  <c r="AY69" i="7" s="1"/>
  <c r="AZ69" i="7" s="1"/>
  <c r="BA69" i="7" s="1"/>
  <c r="BB69" i="7" s="1"/>
  <c r="AG69" i="7"/>
  <c r="U69" i="7"/>
  <c r="I69" i="7"/>
  <c r="BS68" i="7"/>
  <c r="BR68" i="7"/>
  <c r="BQ68" i="7"/>
  <c r="AS68" i="7"/>
  <c r="AT68" i="7" s="1"/>
  <c r="AU68" i="7" s="1"/>
  <c r="AV68" i="7" s="1"/>
  <c r="AW68" i="7" s="1"/>
  <c r="AX68" i="7" s="1"/>
  <c r="AY68" i="7" s="1"/>
  <c r="AZ68" i="7" s="1"/>
  <c r="BA68" i="7" s="1"/>
  <c r="BB68" i="7" s="1"/>
  <c r="AG68" i="7"/>
  <c r="U68" i="7"/>
  <c r="I68" i="7"/>
  <c r="BS67" i="7"/>
  <c r="BR67" i="7"/>
  <c r="BQ67" i="7"/>
  <c r="J67" i="7"/>
  <c r="K67" i="7" s="1"/>
  <c r="L67" i="7" s="1"/>
  <c r="M67" i="7" s="1"/>
  <c r="N67" i="7" s="1"/>
  <c r="O67" i="7" s="1"/>
  <c r="P67" i="7" s="1"/>
  <c r="Q67" i="7" s="1"/>
  <c r="S67" i="7" s="1"/>
  <c r="T67" i="7" s="1"/>
  <c r="U67" i="7" s="1"/>
  <c r="W67" i="7" s="1"/>
  <c r="X67" i="7" s="1"/>
  <c r="Y67" i="7" s="1"/>
  <c r="Z67" i="7" s="1"/>
  <c r="AA67" i="7" s="1"/>
  <c r="AB67" i="7" s="1"/>
  <c r="AC67" i="7" s="1"/>
  <c r="BS66" i="7"/>
  <c r="BR66" i="7"/>
  <c r="BQ66" i="7"/>
  <c r="J66" i="7"/>
  <c r="K66" i="7" s="1"/>
  <c r="L66" i="7" s="1"/>
  <c r="M66" i="7" s="1"/>
  <c r="N66" i="7" s="1"/>
  <c r="O66" i="7" s="1"/>
  <c r="P66" i="7" s="1"/>
  <c r="Q66" i="7" s="1"/>
  <c r="S66" i="7" s="1"/>
  <c r="T66" i="7" s="1"/>
  <c r="U66" i="7" s="1"/>
  <c r="W66" i="7" s="1"/>
  <c r="X66" i="7" s="1"/>
  <c r="Y66" i="7" s="1"/>
  <c r="Z66" i="7" s="1"/>
  <c r="AA66" i="7" s="1"/>
  <c r="AB66" i="7" s="1"/>
  <c r="AC66" i="7" s="1"/>
  <c r="BS65" i="7"/>
  <c r="BR65" i="7"/>
  <c r="BQ65" i="7"/>
  <c r="J65" i="7"/>
  <c r="K65" i="7" s="1"/>
  <c r="L65" i="7" s="1"/>
  <c r="M65" i="7" s="1"/>
  <c r="N65" i="7" s="1"/>
  <c r="O65" i="7" s="1"/>
  <c r="P65" i="7" s="1"/>
  <c r="Q65" i="7" s="1"/>
  <c r="S65" i="7" s="1"/>
  <c r="T65" i="7" s="1"/>
  <c r="U65" i="7" s="1"/>
  <c r="W65" i="7" s="1"/>
  <c r="X65" i="7" s="1"/>
  <c r="Y65" i="7" s="1"/>
  <c r="Z65" i="7" s="1"/>
  <c r="AA65" i="7" s="1"/>
  <c r="AB65" i="7" s="1"/>
  <c r="AC65" i="7" s="1"/>
  <c r="B65" i="7"/>
  <c r="B66" i="7" s="1"/>
  <c r="BS64" i="7"/>
  <c r="BR64" i="7"/>
  <c r="BQ64" i="7"/>
  <c r="BD64" i="7"/>
  <c r="BC64" i="7"/>
  <c r="J64" i="7"/>
  <c r="K64" i="7" s="1"/>
  <c r="L64" i="7" s="1"/>
  <c r="M64" i="7" s="1"/>
  <c r="N64" i="7" s="1"/>
  <c r="O64" i="7" s="1"/>
  <c r="P64" i="7" s="1"/>
  <c r="Q64" i="7" s="1"/>
  <c r="S64" i="7" s="1"/>
  <c r="T64" i="7" s="1"/>
  <c r="U64" i="7" s="1"/>
  <c r="V64" i="7" s="1"/>
  <c r="W64" i="7" s="1"/>
  <c r="X64" i="7" s="1"/>
  <c r="Y64" i="7" s="1"/>
  <c r="Z64" i="7" s="1"/>
  <c r="AA64" i="7" s="1"/>
  <c r="AB64" i="7" s="1"/>
  <c r="AC64" i="7" s="1"/>
  <c r="A64" i="7"/>
  <c r="AD64" i="10" l="1"/>
  <c r="AE64" i="10" s="1"/>
  <c r="AF64" i="10" s="1"/>
  <c r="AP64" i="10"/>
  <c r="AQ64" i="10" s="1"/>
  <c r="AR64" i="10" s="1"/>
  <c r="AP106" i="10"/>
  <c r="AQ106" i="10" s="1"/>
  <c r="AR106" i="10" s="1"/>
  <c r="AD106" i="10"/>
  <c r="AE106" i="10" s="1"/>
  <c r="AF106" i="10" s="1"/>
  <c r="AP67" i="10"/>
  <c r="AQ67" i="10" s="1"/>
  <c r="AR67" i="10" s="1"/>
  <c r="AG64" i="10"/>
  <c r="AH64" i="10" s="1"/>
  <c r="AI64" i="10" s="1"/>
  <c r="AJ64" i="10" s="1"/>
  <c r="AK64" i="10" s="1"/>
  <c r="AL64" i="10" s="1"/>
  <c r="AM64" i="10" s="1"/>
  <c r="AN64" i="10" s="1"/>
  <c r="AO64" i="10" s="1"/>
  <c r="AG67" i="10"/>
  <c r="AH67" i="10" s="1"/>
  <c r="AI67" i="10" s="1"/>
  <c r="AJ67" i="10" s="1"/>
  <c r="AK67" i="10" s="1"/>
  <c r="AL67" i="10" s="1"/>
  <c r="AM67" i="10" s="1"/>
  <c r="AN67" i="10" s="1"/>
  <c r="AO67" i="10" s="1"/>
  <c r="AS66" i="10"/>
  <c r="AT66" i="10" s="1"/>
  <c r="AU66" i="10" s="1"/>
  <c r="AV66" i="10" s="1"/>
  <c r="AW66" i="10" s="1"/>
  <c r="AX66" i="10" s="1"/>
  <c r="AY66" i="10" s="1"/>
  <c r="AZ66" i="10" s="1"/>
  <c r="BA66" i="10" s="1"/>
  <c r="BB66" i="10" s="1"/>
  <c r="AG65" i="10"/>
  <c r="AH65" i="10" s="1"/>
  <c r="AI65" i="10" s="1"/>
  <c r="AJ65" i="10" s="1"/>
  <c r="AK65" i="10" s="1"/>
  <c r="AL65" i="10" s="1"/>
  <c r="AM65" i="10" s="1"/>
  <c r="AN65" i="10" s="1"/>
  <c r="AO65" i="10" s="1"/>
  <c r="AS67" i="10"/>
  <c r="AT67" i="10" s="1"/>
  <c r="AU67" i="10" s="1"/>
  <c r="AV67" i="10" s="1"/>
  <c r="AW67" i="10" s="1"/>
  <c r="AX67" i="10" s="1"/>
  <c r="AY67" i="10" s="1"/>
  <c r="AZ67" i="10" s="1"/>
  <c r="BA67" i="10" s="1"/>
  <c r="BB67" i="10" s="1"/>
  <c r="AG66" i="10"/>
  <c r="AH66" i="10" s="1"/>
  <c r="AI66" i="10" s="1"/>
  <c r="AJ66" i="10" s="1"/>
  <c r="AK66" i="10" s="1"/>
  <c r="AL66" i="10" s="1"/>
  <c r="AM66" i="10" s="1"/>
  <c r="AN66" i="10" s="1"/>
  <c r="AO66" i="10" s="1"/>
  <c r="AS65" i="10"/>
  <c r="AT65" i="10" s="1"/>
  <c r="AU65" i="10" s="1"/>
  <c r="AV65" i="10" s="1"/>
  <c r="AW65" i="10" s="1"/>
  <c r="AX65" i="10" s="1"/>
  <c r="AY65" i="10" s="1"/>
  <c r="AZ65" i="10" s="1"/>
  <c r="BA65" i="10" s="1"/>
  <c r="BB65" i="10" s="1"/>
  <c r="AS64" i="10"/>
  <c r="AT64" i="10" s="1"/>
  <c r="AU64" i="10" s="1"/>
  <c r="AV64" i="10" s="1"/>
  <c r="AW64" i="10" s="1"/>
  <c r="AX64" i="10" s="1"/>
  <c r="AY64" i="10" s="1"/>
  <c r="AZ64" i="10" s="1"/>
  <c r="BA64" i="10" s="1"/>
  <c r="BB64" i="10" s="1"/>
  <c r="AS106" i="10"/>
  <c r="AT106" i="10" s="1"/>
  <c r="AU106" i="10" s="1"/>
  <c r="AV106" i="10" s="1"/>
  <c r="AW106" i="10" s="1"/>
  <c r="AX106" i="10" s="1"/>
  <c r="AY106" i="10" s="1"/>
  <c r="AZ106" i="10" s="1"/>
  <c r="BA106" i="10" s="1"/>
  <c r="BB106" i="10" s="1"/>
  <c r="B68" i="10"/>
  <c r="BC67" i="10"/>
  <c r="BD67" i="10"/>
  <c r="A67" i="10"/>
  <c r="A65" i="7"/>
  <c r="BC65" i="7"/>
  <c r="BD65" i="7"/>
  <c r="BD66" i="7"/>
  <c r="A66" i="7"/>
  <c r="BC66" i="7"/>
  <c r="B67" i="7"/>
  <c r="AD65" i="7"/>
  <c r="AE65" i="7" s="1"/>
  <c r="AF65" i="7" s="1"/>
  <c r="AG65" i="7" s="1"/>
  <c r="AH65" i="7" s="1"/>
  <c r="AI65" i="7" s="1"/>
  <c r="AJ65" i="7" s="1"/>
  <c r="AK65" i="7" s="1"/>
  <c r="AL65" i="7" s="1"/>
  <c r="AM65" i="7" s="1"/>
  <c r="AN65" i="7" s="1"/>
  <c r="AO65" i="7" s="1"/>
  <c r="AP65" i="7" s="1"/>
  <c r="AQ65" i="7" s="1"/>
  <c r="AR65" i="7" s="1"/>
  <c r="AS65" i="7" s="1"/>
  <c r="AT65" i="7" s="1"/>
  <c r="AU65" i="7" s="1"/>
  <c r="AV65" i="7" s="1"/>
  <c r="AW65" i="7" s="1"/>
  <c r="AX65" i="7" s="1"/>
  <c r="AY65" i="7" s="1"/>
  <c r="AZ65" i="7" s="1"/>
  <c r="BA65" i="7" s="1"/>
  <c r="BB65" i="7" s="1"/>
  <c r="AD66" i="7"/>
  <c r="AE66" i="7" s="1"/>
  <c r="AF66" i="7" s="1"/>
  <c r="AG66" i="7" s="1"/>
  <c r="AH66" i="7" s="1"/>
  <c r="AI66" i="7" s="1"/>
  <c r="AJ66" i="7" s="1"/>
  <c r="AK66" i="7" s="1"/>
  <c r="AL66" i="7" s="1"/>
  <c r="AM66" i="7" s="1"/>
  <c r="AN66" i="7" s="1"/>
  <c r="AO66" i="7" s="1"/>
  <c r="AP66" i="7" s="1"/>
  <c r="AQ66" i="7" s="1"/>
  <c r="AR66" i="7" s="1"/>
  <c r="AS66" i="7" s="1"/>
  <c r="AT66" i="7" s="1"/>
  <c r="AU66" i="7" s="1"/>
  <c r="AV66" i="7" s="1"/>
  <c r="AW66" i="7" s="1"/>
  <c r="AX66" i="7" s="1"/>
  <c r="AY66" i="7" s="1"/>
  <c r="AZ66" i="7" s="1"/>
  <c r="BA66" i="7" s="1"/>
  <c r="BB66" i="7" s="1"/>
  <c r="AD64" i="7"/>
  <c r="AE64" i="7" s="1"/>
  <c r="AF64" i="7" s="1"/>
  <c r="AG64" i="7" s="1"/>
  <c r="AH64" i="7" s="1"/>
  <c r="AI64" i="7" s="1"/>
  <c r="AJ64" i="7" s="1"/>
  <c r="AK64" i="7" s="1"/>
  <c r="AL64" i="7" s="1"/>
  <c r="AM64" i="7" s="1"/>
  <c r="AN64" i="7" s="1"/>
  <c r="AO64" i="7" s="1"/>
  <c r="AP64" i="7" s="1"/>
  <c r="AQ64" i="7" s="1"/>
  <c r="AR64" i="7" s="1"/>
  <c r="AS64" i="7" s="1"/>
  <c r="AT64" i="7" s="1"/>
  <c r="AU64" i="7" s="1"/>
  <c r="AV64" i="7" s="1"/>
  <c r="AW64" i="7" s="1"/>
  <c r="AX64" i="7" s="1"/>
  <c r="AY64" i="7" s="1"/>
  <c r="AZ64" i="7" s="1"/>
  <c r="BA64" i="7" s="1"/>
  <c r="BB64" i="7" s="1"/>
  <c r="AD67" i="7"/>
  <c r="AE67" i="7" s="1"/>
  <c r="AF67" i="7" s="1"/>
  <c r="AG67" i="7" s="1"/>
  <c r="AH67" i="7" s="1"/>
  <c r="AI67" i="7" s="1"/>
  <c r="AJ67" i="7" s="1"/>
  <c r="AK67" i="7" s="1"/>
  <c r="AL67" i="7" s="1"/>
  <c r="AM67" i="7" s="1"/>
  <c r="AN67" i="7" s="1"/>
  <c r="AO67" i="7" s="1"/>
  <c r="AP67" i="7" s="1"/>
  <c r="AQ67" i="7" s="1"/>
  <c r="AR67" i="7" s="1"/>
  <c r="AS67" i="7" s="1"/>
  <c r="AT67" i="7" s="1"/>
  <c r="AU67" i="7" s="1"/>
  <c r="AV67" i="7" s="1"/>
  <c r="AW67" i="7" s="1"/>
  <c r="AX67" i="7" s="1"/>
  <c r="AY67" i="7" s="1"/>
  <c r="AZ67" i="7" s="1"/>
  <c r="BA67" i="7" s="1"/>
  <c r="BB67" i="7" s="1"/>
  <c r="B53" i="7"/>
  <c r="B54" i="7" s="1"/>
  <c r="B55" i="7" s="1"/>
  <c r="B56" i="7" s="1"/>
  <c r="B57" i="7" s="1"/>
  <c r="B41" i="7"/>
  <c r="B42" i="7" s="1"/>
  <c r="B43" i="7" s="1"/>
  <c r="B44" i="7" s="1"/>
  <c r="B45" i="7" s="1"/>
  <c r="F42" i="12"/>
  <c r="F41" i="12"/>
  <c r="F40" i="12"/>
  <c r="F39" i="12"/>
  <c r="F36" i="12"/>
  <c r="F35" i="12"/>
  <c r="F34" i="12"/>
  <c r="F33" i="12"/>
  <c r="F28" i="12"/>
  <c r="F29" i="12"/>
  <c r="F30" i="12"/>
  <c r="AG106" i="10" l="1"/>
  <c r="AH106" i="10" s="1"/>
  <c r="AI106" i="10" s="1"/>
  <c r="AJ106" i="10" s="1"/>
  <c r="AK106" i="10" s="1"/>
  <c r="AL106" i="10" s="1"/>
  <c r="AM106" i="10" s="1"/>
  <c r="AN106" i="10" s="1"/>
  <c r="AO106" i="10" s="1"/>
  <c r="F38" i="12"/>
  <c r="B69" i="10"/>
  <c r="A68" i="10"/>
  <c r="BC68" i="10"/>
  <c r="BD67" i="7"/>
  <c r="BC67" i="7"/>
  <c r="A67" i="7"/>
  <c r="B68" i="7"/>
  <c r="S17" i="12"/>
  <c r="E17" i="12" s="1"/>
  <c r="S16" i="12"/>
  <c r="E16" i="12" s="1"/>
  <c r="S14" i="12"/>
  <c r="E14" i="12" s="1"/>
  <c r="S13" i="12"/>
  <c r="E13" i="12" s="1"/>
  <c r="AF37" i="27"/>
  <c r="AF40" i="27" s="1"/>
  <c r="AD37" i="27"/>
  <c r="AD40" i="27" s="1"/>
  <c r="AC37" i="27"/>
  <c r="AC40" i="27" s="1"/>
  <c r="AB37" i="27"/>
  <c r="AB40" i="27" s="1"/>
  <c r="AA37" i="27"/>
  <c r="AA40" i="27" s="1"/>
  <c r="Z37" i="27"/>
  <c r="Z40" i="27" s="1"/>
  <c r="Y37" i="27"/>
  <c r="Y40" i="27" s="1"/>
  <c r="X37" i="27"/>
  <c r="X40" i="27" s="1"/>
  <c r="W37" i="27"/>
  <c r="W40" i="27" s="1"/>
  <c r="V37" i="27"/>
  <c r="V40" i="27" s="1"/>
  <c r="U37" i="27"/>
  <c r="U40" i="27" s="1"/>
  <c r="T37" i="27"/>
  <c r="T40" i="27" s="1"/>
  <c r="S37" i="27"/>
  <c r="S40" i="27" s="1"/>
  <c r="Q37" i="27"/>
  <c r="Q40" i="27" s="1"/>
  <c r="P37" i="27"/>
  <c r="P40" i="27" s="1"/>
  <c r="O37" i="27"/>
  <c r="O40" i="27" s="1"/>
  <c r="M37" i="27"/>
  <c r="M40" i="27" s="1"/>
  <c r="K37" i="27"/>
  <c r="K40" i="27" s="1"/>
  <c r="L37" i="27"/>
  <c r="L40" i="27" s="1"/>
  <c r="I37" i="27"/>
  <c r="I40" i="27" s="1"/>
  <c r="G37" i="27"/>
  <c r="G40" i="27" s="1"/>
  <c r="F37" i="27"/>
  <c r="F40" i="27" s="1"/>
  <c r="E37" i="27"/>
  <c r="E40" i="27" s="1"/>
  <c r="E36" i="27"/>
  <c r="E39" i="27" s="1"/>
  <c r="E22" i="27"/>
  <c r="T19" i="27"/>
  <c r="AA19" i="27"/>
  <c r="Z19" i="27"/>
  <c r="Y19" i="27"/>
  <c r="V19" i="27"/>
  <c r="U19" i="27"/>
  <c r="P19" i="27"/>
  <c r="O19" i="27"/>
  <c r="R15" i="27"/>
  <c r="R37" i="27" l="1"/>
  <c r="R40" i="27" s="1"/>
  <c r="D15" i="27"/>
  <c r="Q19" i="27"/>
  <c r="R19" i="27" s="1"/>
  <c r="S27" i="18"/>
  <c r="K27" i="18" s="1"/>
  <c r="K44" i="18" s="1"/>
  <c r="Q34" i="24" s="1"/>
  <c r="BC69" i="10"/>
  <c r="A69" i="10"/>
  <c r="BC68" i="7"/>
  <c r="A68" i="7"/>
  <c r="B69" i="7"/>
  <c r="R8" i="24"/>
  <c r="C22" i="8" s="1"/>
  <c r="BC69" i="7" l="1"/>
  <c r="A69" i="7"/>
  <c r="EU10" i="6"/>
  <c r="FH10" i="6" s="1"/>
  <c r="AZ10" i="6"/>
  <c r="M158" i="18" l="1"/>
  <c r="F158" i="18"/>
  <c r="G158" i="18"/>
  <c r="K158" i="18"/>
  <c r="K171" i="18"/>
  <c r="K167" i="18"/>
  <c r="K157" i="18"/>
  <c r="K166" i="18"/>
  <c r="K168" i="18"/>
  <c r="K164" i="18"/>
  <c r="K172" i="18"/>
  <c r="K165" i="18"/>
  <c r="K169" i="18"/>
  <c r="K163" i="18"/>
  <c r="K160" i="18"/>
  <c r="K159" i="18"/>
  <c r="K161" i="18"/>
  <c r="K162" i="18"/>
  <c r="M161" i="18"/>
  <c r="M162" i="18"/>
  <c r="M160" i="18"/>
  <c r="M157" i="18"/>
  <c r="R14" i="27"/>
  <c r="D14" i="27" s="1"/>
  <c r="K174" i="18" l="1"/>
  <c r="T27" i="18"/>
  <c r="J44" i="18" s="1"/>
  <c r="P34" i="24" s="1"/>
  <c r="N24" i="27"/>
  <c r="K51" i="12" l="1"/>
  <c r="E26" i="31" l="1"/>
  <c r="AH49" i="12" l="1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R49" i="12"/>
  <c r="Q49" i="12"/>
  <c r="P49" i="12"/>
  <c r="J49" i="12"/>
  <c r="H49" i="12"/>
  <c r="G49" i="12"/>
  <c r="G13" i="35" l="1"/>
  <c r="F13" i="35"/>
  <c r="E13" i="35"/>
  <c r="D20" i="35" l="1"/>
  <c r="E20" i="35" s="1"/>
  <c r="F49" i="12"/>
  <c r="S50" i="12"/>
  <c r="K49" i="12" l="1"/>
  <c r="D6" i="6"/>
  <c r="V29" i="24" l="1"/>
  <c r="M172" i="18"/>
  <c r="M171" i="18"/>
  <c r="M169" i="18"/>
  <c r="M168" i="18"/>
  <c r="M167" i="18"/>
  <c r="M166" i="18"/>
  <c r="M165" i="18"/>
  <c r="M164" i="18"/>
  <c r="M163" i="18"/>
  <c r="M174" i="18" l="1"/>
  <c r="Y22" i="12"/>
  <c r="AF22" i="12"/>
  <c r="AE22" i="12"/>
  <c r="AD22" i="12"/>
  <c r="X22" i="12"/>
  <c r="G22" i="12"/>
  <c r="O29" i="24"/>
  <c r="M23" i="18" l="1"/>
  <c r="B101" i="10" l="1"/>
  <c r="B102" i="10" s="1"/>
  <c r="B103" i="10" s="1"/>
  <c r="B104" i="10" s="1"/>
  <c r="B105" i="10" s="1"/>
  <c r="H37" i="8" l="1"/>
  <c r="H23" i="18" l="1"/>
  <c r="M36" i="27" l="1"/>
  <c r="M39" i="27" s="1"/>
  <c r="L2" i="18" l="1"/>
  <c r="U23" i="18" s="1"/>
  <c r="W42" i="10" l="1"/>
  <c r="X42" i="10" s="1"/>
  <c r="Y42" i="10" s="1"/>
  <c r="Z42" i="10" s="1"/>
  <c r="AA42" i="10" s="1"/>
  <c r="AB42" i="10" s="1"/>
  <c r="AC42" i="10" s="1"/>
  <c r="W55" i="10"/>
  <c r="X55" i="10" s="1"/>
  <c r="Y55" i="10" s="1"/>
  <c r="Z55" i="10" s="1"/>
  <c r="AA55" i="10" s="1"/>
  <c r="AB55" i="10" s="1"/>
  <c r="AC55" i="10" s="1"/>
  <c r="W54" i="10"/>
  <c r="X54" i="10" s="1"/>
  <c r="Y54" i="10" s="1"/>
  <c r="Z54" i="10" s="1"/>
  <c r="AA54" i="10" s="1"/>
  <c r="AB54" i="10" s="1"/>
  <c r="AC54" i="10" s="1"/>
  <c r="W53" i="10"/>
  <c r="X53" i="10" s="1"/>
  <c r="Y53" i="10" s="1"/>
  <c r="Z53" i="10" s="1"/>
  <c r="AA53" i="10" s="1"/>
  <c r="AB53" i="10" s="1"/>
  <c r="AC53" i="10" s="1"/>
  <c r="W79" i="10"/>
  <c r="X79" i="10" s="1"/>
  <c r="Y79" i="10" s="1"/>
  <c r="Z79" i="10" s="1"/>
  <c r="AA79" i="10" s="1"/>
  <c r="AB79" i="10" s="1"/>
  <c r="AC79" i="10" s="1"/>
  <c r="AD79" i="10" s="1"/>
  <c r="AE79" i="10" s="1"/>
  <c r="AF79" i="10" s="1"/>
  <c r="AH79" i="10" s="1"/>
  <c r="AI79" i="10" s="1"/>
  <c r="AJ79" i="10" s="1"/>
  <c r="AK79" i="10" s="1"/>
  <c r="AL79" i="10" s="1"/>
  <c r="AM79" i="10" s="1"/>
  <c r="AN79" i="10" s="1"/>
  <c r="AO79" i="10" s="1"/>
  <c r="W78" i="10"/>
  <c r="X78" i="10" s="1"/>
  <c r="Y78" i="10" s="1"/>
  <c r="Z78" i="10" s="1"/>
  <c r="AA78" i="10" s="1"/>
  <c r="AB78" i="10" s="1"/>
  <c r="AC78" i="10" s="1"/>
  <c r="W77" i="10"/>
  <c r="X77" i="10" s="1"/>
  <c r="Y77" i="10" s="1"/>
  <c r="Z77" i="10" s="1"/>
  <c r="AA77" i="10" s="1"/>
  <c r="AB77" i="10" s="1"/>
  <c r="AC77" i="10" s="1"/>
  <c r="U135" i="10"/>
  <c r="U134" i="10"/>
  <c r="U43" i="7"/>
  <c r="U42" i="7"/>
  <c r="W42" i="7" s="1"/>
  <c r="X42" i="7" s="1"/>
  <c r="Y42" i="7" s="1"/>
  <c r="Z42" i="7" s="1"/>
  <c r="AA42" i="7" s="1"/>
  <c r="AB42" i="7" s="1"/>
  <c r="AC42" i="7" s="1"/>
  <c r="U41" i="7"/>
  <c r="W41" i="7" s="1"/>
  <c r="X41" i="7" s="1"/>
  <c r="Y41" i="7" s="1"/>
  <c r="Z41" i="7" s="1"/>
  <c r="AA41" i="7" s="1"/>
  <c r="AB41" i="7" s="1"/>
  <c r="AC41" i="7" s="1"/>
  <c r="U55" i="7"/>
  <c r="W55" i="7" s="1"/>
  <c r="X55" i="7" s="1"/>
  <c r="Y55" i="7" s="1"/>
  <c r="Z55" i="7" s="1"/>
  <c r="AA55" i="7" s="1"/>
  <c r="AB55" i="7" s="1"/>
  <c r="AC55" i="7" s="1"/>
  <c r="U54" i="7"/>
  <c r="W54" i="7" s="1"/>
  <c r="X54" i="7" s="1"/>
  <c r="Y54" i="7" s="1"/>
  <c r="Z54" i="7" s="1"/>
  <c r="AA54" i="7" s="1"/>
  <c r="AB54" i="7" s="1"/>
  <c r="AC54" i="7" s="1"/>
  <c r="U53" i="7"/>
  <c r="W53" i="7" s="1"/>
  <c r="X53" i="7" s="1"/>
  <c r="Y53" i="7" s="1"/>
  <c r="Z53" i="7" s="1"/>
  <c r="AA53" i="7" s="1"/>
  <c r="AB53" i="7" s="1"/>
  <c r="AC53" i="7" s="1"/>
  <c r="U79" i="7"/>
  <c r="W79" i="7" s="1"/>
  <c r="X79" i="7" s="1"/>
  <c r="Y79" i="7" s="1"/>
  <c r="Z79" i="7" s="1"/>
  <c r="AA79" i="7" s="1"/>
  <c r="AB79" i="7" s="1"/>
  <c r="AC79" i="7" s="1"/>
  <c r="U78" i="7"/>
  <c r="U77" i="7"/>
  <c r="AG87" i="7"/>
  <c r="U87" i="7"/>
  <c r="AG86" i="7"/>
  <c r="U86" i="7"/>
  <c r="AG51" i="7"/>
  <c r="U51" i="7"/>
  <c r="AG50" i="7"/>
  <c r="U50" i="7"/>
  <c r="AG135" i="7"/>
  <c r="U135" i="7"/>
  <c r="AG134" i="7"/>
  <c r="U134" i="7"/>
  <c r="AG63" i="7"/>
  <c r="U63" i="7"/>
  <c r="AG62" i="7"/>
  <c r="U62" i="7"/>
  <c r="AG129" i="7"/>
  <c r="U129" i="7"/>
  <c r="AG128" i="7"/>
  <c r="U128" i="7"/>
  <c r="AG123" i="7"/>
  <c r="U123" i="7"/>
  <c r="AG122" i="7"/>
  <c r="U122" i="7"/>
  <c r="AG111" i="7"/>
  <c r="U111" i="7"/>
  <c r="AG110" i="7"/>
  <c r="U110" i="7"/>
  <c r="AG39" i="7"/>
  <c r="U39" i="7"/>
  <c r="AG38" i="7"/>
  <c r="U38" i="7"/>
  <c r="AG21" i="7"/>
  <c r="U21" i="7"/>
  <c r="AG20" i="7"/>
  <c r="U20" i="7"/>
  <c r="AG33" i="7"/>
  <c r="U33" i="7"/>
  <c r="AG32" i="7"/>
  <c r="U32" i="7"/>
  <c r="AG27" i="7"/>
  <c r="U27" i="7"/>
  <c r="AG15" i="7"/>
  <c r="U15" i="7"/>
  <c r="AG14" i="7"/>
  <c r="U14" i="7"/>
  <c r="AG9" i="7"/>
  <c r="U9" i="7"/>
  <c r="AG8" i="7"/>
  <c r="U8" i="7"/>
  <c r="BD45" i="10"/>
  <c r="BC45" i="10"/>
  <c r="AQ45" i="10"/>
  <c r="AR45" i="10" s="1"/>
  <c r="AT45" i="10" s="1"/>
  <c r="AU45" i="10" s="1"/>
  <c r="AV45" i="10" s="1"/>
  <c r="AW45" i="10" s="1"/>
  <c r="AX45" i="10" s="1"/>
  <c r="AY45" i="10" s="1"/>
  <c r="AZ45" i="10" s="1"/>
  <c r="BA45" i="10" s="1"/>
  <c r="BB45" i="10" s="1"/>
  <c r="A45" i="10"/>
  <c r="BD44" i="10"/>
  <c r="BC44" i="10"/>
  <c r="AQ44" i="10"/>
  <c r="AR44" i="10" s="1"/>
  <c r="AT44" i="10" s="1"/>
  <c r="AU44" i="10" s="1"/>
  <c r="AV44" i="10" s="1"/>
  <c r="AW44" i="10" s="1"/>
  <c r="AX44" i="10" s="1"/>
  <c r="AY44" i="10" s="1"/>
  <c r="AZ44" i="10" s="1"/>
  <c r="BA44" i="10" s="1"/>
  <c r="BB44" i="10" s="1"/>
  <c r="A44" i="10"/>
  <c r="BD43" i="10"/>
  <c r="BC43" i="10"/>
  <c r="W43" i="10"/>
  <c r="X43" i="10" s="1"/>
  <c r="Y43" i="10" s="1"/>
  <c r="Z43" i="10" s="1"/>
  <c r="AA43" i="10" s="1"/>
  <c r="AB43" i="10" s="1"/>
  <c r="AC43" i="10" s="1"/>
  <c r="A43" i="10"/>
  <c r="BD42" i="10"/>
  <c r="BC42" i="10"/>
  <c r="A42" i="10"/>
  <c r="BD41" i="10"/>
  <c r="BC41" i="10"/>
  <c r="W41" i="10"/>
  <c r="X41" i="10" s="1"/>
  <c r="Y41" i="10" s="1"/>
  <c r="Z41" i="10" s="1"/>
  <c r="AA41" i="10" s="1"/>
  <c r="AB41" i="10" s="1"/>
  <c r="AC41" i="10" s="1"/>
  <c r="A41" i="10"/>
  <c r="BD40" i="10"/>
  <c r="BC40" i="10"/>
  <c r="I40" i="10"/>
  <c r="J40" i="10" s="1"/>
  <c r="K40" i="10" s="1"/>
  <c r="L40" i="10" s="1"/>
  <c r="M40" i="10" s="1"/>
  <c r="N40" i="10" s="1"/>
  <c r="O40" i="10" s="1"/>
  <c r="P40" i="10" s="1"/>
  <c r="Q40" i="10" s="1"/>
  <c r="R40" i="10" s="1"/>
  <c r="S40" i="10" s="1"/>
  <c r="T40" i="10" s="1"/>
  <c r="U40" i="10" s="1"/>
  <c r="A40" i="10"/>
  <c r="BD57" i="10"/>
  <c r="BC57" i="10"/>
  <c r="AQ57" i="10"/>
  <c r="AR57" i="10" s="1"/>
  <c r="AT57" i="10" s="1"/>
  <c r="AU57" i="10" s="1"/>
  <c r="AV57" i="10" s="1"/>
  <c r="AW57" i="10" s="1"/>
  <c r="AX57" i="10" s="1"/>
  <c r="AY57" i="10" s="1"/>
  <c r="AZ57" i="10" s="1"/>
  <c r="BA57" i="10" s="1"/>
  <c r="BB57" i="10" s="1"/>
  <c r="A57" i="10"/>
  <c r="BD56" i="10"/>
  <c r="BC56" i="10"/>
  <c r="AQ56" i="10"/>
  <c r="AR56" i="10" s="1"/>
  <c r="AT56" i="10" s="1"/>
  <c r="AU56" i="10" s="1"/>
  <c r="AV56" i="10" s="1"/>
  <c r="AW56" i="10" s="1"/>
  <c r="AX56" i="10" s="1"/>
  <c r="AY56" i="10" s="1"/>
  <c r="AZ56" i="10" s="1"/>
  <c r="BA56" i="10" s="1"/>
  <c r="BB56" i="10" s="1"/>
  <c r="A56" i="10"/>
  <c r="BD55" i="10"/>
  <c r="BC55" i="10"/>
  <c r="A55" i="10"/>
  <c r="BD54" i="10"/>
  <c r="BC54" i="10"/>
  <c r="A54" i="10"/>
  <c r="BD53" i="10"/>
  <c r="BC53" i="10"/>
  <c r="A53" i="10"/>
  <c r="BD52" i="10"/>
  <c r="BC52" i="10"/>
  <c r="I52" i="10"/>
  <c r="J52" i="10" s="1"/>
  <c r="K52" i="10" s="1"/>
  <c r="L52" i="10" s="1"/>
  <c r="M52" i="10" s="1"/>
  <c r="N52" i="10" s="1"/>
  <c r="O52" i="10" s="1"/>
  <c r="P52" i="10" s="1"/>
  <c r="Q52" i="10" s="1"/>
  <c r="R52" i="10" s="1"/>
  <c r="S52" i="10" s="1"/>
  <c r="T52" i="10" s="1"/>
  <c r="U52" i="10" s="1"/>
  <c r="A52" i="10"/>
  <c r="BD81" i="10"/>
  <c r="BC81" i="10"/>
  <c r="AQ81" i="10"/>
  <c r="AR81" i="10" s="1"/>
  <c r="AT81" i="10" s="1"/>
  <c r="AU81" i="10" s="1"/>
  <c r="AV81" i="10" s="1"/>
  <c r="AW81" i="10" s="1"/>
  <c r="AX81" i="10" s="1"/>
  <c r="AY81" i="10" s="1"/>
  <c r="AZ81" i="10" s="1"/>
  <c r="BA81" i="10" s="1"/>
  <c r="BB81" i="10" s="1"/>
  <c r="A81" i="10"/>
  <c r="BD80" i="10"/>
  <c r="BC80" i="10"/>
  <c r="AQ80" i="10"/>
  <c r="AR80" i="10" s="1"/>
  <c r="AT80" i="10" s="1"/>
  <c r="AU80" i="10" s="1"/>
  <c r="AV80" i="10" s="1"/>
  <c r="AW80" i="10" s="1"/>
  <c r="AX80" i="10" s="1"/>
  <c r="AY80" i="10" s="1"/>
  <c r="AZ80" i="10" s="1"/>
  <c r="BA80" i="10" s="1"/>
  <c r="BB80" i="10" s="1"/>
  <c r="A80" i="10"/>
  <c r="BD79" i="10"/>
  <c r="BC79" i="10"/>
  <c r="A79" i="10"/>
  <c r="BD78" i="10"/>
  <c r="BC78" i="10"/>
  <c r="A78" i="10"/>
  <c r="BD77" i="10"/>
  <c r="BC77" i="10"/>
  <c r="A77" i="10"/>
  <c r="BD76" i="10"/>
  <c r="BC76" i="10"/>
  <c r="I76" i="10"/>
  <c r="J76" i="10" s="1"/>
  <c r="K76" i="10" s="1"/>
  <c r="L76" i="10" s="1"/>
  <c r="M76" i="10" s="1"/>
  <c r="N76" i="10" s="1"/>
  <c r="O76" i="10" s="1"/>
  <c r="P76" i="10" s="1"/>
  <c r="Q76" i="10" s="1"/>
  <c r="R76" i="10" s="1"/>
  <c r="S76" i="10" s="1"/>
  <c r="T76" i="10" s="1"/>
  <c r="U76" i="10" s="1"/>
  <c r="A76" i="10"/>
  <c r="BD45" i="7"/>
  <c r="BC45" i="7"/>
  <c r="A45" i="7"/>
  <c r="BD44" i="7"/>
  <c r="BC44" i="7"/>
  <c r="A44" i="7"/>
  <c r="BD43" i="7"/>
  <c r="BC43" i="7"/>
  <c r="W43" i="7"/>
  <c r="X43" i="7" s="1"/>
  <c r="Y43" i="7" s="1"/>
  <c r="Z43" i="7" s="1"/>
  <c r="AA43" i="7" s="1"/>
  <c r="AB43" i="7" s="1"/>
  <c r="AC43" i="7" s="1"/>
  <c r="A43" i="7"/>
  <c r="BD42" i="7"/>
  <c r="BC42" i="7"/>
  <c r="A42" i="7"/>
  <c r="BD41" i="7"/>
  <c r="BC41" i="7"/>
  <c r="A41" i="7"/>
  <c r="BD40" i="7"/>
  <c r="BC40" i="7"/>
  <c r="I40" i="7"/>
  <c r="J40" i="7" s="1"/>
  <c r="K40" i="7" s="1"/>
  <c r="L40" i="7" s="1"/>
  <c r="M40" i="7" s="1"/>
  <c r="N40" i="7" s="1"/>
  <c r="O40" i="7" s="1"/>
  <c r="P40" i="7" s="1"/>
  <c r="Q40" i="7" s="1"/>
  <c r="R40" i="7" s="1"/>
  <c r="S40" i="7" s="1"/>
  <c r="T40" i="7" s="1"/>
  <c r="A40" i="7"/>
  <c r="BD57" i="7"/>
  <c r="BC57" i="7"/>
  <c r="AS57" i="7"/>
  <c r="AT57" i="7" s="1"/>
  <c r="AU57" i="7" s="1"/>
  <c r="AV57" i="7" s="1"/>
  <c r="AW57" i="7" s="1"/>
  <c r="AX57" i="7" s="1"/>
  <c r="AY57" i="7" s="1"/>
  <c r="AZ57" i="7" s="1"/>
  <c r="BA57" i="7" s="1"/>
  <c r="BB57" i="7" s="1"/>
  <c r="A57" i="7"/>
  <c r="BD56" i="7"/>
  <c r="BC56" i="7"/>
  <c r="A56" i="7"/>
  <c r="BD55" i="7"/>
  <c r="BC55" i="7"/>
  <c r="A55" i="7"/>
  <c r="BD54" i="7"/>
  <c r="BC54" i="7"/>
  <c r="A54" i="7"/>
  <c r="BD53" i="7"/>
  <c r="BC53" i="7"/>
  <c r="A53" i="7"/>
  <c r="BD52" i="7"/>
  <c r="BC52" i="7"/>
  <c r="I52" i="7"/>
  <c r="J52" i="7" s="1"/>
  <c r="K52" i="7" s="1"/>
  <c r="L52" i="7" s="1"/>
  <c r="M52" i="7" s="1"/>
  <c r="N52" i="7" s="1"/>
  <c r="O52" i="7" s="1"/>
  <c r="P52" i="7" s="1"/>
  <c r="Q52" i="7" s="1"/>
  <c r="R52" i="7" s="1"/>
  <c r="S52" i="7" s="1"/>
  <c r="T52" i="7" s="1"/>
  <c r="A52" i="7"/>
  <c r="BD81" i="7"/>
  <c r="BC81" i="7"/>
  <c r="A81" i="7"/>
  <c r="BD80" i="7"/>
  <c r="BC80" i="7"/>
  <c r="A80" i="7"/>
  <c r="BD79" i="7"/>
  <c r="BC79" i="7"/>
  <c r="A79" i="7"/>
  <c r="BD78" i="7"/>
  <c r="BC78" i="7"/>
  <c r="W78" i="7"/>
  <c r="X78" i="7" s="1"/>
  <c r="Y78" i="7" s="1"/>
  <c r="Z78" i="7" s="1"/>
  <c r="AA78" i="7" s="1"/>
  <c r="AB78" i="7" s="1"/>
  <c r="AC78" i="7" s="1"/>
  <c r="A78" i="7"/>
  <c r="BD77" i="7"/>
  <c r="BC77" i="7"/>
  <c r="W77" i="7"/>
  <c r="X77" i="7" s="1"/>
  <c r="Y77" i="7" s="1"/>
  <c r="Z77" i="7" s="1"/>
  <c r="AA77" i="7" s="1"/>
  <c r="AB77" i="7" s="1"/>
  <c r="AC77" i="7" s="1"/>
  <c r="A77" i="7"/>
  <c r="BD76" i="7"/>
  <c r="BC76" i="7"/>
  <c r="I76" i="7"/>
  <c r="J76" i="7" s="1"/>
  <c r="K76" i="7" s="1"/>
  <c r="L76" i="7" s="1"/>
  <c r="M76" i="7" s="1"/>
  <c r="N76" i="7" s="1"/>
  <c r="O76" i="7" s="1"/>
  <c r="P76" i="7" s="1"/>
  <c r="Q76" i="7" s="1"/>
  <c r="R76" i="7" s="1"/>
  <c r="S76" i="7" s="1"/>
  <c r="T76" i="7" s="1"/>
  <c r="A76" i="7"/>
  <c r="H62" i="18"/>
  <c r="AF36" i="27"/>
  <c r="AF39" i="27" s="1"/>
  <c r="AF32" i="27"/>
  <c r="AF30" i="27"/>
  <c r="AD36" i="27"/>
  <c r="F172" i="18"/>
  <c r="AD32" i="27"/>
  <c r="AD30" i="27"/>
  <c r="E24" i="27"/>
  <c r="AF22" i="27"/>
  <c r="AD22" i="27"/>
  <c r="AF19" i="27"/>
  <c r="AD19" i="27"/>
  <c r="AF10" i="27"/>
  <c r="AF31" i="27" s="1"/>
  <c r="AD10" i="27"/>
  <c r="AD31" i="27" s="1"/>
  <c r="AH52" i="12"/>
  <c r="AH47" i="12"/>
  <c r="AH45" i="12" s="1"/>
  <c r="AH42" i="12"/>
  <c r="AH41" i="12"/>
  <c r="AH39" i="12"/>
  <c r="AH36" i="12"/>
  <c r="AH35" i="12"/>
  <c r="AH19" i="12"/>
  <c r="AH25" i="12" s="1"/>
  <c r="AF56" i="12"/>
  <c r="AF54" i="12"/>
  <c r="AF52" i="12"/>
  <c r="AF47" i="12"/>
  <c r="AF45" i="12" s="1"/>
  <c r="AF42" i="12"/>
  <c r="AF41" i="12"/>
  <c r="AF40" i="12"/>
  <c r="AF39" i="12"/>
  <c r="AF36" i="12"/>
  <c r="AF35" i="12"/>
  <c r="AF34" i="12"/>
  <c r="AF33" i="12"/>
  <c r="AF30" i="12"/>
  <c r="AF29" i="12"/>
  <c r="AF28" i="12"/>
  <c r="AE56" i="12"/>
  <c r="AE54" i="12"/>
  <c r="AE52" i="12" s="1"/>
  <c r="AE47" i="12"/>
  <c r="AE45" i="12" s="1"/>
  <c r="AE42" i="12"/>
  <c r="AE41" i="12"/>
  <c r="AE40" i="12"/>
  <c r="AE39" i="12"/>
  <c r="AE36" i="12"/>
  <c r="AE35" i="12"/>
  <c r="AE34" i="12"/>
  <c r="AE33" i="12"/>
  <c r="AE30" i="12"/>
  <c r="AE29" i="12"/>
  <c r="AE28" i="12"/>
  <c r="AD39" i="27" l="1"/>
  <c r="G172" i="18" s="1"/>
  <c r="AH32" i="12"/>
  <c r="AH24" i="12"/>
  <c r="F174" i="18"/>
  <c r="G174" i="18"/>
  <c r="G21" i="18"/>
  <c r="G63" i="18" s="1"/>
  <c r="AE32" i="12"/>
  <c r="AF32" i="12"/>
  <c r="G20" i="18"/>
  <c r="AF27" i="12"/>
  <c r="AF26" i="12" s="1"/>
  <c r="AE27" i="12"/>
  <c r="AS80" i="7"/>
  <c r="AT80" i="7" s="1"/>
  <c r="AU80" i="7" s="1"/>
  <c r="AV80" i="7" s="1"/>
  <c r="AW80" i="7" s="1"/>
  <c r="AX80" i="7" s="1"/>
  <c r="AY80" i="7" s="1"/>
  <c r="AZ80" i="7" s="1"/>
  <c r="BA80" i="7" s="1"/>
  <c r="BB80" i="7" s="1"/>
  <c r="V76" i="10"/>
  <c r="W76" i="10" s="1"/>
  <c r="X76" i="10" s="1"/>
  <c r="Y76" i="10" s="1"/>
  <c r="Z76" i="10" s="1"/>
  <c r="AA76" i="10" s="1"/>
  <c r="AB76" i="10" s="1"/>
  <c r="AC76" i="10" s="1"/>
  <c r="AP76" i="10" s="1"/>
  <c r="AQ76" i="10" s="1"/>
  <c r="AR76" i="10" s="1"/>
  <c r="U76" i="7"/>
  <c r="V76" i="7" s="1"/>
  <c r="W76" i="7" s="1"/>
  <c r="X76" i="7" s="1"/>
  <c r="Y76" i="7" s="1"/>
  <c r="Z76" i="7" s="1"/>
  <c r="AA76" i="7" s="1"/>
  <c r="AB76" i="7" s="1"/>
  <c r="AC76" i="7" s="1"/>
  <c r="AS56" i="7"/>
  <c r="AT56" i="7" s="1"/>
  <c r="AU56" i="7" s="1"/>
  <c r="AV56" i="7" s="1"/>
  <c r="AW56" i="7" s="1"/>
  <c r="AX56" i="7" s="1"/>
  <c r="AY56" i="7" s="1"/>
  <c r="AZ56" i="7" s="1"/>
  <c r="BA56" i="7" s="1"/>
  <c r="BB56" i="7" s="1"/>
  <c r="V52" i="10"/>
  <c r="W52" i="10" s="1"/>
  <c r="X52" i="10" s="1"/>
  <c r="Y52" i="10" s="1"/>
  <c r="Z52" i="10" s="1"/>
  <c r="AA52" i="10" s="1"/>
  <c r="AB52" i="10" s="1"/>
  <c r="AC52" i="10" s="1"/>
  <c r="U52" i="7"/>
  <c r="V52" i="7" s="1"/>
  <c r="W52" i="7" s="1"/>
  <c r="X52" i="7" s="1"/>
  <c r="Y52" i="7" s="1"/>
  <c r="Z52" i="7" s="1"/>
  <c r="AA52" i="7" s="1"/>
  <c r="AB52" i="7" s="1"/>
  <c r="AC52" i="7" s="1"/>
  <c r="AS45" i="7"/>
  <c r="AT45" i="7" s="1"/>
  <c r="AU45" i="7" s="1"/>
  <c r="AV45" i="7" s="1"/>
  <c r="AW45" i="7" s="1"/>
  <c r="AX45" i="7" s="1"/>
  <c r="AY45" i="7" s="1"/>
  <c r="AZ45" i="7" s="1"/>
  <c r="BA45" i="7" s="1"/>
  <c r="BB45" i="7" s="1"/>
  <c r="AH27" i="12"/>
  <c r="AH26" i="12" s="1"/>
  <c r="AF24" i="27"/>
  <c r="V40" i="10"/>
  <c r="W40" i="10" s="1"/>
  <c r="X40" i="10" s="1"/>
  <c r="Y40" i="10" s="1"/>
  <c r="Z40" i="10" s="1"/>
  <c r="AA40" i="10" s="1"/>
  <c r="AB40" i="10" s="1"/>
  <c r="AC40" i="10" s="1"/>
  <c r="AS81" i="7"/>
  <c r="AT81" i="7" s="1"/>
  <c r="AU81" i="7" s="1"/>
  <c r="AV81" i="7" s="1"/>
  <c r="AW81" i="7" s="1"/>
  <c r="AX81" i="7" s="1"/>
  <c r="AY81" i="7" s="1"/>
  <c r="AZ81" i="7" s="1"/>
  <c r="BA81" i="7" s="1"/>
  <c r="BB81" i="7" s="1"/>
  <c r="U40" i="7"/>
  <c r="V40" i="7" s="1"/>
  <c r="W40" i="7" s="1"/>
  <c r="X40" i="7" s="1"/>
  <c r="Y40" i="7" s="1"/>
  <c r="Z40" i="7" s="1"/>
  <c r="AA40" i="7" s="1"/>
  <c r="AB40" i="7" s="1"/>
  <c r="AC40" i="7" s="1"/>
  <c r="AS44" i="7"/>
  <c r="AT44" i="7" s="1"/>
  <c r="AU44" i="7" s="1"/>
  <c r="AV44" i="7" s="1"/>
  <c r="AW44" i="7" s="1"/>
  <c r="AX44" i="7" s="1"/>
  <c r="AY44" i="7" s="1"/>
  <c r="AZ44" i="7" s="1"/>
  <c r="BA44" i="7" s="1"/>
  <c r="BB44" i="7" s="1"/>
  <c r="AD24" i="27"/>
  <c r="AD77" i="10"/>
  <c r="AE77" i="10" s="1"/>
  <c r="AF77" i="10" s="1"/>
  <c r="AH77" i="10" s="1"/>
  <c r="AI77" i="10" s="1"/>
  <c r="AJ77" i="10" s="1"/>
  <c r="AK77" i="10" s="1"/>
  <c r="AL77" i="10" s="1"/>
  <c r="AM77" i="10" s="1"/>
  <c r="AN77" i="10" s="1"/>
  <c r="AO77" i="10" s="1"/>
  <c r="AP77" i="10"/>
  <c r="AQ77" i="10" s="1"/>
  <c r="AR77" i="10" s="1"/>
  <c r="AT77" i="10" s="1"/>
  <c r="AU77" i="10" s="1"/>
  <c r="AV77" i="10" s="1"/>
  <c r="AW77" i="10" s="1"/>
  <c r="AX77" i="10" s="1"/>
  <c r="AY77" i="10" s="1"/>
  <c r="AZ77" i="10" s="1"/>
  <c r="BA77" i="10" s="1"/>
  <c r="BB77" i="10" s="1"/>
  <c r="AP78" i="10"/>
  <c r="AQ78" i="10" s="1"/>
  <c r="AR78" i="10" s="1"/>
  <c r="AT78" i="10" s="1"/>
  <c r="AU78" i="10" s="1"/>
  <c r="AV78" i="10" s="1"/>
  <c r="AW78" i="10" s="1"/>
  <c r="AX78" i="10" s="1"/>
  <c r="AY78" i="10" s="1"/>
  <c r="AZ78" i="10" s="1"/>
  <c r="BA78" i="10" s="1"/>
  <c r="BB78" i="10" s="1"/>
  <c r="AD78" i="10"/>
  <c r="AE78" i="10" s="1"/>
  <c r="AF78" i="10" s="1"/>
  <c r="AH78" i="10" s="1"/>
  <c r="AI78" i="10" s="1"/>
  <c r="AJ78" i="10" s="1"/>
  <c r="AK78" i="10" s="1"/>
  <c r="AL78" i="10" s="1"/>
  <c r="AM78" i="10" s="1"/>
  <c r="AN78" i="10" s="1"/>
  <c r="AO78" i="10" s="1"/>
  <c r="AP41" i="10"/>
  <c r="AQ41" i="10" s="1"/>
  <c r="AR41" i="10" s="1"/>
  <c r="AT41" i="10" s="1"/>
  <c r="AU41" i="10" s="1"/>
  <c r="AV41" i="10" s="1"/>
  <c r="AW41" i="10" s="1"/>
  <c r="AX41" i="10" s="1"/>
  <c r="AY41" i="10" s="1"/>
  <c r="AZ41" i="10" s="1"/>
  <c r="BA41" i="10" s="1"/>
  <c r="BB41" i="10" s="1"/>
  <c r="AD41" i="10"/>
  <c r="AE41" i="10" s="1"/>
  <c r="AF41" i="10" s="1"/>
  <c r="AH41" i="10" s="1"/>
  <c r="AI41" i="10" s="1"/>
  <c r="AJ41" i="10" s="1"/>
  <c r="AK41" i="10" s="1"/>
  <c r="AL41" i="10" s="1"/>
  <c r="AM41" i="10" s="1"/>
  <c r="AN41" i="10" s="1"/>
  <c r="AO41" i="10" s="1"/>
  <c r="AP79" i="10"/>
  <c r="AQ79" i="10" s="1"/>
  <c r="AR79" i="10" s="1"/>
  <c r="AT79" i="10" s="1"/>
  <c r="AU79" i="10" s="1"/>
  <c r="AV79" i="10" s="1"/>
  <c r="AW79" i="10" s="1"/>
  <c r="AX79" i="10" s="1"/>
  <c r="AY79" i="10" s="1"/>
  <c r="AZ79" i="10" s="1"/>
  <c r="BA79" i="10" s="1"/>
  <c r="BB79" i="10" s="1"/>
  <c r="AD53" i="10"/>
  <c r="AE53" i="10" s="1"/>
  <c r="AF53" i="10" s="1"/>
  <c r="AH53" i="10" s="1"/>
  <c r="AI53" i="10" s="1"/>
  <c r="AJ53" i="10" s="1"/>
  <c r="AK53" i="10" s="1"/>
  <c r="AL53" i="10" s="1"/>
  <c r="AM53" i="10" s="1"/>
  <c r="AN53" i="10" s="1"/>
  <c r="AO53" i="10" s="1"/>
  <c r="AP53" i="10"/>
  <c r="AQ53" i="10" s="1"/>
  <c r="AR53" i="10" s="1"/>
  <c r="AT53" i="10" s="1"/>
  <c r="AU53" i="10" s="1"/>
  <c r="AV53" i="10" s="1"/>
  <c r="AW53" i="10" s="1"/>
  <c r="AX53" i="10" s="1"/>
  <c r="AY53" i="10" s="1"/>
  <c r="AZ53" i="10" s="1"/>
  <c r="BA53" i="10" s="1"/>
  <c r="BB53" i="10" s="1"/>
  <c r="AP42" i="10"/>
  <c r="AQ42" i="10" s="1"/>
  <c r="AR42" i="10" s="1"/>
  <c r="AT42" i="10" s="1"/>
  <c r="AU42" i="10" s="1"/>
  <c r="AV42" i="10" s="1"/>
  <c r="AW42" i="10" s="1"/>
  <c r="AX42" i="10" s="1"/>
  <c r="AY42" i="10" s="1"/>
  <c r="AZ42" i="10" s="1"/>
  <c r="BA42" i="10" s="1"/>
  <c r="BB42" i="10" s="1"/>
  <c r="AD42" i="10"/>
  <c r="AE42" i="10" s="1"/>
  <c r="AF42" i="10" s="1"/>
  <c r="AH42" i="10" s="1"/>
  <c r="AI42" i="10" s="1"/>
  <c r="AJ42" i="10" s="1"/>
  <c r="AK42" i="10" s="1"/>
  <c r="AL42" i="10" s="1"/>
  <c r="AM42" i="10" s="1"/>
  <c r="AN42" i="10" s="1"/>
  <c r="AO42" i="10" s="1"/>
  <c r="AP54" i="10"/>
  <c r="AQ54" i="10" s="1"/>
  <c r="AR54" i="10" s="1"/>
  <c r="AT54" i="10" s="1"/>
  <c r="AU54" i="10" s="1"/>
  <c r="AV54" i="10" s="1"/>
  <c r="AW54" i="10" s="1"/>
  <c r="AX54" i="10" s="1"/>
  <c r="AY54" i="10" s="1"/>
  <c r="AZ54" i="10" s="1"/>
  <c r="BA54" i="10" s="1"/>
  <c r="BB54" i="10" s="1"/>
  <c r="AD54" i="10"/>
  <c r="AE54" i="10" s="1"/>
  <c r="AF54" i="10" s="1"/>
  <c r="AH54" i="10" s="1"/>
  <c r="AI54" i="10" s="1"/>
  <c r="AJ54" i="10" s="1"/>
  <c r="AK54" i="10" s="1"/>
  <c r="AL54" i="10" s="1"/>
  <c r="AM54" i="10" s="1"/>
  <c r="AN54" i="10" s="1"/>
  <c r="AO54" i="10" s="1"/>
  <c r="AP55" i="10"/>
  <c r="AQ55" i="10" s="1"/>
  <c r="AR55" i="10" s="1"/>
  <c r="AT55" i="10" s="1"/>
  <c r="AU55" i="10" s="1"/>
  <c r="AV55" i="10" s="1"/>
  <c r="AW55" i="10" s="1"/>
  <c r="AX55" i="10" s="1"/>
  <c r="AY55" i="10" s="1"/>
  <c r="AZ55" i="10" s="1"/>
  <c r="BA55" i="10" s="1"/>
  <c r="BB55" i="10" s="1"/>
  <c r="AD55" i="10"/>
  <c r="AE55" i="10" s="1"/>
  <c r="AF55" i="10" s="1"/>
  <c r="AH55" i="10" s="1"/>
  <c r="AI55" i="10" s="1"/>
  <c r="AJ55" i="10" s="1"/>
  <c r="AK55" i="10" s="1"/>
  <c r="AL55" i="10" s="1"/>
  <c r="AM55" i="10" s="1"/>
  <c r="AN55" i="10" s="1"/>
  <c r="AO55" i="10" s="1"/>
  <c r="AD43" i="10"/>
  <c r="AE43" i="10" s="1"/>
  <c r="AF43" i="10" s="1"/>
  <c r="AH43" i="10" s="1"/>
  <c r="AI43" i="10" s="1"/>
  <c r="AJ43" i="10" s="1"/>
  <c r="AK43" i="10" s="1"/>
  <c r="AL43" i="10" s="1"/>
  <c r="AM43" i="10" s="1"/>
  <c r="AN43" i="10" s="1"/>
  <c r="AO43" i="10" s="1"/>
  <c r="AP43" i="10"/>
  <c r="AQ43" i="10" s="1"/>
  <c r="AR43" i="10" s="1"/>
  <c r="AT43" i="10" s="1"/>
  <c r="AU43" i="10" s="1"/>
  <c r="AV43" i="10" s="1"/>
  <c r="AW43" i="10" s="1"/>
  <c r="AX43" i="10" s="1"/>
  <c r="AY43" i="10" s="1"/>
  <c r="AZ43" i="10" s="1"/>
  <c r="BA43" i="10" s="1"/>
  <c r="BB43" i="10" s="1"/>
  <c r="AD43" i="7"/>
  <c r="AE43" i="7" s="1"/>
  <c r="AF43" i="7" s="1"/>
  <c r="AD41" i="7"/>
  <c r="AE41" i="7" s="1"/>
  <c r="AF41" i="7" s="1"/>
  <c r="AD42" i="7"/>
  <c r="AE42" i="7" s="1"/>
  <c r="AF42" i="7" s="1"/>
  <c r="AD53" i="7"/>
  <c r="AE53" i="7" s="1"/>
  <c r="AF53" i="7" s="1"/>
  <c r="AD54" i="7"/>
  <c r="AE54" i="7" s="1"/>
  <c r="AF54" i="7" s="1"/>
  <c r="AD55" i="7"/>
  <c r="AE55" i="7" s="1"/>
  <c r="AF55" i="7" s="1"/>
  <c r="AD79" i="7"/>
  <c r="AE79" i="7" s="1"/>
  <c r="AF79" i="7" s="1"/>
  <c r="AD77" i="7"/>
  <c r="AE77" i="7" s="1"/>
  <c r="AF77" i="7" s="1"/>
  <c r="AD78" i="7"/>
  <c r="AE78" i="7" s="1"/>
  <c r="AF78" i="7" s="1"/>
  <c r="AH38" i="12"/>
  <c r="AF38" i="12"/>
  <c r="AE38" i="12"/>
  <c r="AH18" i="12"/>
  <c r="AH20" i="12" s="1"/>
  <c r="J13" i="24"/>
  <c r="I13" i="24" s="1"/>
  <c r="AE26" i="12" l="1"/>
  <c r="AS76" i="10"/>
  <c r="AT76" i="10" s="1"/>
  <c r="AU76" i="10" s="1"/>
  <c r="AV76" i="10" s="1"/>
  <c r="AW76" i="10" s="1"/>
  <c r="AX76" i="10" s="1"/>
  <c r="AY76" i="10" s="1"/>
  <c r="AZ76" i="10" s="1"/>
  <c r="BA76" i="10" s="1"/>
  <c r="BB76" i="10" s="1"/>
  <c r="AP40" i="10"/>
  <c r="AQ40" i="10" s="1"/>
  <c r="AR40" i="10" s="1"/>
  <c r="AD40" i="10"/>
  <c r="AE40" i="10" s="1"/>
  <c r="AF40" i="10" s="1"/>
  <c r="AD40" i="7"/>
  <c r="AE40" i="7" s="1"/>
  <c r="AF40" i="7" s="1"/>
  <c r="AG40" i="7" s="1"/>
  <c r="AH40" i="7" s="1"/>
  <c r="AI40" i="7" s="1"/>
  <c r="AJ40" i="7" s="1"/>
  <c r="AK40" i="7" s="1"/>
  <c r="AL40" i="7" s="1"/>
  <c r="AM40" i="7" s="1"/>
  <c r="AN40" i="7" s="1"/>
  <c r="AO40" i="7" s="1"/>
  <c r="AP40" i="7" s="1"/>
  <c r="AQ40" i="7" s="1"/>
  <c r="AR40" i="7" s="1"/>
  <c r="AD52" i="10"/>
  <c r="AE52" i="10" s="1"/>
  <c r="AF52" i="10" s="1"/>
  <c r="AP52" i="10"/>
  <c r="AQ52" i="10" s="1"/>
  <c r="AR52" i="10" s="1"/>
  <c r="AD52" i="7"/>
  <c r="AE52" i="7" s="1"/>
  <c r="AF52" i="7" s="1"/>
  <c r="AG52" i="7" s="1"/>
  <c r="AH52" i="7" s="1"/>
  <c r="AI52" i="7" s="1"/>
  <c r="AJ52" i="7" s="1"/>
  <c r="AK52" i="7" s="1"/>
  <c r="AL52" i="7" s="1"/>
  <c r="AM52" i="7" s="1"/>
  <c r="AN52" i="7" s="1"/>
  <c r="AO52" i="7" s="1"/>
  <c r="AP52" i="7" s="1"/>
  <c r="AQ52" i="7" s="1"/>
  <c r="AR52" i="7" s="1"/>
  <c r="AS52" i="7" s="1"/>
  <c r="AT52" i="7" s="1"/>
  <c r="AU52" i="7" s="1"/>
  <c r="AV52" i="7" s="1"/>
  <c r="AW52" i="7" s="1"/>
  <c r="AX52" i="7" s="1"/>
  <c r="AY52" i="7" s="1"/>
  <c r="AZ52" i="7" s="1"/>
  <c r="BA52" i="7" s="1"/>
  <c r="BB52" i="7" s="1"/>
  <c r="AD76" i="7"/>
  <c r="AE76" i="7" s="1"/>
  <c r="AF76" i="7" s="1"/>
  <c r="AG76" i="7" s="1"/>
  <c r="AH76" i="7" s="1"/>
  <c r="AI76" i="7" s="1"/>
  <c r="AJ76" i="7" s="1"/>
  <c r="AK76" i="7" s="1"/>
  <c r="AL76" i="7" s="1"/>
  <c r="AM76" i="7" s="1"/>
  <c r="AN76" i="7" s="1"/>
  <c r="AO76" i="7" s="1"/>
  <c r="AP76" i="7" s="1"/>
  <c r="AQ76" i="7" s="1"/>
  <c r="AR76" i="7" s="1"/>
  <c r="AS76" i="7" s="1"/>
  <c r="AT76" i="7" s="1"/>
  <c r="AU76" i="7" s="1"/>
  <c r="AV76" i="7" s="1"/>
  <c r="AW76" i="7" s="1"/>
  <c r="AX76" i="7" s="1"/>
  <c r="AY76" i="7" s="1"/>
  <c r="AZ76" i="7" s="1"/>
  <c r="BA76" i="7" s="1"/>
  <c r="BB76" i="7" s="1"/>
  <c r="AD76" i="10"/>
  <c r="AE76" i="10" s="1"/>
  <c r="AF76" i="10" s="1"/>
  <c r="AS40" i="7"/>
  <c r="AT40" i="7" s="1"/>
  <c r="AU40" i="7" s="1"/>
  <c r="AV40" i="7" s="1"/>
  <c r="AW40" i="7" s="1"/>
  <c r="AX40" i="7" s="1"/>
  <c r="AY40" i="7" s="1"/>
  <c r="AZ40" i="7" s="1"/>
  <c r="BA40" i="7" s="1"/>
  <c r="BB40" i="7" s="1"/>
  <c r="AG77" i="7"/>
  <c r="AH77" i="7" s="1"/>
  <c r="AI77" i="7" s="1"/>
  <c r="AJ77" i="7" s="1"/>
  <c r="AK77" i="7" s="1"/>
  <c r="AL77" i="7" s="1"/>
  <c r="AM77" i="7" s="1"/>
  <c r="AN77" i="7" s="1"/>
  <c r="AO77" i="7" s="1"/>
  <c r="AP77" i="7" s="1"/>
  <c r="AQ77" i="7" s="1"/>
  <c r="AR77" i="7" s="1"/>
  <c r="AS77" i="7" s="1"/>
  <c r="AT77" i="7" s="1"/>
  <c r="AU77" i="7" s="1"/>
  <c r="AV77" i="7" s="1"/>
  <c r="AW77" i="7" s="1"/>
  <c r="AX77" i="7" s="1"/>
  <c r="AY77" i="7" s="1"/>
  <c r="AZ77" i="7" s="1"/>
  <c r="BA77" i="7" s="1"/>
  <c r="BB77" i="7" s="1"/>
  <c r="AG43" i="7"/>
  <c r="AH43" i="7" s="1"/>
  <c r="AI43" i="7" s="1"/>
  <c r="AJ43" i="7" s="1"/>
  <c r="AK43" i="7" s="1"/>
  <c r="AL43" i="7" s="1"/>
  <c r="AM43" i="7" s="1"/>
  <c r="AN43" i="7" s="1"/>
  <c r="AO43" i="7" s="1"/>
  <c r="AP43" i="7" s="1"/>
  <c r="AQ43" i="7" s="1"/>
  <c r="AR43" i="7" s="1"/>
  <c r="AS43" i="7" s="1"/>
  <c r="AT43" i="7" s="1"/>
  <c r="AU43" i="7" s="1"/>
  <c r="AV43" i="7" s="1"/>
  <c r="AW43" i="7" s="1"/>
  <c r="AX43" i="7" s="1"/>
  <c r="AY43" i="7" s="1"/>
  <c r="AZ43" i="7" s="1"/>
  <c r="BA43" i="7" s="1"/>
  <c r="BB43" i="7" s="1"/>
  <c r="AS79" i="7"/>
  <c r="AT79" i="7" s="1"/>
  <c r="AU79" i="7" s="1"/>
  <c r="AV79" i="7" s="1"/>
  <c r="AW79" i="7" s="1"/>
  <c r="AX79" i="7" s="1"/>
  <c r="AY79" i="7" s="1"/>
  <c r="AZ79" i="7" s="1"/>
  <c r="BA79" i="7" s="1"/>
  <c r="BB79" i="7" s="1"/>
  <c r="AG78" i="7"/>
  <c r="AH78" i="7" s="1"/>
  <c r="AI78" i="7" s="1"/>
  <c r="AJ78" i="7" s="1"/>
  <c r="AK78" i="7" s="1"/>
  <c r="AL78" i="7" s="1"/>
  <c r="AM78" i="7" s="1"/>
  <c r="AN78" i="7" s="1"/>
  <c r="AO78" i="7" s="1"/>
  <c r="AP78" i="7" s="1"/>
  <c r="AQ78" i="7" s="1"/>
  <c r="AR78" i="7" s="1"/>
  <c r="AS78" i="7" s="1"/>
  <c r="AT78" i="7" s="1"/>
  <c r="AU78" i="7" s="1"/>
  <c r="AV78" i="7" s="1"/>
  <c r="AW78" i="7" s="1"/>
  <c r="AX78" i="7" s="1"/>
  <c r="AY78" i="7" s="1"/>
  <c r="AZ78" i="7" s="1"/>
  <c r="BA78" i="7" s="1"/>
  <c r="BB78" i="7" s="1"/>
  <c r="AG55" i="7"/>
  <c r="AH55" i="7" s="1"/>
  <c r="AI55" i="7" s="1"/>
  <c r="AJ55" i="7" s="1"/>
  <c r="AK55" i="7" s="1"/>
  <c r="AL55" i="7" s="1"/>
  <c r="AM55" i="7" s="1"/>
  <c r="AN55" i="7" s="1"/>
  <c r="AO55" i="7" s="1"/>
  <c r="AP55" i="7" s="1"/>
  <c r="AQ55" i="7" s="1"/>
  <c r="AR55" i="7" s="1"/>
  <c r="AS55" i="7" s="1"/>
  <c r="AT55" i="7" s="1"/>
  <c r="AU55" i="7" s="1"/>
  <c r="AV55" i="7" s="1"/>
  <c r="AW55" i="7" s="1"/>
  <c r="AX55" i="7" s="1"/>
  <c r="AY55" i="7" s="1"/>
  <c r="AZ55" i="7" s="1"/>
  <c r="BA55" i="7" s="1"/>
  <c r="BB55" i="7" s="1"/>
  <c r="AG42" i="7"/>
  <c r="AH42" i="7" s="1"/>
  <c r="AI42" i="7" s="1"/>
  <c r="AJ42" i="7" s="1"/>
  <c r="AK42" i="7" s="1"/>
  <c r="AL42" i="7" s="1"/>
  <c r="AM42" i="7" s="1"/>
  <c r="AN42" i="7" s="1"/>
  <c r="AO42" i="7" s="1"/>
  <c r="AP42" i="7" s="1"/>
  <c r="AQ42" i="7" s="1"/>
  <c r="AR42" i="7" s="1"/>
  <c r="AS42" i="7" s="1"/>
  <c r="AT42" i="7" s="1"/>
  <c r="AU42" i="7" s="1"/>
  <c r="AV42" i="7" s="1"/>
  <c r="AW42" i="7" s="1"/>
  <c r="AX42" i="7" s="1"/>
  <c r="AY42" i="7" s="1"/>
  <c r="AZ42" i="7" s="1"/>
  <c r="BA42" i="7" s="1"/>
  <c r="BB42" i="7" s="1"/>
  <c r="AG79" i="7"/>
  <c r="AH79" i="7" s="1"/>
  <c r="AI79" i="7" s="1"/>
  <c r="AJ79" i="7" s="1"/>
  <c r="AK79" i="7" s="1"/>
  <c r="AL79" i="7" s="1"/>
  <c r="AM79" i="7" s="1"/>
  <c r="AN79" i="7" s="1"/>
  <c r="AO79" i="7" s="1"/>
  <c r="AP79" i="7" s="1"/>
  <c r="AQ79" i="7" s="1"/>
  <c r="AR79" i="7" s="1"/>
  <c r="AG54" i="7"/>
  <c r="AH54" i="7" s="1"/>
  <c r="AI54" i="7" s="1"/>
  <c r="AJ54" i="7" s="1"/>
  <c r="AK54" i="7" s="1"/>
  <c r="AL54" i="7" s="1"/>
  <c r="AM54" i="7" s="1"/>
  <c r="AN54" i="7" s="1"/>
  <c r="AO54" i="7" s="1"/>
  <c r="AP54" i="7" s="1"/>
  <c r="AQ54" i="7" s="1"/>
  <c r="AR54" i="7" s="1"/>
  <c r="AS54" i="7" s="1"/>
  <c r="AT54" i="7" s="1"/>
  <c r="AU54" i="7" s="1"/>
  <c r="AV54" i="7" s="1"/>
  <c r="AW54" i="7" s="1"/>
  <c r="AX54" i="7" s="1"/>
  <c r="AY54" i="7" s="1"/>
  <c r="AZ54" i="7" s="1"/>
  <c r="BA54" i="7" s="1"/>
  <c r="BB54" i="7" s="1"/>
  <c r="AG53" i="7"/>
  <c r="AH53" i="7" s="1"/>
  <c r="AI53" i="7" s="1"/>
  <c r="AJ53" i="7" s="1"/>
  <c r="AK53" i="7" s="1"/>
  <c r="AL53" i="7" s="1"/>
  <c r="AM53" i="7" s="1"/>
  <c r="AN53" i="7" s="1"/>
  <c r="AO53" i="7" s="1"/>
  <c r="AP53" i="7" s="1"/>
  <c r="AQ53" i="7" s="1"/>
  <c r="AR53" i="7" s="1"/>
  <c r="AS53" i="7" s="1"/>
  <c r="AT53" i="7" s="1"/>
  <c r="AU53" i="7" s="1"/>
  <c r="AV53" i="7" s="1"/>
  <c r="AW53" i="7" s="1"/>
  <c r="AX53" i="7" s="1"/>
  <c r="AY53" i="7" s="1"/>
  <c r="AZ53" i="7" s="1"/>
  <c r="BA53" i="7" s="1"/>
  <c r="BB53" i="7" s="1"/>
  <c r="AG41" i="7"/>
  <c r="AH41" i="7" s="1"/>
  <c r="AI41" i="7" s="1"/>
  <c r="AJ41" i="7" s="1"/>
  <c r="AK41" i="7" s="1"/>
  <c r="AL41" i="7" s="1"/>
  <c r="AM41" i="7" s="1"/>
  <c r="AN41" i="7" s="1"/>
  <c r="AO41" i="7" s="1"/>
  <c r="AP41" i="7" s="1"/>
  <c r="AQ41" i="7" s="1"/>
  <c r="AR41" i="7" s="1"/>
  <c r="AS41" i="7" s="1"/>
  <c r="AT41" i="7" s="1"/>
  <c r="AU41" i="7" s="1"/>
  <c r="AV41" i="7" s="1"/>
  <c r="AW41" i="7" s="1"/>
  <c r="AX41" i="7" s="1"/>
  <c r="AY41" i="7" s="1"/>
  <c r="AZ41" i="7" s="1"/>
  <c r="BA41" i="7" s="1"/>
  <c r="BB41" i="7" s="1"/>
  <c r="AG76" i="10" l="1"/>
  <c r="AH76" i="10" s="1"/>
  <c r="AI76" i="10" s="1"/>
  <c r="AJ76" i="10" s="1"/>
  <c r="AK76" i="10" s="1"/>
  <c r="AL76" i="10" s="1"/>
  <c r="AM76" i="10" s="1"/>
  <c r="AN76" i="10" s="1"/>
  <c r="AO76" i="10" s="1"/>
  <c r="AG52" i="10"/>
  <c r="AH52" i="10" s="1"/>
  <c r="AI52" i="10" s="1"/>
  <c r="AJ52" i="10" s="1"/>
  <c r="AK52" i="10" s="1"/>
  <c r="AL52" i="10" s="1"/>
  <c r="AM52" i="10" s="1"/>
  <c r="AN52" i="10" s="1"/>
  <c r="AO52" i="10" s="1"/>
  <c r="AS52" i="10"/>
  <c r="AT52" i="10" s="1"/>
  <c r="AU52" i="10" s="1"/>
  <c r="AV52" i="10" s="1"/>
  <c r="AW52" i="10" s="1"/>
  <c r="AX52" i="10" s="1"/>
  <c r="AY52" i="10" s="1"/>
  <c r="AZ52" i="10" s="1"/>
  <c r="BA52" i="10" s="1"/>
  <c r="BB52" i="10" s="1"/>
  <c r="AG40" i="10"/>
  <c r="AH40" i="10" s="1"/>
  <c r="AI40" i="10" s="1"/>
  <c r="AJ40" i="10" s="1"/>
  <c r="AK40" i="10" s="1"/>
  <c r="AL40" i="10" s="1"/>
  <c r="AM40" i="10" s="1"/>
  <c r="AN40" i="10" s="1"/>
  <c r="AO40" i="10" s="1"/>
  <c r="AS40" i="10"/>
  <c r="AT40" i="10" s="1"/>
  <c r="AU40" i="10" s="1"/>
  <c r="AV40" i="10" s="1"/>
  <c r="AW40" i="10" s="1"/>
  <c r="AX40" i="10" s="1"/>
  <c r="AY40" i="10" s="1"/>
  <c r="AZ40" i="10" s="1"/>
  <c r="BA40" i="10" s="1"/>
  <c r="BB40" i="10" s="1"/>
  <c r="G14" i="6"/>
  <c r="K32" i="27" l="1"/>
  <c r="K30" i="27"/>
  <c r="M19" i="27" l="1"/>
  <c r="K19" i="27"/>
  <c r="E19" i="27"/>
  <c r="G5" i="18" l="1"/>
  <c r="H47" i="18"/>
  <c r="P22" i="27"/>
  <c r="R17" i="27" l="1"/>
  <c r="R16" i="27"/>
  <c r="R42" i="27" s="1"/>
  <c r="R13" i="27"/>
  <c r="D13" i="27" s="1"/>
  <c r="R12" i="27"/>
  <c r="S64" i="12"/>
  <c r="S63" i="12"/>
  <c r="S62" i="12"/>
  <c r="S61" i="12"/>
  <c r="S60" i="12"/>
  <c r="S59" i="12"/>
  <c r="S58" i="12"/>
  <c r="S57" i="12"/>
  <c r="S55" i="12"/>
  <c r="S53" i="12"/>
  <c r="S51" i="12"/>
  <c r="S48" i="12"/>
  <c r="S46" i="12"/>
  <c r="S44" i="12"/>
  <c r="S43" i="12"/>
  <c r="S37" i="12"/>
  <c r="S15" i="12"/>
  <c r="E15" i="12" s="1"/>
  <c r="D12" i="27" l="1"/>
  <c r="S23" i="12"/>
  <c r="E23" i="12" s="1"/>
  <c r="D17" i="27"/>
  <c r="R35" i="27"/>
  <c r="R38" i="27" s="1"/>
  <c r="M159" i="18"/>
  <c r="D16" i="27"/>
  <c r="R36" i="27"/>
  <c r="Q27" i="18"/>
  <c r="G27" i="18" s="1"/>
  <c r="R27" i="18"/>
  <c r="I27" i="18" s="1"/>
  <c r="O27" i="18"/>
  <c r="O44" i="18" s="1"/>
  <c r="U27" i="18"/>
  <c r="R32" i="27"/>
  <c r="R30" i="27"/>
  <c r="R10" i="27"/>
  <c r="R31" i="27" s="1"/>
  <c r="R39" i="27" l="1"/>
  <c r="G159" i="18" s="1"/>
  <c r="I48" i="18"/>
  <c r="I65" i="18" s="1"/>
  <c r="I44" i="18"/>
  <c r="F159" i="18"/>
  <c r="M29" i="18"/>
  <c r="M50" i="18" s="1"/>
  <c r="G47" i="18"/>
  <c r="M47" i="18"/>
  <c r="I66" i="18" l="1"/>
  <c r="K31" i="27"/>
  <c r="B15" i="31" l="1"/>
  <c r="B16" i="31" s="1"/>
  <c r="B17" i="31" s="1"/>
  <c r="B18" i="31" s="1"/>
  <c r="B19" i="31" s="1"/>
  <c r="B20" i="31" s="1"/>
  <c r="O22" i="27" l="1"/>
  <c r="Q22" i="27" s="1"/>
  <c r="R22" i="27" l="1"/>
  <c r="B119" i="10" l="1"/>
  <c r="B120" i="10" s="1"/>
  <c r="B121" i="10" s="1"/>
  <c r="B122" i="10" s="1"/>
  <c r="B123" i="10" s="1"/>
  <c r="B35" i="10"/>
  <c r="B36" i="10" s="1"/>
  <c r="B37" i="10" s="1"/>
  <c r="B38" i="10" s="1"/>
  <c r="B39" i="10" s="1"/>
  <c r="B17" i="10"/>
  <c r="B18" i="10" s="1"/>
  <c r="B19" i="10" s="1"/>
  <c r="B20" i="10" s="1"/>
  <c r="B21" i="10" s="1"/>
  <c r="B29" i="10"/>
  <c r="B30" i="10" s="1"/>
  <c r="B31" i="10" s="1"/>
  <c r="B32" i="10" s="1"/>
  <c r="B33" i="10" s="1"/>
  <c r="B23" i="10"/>
  <c r="B24" i="10" s="1"/>
  <c r="B25" i="10" s="1"/>
  <c r="B26" i="10" s="1"/>
  <c r="B27" i="10" s="1"/>
  <c r="B11" i="10"/>
  <c r="B12" i="10" s="1"/>
  <c r="B13" i="10" s="1"/>
  <c r="B14" i="10" s="1"/>
  <c r="B15" i="10" s="1"/>
  <c r="B5" i="10"/>
  <c r="B6" i="10" s="1"/>
  <c r="B7" i="10" s="1"/>
  <c r="B8" i="10" s="1"/>
  <c r="B9" i="10" s="1"/>
  <c r="M12" i="6"/>
  <c r="N12" i="6"/>
  <c r="O12" i="6"/>
  <c r="P12" i="6"/>
  <c r="Q12" i="6"/>
  <c r="R12" i="6"/>
  <c r="S12" i="6"/>
  <c r="T12" i="6"/>
  <c r="U12" i="6"/>
  <c r="V12" i="6"/>
  <c r="W12" i="6"/>
  <c r="X12" i="6"/>
  <c r="Y14" i="6"/>
  <c r="Y15" i="6"/>
  <c r="Y16" i="6"/>
  <c r="Y17" i="6"/>
  <c r="Y18" i="6"/>
  <c r="Y19" i="6"/>
  <c r="Y20" i="6"/>
  <c r="Y21" i="6"/>
  <c r="H21" i="6" s="1"/>
  <c r="X36" i="8" s="1"/>
  <c r="Y22" i="6"/>
  <c r="H22" i="6" s="1"/>
  <c r="Y23" i="6"/>
  <c r="H23" i="6" s="1"/>
  <c r="Y24" i="6"/>
  <c r="H24" i="6" s="1"/>
  <c r="AB36" i="8" s="1"/>
  <c r="Y25" i="6"/>
  <c r="H25" i="6" s="1"/>
  <c r="Y26" i="6"/>
  <c r="H26" i="6" s="1"/>
  <c r="Y27" i="6"/>
  <c r="H27" i="6" s="1"/>
  <c r="Y28" i="6"/>
  <c r="H28" i="6" s="1"/>
  <c r="Y29" i="6"/>
  <c r="H29" i="6" s="1"/>
  <c r="Y30" i="6"/>
  <c r="H30" i="6" s="1"/>
  <c r="Y31" i="6"/>
  <c r="H31" i="6" s="1"/>
  <c r="Y32" i="6"/>
  <c r="H32" i="6" s="1"/>
  <c r="Y33" i="6"/>
  <c r="H33" i="6" s="1"/>
  <c r="Y34" i="6"/>
  <c r="H34" i="6" s="1"/>
  <c r="Y35" i="6"/>
  <c r="H35" i="6" s="1"/>
  <c r="Y36" i="6"/>
  <c r="H36" i="6" s="1"/>
  <c r="Y37" i="6"/>
  <c r="H37" i="6" s="1"/>
  <c r="Y38" i="6"/>
  <c r="H38" i="6" s="1"/>
  <c r="Y39" i="6"/>
  <c r="H39" i="6" s="1"/>
  <c r="Y40" i="6"/>
  <c r="H40" i="6" s="1"/>
  <c r="Y41" i="6"/>
  <c r="Y42" i="6"/>
  <c r="Y43" i="6"/>
  <c r="Y44" i="6"/>
  <c r="Y45" i="6"/>
  <c r="Y46" i="6"/>
  <c r="Y47" i="6"/>
  <c r="Y48" i="6"/>
  <c r="Y49" i="6"/>
  <c r="Y50" i="6"/>
  <c r="Y51" i="6"/>
  <c r="Y52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M55" i="6"/>
  <c r="N55" i="6"/>
  <c r="O55" i="6"/>
  <c r="P55" i="6"/>
  <c r="Q55" i="6"/>
  <c r="R55" i="6"/>
  <c r="S55" i="6"/>
  <c r="T55" i="6"/>
  <c r="U55" i="6"/>
  <c r="V55" i="6"/>
  <c r="W55" i="6"/>
  <c r="X55" i="6"/>
  <c r="M56" i="6"/>
  <c r="N56" i="6"/>
  <c r="O56" i="6"/>
  <c r="P56" i="6"/>
  <c r="Q56" i="6"/>
  <c r="R56" i="6"/>
  <c r="S56" i="6"/>
  <c r="T56" i="6"/>
  <c r="U56" i="6"/>
  <c r="V56" i="6"/>
  <c r="W56" i="6"/>
  <c r="X56" i="6"/>
  <c r="M57" i="6"/>
  <c r="N57" i="6"/>
  <c r="O57" i="6"/>
  <c r="P57" i="6"/>
  <c r="Q57" i="6"/>
  <c r="R57" i="6"/>
  <c r="S57" i="6"/>
  <c r="T57" i="6"/>
  <c r="U57" i="6"/>
  <c r="V57" i="6"/>
  <c r="W57" i="6"/>
  <c r="X57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G33" i="18"/>
  <c r="M33" i="18"/>
  <c r="M54" i="18" s="1"/>
  <c r="AA19" i="12" l="1"/>
  <c r="AD36" i="8"/>
  <c r="T36" i="8"/>
  <c r="I19" i="12"/>
  <c r="I25" i="12" s="1"/>
  <c r="R36" i="8"/>
  <c r="Y55" i="6"/>
  <c r="Y57" i="6"/>
  <c r="Y56" i="6"/>
  <c r="Y12" i="6"/>
  <c r="T59" i="6"/>
  <c r="S59" i="6"/>
  <c r="R59" i="6"/>
  <c r="N59" i="6"/>
  <c r="P59" i="6"/>
  <c r="X59" i="6"/>
  <c r="Q59" i="6"/>
  <c r="W59" i="6"/>
  <c r="V59" i="6"/>
  <c r="U59" i="6"/>
  <c r="M59" i="6"/>
  <c r="O59" i="6"/>
  <c r="I18" i="12" l="1"/>
  <c r="I20" i="12" s="1"/>
  <c r="I24" i="12"/>
  <c r="Y59" i="6"/>
  <c r="O42" i="12"/>
  <c r="O41" i="12"/>
  <c r="O40" i="12"/>
  <c r="O39" i="12"/>
  <c r="O31" i="12"/>
  <c r="O30" i="12"/>
  <c r="O29" i="12"/>
  <c r="V22" i="27"/>
  <c r="V36" i="27"/>
  <c r="F163" i="18"/>
  <c r="V32" i="27"/>
  <c r="V30" i="27"/>
  <c r="V10" i="27"/>
  <c r="V31" i="27" s="1"/>
  <c r="V39" i="27" l="1"/>
  <c r="G163" i="18" s="1"/>
  <c r="N32" i="12"/>
  <c r="O36" i="12"/>
  <c r="V24" i="27"/>
  <c r="O38" i="12"/>
  <c r="H53" i="18"/>
  <c r="O32" i="12" l="1"/>
  <c r="N26" i="12"/>
  <c r="H46" i="18"/>
  <c r="H45" i="18"/>
  <c r="O30" i="27" l="1"/>
  <c r="E30" i="27"/>
  <c r="AC36" i="27" l="1"/>
  <c r="F171" i="18"/>
  <c r="AC32" i="27"/>
  <c r="AC30" i="27"/>
  <c r="AC39" i="27" l="1"/>
  <c r="G171" i="18" s="1"/>
  <c r="G37" i="18"/>
  <c r="G35" i="18"/>
  <c r="M35" i="18"/>
  <c r="M56" i="18" s="1"/>
  <c r="G41" i="18"/>
  <c r="G62" i="18" s="1"/>
  <c r="M41" i="18"/>
  <c r="M62" i="18" s="1"/>
  <c r="G39" i="18"/>
  <c r="M39" i="18"/>
  <c r="M60" i="18" s="1"/>
  <c r="G38" i="18"/>
  <c r="M38" i="18"/>
  <c r="M59" i="18" s="1"/>
  <c r="G36" i="18"/>
  <c r="M36" i="18"/>
  <c r="M57" i="18" s="1"/>
  <c r="M30" i="18"/>
  <c r="M51" i="18" s="1"/>
  <c r="G32" i="18"/>
  <c r="M32" i="18"/>
  <c r="M53" i="18" s="1"/>
  <c r="G34" i="18"/>
  <c r="M34" i="18"/>
  <c r="M55" i="18" s="1"/>
  <c r="M49" i="18"/>
  <c r="M27" i="18"/>
  <c r="M48" i="18" s="1"/>
  <c r="M37" i="18" l="1"/>
  <c r="M58" i="18" s="1"/>
  <c r="H60" i="18"/>
  <c r="AC22" i="27"/>
  <c r="AC19" i="27"/>
  <c r="AD56" i="12"/>
  <c r="AD54" i="12"/>
  <c r="AD47" i="12"/>
  <c r="AD45" i="12" s="1"/>
  <c r="AD42" i="12"/>
  <c r="AD41" i="12"/>
  <c r="AD40" i="12"/>
  <c r="AD39" i="12"/>
  <c r="AD36" i="12"/>
  <c r="AD35" i="12"/>
  <c r="AD34" i="12"/>
  <c r="AD33" i="12"/>
  <c r="AD30" i="12"/>
  <c r="AD29" i="12"/>
  <c r="AD28" i="12"/>
  <c r="AC10" i="27"/>
  <c r="AC31" i="27" s="1"/>
  <c r="AD52" i="12" l="1"/>
  <c r="AD32" i="12"/>
  <c r="AD38" i="12"/>
  <c r="AD27" i="12"/>
  <c r="AD26" i="12" s="1"/>
  <c r="G18" i="18"/>
  <c r="G60" i="18" s="1"/>
  <c r="AC24" i="27"/>
  <c r="AQ75" i="10" l="1"/>
  <c r="AR75" i="10" s="1"/>
  <c r="AT75" i="10" s="1"/>
  <c r="AU75" i="10" s="1"/>
  <c r="AV75" i="10" s="1"/>
  <c r="AW75" i="10" s="1"/>
  <c r="AX75" i="10" s="1"/>
  <c r="AY75" i="10" s="1"/>
  <c r="AZ75" i="10" s="1"/>
  <c r="BA75" i="10" s="1"/>
  <c r="BB75" i="10" s="1"/>
  <c r="AQ74" i="10"/>
  <c r="AR74" i="10" s="1"/>
  <c r="AT74" i="10" s="1"/>
  <c r="AU74" i="10" s="1"/>
  <c r="AV74" i="10" s="1"/>
  <c r="AW74" i="10" s="1"/>
  <c r="AX74" i="10" s="1"/>
  <c r="AY74" i="10" s="1"/>
  <c r="AZ74" i="10" s="1"/>
  <c r="BA74" i="10" s="1"/>
  <c r="BB74" i="10" s="1"/>
  <c r="J73" i="10"/>
  <c r="K73" i="10" s="1"/>
  <c r="L73" i="10" s="1"/>
  <c r="M73" i="10" s="1"/>
  <c r="N73" i="10" s="1"/>
  <c r="O73" i="10" s="1"/>
  <c r="P73" i="10" s="1"/>
  <c r="Q73" i="10" s="1"/>
  <c r="R73" i="10" s="1"/>
  <c r="S73" i="10" s="1"/>
  <c r="T73" i="10" s="1"/>
  <c r="U73" i="10" s="1"/>
  <c r="J72" i="10"/>
  <c r="K72" i="10" s="1"/>
  <c r="L72" i="10" s="1"/>
  <c r="M72" i="10" s="1"/>
  <c r="N72" i="10" s="1"/>
  <c r="O72" i="10" s="1"/>
  <c r="P72" i="10" s="1"/>
  <c r="Q72" i="10" s="1"/>
  <c r="R72" i="10" s="1"/>
  <c r="S72" i="10" s="1"/>
  <c r="T72" i="10" s="1"/>
  <c r="U72" i="10" s="1"/>
  <c r="J71" i="10"/>
  <c r="K71" i="10" s="1"/>
  <c r="L71" i="10" s="1"/>
  <c r="M71" i="10" s="1"/>
  <c r="N71" i="10" s="1"/>
  <c r="O71" i="10" s="1"/>
  <c r="P71" i="10" s="1"/>
  <c r="Q71" i="10" s="1"/>
  <c r="R71" i="10" s="1"/>
  <c r="S71" i="10" s="1"/>
  <c r="T71" i="10" s="1"/>
  <c r="U71" i="10" s="1"/>
  <c r="A71" i="10"/>
  <c r="BD70" i="10"/>
  <c r="BC70" i="10"/>
  <c r="I70" i="10"/>
  <c r="J70" i="10" s="1"/>
  <c r="K70" i="10" s="1"/>
  <c r="L70" i="10" s="1"/>
  <c r="M70" i="10" s="1"/>
  <c r="N70" i="10" s="1"/>
  <c r="O70" i="10" s="1"/>
  <c r="P70" i="10" s="1"/>
  <c r="Q70" i="10" s="1"/>
  <c r="R70" i="10" s="1"/>
  <c r="S70" i="10" s="1"/>
  <c r="T70" i="10" s="1"/>
  <c r="U70" i="10" s="1"/>
  <c r="A70" i="10"/>
  <c r="AQ117" i="10"/>
  <c r="AR117" i="10" s="1"/>
  <c r="AT117" i="10" s="1"/>
  <c r="AU117" i="10" s="1"/>
  <c r="AV117" i="10" s="1"/>
  <c r="AW117" i="10" s="1"/>
  <c r="AX117" i="10" s="1"/>
  <c r="AY117" i="10" s="1"/>
  <c r="AZ117" i="10" s="1"/>
  <c r="BA117" i="10" s="1"/>
  <c r="BB117" i="10" s="1"/>
  <c r="AQ116" i="10"/>
  <c r="AR116" i="10" s="1"/>
  <c r="AT116" i="10" s="1"/>
  <c r="AU116" i="10" s="1"/>
  <c r="AV116" i="10" s="1"/>
  <c r="AW116" i="10" s="1"/>
  <c r="AX116" i="10" s="1"/>
  <c r="AY116" i="10" s="1"/>
  <c r="AZ116" i="10" s="1"/>
  <c r="BA116" i="10" s="1"/>
  <c r="BB116" i="10" s="1"/>
  <c r="J115" i="10"/>
  <c r="K115" i="10" s="1"/>
  <c r="L115" i="10" s="1"/>
  <c r="M115" i="10" s="1"/>
  <c r="N115" i="10" s="1"/>
  <c r="O115" i="10" s="1"/>
  <c r="P115" i="10" s="1"/>
  <c r="Q115" i="10" s="1"/>
  <c r="S115" i="10" s="1"/>
  <c r="T115" i="10" s="1"/>
  <c r="U115" i="10" s="1"/>
  <c r="J114" i="10"/>
  <c r="K114" i="10" s="1"/>
  <c r="L114" i="10" s="1"/>
  <c r="M114" i="10" s="1"/>
  <c r="N114" i="10" s="1"/>
  <c r="O114" i="10" s="1"/>
  <c r="P114" i="10" s="1"/>
  <c r="Q114" i="10" s="1"/>
  <c r="S114" i="10" s="1"/>
  <c r="T114" i="10" s="1"/>
  <c r="U114" i="10" s="1"/>
  <c r="J113" i="10"/>
  <c r="K113" i="10" s="1"/>
  <c r="L113" i="10" s="1"/>
  <c r="M113" i="10" s="1"/>
  <c r="N113" i="10" s="1"/>
  <c r="O113" i="10" s="1"/>
  <c r="P113" i="10" s="1"/>
  <c r="Q113" i="10" s="1"/>
  <c r="S113" i="10" s="1"/>
  <c r="T113" i="10" s="1"/>
  <c r="U113" i="10" s="1"/>
  <c r="B113" i="10"/>
  <c r="A113" i="10" s="1"/>
  <c r="BD112" i="10"/>
  <c r="BC112" i="10"/>
  <c r="I112" i="10"/>
  <c r="J112" i="10" s="1"/>
  <c r="K112" i="10" s="1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A112" i="10"/>
  <c r="J73" i="7"/>
  <c r="K73" i="7" s="1"/>
  <c r="L73" i="7" s="1"/>
  <c r="M73" i="7" s="1"/>
  <c r="N73" i="7" s="1"/>
  <c r="O73" i="7" s="1"/>
  <c r="P73" i="7" s="1"/>
  <c r="Q73" i="7" s="1"/>
  <c r="R73" i="7" s="1"/>
  <c r="S73" i="7" s="1"/>
  <c r="T73" i="7" s="1"/>
  <c r="J72" i="7"/>
  <c r="K72" i="7" s="1"/>
  <c r="L72" i="7" s="1"/>
  <c r="M72" i="7" s="1"/>
  <c r="N72" i="7" s="1"/>
  <c r="O72" i="7" s="1"/>
  <c r="P72" i="7" s="1"/>
  <c r="Q72" i="7" s="1"/>
  <c r="R72" i="7" s="1"/>
  <c r="S72" i="7" s="1"/>
  <c r="T72" i="7" s="1"/>
  <c r="J71" i="7"/>
  <c r="K71" i="7" s="1"/>
  <c r="L71" i="7" s="1"/>
  <c r="M71" i="7" s="1"/>
  <c r="N71" i="7" s="1"/>
  <c r="O71" i="7" s="1"/>
  <c r="P71" i="7" s="1"/>
  <c r="Q71" i="7" s="1"/>
  <c r="R71" i="7" s="1"/>
  <c r="S71" i="7" s="1"/>
  <c r="T71" i="7" s="1"/>
  <c r="A71" i="7"/>
  <c r="BD70" i="7"/>
  <c r="BC70" i="7"/>
  <c r="I70" i="7"/>
  <c r="J70" i="7" s="1"/>
  <c r="K70" i="7" s="1"/>
  <c r="L70" i="7" s="1"/>
  <c r="M70" i="7" s="1"/>
  <c r="N70" i="7" s="1"/>
  <c r="O70" i="7" s="1"/>
  <c r="P70" i="7" s="1"/>
  <c r="Q70" i="7" s="1"/>
  <c r="R70" i="7" s="1"/>
  <c r="S70" i="7" s="1"/>
  <c r="T70" i="7" s="1"/>
  <c r="A70" i="7"/>
  <c r="J115" i="7"/>
  <c r="K115" i="7" s="1"/>
  <c r="L115" i="7" s="1"/>
  <c r="M115" i="7" s="1"/>
  <c r="N115" i="7" s="1"/>
  <c r="O115" i="7" s="1"/>
  <c r="P115" i="7" s="1"/>
  <c r="Q115" i="7" s="1"/>
  <c r="R115" i="7" s="1"/>
  <c r="S115" i="7" s="1"/>
  <c r="T115" i="7" s="1"/>
  <c r="J114" i="7"/>
  <c r="K114" i="7" s="1"/>
  <c r="L114" i="7" s="1"/>
  <c r="M114" i="7" s="1"/>
  <c r="N114" i="7" s="1"/>
  <c r="O114" i="7" s="1"/>
  <c r="P114" i="7" s="1"/>
  <c r="Q114" i="7" s="1"/>
  <c r="R114" i="7" s="1"/>
  <c r="S114" i="7" s="1"/>
  <c r="T114" i="7" s="1"/>
  <c r="J113" i="7"/>
  <c r="K113" i="7" s="1"/>
  <c r="L113" i="7" s="1"/>
  <c r="M113" i="7" s="1"/>
  <c r="N113" i="7" s="1"/>
  <c r="O113" i="7" s="1"/>
  <c r="P113" i="7" s="1"/>
  <c r="Q113" i="7" s="1"/>
  <c r="R113" i="7" s="1"/>
  <c r="S113" i="7" s="1"/>
  <c r="T113" i="7" s="1"/>
  <c r="B113" i="7"/>
  <c r="A113" i="7" s="1"/>
  <c r="BD112" i="7"/>
  <c r="BC112" i="7"/>
  <c r="I112" i="7"/>
  <c r="J112" i="7" s="1"/>
  <c r="K112" i="7" s="1"/>
  <c r="L112" i="7" s="1"/>
  <c r="M112" i="7" s="1"/>
  <c r="N112" i="7" s="1"/>
  <c r="O112" i="7" s="1"/>
  <c r="P112" i="7" s="1"/>
  <c r="Q112" i="7" s="1"/>
  <c r="R112" i="7" s="1"/>
  <c r="S112" i="7" s="1"/>
  <c r="T112" i="7" s="1"/>
  <c r="A112" i="7"/>
  <c r="U71" i="7" l="1"/>
  <c r="W71" i="7" s="1"/>
  <c r="X71" i="7" s="1"/>
  <c r="Y71" i="7" s="1"/>
  <c r="Z71" i="7" s="1"/>
  <c r="AA71" i="7" s="1"/>
  <c r="AB71" i="7" s="1"/>
  <c r="AC71" i="7" s="1"/>
  <c r="U72" i="7"/>
  <c r="W72" i="7" s="1"/>
  <c r="X72" i="7" s="1"/>
  <c r="Y72" i="7" s="1"/>
  <c r="Z72" i="7" s="1"/>
  <c r="AA72" i="7" s="1"/>
  <c r="AB72" i="7" s="1"/>
  <c r="AC72" i="7" s="1"/>
  <c r="U73" i="7"/>
  <c r="W73" i="7" s="1"/>
  <c r="X73" i="7" s="1"/>
  <c r="Y73" i="7" s="1"/>
  <c r="Z73" i="7" s="1"/>
  <c r="AA73" i="7" s="1"/>
  <c r="AB73" i="7" s="1"/>
  <c r="AC73" i="7" s="1"/>
  <c r="AS74" i="7"/>
  <c r="AT74" i="7" s="1"/>
  <c r="AU74" i="7" s="1"/>
  <c r="AV74" i="7" s="1"/>
  <c r="AW74" i="7" s="1"/>
  <c r="AX74" i="7" s="1"/>
  <c r="AY74" i="7" s="1"/>
  <c r="AZ74" i="7" s="1"/>
  <c r="BA74" i="7" s="1"/>
  <c r="BB74" i="7" s="1"/>
  <c r="AS75" i="7"/>
  <c r="AT75" i="7" s="1"/>
  <c r="AU75" i="7" s="1"/>
  <c r="AV75" i="7" s="1"/>
  <c r="AW75" i="7" s="1"/>
  <c r="AX75" i="7" s="1"/>
  <c r="AY75" i="7" s="1"/>
  <c r="AZ75" i="7" s="1"/>
  <c r="BA75" i="7" s="1"/>
  <c r="BB75" i="7" s="1"/>
  <c r="U70" i="7"/>
  <c r="V70" i="7" s="1"/>
  <c r="W70" i="7" s="1"/>
  <c r="X70" i="7" s="1"/>
  <c r="Y70" i="7" s="1"/>
  <c r="Z70" i="7" s="1"/>
  <c r="AA70" i="7" s="1"/>
  <c r="AB70" i="7" s="1"/>
  <c r="AC70" i="7" s="1"/>
  <c r="U112" i="7"/>
  <c r="V112" i="7" s="1"/>
  <c r="W112" i="7" s="1"/>
  <c r="X112" i="7" s="1"/>
  <c r="Y112" i="7" s="1"/>
  <c r="Z112" i="7" s="1"/>
  <c r="AA112" i="7" s="1"/>
  <c r="AB112" i="7" s="1"/>
  <c r="AC112" i="7" s="1"/>
  <c r="U113" i="7"/>
  <c r="W113" i="7" s="1"/>
  <c r="X113" i="7" s="1"/>
  <c r="Y113" i="7" s="1"/>
  <c r="Z113" i="7" s="1"/>
  <c r="AA113" i="7" s="1"/>
  <c r="AB113" i="7" s="1"/>
  <c r="AC113" i="7" s="1"/>
  <c r="U115" i="7"/>
  <c r="W115" i="7" s="1"/>
  <c r="X115" i="7" s="1"/>
  <c r="Y115" i="7" s="1"/>
  <c r="Z115" i="7" s="1"/>
  <c r="AA115" i="7" s="1"/>
  <c r="AB115" i="7" s="1"/>
  <c r="AC115" i="7" s="1"/>
  <c r="AS116" i="7"/>
  <c r="AT116" i="7" s="1"/>
  <c r="AU116" i="7" s="1"/>
  <c r="AV116" i="7" s="1"/>
  <c r="AW116" i="7" s="1"/>
  <c r="AX116" i="7" s="1"/>
  <c r="AY116" i="7" s="1"/>
  <c r="AZ116" i="7" s="1"/>
  <c r="BA116" i="7" s="1"/>
  <c r="BB116" i="7" s="1"/>
  <c r="U114" i="7"/>
  <c r="W114" i="7" s="1"/>
  <c r="X114" i="7" s="1"/>
  <c r="Y114" i="7" s="1"/>
  <c r="Z114" i="7" s="1"/>
  <c r="AA114" i="7" s="1"/>
  <c r="AB114" i="7" s="1"/>
  <c r="AC114" i="7" s="1"/>
  <c r="AS117" i="7"/>
  <c r="AT117" i="7" s="1"/>
  <c r="AU117" i="7" s="1"/>
  <c r="AV117" i="7" s="1"/>
  <c r="AW117" i="7" s="1"/>
  <c r="AX117" i="7" s="1"/>
  <c r="AY117" i="7" s="1"/>
  <c r="AZ117" i="7" s="1"/>
  <c r="BA117" i="7" s="1"/>
  <c r="BB117" i="7" s="1"/>
  <c r="V70" i="10"/>
  <c r="W70" i="10" s="1"/>
  <c r="X70" i="10" s="1"/>
  <c r="Y70" i="10" s="1"/>
  <c r="Z70" i="10" s="1"/>
  <c r="AA70" i="10" s="1"/>
  <c r="AB70" i="10" s="1"/>
  <c r="AC70" i="10" s="1"/>
  <c r="W112" i="10"/>
  <c r="X112" i="10" s="1"/>
  <c r="Y112" i="10" s="1"/>
  <c r="Z112" i="10" s="1"/>
  <c r="AA112" i="10" s="1"/>
  <c r="AB112" i="10" s="1"/>
  <c r="AC112" i="10" s="1"/>
  <c r="AD112" i="10" s="1"/>
  <c r="AE112" i="10" s="1"/>
  <c r="AF112" i="10" s="1"/>
  <c r="AG112" i="10" s="1"/>
  <c r="W114" i="10"/>
  <c r="X114" i="10" s="1"/>
  <c r="Y114" i="10" s="1"/>
  <c r="Z114" i="10" s="1"/>
  <c r="AA114" i="10" s="1"/>
  <c r="AB114" i="10" s="1"/>
  <c r="AC114" i="10" s="1"/>
  <c r="W115" i="10"/>
  <c r="X115" i="10" s="1"/>
  <c r="Y115" i="10" s="1"/>
  <c r="Z115" i="10" s="1"/>
  <c r="AA115" i="10" s="1"/>
  <c r="AB115" i="10" s="1"/>
  <c r="AC115" i="10" s="1"/>
  <c r="W113" i="10"/>
  <c r="X113" i="10" s="1"/>
  <c r="Y113" i="10" s="1"/>
  <c r="Z113" i="10" s="1"/>
  <c r="AA113" i="10" s="1"/>
  <c r="AB113" i="10" s="1"/>
  <c r="AC113" i="10" s="1"/>
  <c r="W73" i="10"/>
  <c r="X73" i="10" s="1"/>
  <c r="Y73" i="10" s="1"/>
  <c r="Z73" i="10" s="1"/>
  <c r="AA73" i="10" s="1"/>
  <c r="AB73" i="10" s="1"/>
  <c r="AC73" i="10" s="1"/>
  <c r="W71" i="10"/>
  <c r="X71" i="10" s="1"/>
  <c r="Y71" i="10" s="1"/>
  <c r="Z71" i="10" s="1"/>
  <c r="AA71" i="10" s="1"/>
  <c r="AB71" i="10" s="1"/>
  <c r="AC71" i="10" s="1"/>
  <c r="W72" i="10"/>
  <c r="X72" i="10" s="1"/>
  <c r="Y72" i="10" s="1"/>
  <c r="Z72" i="10" s="1"/>
  <c r="AA72" i="10" s="1"/>
  <c r="AB72" i="10" s="1"/>
  <c r="AC72" i="10" s="1"/>
  <c r="BC71" i="10"/>
  <c r="BD71" i="10"/>
  <c r="BC113" i="10"/>
  <c r="BD113" i="10"/>
  <c r="B114" i="10"/>
  <c r="BC71" i="7"/>
  <c r="BD71" i="7"/>
  <c r="BC113" i="7"/>
  <c r="BD113" i="7"/>
  <c r="B114" i="7"/>
  <c r="AD114" i="7" l="1"/>
  <c r="AE114" i="7" s="1"/>
  <c r="AF114" i="7" s="1"/>
  <c r="AD70" i="7"/>
  <c r="AE70" i="7" s="1"/>
  <c r="AF70" i="7" s="1"/>
  <c r="AG70" i="7" s="1"/>
  <c r="AH70" i="7" s="1"/>
  <c r="AI70" i="7" s="1"/>
  <c r="AJ70" i="7" s="1"/>
  <c r="AK70" i="7" s="1"/>
  <c r="AL70" i="7" s="1"/>
  <c r="AM70" i="7" s="1"/>
  <c r="AN70" i="7" s="1"/>
  <c r="AO70" i="7" s="1"/>
  <c r="AP70" i="7" s="1"/>
  <c r="AQ70" i="7" s="1"/>
  <c r="AR70" i="7" s="1"/>
  <c r="AS70" i="7" s="1"/>
  <c r="AT70" i="7" s="1"/>
  <c r="AU70" i="7" s="1"/>
  <c r="AV70" i="7" s="1"/>
  <c r="AW70" i="7" s="1"/>
  <c r="AX70" i="7" s="1"/>
  <c r="AY70" i="7" s="1"/>
  <c r="AZ70" i="7" s="1"/>
  <c r="BA70" i="7" s="1"/>
  <c r="BB70" i="7" s="1"/>
  <c r="AD115" i="7"/>
  <c r="AE115" i="7" s="1"/>
  <c r="AF115" i="7" s="1"/>
  <c r="AG115" i="7" s="1"/>
  <c r="AH115" i="7" s="1"/>
  <c r="AI115" i="7" s="1"/>
  <c r="AJ115" i="7" s="1"/>
  <c r="AK115" i="7" s="1"/>
  <c r="AL115" i="7" s="1"/>
  <c r="AM115" i="7" s="1"/>
  <c r="AN115" i="7" s="1"/>
  <c r="AO115" i="7" s="1"/>
  <c r="AP115" i="7" s="1"/>
  <c r="AQ115" i="7" s="1"/>
  <c r="AR115" i="7" s="1"/>
  <c r="AS115" i="7" s="1"/>
  <c r="AT115" i="7" s="1"/>
  <c r="AU115" i="7" s="1"/>
  <c r="AV115" i="7" s="1"/>
  <c r="AW115" i="7" s="1"/>
  <c r="AX115" i="7" s="1"/>
  <c r="AY115" i="7" s="1"/>
  <c r="AZ115" i="7" s="1"/>
  <c r="BA115" i="7" s="1"/>
  <c r="BB115" i="7" s="1"/>
  <c r="AD112" i="7"/>
  <c r="AE112" i="7" s="1"/>
  <c r="AF112" i="7" s="1"/>
  <c r="AG112" i="7" s="1"/>
  <c r="AH112" i="7" s="1"/>
  <c r="AI112" i="7" s="1"/>
  <c r="AJ112" i="7" s="1"/>
  <c r="AK112" i="7" s="1"/>
  <c r="AL112" i="7" s="1"/>
  <c r="AM112" i="7" s="1"/>
  <c r="AN112" i="7" s="1"/>
  <c r="AO112" i="7" s="1"/>
  <c r="AP112" i="7" s="1"/>
  <c r="AQ112" i="7" s="1"/>
  <c r="AR112" i="7" s="1"/>
  <c r="AS112" i="7" s="1"/>
  <c r="AT112" i="7" s="1"/>
  <c r="AU112" i="7" s="1"/>
  <c r="AV112" i="7" s="1"/>
  <c r="AW112" i="7" s="1"/>
  <c r="AX112" i="7" s="1"/>
  <c r="AY112" i="7" s="1"/>
  <c r="AZ112" i="7" s="1"/>
  <c r="BA112" i="7" s="1"/>
  <c r="BB112" i="7" s="1"/>
  <c r="AD72" i="7"/>
  <c r="AE72" i="7" s="1"/>
  <c r="AF72" i="7" s="1"/>
  <c r="AG72" i="7" s="1"/>
  <c r="AH72" i="7" s="1"/>
  <c r="AI72" i="7" s="1"/>
  <c r="AJ72" i="7" s="1"/>
  <c r="AK72" i="7" s="1"/>
  <c r="AL72" i="7" s="1"/>
  <c r="AM72" i="7" s="1"/>
  <c r="AN72" i="7" s="1"/>
  <c r="AO72" i="7" s="1"/>
  <c r="AP72" i="7" s="1"/>
  <c r="AQ72" i="7" s="1"/>
  <c r="AR72" i="7" s="1"/>
  <c r="AS72" i="7" s="1"/>
  <c r="AT72" i="7" s="1"/>
  <c r="AU72" i="7" s="1"/>
  <c r="AV72" i="7" s="1"/>
  <c r="AW72" i="7" s="1"/>
  <c r="AX72" i="7" s="1"/>
  <c r="AY72" i="7" s="1"/>
  <c r="AZ72" i="7" s="1"/>
  <c r="BA72" i="7" s="1"/>
  <c r="BB72" i="7" s="1"/>
  <c r="AD73" i="7"/>
  <c r="AE73" i="7" s="1"/>
  <c r="AF73" i="7" s="1"/>
  <c r="AG73" i="7" s="1"/>
  <c r="AH73" i="7" s="1"/>
  <c r="AI73" i="7" s="1"/>
  <c r="AJ73" i="7" s="1"/>
  <c r="AK73" i="7" s="1"/>
  <c r="AL73" i="7" s="1"/>
  <c r="AM73" i="7" s="1"/>
  <c r="AN73" i="7" s="1"/>
  <c r="AO73" i="7" s="1"/>
  <c r="AP73" i="7" s="1"/>
  <c r="AQ73" i="7" s="1"/>
  <c r="AR73" i="7" s="1"/>
  <c r="AS73" i="7" s="1"/>
  <c r="AT73" i="7" s="1"/>
  <c r="AU73" i="7" s="1"/>
  <c r="AV73" i="7" s="1"/>
  <c r="AW73" i="7" s="1"/>
  <c r="AX73" i="7" s="1"/>
  <c r="AY73" i="7" s="1"/>
  <c r="AZ73" i="7" s="1"/>
  <c r="BA73" i="7" s="1"/>
  <c r="BB73" i="7" s="1"/>
  <c r="AD71" i="7"/>
  <c r="AE71" i="7" s="1"/>
  <c r="AF71" i="7" s="1"/>
  <c r="AG71" i="7" s="1"/>
  <c r="AH71" i="7" s="1"/>
  <c r="AI71" i="7" s="1"/>
  <c r="AJ71" i="7" s="1"/>
  <c r="AK71" i="7" s="1"/>
  <c r="AL71" i="7" s="1"/>
  <c r="AM71" i="7" s="1"/>
  <c r="AN71" i="7" s="1"/>
  <c r="AO71" i="7" s="1"/>
  <c r="AP71" i="7" s="1"/>
  <c r="AQ71" i="7" s="1"/>
  <c r="AR71" i="7" s="1"/>
  <c r="AS71" i="7" s="1"/>
  <c r="AT71" i="7" s="1"/>
  <c r="AU71" i="7" s="1"/>
  <c r="AV71" i="7" s="1"/>
  <c r="AW71" i="7" s="1"/>
  <c r="AX71" i="7" s="1"/>
  <c r="AY71" i="7" s="1"/>
  <c r="AZ71" i="7" s="1"/>
  <c r="BA71" i="7" s="1"/>
  <c r="BB71" i="7" s="1"/>
  <c r="AP112" i="10"/>
  <c r="AQ112" i="10" s="1"/>
  <c r="AR112" i="10" s="1"/>
  <c r="AD113" i="7"/>
  <c r="AE113" i="7" s="1"/>
  <c r="AF113" i="7" s="1"/>
  <c r="AG113" i="7" s="1"/>
  <c r="AH113" i="7" s="1"/>
  <c r="AI113" i="7" s="1"/>
  <c r="AJ113" i="7" s="1"/>
  <c r="AK113" i="7" s="1"/>
  <c r="AL113" i="7" s="1"/>
  <c r="AM113" i="7" s="1"/>
  <c r="AN113" i="7" s="1"/>
  <c r="AO113" i="7" s="1"/>
  <c r="AP113" i="7" s="1"/>
  <c r="AQ113" i="7" s="1"/>
  <c r="AR113" i="7" s="1"/>
  <c r="AS113" i="7" s="1"/>
  <c r="AT113" i="7" s="1"/>
  <c r="AU113" i="7" s="1"/>
  <c r="AV113" i="7" s="1"/>
  <c r="AW113" i="7" s="1"/>
  <c r="AX113" i="7" s="1"/>
  <c r="AY113" i="7" s="1"/>
  <c r="AZ113" i="7" s="1"/>
  <c r="BA113" i="7" s="1"/>
  <c r="BB113" i="7" s="1"/>
  <c r="AG114" i="7"/>
  <c r="AH114" i="7" s="1"/>
  <c r="AI114" i="7" s="1"/>
  <c r="AJ114" i="7" s="1"/>
  <c r="AK114" i="7" s="1"/>
  <c r="AL114" i="7" s="1"/>
  <c r="AM114" i="7" s="1"/>
  <c r="AN114" i="7" s="1"/>
  <c r="AO114" i="7" s="1"/>
  <c r="AP114" i="7" s="1"/>
  <c r="AQ114" i="7" s="1"/>
  <c r="AR114" i="7" s="1"/>
  <c r="AS114" i="7" s="1"/>
  <c r="AT114" i="7" s="1"/>
  <c r="AU114" i="7" s="1"/>
  <c r="AV114" i="7" s="1"/>
  <c r="AW114" i="7" s="1"/>
  <c r="AX114" i="7" s="1"/>
  <c r="AY114" i="7" s="1"/>
  <c r="AZ114" i="7" s="1"/>
  <c r="BA114" i="7" s="1"/>
  <c r="BB114" i="7" s="1"/>
  <c r="AP70" i="10"/>
  <c r="AQ70" i="10" s="1"/>
  <c r="AR70" i="10" s="1"/>
  <c r="AD70" i="10"/>
  <c r="AE70" i="10" s="1"/>
  <c r="AF70" i="10" s="1"/>
  <c r="AD115" i="10"/>
  <c r="AE115" i="10" s="1"/>
  <c r="AF115" i="10" s="1"/>
  <c r="AP115" i="10"/>
  <c r="AQ115" i="10" s="1"/>
  <c r="AR115" i="10" s="1"/>
  <c r="AP114" i="10"/>
  <c r="AQ114" i="10" s="1"/>
  <c r="AR114" i="10" s="1"/>
  <c r="AD114" i="10"/>
  <c r="AE114" i="10" s="1"/>
  <c r="AF114" i="10" s="1"/>
  <c r="AD113" i="10"/>
  <c r="AE113" i="10" s="1"/>
  <c r="AF113" i="10" s="1"/>
  <c r="AP113" i="10"/>
  <c r="AQ113" i="10" s="1"/>
  <c r="AR113" i="10" s="1"/>
  <c r="AP73" i="10"/>
  <c r="AQ73" i="10" s="1"/>
  <c r="AR73" i="10" s="1"/>
  <c r="AD73" i="10"/>
  <c r="AE73" i="10" s="1"/>
  <c r="AF73" i="10" s="1"/>
  <c r="AD72" i="10"/>
  <c r="AE72" i="10" s="1"/>
  <c r="AF72" i="10" s="1"/>
  <c r="AP72" i="10"/>
  <c r="AQ72" i="10" s="1"/>
  <c r="AR72" i="10" s="1"/>
  <c r="AP71" i="10"/>
  <c r="AQ71" i="10" s="1"/>
  <c r="AR71" i="10" s="1"/>
  <c r="AD71" i="10"/>
  <c r="AE71" i="10" s="1"/>
  <c r="AF71" i="10" s="1"/>
  <c r="AH112" i="10"/>
  <c r="AI112" i="10" s="1"/>
  <c r="AJ112" i="10" s="1"/>
  <c r="AK112" i="10" s="1"/>
  <c r="AL112" i="10" s="1"/>
  <c r="AM112" i="10" s="1"/>
  <c r="AN112" i="10" s="1"/>
  <c r="AO112" i="10" s="1"/>
  <c r="A72" i="10"/>
  <c r="BC72" i="10"/>
  <c r="BD72" i="10"/>
  <c r="A114" i="10"/>
  <c r="B115" i="10"/>
  <c r="BC114" i="10"/>
  <c r="BD114" i="10"/>
  <c r="BC72" i="7"/>
  <c r="A72" i="7"/>
  <c r="BD72" i="7"/>
  <c r="A114" i="7"/>
  <c r="B115" i="7"/>
  <c r="BD114" i="7"/>
  <c r="BC114" i="7"/>
  <c r="AG70" i="10" l="1"/>
  <c r="AH70" i="10" s="1"/>
  <c r="AI70" i="10" s="1"/>
  <c r="AJ70" i="10" s="1"/>
  <c r="AK70" i="10" s="1"/>
  <c r="AL70" i="10" s="1"/>
  <c r="AM70" i="10" s="1"/>
  <c r="AN70" i="10" s="1"/>
  <c r="AO70" i="10" s="1"/>
  <c r="AS112" i="10"/>
  <c r="AT112" i="10" s="1"/>
  <c r="AU112" i="10" s="1"/>
  <c r="AV112" i="10" s="1"/>
  <c r="AW112" i="10" s="1"/>
  <c r="AX112" i="10" s="1"/>
  <c r="AY112" i="10" s="1"/>
  <c r="AZ112" i="10" s="1"/>
  <c r="BA112" i="10" s="1"/>
  <c r="BB112" i="10" s="1"/>
  <c r="AG71" i="10"/>
  <c r="AH71" i="10" s="1"/>
  <c r="AI71" i="10" s="1"/>
  <c r="AJ71" i="10" s="1"/>
  <c r="AK71" i="10" s="1"/>
  <c r="AL71" i="10" s="1"/>
  <c r="AM71" i="10" s="1"/>
  <c r="AN71" i="10" s="1"/>
  <c r="AO71" i="10" s="1"/>
  <c r="AG72" i="10"/>
  <c r="AH72" i="10" s="1"/>
  <c r="AI72" i="10" s="1"/>
  <c r="AJ72" i="10" s="1"/>
  <c r="AK72" i="10" s="1"/>
  <c r="AL72" i="10" s="1"/>
  <c r="AM72" i="10" s="1"/>
  <c r="AN72" i="10" s="1"/>
  <c r="AO72" i="10" s="1"/>
  <c r="AG73" i="10"/>
  <c r="AH73" i="10" s="1"/>
  <c r="AI73" i="10" s="1"/>
  <c r="AJ73" i="10" s="1"/>
  <c r="AK73" i="10" s="1"/>
  <c r="AL73" i="10" s="1"/>
  <c r="AM73" i="10" s="1"/>
  <c r="AN73" i="10" s="1"/>
  <c r="AO73" i="10" s="1"/>
  <c r="AS71" i="10"/>
  <c r="AT71" i="10" s="1"/>
  <c r="AU71" i="10" s="1"/>
  <c r="AV71" i="10" s="1"/>
  <c r="AW71" i="10" s="1"/>
  <c r="AX71" i="10" s="1"/>
  <c r="AY71" i="10" s="1"/>
  <c r="AZ71" i="10" s="1"/>
  <c r="BA71" i="10" s="1"/>
  <c r="BB71" i="10" s="1"/>
  <c r="AS73" i="10"/>
  <c r="AT73" i="10" s="1"/>
  <c r="AU73" i="10" s="1"/>
  <c r="AV73" i="10" s="1"/>
  <c r="AW73" i="10" s="1"/>
  <c r="AX73" i="10" s="1"/>
  <c r="AY73" i="10" s="1"/>
  <c r="AZ73" i="10" s="1"/>
  <c r="BA73" i="10" s="1"/>
  <c r="BB73" i="10" s="1"/>
  <c r="AS72" i="10"/>
  <c r="AT72" i="10" s="1"/>
  <c r="AU72" i="10" s="1"/>
  <c r="AV72" i="10" s="1"/>
  <c r="AW72" i="10" s="1"/>
  <c r="AX72" i="10" s="1"/>
  <c r="AY72" i="10" s="1"/>
  <c r="AZ72" i="10" s="1"/>
  <c r="BA72" i="10" s="1"/>
  <c r="BB72" i="10" s="1"/>
  <c r="AS70" i="10"/>
  <c r="AT70" i="10" s="1"/>
  <c r="AU70" i="10" s="1"/>
  <c r="AV70" i="10" s="1"/>
  <c r="AW70" i="10" s="1"/>
  <c r="AX70" i="10" s="1"/>
  <c r="AY70" i="10" s="1"/>
  <c r="AZ70" i="10" s="1"/>
  <c r="BA70" i="10" s="1"/>
  <c r="BB70" i="10" s="1"/>
  <c r="AG115" i="10"/>
  <c r="AH115" i="10" s="1"/>
  <c r="AI115" i="10" s="1"/>
  <c r="AJ115" i="10" s="1"/>
  <c r="AK115" i="10" s="1"/>
  <c r="AL115" i="10" s="1"/>
  <c r="AM115" i="10" s="1"/>
  <c r="AN115" i="10" s="1"/>
  <c r="AO115" i="10" s="1"/>
  <c r="AG114" i="10"/>
  <c r="AH114" i="10" s="1"/>
  <c r="AI114" i="10" s="1"/>
  <c r="AJ114" i="10" s="1"/>
  <c r="AK114" i="10" s="1"/>
  <c r="AL114" i="10" s="1"/>
  <c r="AM114" i="10" s="1"/>
  <c r="AN114" i="10" s="1"/>
  <c r="AO114" i="10" s="1"/>
  <c r="AG113" i="10"/>
  <c r="AH113" i="10" s="1"/>
  <c r="AI113" i="10" s="1"/>
  <c r="AJ113" i="10" s="1"/>
  <c r="AK113" i="10" s="1"/>
  <c r="AL113" i="10" s="1"/>
  <c r="AM113" i="10" s="1"/>
  <c r="AN113" i="10" s="1"/>
  <c r="AO113" i="10" s="1"/>
  <c r="AS114" i="10"/>
  <c r="AT114" i="10" s="1"/>
  <c r="AU114" i="10" s="1"/>
  <c r="AV114" i="10" s="1"/>
  <c r="AW114" i="10" s="1"/>
  <c r="AX114" i="10" s="1"/>
  <c r="AY114" i="10" s="1"/>
  <c r="AZ114" i="10" s="1"/>
  <c r="BA114" i="10" s="1"/>
  <c r="BB114" i="10" s="1"/>
  <c r="AS113" i="10"/>
  <c r="AT113" i="10" s="1"/>
  <c r="AU113" i="10" s="1"/>
  <c r="AV113" i="10" s="1"/>
  <c r="AW113" i="10" s="1"/>
  <c r="AX113" i="10" s="1"/>
  <c r="AY113" i="10" s="1"/>
  <c r="AZ113" i="10" s="1"/>
  <c r="BA113" i="10" s="1"/>
  <c r="BB113" i="10" s="1"/>
  <c r="AS115" i="10"/>
  <c r="AT115" i="10" s="1"/>
  <c r="AU115" i="10" s="1"/>
  <c r="AV115" i="10" s="1"/>
  <c r="AW115" i="10" s="1"/>
  <c r="AX115" i="10" s="1"/>
  <c r="AY115" i="10" s="1"/>
  <c r="AZ115" i="10" s="1"/>
  <c r="BA115" i="10" s="1"/>
  <c r="BB115" i="10" s="1"/>
  <c r="BD73" i="10"/>
  <c r="BC73" i="10"/>
  <c r="A73" i="10"/>
  <c r="BD115" i="10"/>
  <c r="BC115" i="10"/>
  <c r="A115" i="10"/>
  <c r="B116" i="10"/>
  <c r="BD73" i="7"/>
  <c r="BC73" i="7"/>
  <c r="A73" i="7"/>
  <c r="BD115" i="7"/>
  <c r="BC115" i="7"/>
  <c r="A115" i="7"/>
  <c r="B116" i="7"/>
  <c r="BD74" i="10" l="1"/>
  <c r="BC74" i="10"/>
  <c r="A74" i="10"/>
  <c r="BD116" i="10"/>
  <c r="BC116" i="10"/>
  <c r="A116" i="10"/>
  <c r="B117" i="10"/>
  <c r="BD74" i="7"/>
  <c r="BC74" i="7"/>
  <c r="A74" i="7"/>
  <c r="BD116" i="7"/>
  <c r="BC116" i="7"/>
  <c r="B117" i="7"/>
  <c r="A116" i="7"/>
  <c r="BD75" i="10" l="1"/>
  <c r="BC75" i="10"/>
  <c r="A75" i="10"/>
  <c r="BD117" i="10"/>
  <c r="BC117" i="10"/>
  <c r="A117" i="10"/>
  <c r="BD75" i="7"/>
  <c r="BC75" i="7"/>
  <c r="A75" i="7"/>
  <c r="BD117" i="7"/>
  <c r="BC117" i="7"/>
  <c r="A117" i="7"/>
  <c r="S10" i="27" l="1"/>
  <c r="S31" i="27" s="1"/>
  <c r="I87" i="7" l="1"/>
  <c r="I86" i="7"/>
  <c r="I51" i="7"/>
  <c r="I50" i="7"/>
  <c r="I135" i="7"/>
  <c r="I134" i="7"/>
  <c r="I63" i="7"/>
  <c r="I62" i="7"/>
  <c r="I129" i="7"/>
  <c r="I128" i="7"/>
  <c r="I39" i="7"/>
  <c r="I38" i="7"/>
  <c r="I123" i="7"/>
  <c r="I122" i="7"/>
  <c r="I27" i="7"/>
  <c r="I15" i="7"/>
  <c r="I14" i="7"/>
  <c r="I9" i="7"/>
  <c r="I8" i="7"/>
  <c r="I21" i="7"/>
  <c r="I20" i="7"/>
  <c r="I111" i="7"/>
  <c r="I110" i="7"/>
  <c r="I33" i="7"/>
  <c r="I32" i="7"/>
  <c r="U36" i="12" l="1"/>
  <c r="U35" i="12"/>
  <c r="U34" i="12"/>
  <c r="U33" i="12"/>
  <c r="AC47" i="12"/>
  <c r="AC45" i="12" s="1"/>
  <c r="AB47" i="12"/>
  <c r="AB45" i="12" s="1"/>
  <c r="AA47" i="12"/>
  <c r="AA45" i="12" s="1"/>
  <c r="Z47" i="12"/>
  <c r="Z45" i="12" s="1"/>
  <c r="Y47" i="12"/>
  <c r="Y45" i="12" s="1"/>
  <c r="X47" i="12"/>
  <c r="X45" i="12" s="1"/>
  <c r="W47" i="12"/>
  <c r="W45" i="12" s="1"/>
  <c r="V47" i="12"/>
  <c r="V45" i="12" s="1"/>
  <c r="U47" i="12"/>
  <c r="U45" i="12" s="1"/>
  <c r="R47" i="12"/>
  <c r="R45" i="12" s="1"/>
  <c r="Q47" i="12"/>
  <c r="Q45" i="12" s="1"/>
  <c r="P47" i="12"/>
  <c r="P45" i="12" s="1"/>
  <c r="T47" i="12"/>
  <c r="T45" i="12" s="1"/>
  <c r="J47" i="12"/>
  <c r="J45" i="12" s="1"/>
  <c r="H47" i="12"/>
  <c r="H45" i="12" s="1"/>
  <c r="F47" i="12"/>
  <c r="G47" i="12"/>
  <c r="G45" i="12" s="1"/>
  <c r="K47" i="12" l="1"/>
  <c r="F45" i="12"/>
  <c r="K45" i="12" s="1"/>
  <c r="S47" i="12"/>
  <c r="AC30" i="12"/>
  <c r="AB30" i="12"/>
  <c r="AA30" i="12"/>
  <c r="Z30" i="12"/>
  <c r="Y30" i="12"/>
  <c r="X30" i="12"/>
  <c r="W30" i="12"/>
  <c r="V30" i="12"/>
  <c r="U30" i="12"/>
  <c r="R30" i="12"/>
  <c r="Q30" i="12"/>
  <c r="P30" i="12"/>
  <c r="T30" i="12"/>
  <c r="J30" i="12"/>
  <c r="H30" i="12"/>
  <c r="G30" i="12"/>
  <c r="G29" i="12"/>
  <c r="K30" i="12" l="1"/>
  <c r="S30" i="12"/>
  <c r="G15" i="6"/>
  <c r="G16" i="6"/>
  <c r="G17" i="6"/>
  <c r="G18" i="6"/>
  <c r="G19" i="6"/>
  <c r="H59" i="18" l="1"/>
  <c r="H58" i="18"/>
  <c r="H57" i="18"/>
  <c r="H56" i="18"/>
  <c r="H55" i="18"/>
  <c r="H54" i="18"/>
  <c r="H52" i="18"/>
  <c r="H51" i="18"/>
  <c r="H50" i="18"/>
  <c r="H49" i="18"/>
  <c r="H48" i="18"/>
  <c r="H155" i="18" l="1"/>
  <c r="G6" i="18"/>
  <c r="G48" i="18" s="1"/>
  <c r="G17" i="18"/>
  <c r="G59" i="18" s="1"/>
  <c r="G10" i="18"/>
  <c r="G52" i="18" s="1"/>
  <c r="G155" i="18" l="1"/>
  <c r="R56" i="12" l="1"/>
  <c r="R54" i="12"/>
  <c r="R52" i="12" s="1"/>
  <c r="R42" i="12"/>
  <c r="R41" i="12"/>
  <c r="R40" i="12"/>
  <c r="R39" i="12"/>
  <c r="R36" i="12"/>
  <c r="R35" i="12"/>
  <c r="R34" i="12"/>
  <c r="R33" i="12"/>
  <c r="R29" i="12"/>
  <c r="R28" i="12"/>
  <c r="R38" i="12" l="1"/>
  <c r="R32" i="12"/>
  <c r="R27" i="12"/>
  <c r="R26" i="12" l="1"/>
  <c r="S36" i="27" l="1"/>
  <c r="S39" i="27" s="1"/>
  <c r="S32" i="27"/>
  <c r="S30" i="27"/>
  <c r="F160" i="18" l="1"/>
  <c r="G160" i="18"/>
  <c r="G7" i="18" s="1"/>
  <c r="G49" i="18" s="1"/>
  <c r="S24" i="27" l="1"/>
  <c r="U56" i="12"/>
  <c r="U54" i="12"/>
  <c r="U42" i="12"/>
  <c r="U41" i="12"/>
  <c r="U40" i="12"/>
  <c r="U39" i="12"/>
  <c r="U29" i="12"/>
  <c r="U28" i="12"/>
  <c r="U36" i="27"/>
  <c r="F162" i="18"/>
  <c r="U32" i="27"/>
  <c r="U30" i="27"/>
  <c r="U22" i="27"/>
  <c r="U10" i="27"/>
  <c r="U31" i="27" s="1"/>
  <c r="U39" i="27" l="1"/>
  <c r="G162" i="18" s="1"/>
  <c r="G9" i="18" s="1"/>
  <c r="G51" i="18" s="1"/>
  <c r="U52" i="12"/>
  <c r="U32" i="12"/>
  <c r="U38" i="12"/>
  <c r="U27" i="12"/>
  <c r="U24" i="27"/>
  <c r="U26" i="12" l="1"/>
  <c r="B95" i="10" l="1"/>
  <c r="B96" i="10" s="1"/>
  <c r="B97" i="10" s="1"/>
  <c r="B98" i="10" s="1"/>
  <c r="B99" i="10" s="1"/>
  <c r="B89" i="10"/>
  <c r="B90" i="10" s="1"/>
  <c r="B91" i="10" s="1"/>
  <c r="B92" i="10" s="1"/>
  <c r="B93" i="10" s="1"/>
  <c r="B83" i="10"/>
  <c r="B84" i="10" s="1"/>
  <c r="B85" i="10" s="1"/>
  <c r="B86" i="10" s="1"/>
  <c r="B87" i="10" s="1"/>
  <c r="B47" i="10"/>
  <c r="B48" i="10" s="1"/>
  <c r="B49" i="10" s="1"/>
  <c r="B50" i="10" s="1"/>
  <c r="B51" i="10" s="1"/>
  <c r="B59" i="10"/>
  <c r="B60" i="10" s="1"/>
  <c r="B61" i="10" s="1"/>
  <c r="B62" i="10" s="1"/>
  <c r="B63" i="10" s="1"/>
  <c r="B95" i="7"/>
  <c r="B96" i="7" s="1"/>
  <c r="B97" i="7" s="1"/>
  <c r="B98" i="7" s="1"/>
  <c r="B99" i="7" s="1"/>
  <c r="B89" i="7"/>
  <c r="B90" i="7" s="1"/>
  <c r="B91" i="7" s="1"/>
  <c r="B92" i="7" s="1"/>
  <c r="B93" i="7" s="1"/>
  <c r="B83" i="7"/>
  <c r="B84" i="7" s="1"/>
  <c r="B85" i="7" s="1"/>
  <c r="B86" i="7" s="1"/>
  <c r="B87" i="7" s="1"/>
  <c r="B47" i="7"/>
  <c r="B48" i="7" s="1"/>
  <c r="B49" i="7" s="1"/>
  <c r="B50" i="7" s="1"/>
  <c r="B51" i="7" s="1"/>
  <c r="B59" i="7"/>
  <c r="B60" i="7" s="1"/>
  <c r="B61" i="7" s="1"/>
  <c r="B62" i="7" s="1"/>
  <c r="B63" i="7" s="1"/>
  <c r="B35" i="7"/>
  <c r="B36" i="7" s="1"/>
  <c r="B37" i="7" s="1"/>
  <c r="B38" i="7" s="1"/>
  <c r="B39" i="7" s="1"/>
  <c r="B119" i="7"/>
  <c r="B120" i="7" s="1"/>
  <c r="B121" i="7" s="1"/>
  <c r="B122" i="7" s="1"/>
  <c r="B123" i="7" s="1"/>
  <c r="B23" i="7"/>
  <c r="B24" i="7" s="1"/>
  <c r="B25" i="7" s="1"/>
  <c r="B26" i="7" s="1"/>
  <c r="B27" i="7" s="1"/>
  <c r="B11" i="7"/>
  <c r="B12" i="7" s="1"/>
  <c r="B13" i="7" s="1"/>
  <c r="B14" i="7" s="1"/>
  <c r="B15" i="7" s="1"/>
  <c r="B5" i="7"/>
  <c r="B6" i="7" s="1"/>
  <c r="B7" i="7" s="1"/>
  <c r="B8" i="7" s="1"/>
  <c r="B9" i="7" s="1"/>
  <c r="B17" i="7"/>
  <c r="B18" i="7" s="1"/>
  <c r="B19" i="7" s="1"/>
  <c r="B20" i="7" s="1"/>
  <c r="B21" i="7" s="1"/>
  <c r="B29" i="7"/>
  <c r="B30" i="7" s="1"/>
  <c r="B31" i="7" s="1"/>
  <c r="B32" i="7" s="1"/>
  <c r="B33" i="7" s="1"/>
  <c r="H65" i="18" l="1"/>
  <c r="H66" i="18" s="1"/>
  <c r="AQ105" i="10" l="1"/>
  <c r="AR105" i="10" s="1"/>
  <c r="AT105" i="10" s="1"/>
  <c r="AU105" i="10" s="1"/>
  <c r="AV105" i="10" s="1"/>
  <c r="AW105" i="10" s="1"/>
  <c r="AX105" i="10" s="1"/>
  <c r="AY105" i="10" s="1"/>
  <c r="AZ105" i="10" s="1"/>
  <c r="BA105" i="10" s="1"/>
  <c r="BB105" i="10" s="1"/>
  <c r="AQ104" i="10"/>
  <c r="AR104" i="10" s="1"/>
  <c r="AT104" i="10" s="1"/>
  <c r="AU104" i="10" s="1"/>
  <c r="AV104" i="10" s="1"/>
  <c r="AW104" i="10" s="1"/>
  <c r="AX104" i="10" s="1"/>
  <c r="AY104" i="10" s="1"/>
  <c r="AZ104" i="10" s="1"/>
  <c r="BA104" i="10" s="1"/>
  <c r="BB104" i="10" s="1"/>
  <c r="AQ99" i="10"/>
  <c r="AR99" i="10" s="1"/>
  <c r="AT99" i="10" s="1"/>
  <c r="AU99" i="10" s="1"/>
  <c r="AV99" i="10" s="1"/>
  <c r="AW99" i="10" s="1"/>
  <c r="AX99" i="10" s="1"/>
  <c r="AY99" i="10" s="1"/>
  <c r="AZ99" i="10" s="1"/>
  <c r="BA99" i="10" s="1"/>
  <c r="BB99" i="10" s="1"/>
  <c r="AQ98" i="10"/>
  <c r="AR98" i="10" s="1"/>
  <c r="AT98" i="10" s="1"/>
  <c r="AU98" i="10" s="1"/>
  <c r="AV98" i="10" s="1"/>
  <c r="AW98" i="10" s="1"/>
  <c r="AX98" i="10" s="1"/>
  <c r="AY98" i="10" s="1"/>
  <c r="AZ98" i="10" s="1"/>
  <c r="BA98" i="10" s="1"/>
  <c r="BB98" i="10" s="1"/>
  <c r="AQ93" i="10"/>
  <c r="AR93" i="10" s="1"/>
  <c r="AT93" i="10" s="1"/>
  <c r="AU93" i="10" s="1"/>
  <c r="AV93" i="10" s="1"/>
  <c r="AW93" i="10" s="1"/>
  <c r="AX93" i="10" s="1"/>
  <c r="AY93" i="10" s="1"/>
  <c r="AZ93" i="10" s="1"/>
  <c r="BA93" i="10" s="1"/>
  <c r="BB93" i="10" s="1"/>
  <c r="AQ92" i="10"/>
  <c r="AR92" i="10" s="1"/>
  <c r="AT92" i="10" s="1"/>
  <c r="AU92" i="10" s="1"/>
  <c r="AV92" i="10" s="1"/>
  <c r="AW92" i="10" s="1"/>
  <c r="AX92" i="10" s="1"/>
  <c r="AY92" i="10" s="1"/>
  <c r="AZ92" i="10" s="1"/>
  <c r="BA92" i="10" s="1"/>
  <c r="BB92" i="10" s="1"/>
  <c r="AQ87" i="10"/>
  <c r="AR87" i="10" s="1"/>
  <c r="AT87" i="10" s="1"/>
  <c r="AU87" i="10" s="1"/>
  <c r="AV87" i="10" s="1"/>
  <c r="AW87" i="10" s="1"/>
  <c r="AX87" i="10" s="1"/>
  <c r="AY87" i="10" s="1"/>
  <c r="AZ87" i="10" s="1"/>
  <c r="BA87" i="10" s="1"/>
  <c r="BB87" i="10" s="1"/>
  <c r="AQ86" i="10"/>
  <c r="AR86" i="10" s="1"/>
  <c r="AT86" i="10" s="1"/>
  <c r="AU86" i="10" s="1"/>
  <c r="AV86" i="10" s="1"/>
  <c r="AW86" i="10" s="1"/>
  <c r="AX86" i="10" s="1"/>
  <c r="AY86" i="10" s="1"/>
  <c r="AZ86" i="10" s="1"/>
  <c r="BA86" i="10" s="1"/>
  <c r="BB86" i="10" s="1"/>
  <c r="AQ51" i="10"/>
  <c r="AR51" i="10" s="1"/>
  <c r="AT51" i="10" s="1"/>
  <c r="AU51" i="10" s="1"/>
  <c r="AV51" i="10" s="1"/>
  <c r="AW51" i="10" s="1"/>
  <c r="AX51" i="10" s="1"/>
  <c r="AY51" i="10" s="1"/>
  <c r="AZ51" i="10" s="1"/>
  <c r="BA51" i="10" s="1"/>
  <c r="BB51" i="10" s="1"/>
  <c r="AQ50" i="10"/>
  <c r="AR50" i="10" s="1"/>
  <c r="AT50" i="10" s="1"/>
  <c r="AU50" i="10" s="1"/>
  <c r="AV50" i="10" s="1"/>
  <c r="AW50" i="10" s="1"/>
  <c r="AX50" i="10" s="1"/>
  <c r="AY50" i="10" s="1"/>
  <c r="AZ50" i="10" s="1"/>
  <c r="BA50" i="10" s="1"/>
  <c r="BB50" i="10" s="1"/>
  <c r="AQ135" i="10"/>
  <c r="AR135" i="10" s="1"/>
  <c r="AT135" i="10" s="1"/>
  <c r="AU135" i="10" s="1"/>
  <c r="AV135" i="10" s="1"/>
  <c r="AW135" i="10" s="1"/>
  <c r="AX135" i="10" s="1"/>
  <c r="AY135" i="10" s="1"/>
  <c r="AZ135" i="10" s="1"/>
  <c r="BA135" i="10" s="1"/>
  <c r="BB135" i="10" s="1"/>
  <c r="AQ134" i="10"/>
  <c r="AR134" i="10" s="1"/>
  <c r="AT134" i="10" s="1"/>
  <c r="AU134" i="10" s="1"/>
  <c r="AV134" i="10" s="1"/>
  <c r="AW134" i="10" s="1"/>
  <c r="AX134" i="10" s="1"/>
  <c r="AY134" i="10" s="1"/>
  <c r="AZ134" i="10" s="1"/>
  <c r="BA134" i="10" s="1"/>
  <c r="BB134" i="10" s="1"/>
  <c r="AQ63" i="10"/>
  <c r="AR63" i="10" s="1"/>
  <c r="AT63" i="10" s="1"/>
  <c r="AU63" i="10" s="1"/>
  <c r="AV63" i="10" s="1"/>
  <c r="AW63" i="10" s="1"/>
  <c r="AX63" i="10" s="1"/>
  <c r="AY63" i="10" s="1"/>
  <c r="AZ63" i="10" s="1"/>
  <c r="BA63" i="10" s="1"/>
  <c r="BB63" i="10" s="1"/>
  <c r="AQ62" i="10"/>
  <c r="AR62" i="10" s="1"/>
  <c r="AT62" i="10" s="1"/>
  <c r="AU62" i="10" s="1"/>
  <c r="AV62" i="10" s="1"/>
  <c r="AW62" i="10" s="1"/>
  <c r="AX62" i="10" s="1"/>
  <c r="AY62" i="10" s="1"/>
  <c r="AZ62" i="10" s="1"/>
  <c r="BA62" i="10" s="1"/>
  <c r="BB62" i="10" s="1"/>
  <c r="AQ129" i="10"/>
  <c r="AR129" i="10" s="1"/>
  <c r="AT129" i="10" s="1"/>
  <c r="AU129" i="10" s="1"/>
  <c r="AV129" i="10" s="1"/>
  <c r="AW129" i="10" s="1"/>
  <c r="AX129" i="10" s="1"/>
  <c r="AY129" i="10" s="1"/>
  <c r="AZ129" i="10" s="1"/>
  <c r="BA129" i="10" s="1"/>
  <c r="BB129" i="10" s="1"/>
  <c r="AQ128" i="10"/>
  <c r="AR128" i="10" s="1"/>
  <c r="AT128" i="10" s="1"/>
  <c r="AU128" i="10" s="1"/>
  <c r="AV128" i="10" s="1"/>
  <c r="AW128" i="10" s="1"/>
  <c r="AX128" i="10" s="1"/>
  <c r="AY128" i="10" s="1"/>
  <c r="AZ128" i="10" s="1"/>
  <c r="BA128" i="10" s="1"/>
  <c r="BB128" i="10" s="1"/>
  <c r="AQ123" i="10"/>
  <c r="AR123" i="10" s="1"/>
  <c r="AT123" i="10" s="1"/>
  <c r="AU123" i="10" s="1"/>
  <c r="AV123" i="10" s="1"/>
  <c r="AW123" i="10" s="1"/>
  <c r="AX123" i="10" s="1"/>
  <c r="AY123" i="10" s="1"/>
  <c r="AZ123" i="10" s="1"/>
  <c r="BA123" i="10" s="1"/>
  <c r="BB123" i="10" s="1"/>
  <c r="AQ122" i="10"/>
  <c r="AR122" i="10" s="1"/>
  <c r="AT122" i="10" s="1"/>
  <c r="AU122" i="10" s="1"/>
  <c r="AV122" i="10" s="1"/>
  <c r="AW122" i="10" s="1"/>
  <c r="AX122" i="10" s="1"/>
  <c r="AY122" i="10" s="1"/>
  <c r="AZ122" i="10" s="1"/>
  <c r="BA122" i="10" s="1"/>
  <c r="BB122" i="10" s="1"/>
  <c r="AQ111" i="10"/>
  <c r="AR111" i="10" s="1"/>
  <c r="AT111" i="10" s="1"/>
  <c r="AU111" i="10" s="1"/>
  <c r="AV111" i="10" s="1"/>
  <c r="AW111" i="10" s="1"/>
  <c r="AX111" i="10" s="1"/>
  <c r="AY111" i="10" s="1"/>
  <c r="AZ111" i="10" s="1"/>
  <c r="BA111" i="10" s="1"/>
  <c r="BB111" i="10" s="1"/>
  <c r="AQ110" i="10"/>
  <c r="AR110" i="10" s="1"/>
  <c r="AT110" i="10" s="1"/>
  <c r="AU110" i="10" s="1"/>
  <c r="AV110" i="10" s="1"/>
  <c r="AW110" i="10" s="1"/>
  <c r="AX110" i="10" s="1"/>
  <c r="AY110" i="10" s="1"/>
  <c r="AZ110" i="10" s="1"/>
  <c r="BA110" i="10" s="1"/>
  <c r="BB110" i="10" s="1"/>
  <c r="AQ39" i="10"/>
  <c r="AR39" i="10" s="1"/>
  <c r="AT39" i="10" s="1"/>
  <c r="AU39" i="10" s="1"/>
  <c r="AV39" i="10" s="1"/>
  <c r="AW39" i="10" s="1"/>
  <c r="AX39" i="10" s="1"/>
  <c r="AY39" i="10" s="1"/>
  <c r="AZ39" i="10" s="1"/>
  <c r="BA39" i="10" s="1"/>
  <c r="BB39" i="10" s="1"/>
  <c r="AQ38" i="10"/>
  <c r="AR38" i="10" s="1"/>
  <c r="AT38" i="10" s="1"/>
  <c r="AU38" i="10" s="1"/>
  <c r="AV38" i="10" s="1"/>
  <c r="AW38" i="10" s="1"/>
  <c r="AX38" i="10" s="1"/>
  <c r="AY38" i="10" s="1"/>
  <c r="AZ38" i="10" s="1"/>
  <c r="BA38" i="10" s="1"/>
  <c r="BB38" i="10" s="1"/>
  <c r="AQ21" i="10"/>
  <c r="AR21" i="10" s="1"/>
  <c r="AT21" i="10" s="1"/>
  <c r="AU21" i="10" s="1"/>
  <c r="AV21" i="10" s="1"/>
  <c r="AW21" i="10" s="1"/>
  <c r="AX21" i="10" s="1"/>
  <c r="AY21" i="10" s="1"/>
  <c r="AZ21" i="10" s="1"/>
  <c r="BA21" i="10" s="1"/>
  <c r="BB21" i="10" s="1"/>
  <c r="AQ20" i="10"/>
  <c r="AR20" i="10" s="1"/>
  <c r="AT20" i="10" s="1"/>
  <c r="AU20" i="10" s="1"/>
  <c r="AV20" i="10" s="1"/>
  <c r="AW20" i="10" s="1"/>
  <c r="AX20" i="10" s="1"/>
  <c r="AY20" i="10" s="1"/>
  <c r="AZ20" i="10" s="1"/>
  <c r="BA20" i="10" s="1"/>
  <c r="BB20" i="10" s="1"/>
  <c r="AQ33" i="10"/>
  <c r="AR33" i="10" s="1"/>
  <c r="AT33" i="10" s="1"/>
  <c r="AU33" i="10" s="1"/>
  <c r="AV33" i="10" s="1"/>
  <c r="AW33" i="10" s="1"/>
  <c r="AX33" i="10" s="1"/>
  <c r="AY33" i="10" s="1"/>
  <c r="AZ33" i="10" s="1"/>
  <c r="BA33" i="10" s="1"/>
  <c r="BB33" i="10" s="1"/>
  <c r="AQ32" i="10"/>
  <c r="AR32" i="10" s="1"/>
  <c r="AT32" i="10" s="1"/>
  <c r="AU32" i="10" s="1"/>
  <c r="AV32" i="10" s="1"/>
  <c r="AW32" i="10" s="1"/>
  <c r="AX32" i="10" s="1"/>
  <c r="AY32" i="10" s="1"/>
  <c r="AZ32" i="10" s="1"/>
  <c r="BA32" i="10" s="1"/>
  <c r="BB32" i="10" s="1"/>
  <c r="AQ27" i="10"/>
  <c r="AR27" i="10" s="1"/>
  <c r="AT27" i="10" s="1"/>
  <c r="AU27" i="10" s="1"/>
  <c r="AV27" i="10" s="1"/>
  <c r="AW27" i="10" s="1"/>
  <c r="AX27" i="10" s="1"/>
  <c r="AY27" i="10" s="1"/>
  <c r="AZ27" i="10" s="1"/>
  <c r="BA27" i="10" s="1"/>
  <c r="BB27" i="10" s="1"/>
  <c r="AQ26" i="10"/>
  <c r="AR26" i="10" s="1"/>
  <c r="AT26" i="10" s="1"/>
  <c r="AU26" i="10" s="1"/>
  <c r="AV26" i="10" s="1"/>
  <c r="AW26" i="10" s="1"/>
  <c r="AX26" i="10" s="1"/>
  <c r="AY26" i="10" s="1"/>
  <c r="AZ26" i="10" s="1"/>
  <c r="BA26" i="10" s="1"/>
  <c r="BB26" i="10" s="1"/>
  <c r="AQ15" i="10"/>
  <c r="AR15" i="10" s="1"/>
  <c r="AT15" i="10" s="1"/>
  <c r="AU15" i="10" s="1"/>
  <c r="AV15" i="10" s="1"/>
  <c r="AW15" i="10" s="1"/>
  <c r="AX15" i="10" s="1"/>
  <c r="AY15" i="10" s="1"/>
  <c r="AZ15" i="10" s="1"/>
  <c r="BA15" i="10" s="1"/>
  <c r="BB15" i="10" s="1"/>
  <c r="AQ14" i="10"/>
  <c r="AR14" i="10" s="1"/>
  <c r="AT14" i="10" s="1"/>
  <c r="AU14" i="10" s="1"/>
  <c r="AV14" i="10" s="1"/>
  <c r="AW14" i="10" s="1"/>
  <c r="AX14" i="10" s="1"/>
  <c r="AY14" i="10" s="1"/>
  <c r="AZ14" i="10" s="1"/>
  <c r="BA14" i="10" s="1"/>
  <c r="BB14" i="10" s="1"/>
  <c r="AQ9" i="10"/>
  <c r="AR9" i="10" s="1"/>
  <c r="AT9" i="10" s="1"/>
  <c r="AU9" i="10" s="1"/>
  <c r="AV9" i="10" s="1"/>
  <c r="AW9" i="10" s="1"/>
  <c r="AX9" i="10" s="1"/>
  <c r="AY9" i="10" s="1"/>
  <c r="AZ9" i="10" s="1"/>
  <c r="BA9" i="10" s="1"/>
  <c r="BB9" i="10" s="1"/>
  <c r="AQ8" i="10"/>
  <c r="AR8" i="10" s="1"/>
  <c r="AT8" i="10" s="1"/>
  <c r="AU8" i="10" s="1"/>
  <c r="AV8" i="10" s="1"/>
  <c r="AW8" i="10" s="1"/>
  <c r="AX8" i="10" s="1"/>
  <c r="AY8" i="10" s="1"/>
  <c r="AZ8" i="10" s="1"/>
  <c r="BA8" i="10" s="1"/>
  <c r="BB8" i="10" s="1"/>
  <c r="AQ135" i="7"/>
  <c r="AR135" i="7" s="1"/>
  <c r="AQ134" i="7"/>
  <c r="AR134" i="7" s="1"/>
  <c r="AQ129" i="7"/>
  <c r="AR129" i="7" s="1"/>
  <c r="AQ128" i="7"/>
  <c r="AR128" i="7" s="1"/>
  <c r="AQ111" i="7"/>
  <c r="AR111" i="7" s="1"/>
  <c r="AQ110" i="7"/>
  <c r="AR110" i="7" s="1"/>
  <c r="AS129" i="7" l="1"/>
  <c r="AT129" i="7" s="1"/>
  <c r="AU129" i="7" s="1"/>
  <c r="AV129" i="7" s="1"/>
  <c r="AW129" i="7" s="1"/>
  <c r="AX129" i="7" s="1"/>
  <c r="AY129" i="7" s="1"/>
  <c r="AZ129" i="7" s="1"/>
  <c r="BA129" i="7" s="1"/>
  <c r="BB129" i="7" s="1"/>
  <c r="AS110" i="7"/>
  <c r="AT110" i="7" s="1"/>
  <c r="AU110" i="7" s="1"/>
  <c r="AV110" i="7" s="1"/>
  <c r="AW110" i="7" s="1"/>
  <c r="AX110" i="7" s="1"/>
  <c r="AY110" i="7" s="1"/>
  <c r="AZ110" i="7" s="1"/>
  <c r="BA110" i="7" s="1"/>
  <c r="BB110" i="7" s="1"/>
  <c r="AS128" i="7"/>
  <c r="AT128" i="7" s="1"/>
  <c r="AU128" i="7" s="1"/>
  <c r="AV128" i="7" s="1"/>
  <c r="AW128" i="7" s="1"/>
  <c r="AX128" i="7" s="1"/>
  <c r="AY128" i="7" s="1"/>
  <c r="AZ128" i="7" s="1"/>
  <c r="BA128" i="7" s="1"/>
  <c r="BB128" i="7" s="1"/>
  <c r="AS134" i="7"/>
  <c r="AT134" i="7" s="1"/>
  <c r="AU134" i="7" s="1"/>
  <c r="AV134" i="7" s="1"/>
  <c r="AW134" i="7" s="1"/>
  <c r="AX134" i="7" s="1"/>
  <c r="AY134" i="7" s="1"/>
  <c r="AZ134" i="7" s="1"/>
  <c r="BA134" i="7" s="1"/>
  <c r="BB134" i="7" s="1"/>
  <c r="AS92" i="7"/>
  <c r="AT92" i="7" s="1"/>
  <c r="AU92" i="7" s="1"/>
  <c r="AV92" i="7" s="1"/>
  <c r="AW92" i="7" s="1"/>
  <c r="AX92" i="7" s="1"/>
  <c r="AY92" i="7" s="1"/>
  <c r="AZ92" i="7" s="1"/>
  <c r="BA92" i="7" s="1"/>
  <c r="BB92" i="7" s="1"/>
  <c r="AS62" i="7"/>
  <c r="AT62" i="7" s="1"/>
  <c r="AU62" i="7" s="1"/>
  <c r="AV62" i="7" s="1"/>
  <c r="AW62" i="7" s="1"/>
  <c r="AX62" i="7" s="1"/>
  <c r="AY62" i="7" s="1"/>
  <c r="AZ62" i="7" s="1"/>
  <c r="BA62" i="7" s="1"/>
  <c r="BB62" i="7" s="1"/>
  <c r="AS135" i="7"/>
  <c r="AT135" i="7" s="1"/>
  <c r="AU135" i="7" s="1"/>
  <c r="AV135" i="7" s="1"/>
  <c r="AW135" i="7" s="1"/>
  <c r="AX135" i="7" s="1"/>
  <c r="AY135" i="7" s="1"/>
  <c r="AZ135" i="7" s="1"/>
  <c r="BA135" i="7" s="1"/>
  <c r="BB135" i="7" s="1"/>
  <c r="AS51" i="7"/>
  <c r="AT51" i="7" s="1"/>
  <c r="AU51" i="7" s="1"/>
  <c r="AV51" i="7" s="1"/>
  <c r="AW51" i="7" s="1"/>
  <c r="AX51" i="7" s="1"/>
  <c r="AY51" i="7" s="1"/>
  <c r="AZ51" i="7" s="1"/>
  <c r="BA51" i="7" s="1"/>
  <c r="BB51" i="7" s="1"/>
  <c r="AS27" i="7"/>
  <c r="AT27" i="7" s="1"/>
  <c r="AU27" i="7" s="1"/>
  <c r="AV27" i="7" s="1"/>
  <c r="AW27" i="7" s="1"/>
  <c r="AX27" i="7" s="1"/>
  <c r="AY27" i="7" s="1"/>
  <c r="AZ27" i="7" s="1"/>
  <c r="BA27" i="7" s="1"/>
  <c r="BB27" i="7" s="1"/>
  <c r="AS33" i="7"/>
  <c r="AT33" i="7" s="1"/>
  <c r="AU33" i="7" s="1"/>
  <c r="AV33" i="7" s="1"/>
  <c r="AW33" i="7" s="1"/>
  <c r="AX33" i="7" s="1"/>
  <c r="AY33" i="7" s="1"/>
  <c r="AZ33" i="7" s="1"/>
  <c r="BA33" i="7" s="1"/>
  <c r="BB33" i="7" s="1"/>
  <c r="AS20" i="7"/>
  <c r="AT20" i="7" s="1"/>
  <c r="AU20" i="7" s="1"/>
  <c r="AV20" i="7" s="1"/>
  <c r="AW20" i="7" s="1"/>
  <c r="AX20" i="7" s="1"/>
  <c r="AY20" i="7" s="1"/>
  <c r="AZ20" i="7" s="1"/>
  <c r="BA20" i="7" s="1"/>
  <c r="BB20" i="7" s="1"/>
  <c r="AS8" i="7"/>
  <c r="AT8" i="7" s="1"/>
  <c r="AU8" i="7" s="1"/>
  <c r="AV8" i="7" s="1"/>
  <c r="AW8" i="7" s="1"/>
  <c r="AX8" i="7" s="1"/>
  <c r="AY8" i="7" s="1"/>
  <c r="AZ8" i="7" s="1"/>
  <c r="BA8" i="7" s="1"/>
  <c r="BB8" i="7" s="1"/>
  <c r="AS87" i="7"/>
  <c r="AT87" i="7" s="1"/>
  <c r="AU87" i="7" s="1"/>
  <c r="AV87" i="7" s="1"/>
  <c r="AW87" i="7" s="1"/>
  <c r="AX87" i="7" s="1"/>
  <c r="AY87" i="7" s="1"/>
  <c r="AZ87" i="7" s="1"/>
  <c r="BA87" i="7" s="1"/>
  <c r="BB87" i="7" s="1"/>
  <c r="AS111" i="7"/>
  <c r="AT111" i="7" s="1"/>
  <c r="AU111" i="7" s="1"/>
  <c r="AV111" i="7" s="1"/>
  <c r="AW111" i="7" s="1"/>
  <c r="AX111" i="7" s="1"/>
  <c r="AY111" i="7" s="1"/>
  <c r="AZ111" i="7" s="1"/>
  <c r="BA111" i="7" s="1"/>
  <c r="BB111" i="7" s="1"/>
  <c r="AS50" i="7"/>
  <c r="AT50" i="7" s="1"/>
  <c r="AU50" i="7" s="1"/>
  <c r="AV50" i="7" s="1"/>
  <c r="AW50" i="7" s="1"/>
  <c r="AX50" i="7" s="1"/>
  <c r="AY50" i="7" s="1"/>
  <c r="AZ50" i="7" s="1"/>
  <c r="BA50" i="7" s="1"/>
  <c r="BB50" i="7" s="1"/>
  <c r="AS14" i="7"/>
  <c r="AT14" i="7" s="1"/>
  <c r="AU14" i="7" s="1"/>
  <c r="AV14" i="7" s="1"/>
  <c r="AW14" i="7" s="1"/>
  <c r="AX14" i="7" s="1"/>
  <c r="AY14" i="7" s="1"/>
  <c r="AZ14" i="7" s="1"/>
  <c r="BA14" i="7" s="1"/>
  <c r="BB14" i="7" s="1"/>
  <c r="AS32" i="7"/>
  <c r="AT32" i="7" s="1"/>
  <c r="AU32" i="7" s="1"/>
  <c r="AV32" i="7" s="1"/>
  <c r="AW32" i="7" s="1"/>
  <c r="AX32" i="7" s="1"/>
  <c r="AY32" i="7" s="1"/>
  <c r="AZ32" i="7" s="1"/>
  <c r="BA32" i="7" s="1"/>
  <c r="BB32" i="7" s="1"/>
  <c r="AS63" i="7"/>
  <c r="AT63" i="7" s="1"/>
  <c r="AU63" i="7" s="1"/>
  <c r="AV63" i="7" s="1"/>
  <c r="AW63" i="7" s="1"/>
  <c r="AX63" i="7" s="1"/>
  <c r="AY63" i="7" s="1"/>
  <c r="AZ63" i="7" s="1"/>
  <c r="BA63" i="7" s="1"/>
  <c r="BB63" i="7" s="1"/>
  <c r="AS21" i="7"/>
  <c r="AT21" i="7" s="1"/>
  <c r="AU21" i="7" s="1"/>
  <c r="AV21" i="7" s="1"/>
  <c r="AW21" i="7" s="1"/>
  <c r="AX21" i="7" s="1"/>
  <c r="AY21" i="7" s="1"/>
  <c r="AZ21" i="7" s="1"/>
  <c r="BA21" i="7" s="1"/>
  <c r="BB21" i="7" s="1"/>
  <c r="AS9" i="7"/>
  <c r="AT9" i="7" s="1"/>
  <c r="AU9" i="7" s="1"/>
  <c r="AV9" i="7" s="1"/>
  <c r="AW9" i="7" s="1"/>
  <c r="AX9" i="7" s="1"/>
  <c r="AY9" i="7" s="1"/>
  <c r="AZ9" i="7" s="1"/>
  <c r="BA9" i="7" s="1"/>
  <c r="BB9" i="7" s="1"/>
  <c r="AS93" i="7"/>
  <c r="AT93" i="7" s="1"/>
  <c r="AU93" i="7" s="1"/>
  <c r="AV93" i="7" s="1"/>
  <c r="AW93" i="7" s="1"/>
  <c r="AX93" i="7" s="1"/>
  <c r="AY93" i="7" s="1"/>
  <c r="AZ93" i="7" s="1"/>
  <c r="BA93" i="7" s="1"/>
  <c r="BB93" i="7" s="1"/>
  <c r="AS122" i="7"/>
  <c r="AT122" i="7" s="1"/>
  <c r="AU122" i="7" s="1"/>
  <c r="AV122" i="7" s="1"/>
  <c r="AW122" i="7" s="1"/>
  <c r="AX122" i="7" s="1"/>
  <c r="AY122" i="7" s="1"/>
  <c r="AZ122" i="7" s="1"/>
  <c r="BA122" i="7" s="1"/>
  <c r="BB122" i="7" s="1"/>
  <c r="AS123" i="7"/>
  <c r="AT123" i="7" s="1"/>
  <c r="AU123" i="7" s="1"/>
  <c r="AV123" i="7" s="1"/>
  <c r="AW123" i="7" s="1"/>
  <c r="AX123" i="7" s="1"/>
  <c r="AY123" i="7" s="1"/>
  <c r="AZ123" i="7" s="1"/>
  <c r="BA123" i="7" s="1"/>
  <c r="BB123" i="7" s="1"/>
  <c r="AS38" i="7"/>
  <c r="AT38" i="7" s="1"/>
  <c r="AU38" i="7" s="1"/>
  <c r="AV38" i="7" s="1"/>
  <c r="AW38" i="7" s="1"/>
  <c r="AX38" i="7" s="1"/>
  <c r="AY38" i="7" s="1"/>
  <c r="AZ38" i="7" s="1"/>
  <c r="BA38" i="7" s="1"/>
  <c r="BB38" i="7" s="1"/>
  <c r="AS104" i="7"/>
  <c r="AT104" i="7" s="1"/>
  <c r="AU104" i="7" s="1"/>
  <c r="AV104" i="7" s="1"/>
  <c r="AW104" i="7" s="1"/>
  <c r="AX104" i="7" s="1"/>
  <c r="AY104" i="7" s="1"/>
  <c r="AZ104" i="7" s="1"/>
  <c r="BA104" i="7" s="1"/>
  <c r="BB104" i="7" s="1"/>
  <c r="AS86" i="7"/>
  <c r="AT86" i="7" s="1"/>
  <c r="AU86" i="7" s="1"/>
  <c r="AV86" i="7" s="1"/>
  <c r="AW86" i="7" s="1"/>
  <c r="AX86" i="7" s="1"/>
  <c r="AY86" i="7" s="1"/>
  <c r="AZ86" i="7" s="1"/>
  <c r="BA86" i="7" s="1"/>
  <c r="BB86" i="7" s="1"/>
  <c r="AS15" i="7"/>
  <c r="AT15" i="7" s="1"/>
  <c r="AU15" i="7" s="1"/>
  <c r="AV15" i="7" s="1"/>
  <c r="AW15" i="7" s="1"/>
  <c r="AX15" i="7" s="1"/>
  <c r="AY15" i="7" s="1"/>
  <c r="AZ15" i="7" s="1"/>
  <c r="BA15" i="7" s="1"/>
  <c r="BB15" i="7" s="1"/>
  <c r="AS98" i="7"/>
  <c r="AT98" i="7" s="1"/>
  <c r="AU98" i="7" s="1"/>
  <c r="AV98" i="7" s="1"/>
  <c r="AW98" i="7" s="1"/>
  <c r="AX98" i="7" s="1"/>
  <c r="AY98" i="7" s="1"/>
  <c r="AZ98" i="7" s="1"/>
  <c r="BA98" i="7" s="1"/>
  <c r="BB98" i="7" s="1"/>
  <c r="AS99" i="7"/>
  <c r="AT99" i="7" s="1"/>
  <c r="AU99" i="7" s="1"/>
  <c r="AV99" i="7" s="1"/>
  <c r="AW99" i="7" s="1"/>
  <c r="AX99" i="7" s="1"/>
  <c r="AY99" i="7" s="1"/>
  <c r="AZ99" i="7" s="1"/>
  <c r="BA99" i="7" s="1"/>
  <c r="BB99" i="7" s="1"/>
  <c r="AS39" i="7"/>
  <c r="AT39" i="7" s="1"/>
  <c r="AU39" i="7" s="1"/>
  <c r="AV39" i="7" s="1"/>
  <c r="AW39" i="7" s="1"/>
  <c r="AX39" i="7" s="1"/>
  <c r="AY39" i="7" s="1"/>
  <c r="AZ39" i="7" s="1"/>
  <c r="BA39" i="7" s="1"/>
  <c r="BB39" i="7" s="1"/>
  <c r="AS105" i="7"/>
  <c r="AT105" i="7" s="1"/>
  <c r="AU105" i="7" s="1"/>
  <c r="AV105" i="7" s="1"/>
  <c r="AW105" i="7" s="1"/>
  <c r="AX105" i="7" s="1"/>
  <c r="AY105" i="7" s="1"/>
  <c r="AZ105" i="7" s="1"/>
  <c r="BA105" i="7" s="1"/>
  <c r="BB105" i="7" s="1"/>
  <c r="DN14" i="6"/>
  <c r="DN15" i="6"/>
  <c r="DN16" i="6"/>
  <c r="DN17" i="6"/>
  <c r="DN18" i="6"/>
  <c r="DN19" i="6"/>
  <c r="DN20" i="6"/>
  <c r="DN21" i="6"/>
  <c r="DN22" i="6"/>
  <c r="DN23" i="6"/>
  <c r="DN24" i="6"/>
  <c r="DN25" i="6"/>
  <c r="DN26" i="6"/>
  <c r="DN27" i="6"/>
  <c r="DN28" i="6"/>
  <c r="DN29" i="6"/>
  <c r="DN30" i="6"/>
  <c r="DN31" i="6"/>
  <c r="DN32" i="6"/>
  <c r="DN33" i="6"/>
  <c r="DN34" i="6"/>
  <c r="DN35" i="6"/>
  <c r="DN36" i="6"/>
  <c r="DN37" i="6"/>
  <c r="DN38" i="6"/>
  <c r="DN39" i="6"/>
  <c r="DN40" i="6"/>
  <c r="DN41" i="6"/>
  <c r="DN42" i="6"/>
  <c r="DN43" i="6"/>
  <c r="DN44" i="6"/>
  <c r="DN45" i="6"/>
  <c r="DN46" i="6"/>
  <c r="DN47" i="6"/>
  <c r="DN48" i="6"/>
  <c r="DN49" i="6"/>
  <c r="DN50" i="6"/>
  <c r="DN51" i="6"/>
  <c r="DN52" i="6"/>
  <c r="DN58" i="6"/>
  <c r="DN54" i="6" l="1"/>
  <c r="DN57" i="6"/>
  <c r="DN55" i="6"/>
  <c r="DN56" i="6"/>
  <c r="DN59" i="6" l="1"/>
  <c r="L10" i="32"/>
  <c r="J10" i="32"/>
  <c r="G10" i="32"/>
  <c r="L9" i="32"/>
  <c r="J9" i="32"/>
  <c r="G9" i="32"/>
  <c r="L8" i="32"/>
  <c r="K8" i="32" s="1"/>
  <c r="J8" i="32"/>
  <c r="G8" i="32"/>
  <c r="L7" i="32"/>
  <c r="J7" i="32"/>
  <c r="G7" i="32"/>
  <c r="L6" i="32"/>
  <c r="K6" i="32" s="1"/>
  <c r="J6" i="32"/>
  <c r="G6" i="32"/>
  <c r="L5" i="32"/>
  <c r="J5" i="32"/>
  <c r="G5" i="32"/>
  <c r="K7" i="32" l="1"/>
  <c r="K9" i="32"/>
  <c r="K10" i="32"/>
  <c r="BC87" i="10"/>
  <c r="A87" i="10"/>
  <c r="BC86" i="10"/>
  <c r="A86" i="10"/>
  <c r="BD85" i="10"/>
  <c r="BC85" i="10"/>
  <c r="A85" i="10"/>
  <c r="BD84" i="10"/>
  <c r="BC84" i="10"/>
  <c r="A84" i="10"/>
  <c r="BD83" i="10"/>
  <c r="BC83" i="10"/>
  <c r="A83" i="10"/>
  <c r="BD82" i="10"/>
  <c r="BC82" i="10"/>
  <c r="A82" i="10"/>
  <c r="BC51" i="10"/>
  <c r="A51" i="10"/>
  <c r="BC50" i="10"/>
  <c r="A50" i="10"/>
  <c r="BD49" i="10"/>
  <c r="BC49" i="10"/>
  <c r="A49" i="10"/>
  <c r="BD48" i="10"/>
  <c r="BC48" i="10"/>
  <c r="A48" i="10"/>
  <c r="BD47" i="10"/>
  <c r="BC47" i="10"/>
  <c r="A47" i="10"/>
  <c r="BD46" i="10"/>
  <c r="BC46" i="10"/>
  <c r="A46" i="10"/>
  <c r="AA36" i="27"/>
  <c r="F168" i="18"/>
  <c r="AA32" i="27"/>
  <c r="AA30" i="27"/>
  <c r="AA22" i="27"/>
  <c r="AA10" i="27"/>
  <c r="AA31" i="27" s="1"/>
  <c r="AB56" i="12"/>
  <c r="AB54" i="12"/>
  <c r="AB52" i="12" s="1"/>
  <c r="AB42" i="12"/>
  <c r="AB41" i="12"/>
  <c r="AB40" i="12"/>
  <c r="AB39" i="12"/>
  <c r="AB36" i="12"/>
  <c r="AB35" i="12"/>
  <c r="AB34" i="12"/>
  <c r="AB33" i="12"/>
  <c r="AB29" i="12"/>
  <c r="AB28" i="12"/>
  <c r="AA39" i="27" l="1"/>
  <c r="G168" i="18" s="1"/>
  <c r="G15" i="18" s="1"/>
  <c r="G57" i="18" s="1"/>
  <c r="J83" i="10"/>
  <c r="K83" i="10" s="1"/>
  <c r="L83" i="10" s="1"/>
  <c r="M83" i="10" s="1"/>
  <c r="N83" i="10" s="1"/>
  <c r="O83" i="10" s="1"/>
  <c r="P83" i="10" s="1"/>
  <c r="Q83" i="10" s="1"/>
  <c r="S83" i="10" s="1"/>
  <c r="T83" i="10" s="1"/>
  <c r="J48" i="10"/>
  <c r="K48" i="10" s="1"/>
  <c r="L48" i="10" s="1"/>
  <c r="M48" i="10" s="1"/>
  <c r="N48" i="10" s="1"/>
  <c r="O48" i="10" s="1"/>
  <c r="P48" i="10" s="1"/>
  <c r="Q48" i="10" s="1"/>
  <c r="R48" i="10" s="1"/>
  <c r="S48" i="10" s="1"/>
  <c r="T48" i="10" s="1"/>
  <c r="U48" i="10" s="1"/>
  <c r="J49" i="10"/>
  <c r="K49" i="10" s="1"/>
  <c r="L49" i="10" s="1"/>
  <c r="M49" i="10" s="1"/>
  <c r="N49" i="10" s="1"/>
  <c r="O49" i="10" s="1"/>
  <c r="P49" i="10" s="1"/>
  <c r="Q49" i="10" s="1"/>
  <c r="R49" i="10" s="1"/>
  <c r="S49" i="10" s="1"/>
  <c r="T49" i="10" s="1"/>
  <c r="U49" i="10" s="1"/>
  <c r="J84" i="10"/>
  <c r="K84" i="10" s="1"/>
  <c r="L84" i="10" s="1"/>
  <c r="M84" i="10" s="1"/>
  <c r="N84" i="10" s="1"/>
  <c r="O84" i="10" s="1"/>
  <c r="P84" i="10" s="1"/>
  <c r="Q84" i="10" s="1"/>
  <c r="S84" i="10" s="1"/>
  <c r="T84" i="10" s="1"/>
  <c r="U84" i="10" s="1"/>
  <c r="J85" i="10"/>
  <c r="K85" i="10" s="1"/>
  <c r="L85" i="10" s="1"/>
  <c r="M85" i="10" s="1"/>
  <c r="N85" i="10" s="1"/>
  <c r="O85" i="10" s="1"/>
  <c r="P85" i="10" s="1"/>
  <c r="Q85" i="10" s="1"/>
  <c r="S85" i="10" s="1"/>
  <c r="T85" i="10" s="1"/>
  <c r="U85" i="10" s="1"/>
  <c r="I82" i="10"/>
  <c r="J82" i="10" s="1"/>
  <c r="K82" i="10" s="1"/>
  <c r="L82" i="10" s="1"/>
  <c r="M82" i="10" s="1"/>
  <c r="N82" i="10" s="1"/>
  <c r="O82" i="10" s="1"/>
  <c r="P82" i="10" s="1"/>
  <c r="Q82" i="10" s="1"/>
  <c r="R82" i="10" s="1"/>
  <c r="S82" i="10" s="1"/>
  <c r="T82" i="10" s="1"/>
  <c r="U82" i="10" s="1"/>
  <c r="J46" i="10"/>
  <c r="K46" i="10" s="1"/>
  <c r="L46" i="10" s="1"/>
  <c r="M46" i="10" s="1"/>
  <c r="N46" i="10" s="1"/>
  <c r="O46" i="10" s="1"/>
  <c r="P46" i="10" s="1"/>
  <c r="Q46" i="10" s="1"/>
  <c r="R46" i="10" s="1"/>
  <c r="S46" i="10" s="1"/>
  <c r="T46" i="10" s="1"/>
  <c r="U46" i="10" s="1"/>
  <c r="J47" i="10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AB32" i="12"/>
  <c r="AB38" i="12"/>
  <c r="AB27" i="12"/>
  <c r="BD99" i="7"/>
  <c r="BC99" i="7"/>
  <c r="A99" i="7"/>
  <c r="BD98" i="7"/>
  <c r="BC98" i="7"/>
  <c r="A98" i="7"/>
  <c r="BD97" i="7"/>
  <c r="BC97" i="7"/>
  <c r="A97" i="7"/>
  <c r="BD96" i="7"/>
  <c r="BC96" i="7"/>
  <c r="A96" i="7"/>
  <c r="BD95" i="7"/>
  <c r="BC95" i="7"/>
  <c r="A95" i="7"/>
  <c r="BD94" i="7"/>
  <c r="BC94" i="7"/>
  <c r="A94" i="7"/>
  <c r="AA24" i="27" l="1"/>
  <c r="U83" i="10"/>
  <c r="W82" i="10"/>
  <c r="X82" i="10" s="1"/>
  <c r="Y82" i="10" s="1"/>
  <c r="Z82" i="10" s="1"/>
  <c r="AA82" i="10" s="1"/>
  <c r="AB82" i="10" s="1"/>
  <c r="AC82" i="10" s="1"/>
  <c r="AD82" i="10" s="1"/>
  <c r="AE82" i="10" s="1"/>
  <c r="AF82" i="10" s="1"/>
  <c r="V46" i="10"/>
  <c r="W46" i="10" s="1"/>
  <c r="X46" i="10" s="1"/>
  <c r="Y46" i="10" s="1"/>
  <c r="Z46" i="10" s="1"/>
  <c r="AA46" i="10" s="1"/>
  <c r="AB46" i="10" s="1"/>
  <c r="AC46" i="10" s="1"/>
  <c r="W49" i="10"/>
  <c r="X49" i="10" s="1"/>
  <c r="Y49" i="10" s="1"/>
  <c r="Z49" i="10" s="1"/>
  <c r="AA49" i="10" s="1"/>
  <c r="AB49" i="10" s="1"/>
  <c r="AC49" i="10" s="1"/>
  <c r="W47" i="10"/>
  <c r="X47" i="10" s="1"/>
  <c r="Y47" i="10" s="1"/>
  <c r="Z47" i="10" s="1"/>
  <c r="AA47" i="10" s="1"/>
  <c r="AB47" i="10" s="1"/>
  <c r="AC47" i="10" s="1"/>
  <c r="AD47" i="10" s="1"/>
  <c r="AE47" i="10" s="1"/>
  <c r="AF47" i="10" s="1"/>
  <c r="W48" i="10"/>
  <c r="X48" i="10" s="1"/>
  <c r="Y48" i="10" s="1"/>
  <c r="Z48" i="10" s="1"/>
  <c r="AA48" i="10" s="1"/>
  <c r="AB48" i="10" s="1"/>
  <c r="AC48" i="10" s="1"/>
  <c r="W85" i="10"/>
  <c r="X85" i="10" s="1"/>
  <c r="Y85" i="10" s="1"/>
  <c r="Z85" i="10" s="1"/>
  <c r="AA85" i="10" s="1"/>
  <c r="AB85" i="10" s="1"/>
  <c r="AC85" i="10" s="1"/>
  <c r="W83" i="10"/>
  <c r="X83" i="10" s="1"/>
  <c r="Y83" i="10" s="1"/>
  <c r="Z83" i="10" s="1"/>
  <c r="AA83" i="10" s="1"/>
  <c r="AB83" i="10" s="1"/>
  <c r="AC83" i="10" s="1"/>
  <c r="W84" i="10"/>
  <c r="X84" i="10" s="1"/>
  <c r="Y84" i="10" s="1"/>
  <c r="Z84" i="10" s="1"/>
  <c r="AA84" i="10" s="1"/>
  <c r="AB84" i="10" s="1"/>
  <c r="AC84" i="10" s="1"/>
  <c r="J97" i="7"/>
  <c r="K97" i="7" s="1"/>
  <c r="L97" i="7" s="1"/>
  <c r="M97" i="7" s="1"/>
  <c r="N97" i="7" s="1"/>
  <c r="O97" i="7" s="1"/>
  <c r="P97" i="7" s="1"/>
  <c r="Q97" i="7" s="1"/>
  <c r="R97" i="7" s="1"/>
  <c r="S97" i="7" s="1"/>
  <c r="T97" i="7" s="1"/>
  <c r="J95" i="7"/>
  <c r="K95" i="7" s="1"/>
  <c r="L95" i="7" s="1"/>
  <c r="M95" i="7" s="1"/>
  <c r="N95" i="7" s="1"/>
  <c r="O95" i="7" s="1"/>
  <c r="P95" i="7" s="1"/>
  <c r="Q95" i="7" s="1"/>
  <c r="R95" i="7" s="1"/>
  <c r="S95" i="7" s="1"/>
  <c r="T95" i="7" s="1"/>
  <c r="I94" i="7"/>
  <c r="J94" i="7" s="1"/>
  <c r="K94" i="7" s="1"/>
  <c r="L94" i="7" s="1"/>
  <c r="M94" i="7" s="1"/>
  <c r="N94" i="7" s="1"/>
  <c r="O94" i="7" s="1"/>
  <c r="P94" i="7" s="1"/>
  <c r="Q94" i="7" s="1"/>
  <c r="R94" i="7" s="1"/>
  <c r="S94" i="7" s="1"/>
  <c r="T94" i="7" s="1"/>
  <c r="J96" i="7"/>
  <c r="K96" i="7" s="1"/>
  <c r="L96" i="7" s="1"/>
  <c r="M96" i="7" s="1"/>
  <c r="N96" i="7" s="1"/>
  <c r="O96" i="7" s="1"/>
  <c r="P96" i="7" s="1"/>
  <c r="Q96" i="7" s="1"/>
  <c r="R96" i="7" s="1"/>
  <c r="S96" i="7" s="1"/>
  <c r="T96" i="7" s="1"/>
  <c r="AB26" i="12"/>
  <c r="AG82" i="10" l="1"/>
  <c r="AH82" i="10" s="1"/>
  <c r="AI82" i="10" s="1"/>
  <c r="AJ82" i="10" s="1"/>
  <c r="AK82" i="10" s="1"/>
  <c r="AL82" i="10" s="1"/>
  <c r="AM82" i="10" s="1"/>
  <c r="AN82" i="10" s="1"/>
  <c r="AO82" i="10" s="1"/>
  <c r="AG47" i="10"/>
  <c r="AH47" i="10" s="1"/>
  <c r="AI47" i="10" s="1"/>
  <c r="AJ47" i="10" s="1"/>
  <c r="AK47" i="10" s="1"/>
  <c r="AL47" i="10" s="1"/>
  <c r="AM47" i="10" s="1"/>
  <c r="AN47" i="10" s="1"/>
  <c r="AO47" i="10" s="1"/>
  <c r="AP82" i="10"/>
  <c r="AQ82" i="10" s="1"/>
  <c r="AR82" i="10" s="1"/>
  <c r="AS82" i="10" s="1"/>
  <c r="U96" i="7"/>
  <c r="W96" i="7" s="1"/>
  <c r="X96" i="7" s="1"/>
  <c r="Y96" i="7" s="1"/>
  <c r="Z96" i="7" s="1"/>
  <c r="AA96" i="7" s="1"/>
  <c r="AB96" i="7" s="1"/>
  <c r="AC96" i="7" s="1"/>
  <c r="U94" i="7"/>
  <c r="V94" i="7" s="1"/>
  <c r="W94" i="7" s="1"/>
  <c r="X94" i="7" s="1"/>
  <c r="Y94" i="7" s="1"/>
  <c r="Z94" i="7" s="1"/>
  <c r="AA94" i="7" s="1"/>
  <c r="AB94" i="7" s="1"/>
  <c r="AC94" i="7" s="1"/>
  <c r="U95" i="7"/>
  <c r="W95" i="7" s="1"/>
  <c r="X95" i="7" s="1"/>
  <c r="Y95" i="7" s="1"/>
  <c r="Z95" i="7" s="1"/>
  <c r="AA95" i="7" s="1"/>
  <c r="AB95" i="7" s="1"/>
  <c r="AC95" i="7" s="1"/>
  <c r="U97" i="7"/>
  <c r="W97" i="7" s="1"/>
  <c r="X97" i="7" s="1"/>
  <c r="Y97" i="7" s="1"/>
  <c r="Z97" i="7" s="1"/>
  <c r="AA97" i="7" s="1"/>
  <c r="AB97" i="7" s="1"/>
  <c r="AC97" i="7" s="1"/>
  <c r="AD46" i="10"/>
  <c r="AE46" i="10" s="1"/>
  <c r="AF46" i="10" s="1"/>
  <c r="AP46" i="10"/>
  <c r="AQ46" i="10" s="1"/>
  <c r="AR46" i="10" s="1"/>
  <c r="AP49" i="10"/>
  <c r="AQ49" i="10" s="1"/>
  <c r="AR49" i="10" s="1"/>
  <c r="AD49" i="10"/>
  <c r="AE49" i="10" s="1"/>
  <c r="AF49" i="10" s="1"/>
  <c r="AP48" i="10"/>
  <c r="AQ48" i="10" s="1"/>
  <c r="AR48" i="10" s="1"/>
  <c r="AD48" i="10"/>
  <c r="AE48" i="10" s="1"/>
  <c r="AF48" i="10" s="1"/>
  <c r="AP47" i="10"/>
  <c r="AQ47" i="10" s="1"/>
  <c r="AR47" i="10" s="1"/>
  <c r="AD85" i="10"/>
  <c r="AE85" i="10" s="1"/>
  <c r="AF85" i="10" s="1"/>
  <c r="AP85" i="10"/>
  <c r="AQ85" i="10" s="1"/>
  <c r="AR85" i="10" s="1"/>
  <c r="AP84" i="10"/>
  <c r="AQ84" i="10" s="1"/>
  <c r="AR84" i="10" s="1"/>
  <c r="AD84" i="10"/>
  <c r="AE84" i="10" s="1"/>
  <c r="AF84" i="10" s="1"/>
  <c r="AD83" i="10"/>
  <c r="AE83" i="10" s="1"/>
  <c r="AF83" i="10" s="1"/>
  <c r="AP83" i="10"/>
  <c r="AQ83" i="10" s="1"/>
  <c r="AR83" i="10" s="1"/>
  <c r="AT82" i="10"/>
  <c r="AU82" i="10" s="1"/>
  <c r="AV82" i="10" s="1"/>
  <c r="AW82" i="10" s="1"/>
  <c r="AX82" i="10" s="1"/>
  <c r="AY82" i="10" s="1"/>
  <c r="AZ82" i="10" s="1"/>
  <c r="BA82" i="10" s="1"/>
  <c r="BB82" i="10" s="1"/>
  <c r="AG46" i="10" l="1"/>
  <c r="AH46" i="10" s="1"/>
  <c r="AI46" i="10" s="1"/>
  <c r="AJ46" i="10" s="1"/>
  <c r="AK46" i="10" s="1"/>
  <c r="AL46" i="10" s="1"/>
  <c r="AM46" i="10" s="1"/>
  <c r="AN46" i="10" s="1"/>
  <c r="AO46" i="10" s="1"/>
  <c r="AG48" i="10"/>
  <c r="AH48" i="10" s="1"/>
  <c r="AI48" i="10" s="1"/>
  <c r="AJ48" i="10" s="1"/>
  <c r="AK48" i="10" s="1"/>
  <c r="AL48" i="10" s="1"/>
  <c r="AM48" i="10" s="1"/>
  <c r="AN48" i="10" s="1"/>
  <c r="AO48" i="10" s="1"/>
  <c r="AG49" i="10"/>
  <c r="AH49" i="10" s="1"/>
  <c r="AI49" i="10" s="1"/>
  <c r="AJ49" i="10" s="1"/>
  <c r="AK49" i="10" s="1"/>
  <c r="AL49" i="10" s="1"/>
  <c r="AM49" i="10" s="1"/>
  <c r="AN49" i="10" s="1"/>
  <c r="AO49" i="10" s="1"/>
  <c r="AS49" i="10"/>
  <c r="AT49" i="10" s="1"/>
  <c r="AU49" i="10" s="1"/>
  <c r="AV49" i="10" s="1"/>
  <c r="AW49" i="10" s="1"/>
  <c r="AX49" i="10" s="1"/>
  <c r="AY49" i="10" s="1"/>
  <c r="AZ49" i="10" s="1"/>
  <c r="BA49" i="10" s="1"/>
  <c r="BB49" i="10" s="1"/>
  <c r="AS48" i="10"/>
  <c r="AT48" i="10" s="1"/>
  <c r="AU48" i="10" s="1"/>
  <c r="AV48" i="10" s="1"/>
  <c r="AW48" i="10" s="1"/>
  <c r="AX48" i="10" s="1"/>
  <c r="AY48" i="10" s="1"/>
  <c r="AZ48" i="10" s="1"/>
  <c r="BA48" i="10" s="1"/>
  <c r="BB48" i="10" s="1"/>
  <c r="AS47" i="10"/>
  <c r="AT47" i="10" s="1"/>
  <c r="AU47" i="10" s="1"/>
  <c r="AV47" i="10" s="1"/>
  <c r="AW47" i="10" s="1"/>
  <c r="AX47" i="10" s="1"/>
  <c r="AY47" i="10" s="1"/>
  <c r="AZ47" i="10" s="1"/>
  <c r="BA47" i="10" s="1"/>
  <c r="BB47" i="10" s="1"/>
  <c r="AS46" i="10"/>
  <c r="AT46" i="10" s="1"/>
  <c r="AU46" i="10" s="1"/>
  <c r="AV46" i="10" s="1"/>
  <c r="AW46" i="10" s="1"/>
  <c r="AX46" i="10" s="1"/>
  <c r="AY46" i="10" s="1"/>
  <c r="AZ46" i="10" s="1"/>
  <c r="BA46" i="10" s="1"/>
  <c r="BB46" i="10" s="1"/>
  <c r="AG85" i="10"/>
  <c r="AH85" i="10" s="1"/>
  <c r="AI85" i="10" s="1"/>
  <c r="AJ85" i="10" s="1"/>
  <c r="AK85" i="10" s="1"/>
  <c r="AL85" i="10" s="1"/>
  <c r="AM85" i="10" s="1"/>
  <c r="AN85" i="10" s="1"/>
  <c r="AO85" i="10" s="1"/>
  <c r="AS85" i="10"/>
  <c r="AT85" i="10" s="1"/>
  <c r="AU85" i="10" s="1"/>
  <c r="AV85" i="10" s="1"/>
  <c r="AW85" i="10" s="1"/>
  <c r="AX85" i="10" s="1"/>
  <c r="AY85" i="10" s="1"/>
  <c r="AZ85" i="10" s="1"/>
  <c r="BA85" i="10" s="1"/>
  <c r="BB85" i="10" s="1"/>
  <c r="AG84" i="10"/>
  <c r="AH84" i="10" s="1"/>
  <c r="AI84" i="10" s="1"/>
  <c r="AJ84" i="10" s="1"/>
  <c r="AK84" i="10" s="1"/>
  <c r="AL84" i="10" s="1"/>
  <c r="AM84" i="10" s="1"/>
  <c r="AN84" i="10" s="1"/>
  <c r="AO84" i="10" s="1"/>
  <c r="AS84" i="10"/>
  <c r="AT84" i="10" s="1"/>
  <c r="AU84" i="10" s="1"/>
  <c r="AV84" i="10" s="1"/>
  <c r="AW84" i="10" s="1"/>
  <c r="AX84" i="10" s="1"/>
  <c r="AY84" i="10" s="1"/>
  <c r="AZ84" i="10" s="1"/>
  <c r="BA84" i="10" s="1"/>
  <c r="BB84" i="10" s="1"/>
  <c r="AS83" i="10"/>
  <c r="AT83" i="10" s="1"/>
  <c r="AU83" i="10" s="1"/>
  <c r="AV83" i="10" s="1"/>
  <c r="AW83" i="10" s="1"/>
  <c r="AX83" i="10" s="1"/>
  <c r="AY83" i="10" s="1"/>
  <c r="AZ83" i="10" s="1"/>
  <c r="BA83" i="10" s="1"/>
  <c r="BB83" i="10" s="1"/>
  <c r="AG83" i="10"/>
  <c r="AH83" i="10" s="1"/>
  <c r="AI83" i="10" s="1"/>
  <c r="AJ83" i="10" s="1"/>
  <c r="AK83" i="10" s="1"/>
  <c r="AL83" i="10" s="1"/>
  <c r="AM83" i="10" s="1"/>
  <c r="AN83" i="10" s="1"/>
  <c r="AO83" i="10" s="1"/>
  <c r="AD94" i="7"/>
  <c r="AE94" i="7" s="1"/>
  <c r="AF94" i="7" s="1"/>
  <c r="AG94" i="7" s="1"/>
  <c r="AH94" i="7" s="1"/>
  <c r="AI94" i="7" s="1"/>
  <c r="AJ94" i="7" s="1"/>
  <c r="AK94" i="7" s="1"/>
  <c r="AL94" i="7" s="1"/>
  <c r="AM94" i="7" s="1"/>
  <c r="AN94" i="7" s="1"/>
  <c r="AO94" i="7" s="1"/>
  <c r="AP94" i="7" s="1"/>
  <c r="AQ94" i="7" s="1"/>
  <c r="AR94" i="7" s="1"/>
  <c r="AS94" i="7" s="1"/>
  <c r="AT94" i="7" s="1"/>
  <c r="AU94" i="7" s="1"/>
  <c r="AV94" i="7" s="1"/>
  <c r="AW94" i="7" s="1"/>
  <c r="AX94" i="7" s="1"/>
  <c r="AY94" i="7" s="1"/>
  <c r="AZ94" i="7" s="1"/>
  <c r="BA94" i="7" s="1"/>
  <c r="BB94" i="7" s="1"/>
  <c r="AD97" i="7"/>
  <c r="AE97" i="7" s="1"/>
  <c r="AF97" i="7" s="1"/>
  <c r="AG97" i="7" s="1"/>
  <c r="AH97" i="7" s="1"/>
  <c r="AI97" i="7" s="1"/>
  <c r="AJ97" i="7" s="1"/>
  <c r="AK97" i="7" s="1"/>
  <c r="AL97" i="7" s="1"/>
  <c r="AM97" i="7" s="1"/>
  <c r="AN97" i="7" s="1"/>
  <c r="AO97" i="7" s="1"/>
  <c r="AP97" i="7" s="1"/>
  <c r="AQ97" i="7" s="1"/>
  <c r="AR97" i="7" s="1"/>
  <c r="AS97" i="7" s="1"/>
  <c r="AT97" i="7" s="1"/>
  <c r="AU97" i="7" s="1"/>
  <c r="AV97" i="7" s="1"/>
  <c r="AW97" i="7" s="1"/>
  <c r="AX97" i="7" s="1"/>
  <c r="AY97" i="7" s="1"/>
  <c r="AZ97" i="7" s="1"/>
  <c r="BA97" i="7" s="1"/>
  <c r="BB97" i="7" s="1"/>
  <c r="AD95" i="7"/>
  <c r="AE95" i="7" s="1"/>
  <c r="AF95" i="7" s="1"/>
  <c r="AG95" i="7" s="1"/>
  <c r="AH95" i="7" s="1"/>
  <c r="AI95" i="7" s="1"/>
  <c r="AJ95" i="7" s="1"/>
  <c r="AK95" i="7" s="1"/>
  <c r="AL95" i="7" s="1"/>
  <c r="AM95" i="7" s="1"/>
  <c r="AN95" i="7" s="1"/>
  <c r="AO95" i="7" s="1"/>
  <c r="AP95" i="7" s="1"/>
  <c r="AQ95" i="7" s="1"/>
  <c r="AR95" i="7" s="1"/>
  <c r="AS95" i="7" s="1"/>
  <c r="AT95" i="7" s="1"/>
  <c r="AU95" i="7" s="1"/>
  <c r="AV95" i="7" s="1"/>
  <c r="AW95" i="7" s="1"/>
  <c r="AX95" i="7" s="1"/>
  <c r="AY95" i="7" s="1"/>
  <c r="AZ95" i="7" s="1"/>
  <c r="BA95" i="7" s="1"/>
  <c r="BB95" i="7" s="1"/>
  <c r="AD96" i="7"/>
  <c r="AE96" i="7" s="1"/>
  <c r="AF96" i="7" s="1"/>
  <c r="AG96" i="7" s="1"/>
  <c r="AH96" i="7" s="1"/>
  <c r="AI96" i="7" s="1"/>
  <c r="AJ96" i="7" s="1"/>
  <c r="AK96" i="7" s="1"/>
  <c r="AL96" i="7" s="1"/>
  <c r="AM96" i="7" s="1"/>
  <c r="AN96" i="7" s="1"/>
  <c r="AO96" i="7" s="1"/>
  <c r="AP96" i="7" s="1"/>
  <c r="AQ96" i="7" s="1"/>
  <c r="AR96" i="7" s="1"/>
  <c r="AS96" i="7" s="1"/>
  <c r="AT96" i="7" s="1"/>
  <c r="AU96" i="7" s="1"/>
  <c r="AV96" i="7" s="1"/>
  <c r="AW96" i="7" s="1"/>
  <c r="AX96" i="7" s="1"/>
  <c r="AY96" i="7" s="1"/>
  <c r="AZ96" i="7" s="1"/>
  <c r="BA96" i="7" s="1"/>
  <c r="BB96" i="7" s="1"/>
  <c r="M32" i="27"/>
  <c r="M30" i="27"/>
  <c r="M10" i="27"/>
  <c r="M31" i="27" s="1"/>
  <c r="W56" i="12"/>
  <c r="W54" i="12"/>
  <c r="W42" i="12"/>
  <c r="W41" i="12"/>
  <c r="W40" i="12"/>
  <c r="W39" i="12"/>
  <c r="W36" i="12"/>
  <c r="W35" i="12"/>
  <c r="W34" i="12"/>
  <c r="W33" i="12"/>
  <c r="W29" i="12"/>
  <c r="W28" i="12"/>
  <c r="W52" i="12" l="1"/>
  <c r="W38" i="12"/>
  <c r="W27" i="12"/>
  <c r="W32" i="12"/>
  <c r="BD105" i="10"/>
  <c r="BD104" i="10"/>
  <c r="BD103" i="10"/>
  <c r="BD102" i="10"/>
  <c r="BD101" i="10"/>
  <c r="BD100" i="10"/>
  <c r="BD105" i="7"/>
  <c r="BD104" i="7"/>
  <c r="BD103" i="7"/>
  <c r="BD102" i="7"/>
  <c r="BD101" i="7"/>
  <c r="BD100" i="7"/>
  <c r="BD93" i="7"/>
  <c r="BD92" i="7"/>
  <c r="BD91" i="7"/>
  <c r="BD90" i="7"/>
  <c r="BD89" i="7"/>
  <c r="BD88" i="7"/>
  <c r="A105" i="10"/>
  <c r="A104" i="10"/>
  <c r="A103" i="10"/>
  <c r="A102" i="10"/>
  <c r="A101" i="10"/>
  <c r="A100" i="10"/>
  <c r="BC100" i="10"/>
  <c r="BC101" i="10"/>
  <c r="BC102" i="10"/>
  <c r="BC103" i="10"/>
  <c r="BC104" i="10"/>
  <c r="BC105" i="10"/>
  <c r="A88" i="7"/>
  <c r="A89" i="7"/>
  <c r="A90" i="7"/>
  <c r="A91" i="7"/>
  <c r="A92" i="7"/>
  <c r="A93" i="7"/>
  <c r="A100" i="7"/>
  <c r="A101" i="7"/>
  <c r="A102" i="7"/>
  <c r="A103" i="7"/>
  <c r="A104" i="7"/>
  <c r="A105" i="7"/>
  <c r="BC88" i="7"/>
  <c r="BC89" i="7"/>
  <c r="BC90" i="7"/>
  <c r="BC91" i="7"/>
  <c r="BC92" i="7"/>
  <c r="BC93" i="7"/>
  <c r="BC100" i="7"/>
  <c r="BC101" i="7"/>
  <c r="BC102" i="7"/>
  <c r="BC103" i="7"/>
  <c r="BC104" i="7"/>
  <c r="BC105" i="7"/>
  <c r="J102" i="10" l="1"/>
  <c r="K102" i="10" s="1"/>
  <c r="L102" i="10" s="1"/>
  <c r="M102" i="10" s="1"/>
  <c r="N102" i="10" s="1"/>
  <c r="O102" i="10" s="1"/>
  <c r="P102" i="10" s="1"/>
  <c r="Q102" i="10" s="1"/>
  <c r="R102" i="10" s="1"/>
  <c r="S102" i="10" s="1"/>
  <c r="T102" i="10" s="1"/>
  <c r="U102" i="10" s="1"/>
  <c r="J103" i="10"/>
  <c r="K103" i="10" s="1"/>
  <c r="L103" i="10" s="1"/>
  <c r="M103" i="10" s="1"/>
  <c r="N103" i="10" s="1"/>
  <c r="O103" i="10" s="1"/>
  <c r="P103" i="10" s="1"/>
  <c r="Q103" i="10" s="1"/>
  <c r="R103" i="10" s="1"/>
  <c r="S103" i="10" s="1"/>
  <c r="T103" i="10" s="1"/>
  <c r="U103" i="10" s="1"/>
  <c r="I100" i="10"/>
  <c r="J100" i="10" s="1"/>
  <c r="K100" i="10" s="1"/>
  <c r="L100" i="10" s="1"/>
  <c r="M100" i="10" s="1"/>
  <c r="N100" i="10" s="1"/>
  <c r="O100" i="10" s="1"/>
  <c r="P100" i="10" s="1"/>
  <c r="Q100" i="10" s="1"/>
  <c r="R100" i="10" s="1"/>
  <c r="S100" i="10" s="1"/>
  <c r="T100" i="10" s="1"/>
  <c r="U100" i="10" s="1"/>
  <c r="J101" i="10"/>
  <c r="K101" i="10" s="1"/>
  <c r="L101" i="10" s="1"/>
  <c r="M101" i="10" s="1"/>
  <c r="N101" i="10" s="1"/>
  <c r="O101" i="10" s="1"/>
  <c r="P101" i="10" s="1"/>
  <c r="Q101" i="10" s="1"/>
  <c r="R101" i="10" s="1"/>
  <c r="S101" i="10" s="1"/>
  <c r="T101" i="10" s="1"/>
  <c r="U101" i="10" s="1"/>
  <c r="W26" i="12"/>
  <c r="I100" i="7"/>
  <c r="I88" i="7"/>
  <c r="V100" i="10" l="1"/>
  <c r="W100" i="10" s="1"/>
  <c r="X100" i="10" s="1"/>
  <c r="Y100" i="10" s="1"/>
  <c r="Z100" i="10" s="1"/>
  <c r="AA100" i="10" s="1"/>
  <c r="AB100" i="10" s="1"/>
  <c r="AC100" i="10" s="1"/>
  <c r="W103" i="10"/>
  <c r="X103" i="10" s="1"/>
  <c r="Y103" i="10" s="1"/>
  <c r="Z103" i="10" s="1"/>
  <c r="AA103" i="10" s="1"/>
  <c r="AB103" i="10" s="1"/>
  <c r="AC103" i="10" s="1"/>
  <c r="AD103" i="10" s="1"/>
  <c r="AE103" i="10" s="1"/>
  <c r="AF103" i="10" s="1"/>
  <c r="W101" i="10"/>
  <c r="X101" i="10" s="1"/>
  <c r="Y101" i="10" s="1"/>
  <c r="Z101" i="10" s="1"/>
  <c r="AA101" i="10" s="1"/>
  <c r="AB101" i="10" s="1"/>
  <c r="AC101" i="10" s="1"/>
  <c r="W102" i="10"/>
  <c r="X102" i="10" s="1"/>
  <c r="Y102" i="10" s="1"/>
  <c r="Z102" i="10" s="1"/>
  <c r="AA102" i="10" s="1"/>
  <c r="AB102" i="10" s="1"/>
  <c r="AC102" i="10" s="1"/>
  <c r="J102" i="7"/>
  <c r="K102" i="7" s="1"/>
  <c r="L102" i="7" s="1"/>
  <c r="M102" i="7" s="1"/>
  <c r="N102" i="7" s="1"/>
  <c r="O102" i="7" s="1"/>
  <c r="P102" i="7" s="1"/>
  <c r="Q102" i="7" s="1"/>
  <c r="R102" i="7" s="1"/>
  <c r="S102" i="7" s="1"/>
  <c r="T102" i="7" s="1"/>
  <c r="U102" i="7" s="1"/>
  <c r="J88" i="7"/>
  <c r="K88" i="7" s="1"/>
  <c r="L88" i="7" s="1"/>
  <c r="M88" i="7" s="1"/>
  <c r="N88" i="7" s="1"/>
  <c r="O88" i="7" s="1"/>
  <c r="P88" i="7" s="1"/>
  <c r="Q88" i="7" s="1"/>
  <c r="R88" i="7" s="1"/>
  <c r="S88" i="7" s="1"/>
  <c r="T88" i="7" s="1"/>
  <c r="U88" i="7" s="1"/>
  <c r="J101" i="7"/>
  <c r="K101" i="7" s="1"/>
  <c r="L101" i="7" s="1"/>
  <c r="M101" i="7" s="1"/>
  <c r="N101" i="7" s="1"/>
  <c r="O101" i="7" s="1"/>
  <c r="P101" i="7" s="1"/>
  <c r="Q101" i="7" s="1"/>
  <c r="R101" i="7" s="1"/>
  <c r="S101" i="7" s="1"/>
  <c r="T101" i="7" s="1"/>
  <c r="U101" i="7" s="1"/>
  <c r="J91" i="7"/>
  <c r="K91" i="7" s="1"/>
  <c r="L91" i="7" s="1"/>
  <c r="M91" i="7" s="1"/>
  <c r="N91" i="7" s="1"/>
  <c r="O91" i="7" s="1"/>
  <c r="P91" i="7" s="1"/>
  <c r="Q91" i="7" s="1"/>
  <c r="R91" i="7" s="1"/>
  <c r="S91" i="7" s="1"/>
  <c r="T91" i="7" s="1"/>
  <c r="U91" i="7" s="1"/>
  <c r="J100" i="7"/>
  <c r="K100" i="7" s="1"/>
  <c r="L100" i="7" s="1"/>
  <c r="M100" i="7" s="1"/>
  <c r="N100" i="7" s="1"/>
  <c r="O100" i="7" s="1"/>
  <c r="P100" i="7" s="1"/>
  <c r="Q100" i="7" s="1"/>
  <c r="R100" i="7" s="1"/>
  <c r="S100" i="7" s="1"/>
  <c r="T100" i="7" s="1"/>
  <c r="U100" i="7" s="1"/>
  <c r="J89" i="7"/>
  <c r="K89" i="7" s="1"/>
  <c r="L89" i="7" s="1"/>
  <c r="M89" i="7" s="1"/>
  <c r="N89" i="7" s="1"/>
  <c r="O89" i="7" s="1"/>
  <c r="P89" i="7" s="1"/>
  <c r="Q89" i="7" s="1"/>
  <c r="R89" i="7" s="1"/>
  <c r="S89" i="7" s="1"/>
  <c r="T89" i="7" s="1"/>
  <c r="U89" i="7" s="1"/>
  <c r="J90" i="7"/>
  <c r="K90" i="7" s="1"/>
  <c r="L90" i="7" s="1"/>
  <c r="M90" i="7" s="1"/>
  <c r="N90" i="7" s="1"/>
  <c r="O90" i="7" s="1"/>
  <c r="P90" i="7" s="1"/>
  <c r="Q90" i="7" s="1"/>
  <c r="R90" i="7" s="1"/>
  <c r="S90" i="7" s="1"/>
  <c r="T90" i="7" s="1"/>
  <c r="U90" i="7" s="1"/>
  <c r="J103" i="7"/>
  <c r="K103" i="7" s="1"/>
  <c r="L103" i="7" s="1"/>
  <c r="M103" i="7" s="1"/>
  <c r="N103" i="7" s="1"/>
  <c r="O103" i="7" s="1"/>
  <c r="P103" i="7" s="1"/>
  <c r="Q103" i="7" s="1"/>
  <c r="R103" i="7" s="1"/>
  <c r="S103" i="7" s="1"/>
  <c r="T103" i="7" s="1"/>
  <c r="U103" i="7" s="1"/>
  <c r="AG103" i="10" l="1"/>
  <c r="AH103" i="10" s="1"/>
  <c r="AI103" i="10" s="1"/>
  <c r="AJ103" i="10" s="1"/>
  <c r="AK103" i="10" s="1"/>
  <c r="AL103" i="10" s="1"/>
  <c r="AM103" i="10" s="1"/>
  <c r="AN103" i="10" s="1"/>
  <c r="AO103" i="10" s="1"/>
  <c r="AD100" i="10"/>
  <c r="AE100" i="10" s="1"/>
  <c r="AF100" i="10" s="1"/>
  <c r="AG100" i="10" s="1"/>
  <c r="AP100" i="10"/>
  <c r="AQ100" i="10" s="1"/>
  <c r="AR100" i="10" s="1"/>
  <c r="AS100" i="10" s="1"/>
  <c r="AP103" i="10"/>
  <c r="AQ103" i="10" s="1"/>
  <c r="AR103" i="10" s="1"/>
  <c r="AD102" i="10"/>
  <c r="AE102" i="10" s="1"/>
  <c r="AF102" i="10" s="1"/>
  <c r="AP102" i="10"/>
  <c r="AQ102" i="10" s="1"/>
  <c r="AR102" i="10" s="1"/>
  <c r="AS102" i="10" s="1"/>
  <c r="AD101" i="10"/>
  <c r="AE101" i="10" s="1"/>
  <c r="AF101" i="10" s="1"/>
  <c r="AP101" i="10"/>
  <c r="AQ101" i="10" s="1"/>
  <c r="AR101" i="10" s="1"/>
  <c r="AT100" i="10"/>
  <c r="AU100" i="10" s="1"/>
  <c r="AV100" i="10" s="1"/>
  <c r="AW100" i="10" s="1"/>
  <c r="AX100" i="10" s="1"/>
  <c r="AY100" i="10" s="1"/>
  <c r="AZ100" i="10" s="1"/>
  <c r="BA100" i="10" s="1"/>
  <c r="BB100" i="10" s="1"/>
  <c r="AT102" i="10"/>
  <c r="AU102" i="10" s="1"/>
  <c r="AV102" i="10" s="1"/>
  <c r="AW102" i="10" s="1"/>
  <c r="AX102" i="10" s="1"/>
  <c r="AY102" i="10" s="1"/>
  <c r="AZ102" i="10" s="1"/>
  <c r="BA102" i="10" s="1"/>
  <c r="BB102" i="10" s="1"/>
  <c r="AH100" i="10"/>
  <c r="AI100" i="10" s="1"/>
  <c r="AJ100" i="10" s="1"/>
  <c r="AK100" i="10" s="1"/>
  <c r="AL100" i="10" s="1"/>
  <c r="AM100" i="10" s="1"/>
  <c r="AN100" i="10" s="1"/>
  <c r="AO100" i="10" s="1"/>
  <c r="W103" i="7"/>
  <c r="X103" i="7" s="1"/>
  <c r="Y103" i="7" s="1"/>
  <c r="Z103" i="7" s="1"/>
  <c r="AA103" i="7" s="1"/>
  <c r="AB103" i="7" s="1"/>
  <c r="AC103" i="7" s="1"/>
  <c r="V100" i="7"/>
  <c r="W100" i="7" s="1"/>
  <c r="X100" i="7" s="1"/>
  <c r="Y100" i="7" s="1"/>
  <c r="Z100" i="7" s="1"/>
  <c r="AA100" i="7" s="1"/>
  <c r="AB100" i="7" s="1"/>
  <c r="AC100" i="7" s="1"/>
  <c r="W91" i="7"/>
  <c r="X91" i="7" s="1"/>
  <c r="Y91" i="7" s="1"/>
  <c r="Z91" i="7" s="1"/>
  <c r="AA91" i="7" s="1"/>
  <c r="AB91" i="7" s="1"/>
  <c r="AC91" i="7" s="1"/>
  <c r="W101" i="7"/>
  <c r="X101" i="7" s="1"/>
  <c r="Y101" i="7" s="1"/>
  <c r="Z101" i="7" s="1"/>
  <c r="AA101" i="7" s="1"/>
  <c r="AB101" i="7" s="1"/>
  <c r="AC101" i="7" s="1"/>
  <c r="W90" i="7"/>
  <c r="X90" i="7" s="1"/>
  <c r="Y90" i="7" s="1"/>
  <c r="Z90" i="7" s="1"/>
  <c r="AA90" i="7" s="1"/>
  <c r="AB90" i="7" s="1"/>
  <c r="AC90" i="7" s="1"/>
  <c r="V88" i="7"/>
  <c r="W88" i="7" s="1"/>
  <c r="X88" i="7" s="1"/>
  <c r="Y88" i="7" s="1"/>
  <c r="Z88" i="7" s="1"/>
  <c r="AA88" i="7" s="1"/>
  <c r="AB88" i="7" s="1"/>
  <c r="AC88" i="7" s="1"/>
  <c r="W89" i="7"/>
  <c r="X89" i="7" s="1"/>
  <c r="Y89" i="7" s="1"/>
  <c r="Z89" i="7" s="1"/>
  <c r="AA89" i="7" s="1"/>
  <c r="AB89" i="7" s="1"/>
  <c r="AC89" i="7" s="1"/>
  <c r="W102" i="7"/>
  <c r="X102" i="7" s="1"/>
  <c r="Y102" i="7" s="1"/>
  <c r="Z102" i="7" s="1"/>
  <c r="AA102" i="7" s="1"/>
  <c r="AB102" i="7" s="1"/>
  <c r="AC102" i="7" s="1"/>
  <c r="AS101" i="10" l="1"/>
  <c r="AT101" i="10" s="1"/>
  <c r="AU101" i="10" s="1"/>
  <c r="AV101" i="10" s="1"/>
  <c r="AW101" i="10" s="1"/>
  <c r="AX101" i="10" s="1"/>
  <c r="AY101" i="10" s="1"/>
  <c r="AZ101" i="10" s="1"/>
  <c r="BA101" i="10" s="1"/>
  <c r="BB101" i="10" s="1"/>
  <c r="AG101" i="10"/>
  <c r="AH101" i="10" s="1"/>
  <c r="AI101" i="10" s="1"/>
  <c r="AJ101" i="10" s="1"/>
  <c r="AK101" i="10" s="1"/>
  <c r="AL101" i="10" s="1"/>
  <c r="AM101" i="10" s="1"/>
  <c r="AN101" i="10" s="1"/>
  <c r="AO101" i="10" s="1"/>
  <c r="AG102" i="10"/>
  <c r="AH102" i="10" s="1"/>
  <c r="AI102" i="10" s="1"/>
  <c r="AJ102" i="10" s="1"/>
  <c r="AK102" i="10" s="1"/>
  <c r="AL102" i="10" s="1"/>
  <c r="AM102" i="10" s="1"/>
  <c r="AN102" i="10" s="1"/>
  <c r="AO102" i="10" s="1"/>
  <c r="AS103" i="10"/>
  <c r="AT103" i="10" s="1"/>
  <c r="AU103" i="10" s="1"/>
  <c r="AV103" i="10" s="1"/>
  <c r="AW103" i="10" s="1"/>
  <c r="AX103" i="10" s="1"/>
  <c r="AY103" i="10" s="1"/>
  <c r="AZ103" i="10" s="1"/>
  <c r="BA103" i="10" s="1"/>
  <c r="BB103" i="10" s="1"/>
  <c r="AD89" i="7"/>
  <c r="AE89" i="7" s="1"/>
  <c r="AF89" i="7" s="1"/>
  <c r="AD88" i="7"/>
  <c r="AE88" i="7" s="1"/>
  <c r="AF88" i="7" s="1"/>
  <c r="AD101" i="7"/>
  <c r="AE101" i="7" s="1"/>
  <c r="AF101" i="7" s="1"/>
  <c r="AD102" i="7"/>
  <c r="AE102" i="7" s="1"/>
  <c r="AF102" i="7" s="1"/>
  <c r="AD91" i="7"/>
  <c r="AE91" i="7" s="1"/>
  <c r="AF91" i="7" s="1"/>
  <c r="AD90" i="7"/>
  <c r="AE90" i="7" s="1"/>
  <c r="AF90" i="7" s="1"/>
  <c r="AD100" i="7"/>
  <c r="AE100" i="7" s="1"/>
  <c r="AF100" i="7" s="1"/>
  <c r="AD103" i="7"/>
  <c r="AE103" i="7" s="1"/>
  <c r="AF103" i="7" s="1"/>
  <c r="B14" i="6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AG90" i="7" l="1"/>
  <c r="AH90" i="7" s="1"/>
  <c r="AI90" i="7" s="1"/>
  <c r="AJ90" i="7" s="1"/>
  <c r="AK90" i="7" s="1"/>
  <c r="AL90" i="7" s="1"/>
  <c r="AM90" i="7" s="1"/>
  <c r="AN90" i="7" s="1"/>
  <c r="AO90" i="7" s="1"/>
  <c r="AP90" i="7" s="1"/>
  <c r="AQ90" i="7" s="1"/>
  <c r="AR90" i="7" s="1"/>
  <c r="AS90" i="7" s="1"/>
  <c r="AT90" i="7" s="1"/>
  <c r="AU90" i="7" s="1"/>
  <c r="AV90" i="7" s="1"/>
  <c r="AW90" i="7" s="1"/>
  <c r="AX90" i="7" s="1"/>
  <c r="AY90" i="7" s="1"/>
  <c r="AZ90" i="7" s="1"/>
  <c r="BA90" i="7" s="1"/>
  <c r="BB90" i="7" s="1"/>
  <c r="AG88" i="7"/>
  <c r="AH88" i="7" s="1"/>
  <c r="AI88" i="7" s="1"/>
  <c r="AJ88" i="7" s="1"/>
  <c r="AK88" i="7" s="1"/>
  <c r="AL88" i="7" s="1"/>
  <c r="AM88" i="7" s="1"/>
  <c r="AN88" i="7" s="1"/>
  <c r="AO88" i="7" s="1"/>
  <c r="AP88" i="7" s="1"/>
  <c r="AQ88" i="7" s="1"/>
  <c r="AR88" i="7" s="1"/>
  <c r="AS88" i="7" s="1"/>
  <c r="AT88" i="7" s="1"/>
  <c r="AU88" i="7" s="1"/>
  <c r="AV88" i="7" s="1"/>
  <c r="AW88" i="7" s="1"/>
  <c r="AX88" i="7" s="1"/>
  <c r="AY88" i="7" s="1"/>
  <c r="AZ88" i="7" s="1"/>
  <c r="BA88" i="7" s="1"/>
  <c r="BB88" i="7" s="1"/>
  <c r="AG102" i="7"/>
  <c r="AH102" i="7" s="1"/>
  <c r="AI102" i="7" s="1"/>
  <c r="AJ102" i="7" s="1"/>
  <c r="AK102" i="7" s="1"/>
  <c r="AL102" i="7" s="1"/>
  <c r="AM102" i="7" s="1"/>
  <c r="AN102" i="7" s="1"/>
  <c r="AO102" i="7" s="1"/>
  <c r="AP102" i="7" s="1"/>
  <c r="AQ102" i="7" s="1"/>
  <c r="AR102" i="7" s="1"/>
  <c r="AS102" i="7" s="1"/>
  <c r="AT102" i="7" s="1"/>
  <c r="AU102" i="7" s="1"/>
  <c r="AV102" i="7" s="1"/>
  <c r="AW102" i="7" s="1"/>
  <c r="AX102" i="7" s="1"/>
  <c r="AY102" i="7" s="1"/>
  <c r="AZ102" i="7" s="1"/>
  <c r="BA102" i="7" s="1"/>
  <c r="BB102" i="7" s="1"/>
  <c r="AG103" i="7"/>
  <c r="AH103" i="7" s="1"/>
  <c r="AI103" i="7" s="1"/>
  <c r="AJ103" i="7" s="1"/>
  <c r="AK103" i="7" s="1"/>
  <c r="AL103" i="7" s="1"/>
  <c r="AM103" i="7" s="1"/>
  <c r="AN103" i="7" s="1"/>
  <c r="AO103" i="7" s="1"/>
  <c r="AP103" i="7" s="1"/>
  <c r="AQ103" i="7" s="1"/>
  <c r="AR103" i="7" s="1"/>
  <c r="AS103" i="7" s="1"/>
  <c r="AT103" i="7" s="1"/>
  <c r="AU103" i="7" s="1"/>
  <c r="AV103" i="7" s="1"/>
  <c r="AW103" i="7" s="1"/>
  <c r="AX103" i="7" s="1"/>
  <c r="AY103" i="7" s="1"/>
  <c r="AZ103" i="7" s="1"/>
  <c r="BA103" i="7" s="1"/>
  <c r="BB103" i="7" s="1"/>
  <c r="AG100" i="7"/>
  <c r="AH100" i="7" s="1"/>
  <c r="AI100" i="7" s="1"/>
  <c r="AJ100" i="7" s="1"/>
  <c r="AK100" i="7" s="1"/>
  <c r="AL100" i="7" s="1"/>
  <c r="AM100" i="7" s="1"/>
  <c r="AN100" i="7" s="1"/>
  <c r="AO100" i="7" s="1"/>
  <c r="AP100" i="7" s="1"/>
  <c r="AQ100" i="7" s="1"/>
  <c r="AR100" i="7" s="1"/>
  <c r="AS100" i="7" s="1"/>
  <c r="AT100" i="7" s="1"/>
  <c r="AU100" i="7" s="1"/>
  <c r="AV100" i="7" s="1"/>
  <c r="AW100" i="7" s="1"/>
  <c r="AX100" i="7" s="1"/>
  <c r="AY100" i="7" s="1"/>
  <c r="AZ100" i="7" s="1"/>
  <c r="BA100" i="7" s="1"/>
  <c r="BB100" i="7" s="1"/>
  <c r="AG91" i="7"/>
  <c r="AH91" i="7" s="1"/>
  <c r="AI91" i="7" s="1"/>
  <c r="AJ91" i="7" s="1"/>
  <c r="AK91" i="7" s="1"/>
  <c r="AL91" i="7" s="1"/>
  <c r="AM91" i="7" s="1"/>
  <c r="AN91" i="7" s="1"/>
  <c r="AO91" i="7" s="1"/>
  <c r="AP91" i="7" s="1"/>
  <c r="AQ91" i="7" s="1"/>
  <c r="AR91" i="7" s="1"/>
  <c r="AS91" i="7" s="1"/>
  <c r="AT91" i="7" s="1"/>
  <c r="AU91" i="7" s="1"/>
  <c r="AV91" i="7" s="1"/>
  <c r="AW91" i="7" s="1"/>
  <c r="AX91" i="7" s="1"/>
  <c r="AY91" i="7" s="1"/>
  <c r="AZ91" i="7" s="1"/>
  <c r="BA91" i="7" s="1"/>
  <c r="BB91" i="7" s="1"/>
  <c r="AG101" i="7"/>
  <c r="AH101" i="7" s="1"/>
  <c r="AI101" i="7" s="1"/>
  <c r="AJ101" i="7" s="1"/>
  <c r="AK101" i="7" s="1"/>
  <c r="AL101" i="7" s="1"/>
  <c r="AM101" i="7" s="1"/>
  <c r="AN101" i="7" s="1"/>
  <c r="AO101" i="7" s="1"/>
  <c r="AP101" i="7" s="1"/>
  <c r="AQ101" i="7" s="1"/>
  <c r="AR101" i="7" s="1"/>
  <c r="AS101" i="7" s="1"/>
  <c r="AT101" i="7" s="1"/>
  <c r="AU101" i="7" s="1"/>
  <c r="AV101" i="7" s="1"/>
  <c r="AW101" i="7" s="1"/>
  <c r="AX101" i="7" s="1"/>
  <c r="AY101" i="7" s="1"/>
  <c r="AZ101" i="7" s="1"/>
  <c r="BA101" i="7" s="1"/>
  <c r="BB101" i="7" s="1"/>
  <c r="AG89" i="7"/>
  <c r="AH89" i="7" s="1"/>
  <c r="AI89" i="7" s="1"/>
  <c r="AJ89" i="7" s="1"/>
  <c r="AK89" i="7" s="1"/>
  <c r="AL89" i="7" s="1"/>
  <c r="AM89" i="7" s="1"/>
  <c r="AN89" i="7" s="1"/>
  <c r="AO89" i="7" s="1"/>
  <c r="AP89" i="7" s="1"/>
  <c r="AQ89" i="7" s="1"/>
  <c r="AR89" i="7" s="1"/>
  <c r="AS89" i="7" s="1"/>
  <c r="AT89" i="7" s="1"/>
  <c r="AU89" i="7" s="1"/>
  <c r="AV89" i="7" s="1"/>
  <c r="AW89" i="7" s="1"/>
  <c r="AX89" i="7" s="1"/>
  <c r="AY89" i="7" s="1"/>
  <c r="AZ89" i="7" s="1"/>
  <c r="BA89" i="7" s="1"/>
  <c r="BB89" i="7" s="1"/>
  <c r="S31" i="12" l="1"/>
  <c r="K31" i="12"/>
  <c r="AC36" i="12"/>
  <c r="AA36" i="12"/>
  <c r="Z36" i="12"/>
  <c r="Y36" i="12"/>
  <c r="X36" i="12"/>
  <c r="V36" i="12"/>
  <c r="T36" i="12"/>
  <c r="Q36" i="12"/>
  <c r="P36" i="12"/>
  <c r="J36" i="12"/>
  <c r="H36" i="12"/>
  <c r="G36" i="12"/>
  <c r="K36" i="12" l="1"/>
  <c r="S36" i="12"/>
  <c r="G33" i="12"/>
  <c r="G28" i="12"/>
  <c r="AA33" i="12"/>
  <c r="Z33" i="12"/>
  <c r="Y33" i="12"/>
  <c r="X33" i="12"/>
  <c r="V33" i="12"/>
  <c r="AC33" i="12"/>
  <c r="T33" i="12"/>
  <c r="Q33" i="12"/>
  <c r="P33" i="12"/>
  <c r="J33" i="12"/>
  <c r="H33" i="12"/>
  <c r="K33" i="12" l="1"/>
  <c r="S33" i="12"/>
  <c r="I10" i="27"/>
  <c r="I31" i="27" s="1"/>
  <c r="BS87" i="7" l="1"/>
  <c r="BR87" i="7"/>
  <c r="BQ87" i="7"/>
  <c r="BS86" i="7"/>
  <c r="BR86" i="7"/>
  <c r="BQ86" i="7"/>
  <c r="BS85" i="7"/>
  <c r="BR85" i="7"/>
  <c r="BQ85" i="7"/>
  <c r="BS84" i="7"/>
  <c r="BR84" i="7"/>
  <c r="BQ84" i="7"/>
  <c r="BS83" i="7"/>
  <c r="BR83" i="7"/>
  <c r="BQ83" i="7"/>
  <c r="BS82" i="7"/>
  <c r="BR82" i="7"/>
  <c r="BQ82" i="7"/>
  <c r="BS51" i="7"/>
  <c r="BR51" i="7"/>
  <c r="BQ51" i="7"/>
  <c r="BS50" i="7"/>
  <c r="BR50" i="7"/>
  <c r="BQ50" i="7"/>
  <c r="BS49" i="7"/>
  <c r="BR49" i="7"/>
  <c r="BQ49" i="7"/>
  <c r="BS48" i="7"/>
  <c r="BR48" i="7"/>
  <c r="BQ48" i="7"/>
  <c r="BS47" i="7"/>
  <c r="BR47" i="7"/>
  <c r="BQ47" i="7"/>
  <c r="BS46" i="7"/>
  <c r="BR46" i="7"/>
  <c r="BQ46" i="7"/>
  <c r="BS135" i="7"/>
  <c r="BR135" i="7"/>
  <c r="BQ135" i="7"/>
  <c r="BS134" i="7"/>
  <c r="BR134" i="7"/>
  <c r="BQ134" i="7"/>
  <c r="BS133" i="7"/>
  <c r="BR133" i="7"/>
  <c r="BQ133" i="7"/>
  <c r="BS132" i="7"/>
  <c r="BR132" i="7"/>
  <c r="BQ132" i="7"/>
  <c r="BS131" i="7"/>
  <c r="BR131" i="7"/>
  <c r="BQ131" i="7"/>
  <c r="BS130" i="7"/>
  <c r="BR130" i="7"/>
  <c r="BQ130" i="7"/>
  <c r="BS63" i="7"/>
  <c r="BR63" i="7"/>
  <c r="BQ63" i="7"/>
  <c r="BS62" i="7"/>
  <c r="BR62" i="7"/>
  <c r="BQ62" i="7"/>
  <c r="BS61" i="7"/>
  <c r="BR61" i="7"/>
  <c r="BQ61" i="7"/>
  <c r="BS60" i="7"/>
  <c r="BR60" i="7"/>
  <c r="BQ60" i="7"/>
  <c r="BS59" i="7"/>
  <c r="BR59" i="7"/>
  <c r="BQ59" i="7"/>
  <c r="BS58" i="7"/>
  <c r="BR58" i="7"/>
  <c r="BQ58" i="7"/>
  <c r="BS129" i="7"/>
  <c r="BR129" i="7"/>
  <c r="BQ129" i="7"/>
  <c r="BS128" i="7"/>
  <c r="BR128" i="7"/>
  <c r="BQ128" i="7"/>
  <c r="BS127" i="7"/>
  <c r="BR127" i="7"/>
  <c r="BQ127" i="7"/>
  <c r="BS126" i="7"/>
  <c r="BR126" i="7"/>
  <c r="BQ126" i="7"/>
  <c r="BS125" i="7"/>
  <c r="BR125" i="7"/>
  <c r="BQ125" i="7"/>
  <c r="BS124" i="7"/>
  <c r="BR124" i="7"/>
  <c r="BQ124" i="7"/>
  <c r="BS39" i="7"/>
  <c r="BR39" i="7"/>
  <c r="BQ39" i="7"/>
  <c r="BS38" i="7"/>
  <c r="BR38" i="7"/>
  <c r="BQ38" i="7"/>
  <c r="BS37" i="7"/>
  <c r="BR37" i="7"/>
  <c r="BQ37" i="7"/>
  <c r="BS36" i="7"/>
  <c r="BR36" i="7"/>
  <c r="BQ36" i="7"/>
  <c r="BS35" i="7"/>
  <c r="BR35" i="7"/>
  <c r="BQ35" i="7"/>
  <c r="BS34" i="7"/>
  <c r="BR34" i="7"/>
  <c r="BQ34" i="7"/>
  <c r="BS123" i="7"/>
  <c r="BR123" i="7"/>
  <c r="BQ123" i="7"/>
  <c r="BS122" i="7"/>
  <c r="BR122" i="7"/>
  <c r="BQ122" i="7"/>
  <c r="BS121" i="7"/>
  <c r="BR121" i="7"/>
  <c r="BQ121" i="7"/>
  <c r="BS120" i="7"/>
  <c r="BR120" i="7"/>
  <c r="BQ120" i="7"/>
  <c r="BS119" i="7"/>
  <c r="BR119" i="7"/>
  <c r="BQ119" i="7"/>
  <c r="BS118" i="7"/>
  <c r="BR118" i="7"/>
  <c r="BQ118" i="7"/>
  <c r="BS27" i="7"/>
  <c r="BR27" i="7"/>
  <c r="BQ27" i="7"/>
  <c r="BS26" i="7"/>
  <c r="BR26" i="7"/>
  <c r="BQ26" i="7"/>
  <c r="BS25" i="7"/>
  <c r="BR25" i="7"/>
  <c r="BQ25" i="7"/>
  <c r="BS24" i="7"/>
  <c r="BR24" i="7"/>
  <c r="BQ24" i="7"/>
  <c r="BS23" i="7"/>
  <c r="BR23" i="7"/>
  <c r="BQ23" i="7"/>
  <c r="BS22" i="7"/>
  <c r="BR22" i="7"/>
  <c r="BQ22" i="7"/>
  <c r="BS15" i="7"/>
  <c r="BR15" i="7"/>
  <c r="BQ15" i="7"/>
  <c r="BS14" i="7"/>
  <c r="BR14" i="7"/>
  <c r="BQ14" i="7"/>
  <c r="BS13" i="7"/>
  <c r="BR13" i="7"/>
  <c r="BQ13" i="7"/>
  <c r="BS12" i="7"/>
  <c r="BR12" i="7"/>
  <c r="BQ12" i="7"/>
  <c r="BS11" i="7"/>
  <c r="BR11" i="7"/>
  <c r="BQ11" i="7"/>
  <c r="BS10" i="7"/>
  <c r="BR10" i="7"/>
  <c r="BQ10" i="7"/>
  <c r="BS9" i="7"/>
  <c r="BR9" i="7"/>
  <c r="BQ9" i="7"/>
  <c r="BS8" i="7"/>
  <c r="BR8" i="7"/>
  <c r="BQ8" i="7"/>
  <c r="BS7" i="7"/>
  <c r="BR7" i="7"/>
  <c r="BQ7" i="7"/>
  <c r="BS6" i="7"/>
  <c r="BR6" i="7"/>
  <c r="BQ6" i="7"/>
  <c r="BS5" i="7"/>
  <c r="BR5" i="7"/>
  <c r="BQ5" i="7"/>
  <c r="BS4" i="7"/>
  <c r="BR4" i="7"/>
  <c r="BQ4" i="7"/>
  <c r="BS21" i="7"/>
  <c r="BR21" i="7"/>
  <c r="BQ21" i="7"/>
  <c r="BS20" i="7"/>
  <c r="BR20" i="7"/>
  <c r="BQ20" i="7"/>
  <c r="BS19" i="7"/>
  <c r="BR19" i="7"/>
  <c r="BQ19" i="7"/>
  <c r="BS18" i="7"/>
  <c r="BR18" i="7"/>
  <c r="BQ18" i="7"/>
  <c r="BS17" i="7"/>
  <c r="BR17" i="7"/>
  <c r="BQ17" i="7"/>
  <c r="BS16" i="7"/>
  <c r="BR16" i="7"/>
  <c r="BQ16" i="7"/>
  <c r="BS111" i="7"/>
  <c r="BR111" i="7"/>
  <c r="BQ111" i="7"/>
  <c r="BS110" i="7"/>
  <c r="BR110" i="7"/>
  <c r="BQ110" i="7"/>
  <c r="BS109" i="7"/>
  <c r="BR109" i="7"/>
  <c r="BQ109" i="7"/>
  <c r="BS108" i="7"/>
  <c r="BR108" i="7"/>
  <c r="BQ108" i="7"/>
  <c r="BS107" i="7"/>
  <c r="BR107" i="7"/>
  <c r="BQ107" i="7"/>
  <c r="BS106" i="7"/>
  <c r="BR106" i="7"/>
  <c r="BQ106" i="7"/>
  <c r="BS33" i="7"/>
  <c r="BR33" i="7"/>
  <c r="BQ33" i="7"/>
  <c r="BS32" i="7"/>
  <c r="BR32" i="7"/>
  <c r="BQ32" i="7"/>
  <c r="BS31" i="7"/>
  <c r="BR31" i="7"/>
  <c r="BQ31" i="7"/>
  <c r="BS30" i="7"/>
  <c r="BR30" i="7"/>
  <c r="BQ30" i="7"/>
  <c r="BS29" i="7"/>
  <c r="BR29" i="7"/>
  <c r="BQ29" i="7"/>
  <c r="BS28" i="7"/>
  <c r="BR28" i="7"/>
  <c r="BQ28" i="7"/>
  <c r="BC111" i="7" l="1"/>
  <c r="BC110" i="7"/>
  <c r="BD109" i="7"/>
  <c r="BC109" i="7"/>
  <c r="BD108" i="7"/>
  <c r="BC108" i="7"/>
  <c r="BD107" i="7"/>
  <c r="BC107" i="7"/>
  <c r="BD106" i="7"/>
  <c r="BC106" i="7"/>
  <c r="BC27" i="10" l="1"/>
  <c r="A27" i="10"/>
  <c r="BC26" i="10"/>
  <c r="A26" i="10"/>
  <c r="BD25" i="10"/>
  <c r="BC25" i="10"/>
  <c r="A25" i="10"/>
  <c r="BD24" i="10"/>
  <c r="BC24" i="10"/>
  <c r="A24" i="10"/>
  <c r="BD23" i="10"/>
  <c r="BC23" i="10"/>
  <c r="A23" i="10"/>
  <c r="BD22" i="10"/>
  <c r="BC22" i="10"/>
  <c r="A22" i="10"/>
  <c r="P36" i="27" l="1"/>
  <c r="P39" i="27" s="1"/>
  <c r="P32" i="27"/>
  <c r="P30" i="27"/>
  <c r="P10" i="27"/>
  <c r="P31" i="27" s="1"/>
  <c r="P56" i="12"/>
  <c r="P54" i="12"/>
  <c r="P42" i="12"/>
  <c r="P41" i="12"/>
  <c r="P40" i="12"/>
  <c r="P39" i="12"/>
  <c r="P35" i="12"/>
  <c r="P34" i="12"/>
  <c r="P29" i="12"/>
  <c r="P28" i="12"/>
  <c r="A111" i="7"/>
  <c r="A110" i="7"/>
  <c r="A109" i="7"/>
  <c r="A108" i="7"/>
  <c r="A107" i="7"/>
  <c r="A106" i="7"/>
  <c r="P52" i="12" l="1"/>
  <c r="J107" i="7"/>
  <c r="K107" i="7" s="1"/>
  <c r="L107" i="7" s="1"/>
  <c r="M107" i="7" s="1"/>
  <c r="N107" i="7" s="1"/>
  <c r="O107" i="7" s="1"/>
  <c r="P107" i="7" s="1"/>
  <c r="Q107" i="7" s="1"/>
  <c r="R107" i="7" s="1"/>
  <c r="S107" i="7" s="1"/>
  <c r="T107" i="7" s="1"/>
  <c r="J106" i="7"/>
  <c r="K106" i="7" s="1"/>
  <c r="L106" i="7" s="1"/>
  <c r="M106" i="7" s="1"/>
  <c r="N106" i="7" s="1"/>
  <c r="O106" i="7" s="1"/>
  <c r="P106" i="7" s="1"/>
  <c r="Q106" i="7" s="1"/>
  <c r="R106" i="7" s="1"/>
  <c r="S106" i="7" s="1"/>
  <c r="T106" i="7" s="1"/>
  <c r="J108" i="7"/>
  <c r="K108" i="7" s="1"/>
  <c r="L108" i="7" s="1"/>
  <c r="M108" i="7" s="1"/>
  <c r="N108" i="7" s="1"/>
  <c r="O108" i="7" s="1"/>
  <c r="P108" i="7" s="1"/>
  <c r="Q108" i="7" s="1"/>
  <c r="R108" i="7" s="1"/>
  <c r="S108" i="7" s="1"/>
  <c r="T108" i="7" s="1"/>
  <c r="J109" i="7"/>
  <c r="K109" i="7" s="1"/>
  <c r="L109" i="7" s="1"/>
  <c r="M109" i="7" s="1"/>
  <c r="N109" i="7" s="1"/>
  <c r="O109" i="7" s="1"/>
  <c r="P109" i="7" s="1"/>
  <c r="Q109" i="7" s="1"/>
  <c r="R109" i="7" s="1"/>
  <c r="S109" i="7" s="1"/>
  <c r="T109" i="7" s="1"/>
  <c r="I22" i="10"/>
  <c r="P27" i="12"/>
  <c r="P38" i="12"/>
  <c r="P32" i="12"/>
  <c r="AC39" i="12"/>
  <c r="AA39" i="12"/>
  <c r="Z39" i="12"/>
  <c r="Y39" i="12"/>
  <c r="X39" i="12"/>
  <c r="V39" i="12"/>
  <c r="T39" i="12"/>
  <c r="Q39" i="12"/>
  <c r="S39" i="12" s="1"/>
  <c r="J39" i="12"/>
  <c r="H39" i="12"/>
  <c r="G39" i="12"/>
  <c r="K39" i="12" s="1"/>
  <c r="AC28" i="12"/>
  <c r="AA28" i="12"/>
  <c r="Z28" i="12"/>
  <c r="Y28" i="12"/>
  <c r="X28" i="12"/>
  <c r="V28" i="12"/>
  <c r="T28" i="12"/>
  <c r="Q28" i="12"/>
  <c r="S28" i="12" s="1"/>
  <c r="M28" i="12"/>
  <c r="O28" i="12" s="1"/>
  <c r="J28" i="12"/>
  <c r="H28" i="12"/>
  <c r="K28" i="12" l="1"/>
  <c r="U109" i="7"/>
  <c r="W109" i="7" s="1"/>
  <c r="X109" i="7" s="1"/>
  <c r="Y109" i="7" s="1"/>
  <c r="Z109" i="7" s="1"/>
  <c r="AA109" i="7" s="1"/>
  <c r="AB109" i="7" s="1"/>
  <c r="AC109" i="7" s="1"/>
  <c r="U108" i="7"/>
  <c r="W108" i="7" s="1"/>
  <c r="X108" i="7" s="1"/>
  <c r="Y108" i="7" s="1"/>
  <c r="Z108" i="7" s="1"/>
  <c r="AA108" i="7" s="1"/>
  <c r="AB108" i="7" s="1"/>
  <c r="AC108" i="7" s="1"/>
  <c r="U106" i="7"/>
  <c r="V106" i="7" s="1"/>
  <c r="W106" i="7" s="1"/>
  <c r="X106" i="7" s="1"/>
  <c r="Y106" i="7" s="1"/>
  <c r="Z106" i="7" s="1"/>
  <c r="AA106" i="7" s="1"/>
  <c r="AB106" i="7" s="1"/>
  <c r="AC106" i="7" s="1"/>
  <c r="U107" i="7"/>
  <c r="W107" i="7" s="1"/>
  <c r="X107" i="7" s="1"/>
  <c r="Y107" i="7" s="1"/>
  <c r="Z107" i="7" s="1"/>
  <c r="AA107" i="7" s="1"/>
  <c r="AB107" i="7" s="1"/>
  <c r="AC107" i="7" s="1"/>
  <c r="P24" i="27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T23" i="10" s="1"/>
  <c r="U23" i="10" s="1"/>
  <c r="J24" i="10"/>
  <c r="K24" i="10" s="1"/>
  <c r="L24" i="10" s="1"/>
  <c r="M24" i="10" s="1"/>
  <c r="N24" i="10" s="1"/>
  <c r="O24" i="10" s="1"/>
  <c r="P24" i="10" s="1"/>
  <c r="Q24" i="10" s="1"/>
  <c r="R24" i="10" s="1"/>
  <c r="S24" i="10" s="1"/>
  <c r="T24" i="10" s="1"/>
  <c r="U24" i="10" s="1"/>
  <c r="J25" i="10"/>
  <c r="K25" i="10" s="1"/>
  <c r="L25" i="10" s="1"/>
  <c r="M25" i="10" s="1"/>
  <c r="N25" i="10" s="1"/>
  <c r="O25" i="10" s="1"/>
  <c r="P25" i="10" s="1"/>
  <c r="Q25" i="10" s="1"/>
  <c r="R25" i="10" s="1"/>
  <c r="S25" i="10" s="1"/>
  <c r="T25" i="10" s="1"/>
  <c r="U25" i="10" s="1"/>
  <c r="J22" i="10"/>
  <c r="K22" i="10" s="1"/>
  <c r="L22" i="10" s="1"/>
  <c r="M22" i="10" s="1"/>
  <c r="N22" i="10" s="1"/>
  <c r="O22" i="10" s="1"/>
  <c r="P22" i="10" s="1"/>
  <c r="Q22" i="10" s="1"/>
  <c r="R22" i="10" s="1"/>
  <c r="S22" i="10" s="1"/>
  <c r="T22" i="10" s="1"/>
  <c r="U22" i="10" s="1"/>
  <c r="P26" i="12"/>
  <c r="L59" i="6"/>
  <c r="K59" i="6"/>
  <c r="BM58" i="6"/>
  <c r="BL58" i="6"/>
  <c r="BK58" i="6"/>
  <c r="BJ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BM57" i="6"/>
  <c r="BL57" i="6"/>
  <c r="BK57" i="6"/>
  <c r="BJ57" i="6"/>
  <c r="BI57" i="6"/>
  <c r="BH57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BM56" i="6"/>
  <c r="BK56" i="6"/>
  <c r="BJ56" i="6"/>
  <c r="BI56" i="6"/>
  <c r="BH56" i="6"/>
  <c r="BG56" i="6"/>
  <c r="BF56" i="6"/>
  <c r="BE56" i="6"/>
  <c r="BD56" i="6"/>
  <c r="BC56" i="6"/>
  <c r="BB56" i="6"/>
  <c r="BA56" i="6"/>
  <c r="AZ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BM55" i="6"/>
  <c r="BK55" i="6"/>
  <c r="BJ55" i="6"/>
  <c r="BI55" i="6"/>
  <c r="BH55" i="6"/>
  <c r="BG55" i="6"/>
  <c r="BF55" i="6"/>
  <c r="BE55" i="6"/>
  <c r="BD55" i="6"/>
  <c r="BC55" i="6"/>
  <c r="BB55" i="6"/>
  <c r="BA55" i="6"/>
  <c r="AZ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BM54" i="6"/>
  <c r="BL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H58" i="6"/>
  <c r="AD107" i="7" l="1"/>
  <c r="AE107" i="7" s="1"/>
  <c r="AF107" i="7" s="1"/>
  <c r="AG107" i="7" s="1"/>
  <c r="AH107" i="7" s="1"/>
  <c r="AI107" i="7" s="1"/>
  <c r="AJ107" i="7" s="1"/>
  <c r="AK107" i="7" s="1"/>
  <c r="AL107" i="7" s="1"/>
  <c r="AM107" i="7" s="1"/>
  <c r="AN107" i="7" s="1"/>
  <c r="AO107" i="7" s="1"/>
  <c r="AP107" i="7"/>
  <c r="AQ107" i="7" s="1"/>
  <c r="AR107" i="7" s="1"/>
  <c r="AS107" i="7" s="1"/>
  <c r="AT107" i="7" s="1"/>
  <c r="AU107" i="7" s="1"/>
  <c r="AV107" i="7" s="1"/>
  <c r="AW107" i="7" s="1"/>
  <c r="AX107" i="7" s="1"/>
  <c r="AY107" i="7" s="1"/>
  <c r="AZ107" i="7" s="1"/>
  <c r="BA107" i="7" s="1"/>
  <c r="BB107" i="7" s="1"/>
  <c r="AD106" i="7"/>
  <c r="AE106" i="7" s="1"/>
  <c r="AF106" i="7" s="1"/>
  <c r="AG106" i="7" s="1"/>
  <c r="AH106" i="7" s="1"/>
  <c r="AI106" i="7" s="1"/>
  <c r="AJ106" i="7" s="1"/>
  <c r="AK106" i="7" s="1"/>
  <c r="AL106" i="7" s="1"/>
  <c r="AM106" i="7" s="1"/>
  <c r="AN106" i="7" s="1"/>
  <c r="AO106" i="7" s="1"/>
  <c r="AP106" i="7"/>
  <c r="AQ106" i="7" s="1"/>
  <c r="AR106" i="7" s="1"/>
  <c r="AD108" i="7"/>
  <c r="AE108" i="7" s="1"/>
  <c r="AF108" i="7" s="1"/>
  <c r="AG108" i="7" s="1"/>
  <c r="AH108" i="7" s="1"/>
  <c r="AI108" i="7" s="1"/>
  <c r="AJ108" i="7" s="1"/>
  <c r="AK108" i="7" s="1"/>
  <c r="AL108" i="7" s="1"/>
  <c r="AM108" i="7" s="1"/>
  <c r="AN108" i="7" s="1"/>
  <c r="AO108" i="7" s="1"/>
  <c r="AP108" i="7"/>
  <c r="AQ108" i="7" s="1"/>
  <c r="AR108" i="7" s="1"/>
  <c r="AS108" i="7" s="1"/>
  <c r="AT108" i="7" s="1"/>
  <c r="AU108" i="7" s="1"/>
  <c r="AV108" i="7" s="1"/>
  <c r="AW108" i="7" s="1"/>
  <c r="AX108" i="7" s="1"/>
  <c r="AY108" i="7" s="1"/>
  <c r="AZ108" i="7" s="1"/>
  <c r="BA108" i="7" s="1"/>
  <c r="BB108" i="7" s="1"/>
  <c r="AD109" i="7"/>
  <c r="AE109" i="7" s="1"/>
  <c r="AF109" i="7" s="1"/>
  <c r="AG109" i="7" s="1"/>
  <c r="AH109" i="7" s="1"/>
  <c r="AI109" i="7" s="1"/>
  <c r="AJ109" i="7" s="1"/>
  <c r="AK109" i="7" s="1"/>
  <c r="AL109" i="7" s="1"/>
  <c r="AM109" i="7" s="1"/>
  <c r="AN109" i="7" s="1"/>
  <c r="AO109" i="7" s="1"/>
  <c r="AP109" i="7"/>
  <c r="AQ109" i="7" s="1"/>
  <c r="AR109" i="7" s="1"/>
  <c r="AS109" i="7" s="1"/>
  <c r="AT109" i="7" s="1"/>
  <c r="AU109" i="7" s="1"/>
  <c r="AV109" i="7" s="1"/>
  <c r="AW109" i="7" s="1"/>
  <c r="AX109" i="7" s="1"/>
  <c r="AY109" i="7" s="1"/>
  <c r="AZ109" i="7" s="1"/>
  <c r="BA109" i="7" s="1"/>
  <c r="BB109" i="7" s="1"/>
  <c r="AS106" i="7"/>
  <c r="AT106" i="7" s="1"/>
  <c r="AU106" i="7" s="1"/>
  <c r="AV106" i="7" s="1"/>
  <c r="AW106" i="7" s="1"/>
  <c r="AX106" i="7" s="1"/>
  <c r="AY106" i="7" s="1"/>
  <c r="AZ106" i="7" s="1"/>
  <c r="BA106" i="7" s="1"/>
  <c r="BB106" i="7" s="1"/>
  <c r="V22" i="10"/>
  <c r="W22" i="10" s="1"/>
  <c r="X22" i="10" s="1"/>
  <c r="Y22" i="10" s="1"/>
  <c r="Z22" i="10" s="1"/>
  <c r="AA22" i="10" s="1"/>
  <c r="AB22" i="10" s="1"/>
  <c r="AC22" i="10" s="1"/>
  <c r="W25" i="10"/>
  <c r="X25" i="10" s="1"/>
  <c r="Y25" i="10" s="1"/>
  <c r="Z25" i="10" s="1"/>
  <c r="AA25" i="10" s="1"/>
  <c r="AB25" i="10" s="1"/>
  <c r="AC25" i="10" s="1"/>
  <c r="W24" i="10"/>
  <c r="X24" i="10" s="1"/>
  <c r="Y24" i="10" s="1"/>
  <c r="Z24" i="10" s="1"/>
  <c r="AA24" i="10" s="1"/>
  <c r="AB24" i="10" s="1"/>
  <c r="AC24" i="10" s="1"/>
  <c r="W23" i="10"/>
  <c r="X23" i="10" s="1"/>
  <c r="Y23" i="10" s="1"/>
  <c r="Z23" i="10" s="1"/>
  <c r="AA23" i="10" s="1"/>
  <c r="AB23" i="10" s="1"/>
  <c r="AC23" i="10" s="1"/>
  <c r="BM59" i="6"/>
  <c r="AD23" i="10" l="1"/>
  <c r="AE23" i="10" s="1"/>
  <c r="AF23" i="10" s="1"/>
  <c r="AG23" i="10" s="1"/>
  <c r="AP23" i="10"/>
  <c r="AQ23" i="10" s="1"/>
  <c r="AR23" i="10" s="1"/>
  <c r="AS23" i="10" s="1"/>
  <c r="AD24" i="10"/>
  <c r="AE24" i="10" s="1"/>
  <c r="AF24" i="10" s="1"/>
  <c r="AG24" i="10" s="1"/>
  <c r="AP24" i="10"/>
  <c r="AQ24" i="10" s="1"/>
  <c r="AR24" i="10" s="1"/>
  <c r="AS24" i="10" s="1"/>
  <c r="AD25" i="10"/>
  <c r="AE25" i="10" s="1"/>
  <c r="AF25" i="10" s="1"/>
  <c r="AG25" i="10" s="1"/>
  <c r="AP25" i="10"/>
  <c r="AQ25" i="10" s="1"/>
  <c r="AR25" i="10" s="1"/>
  <c r="AS25" i="10" s="1"/>
  <c r="AD22" i="10"/>
  <c r="AE22" i="10" s="1"/>
  <c r="AF22" i="10" s="1"/>
  <c r="AG22" i="10" s="1"/>
  <c r="AP22" i="10"/>
  <c r="AQ22" i="10" s="1"/>
  <c r="AR22" i="10" s="1"/>
  <c r="AS22" i="10" s="1"/>
  <c r="AH22" i="10" l="1"/>
  <c r="AI22" i="10" s="1"/>
  <c r="AJ22" i="10" s="1"/>
  <c r="AK22" i="10" s="1"/>
  <c r="AL22" i="10" s="1"/>
  <c r="AM22" i="10" s="1"/>
  <c r="AN22" i="10" s="1"/>
  <c r="AO22" i="10" s="1"/>
  <c r="AH25" i="10"/>
  <c r="AI25" i="10" s="1"/>
  <c r="AJ25" i="10" s="1"/>
  <c r="AK25" i="10" s="1"/>
  <c r="AL25" i="10" s="1"/>
  <c r="AM25" i="10" s="1"/>
  <c r="AN25" i="10" s="1"/>
  <c r="AO25" i="10" s="1"/>
  <c r="AT23" i="10"/>
  <c r="AU23" i="10" s="1"/>
  <c r="AV23" i="10" s="1"/>
  <c r="AW23" i="10" s="1"/>
  <c r="AX23" i="10" s="1"/>
  <c r="AY23" i="10" s="1"/>
  <c r="AZ23" i="10" s="1"/>
  <c r="BA23" i="10" s="1"/>
  <c r="BB23" i="10" s="1"/>
  <c r="AT22" i="10"/>
  <c r="AU22" i="10" s="1"/>
  <c r="AV22" i="10" s="1"/>
  <c r="AW22" i="10" s="1"/>
  <c r="AX22" i="10" s="1"/>
  <c r="AY22" i="10" s="1"/>
  <c r="AZ22" i="10" s="1"/>
  <c r="BA22" i="10" s="1"/>
  <c r="BB22" i="10" s="1"/>
  <c r="AT25" i="10"/>
  <c r="AU25" i="10" s="1"/>
  <c r="AV25" i="10" s="1"/>
  <c r="AW25" i="10" s="1"/>
  <c r="AX25" i="10" s="1"/>
  <c r="AY25" i="10" s="1"/>
  <c r="AZ25" i="10" s="1"/>
  <c r="BA25" i="10" s="1"/>
  <c r="BB25" i="10" s="1"/>
  <c r="AT24" i="10"/>
  <c r="AU24" i="10" s="1"/>
  <c r="AV24" i="10" s="1"/>
  <c r="AW24" i="10" s="1"/>
  <c r="AX24" i="10" s="1"/>
  <c r="AY24" i="10" s="1"/>
  <c r="AZ24" i="10" s="1"/>
  <c r="BA24" i="10" s="1"/>
  <c r="BB24" i="10" s="1"/>
  <c r="AH24" i="10"/>
  <c r="AI24" i="10" s="1"/>
  <c r="AJ24" i="10" s="1"/>
  <c r="AK24" i="10" s="1"/>
  <c r="AL24" i="10" s="1"/>
  <c r="AM24" i="10" s="1"/>
  <c r="AN24" i="10" s="1"/>
  <c r="AO24" i="10" s="1"/>
  <c r="AH23" i="10"/>
  <c r="AI23" i="10" s="1"/>
  <c r="AJ23" i="10" s="1"/>
  <c r="AK23" i="10" s="1"/>
  <c r="AL23" i="10" s="1"/>
  <c r="AM23" i="10" s="1"/>
  <c r="AN23" i="10" s="1"/>
  <c r="AO23" i="10" s="1"/>
  <c r="AC35" i="12"/>
  <c r="AA35" i="12"/>
  <c r="Z35" i="12"/>
  <c r="Y35" i="12"/>
  <c r="X35" i="12"/>
  <c r="T35" i="12"/>
  <c r="Q35" i="12"/>
  <c r="S35" i="12" s="1"/>
  <c r="J35" i="12"/>
  <c r="H35" i="12"/>
  <c r="G35" i="12"/>
  <c r="K35" i="12" l="1"/>
  <c r="V35" i="12"/>
  <c r="Y19" i="12" l="1"/>
  <c r="Y25" i="12" s="1"/>
  <c r="H29" i="12"/>
  <c r="J29" i="12"/>
  <c r="Q29" i="12"/>
  <c r="S29" i="12" s="1"/>
  <c r="T29" i="12"/>
  <c r="V29" i="12"/>
  <c r="X29" i="12"/>
  <c r="Y29" i="12"/>
  <c r="Z29" i="12"/>
  <c r="AA29" i="12"/>
  <c r="AC29" i="12"/>
  <c r="G34" i="12"/>
  <c r="H34" i="12"/>
  <c r="J34" i="12"/>
  <c r="Q34" i="12"/>
  <c r="S34" i="12" s="1"/>
  <c r="T34" i="12"/>
  <c r="V34" i="12"/>
  <c r="X34" i="12"/>
  <c r="Y34" i="12"/>
  <c r="Z34" i="12"/>
  <c r="AA34" i="12"/>
  <c r="AC34" i="12"/>
  <c r="G40" i="12"/>
  <c r="H40" i="12"/>
  <c r="J40" i="12"/>
  <c r="Q40" i="12"/>
  <c r="S40" i="12" s="1"/>
  <c r="T40" i="12"/>
  <c r="V40" i="12"/>
  <c r="X40" i="12"/>
  <c r="Y40" i="12"/>
  <c r="Z40" i="12"/>
  <c r="AA40" i="12"/>
  <c r="AC40" i="12"/>
  <c r="G41" i="12"/>
  <c r="H41" i="12"/>
  <c r="J41" i="12"/>
  <c r="Q41" i="12"/>
  <c r="S41" i="12" s="1"/>
  <c r="T41" i="12"/>
  <c r="V41" i="12"/>
  <c r="X41" i="12"/>
  <c r="Y41" i="12"/>
  <c r="Z41" i="12"/>
  <c r="AA41" i="12"/>
  <c r="AC41" i="12"/>
  <c r="G42" i="12"/>
  <c r="H42" i="12"/>
  <c r="J42" i="12"/>
  <c r="Q42" i="12"/>
  <c r="S42" i="12" s="1"/>
  <c r="T42" i="12"/>
  <c r="V42" i="12"/>
  <c r="X42" i="12"/>
  <c r="Y42" i="12"/>
  <c r="Z42" i="12"/>
  <c r="AA42" i="12"/>
  <c r="AC42" i="12"/>
  <c r="S45" i="12"/>
  <c r="F54" i="12"/>
  <c r="G54" i="12"/>
  <c r="G52" i="12" s="1"/>
  <c r="H54" i="12"/>
  <c r="J54" i="12"/>
  <c r="L54" i="12"/>
  <c r="L52" i="12" s="1"/>
  <c r="Q54" i="12"/>
  <c r="S54" i="12" s="1"/>
  <c r="T54" i="12"/>
  <c r="V54" i="12"/>
  <c r="X54" i="12"/>
  <c r="Y54" i="12"/>
  <c r="Z54" i="12"/>
  <c r="AA54" i="12"/>
  <c r="AC54" i="12"/>
  <c r="F56" i="12"/>
  <c r="H56" i="12"/>
  <c r="L56" i="12"/>
  <c r="Q56" i="12"/>
  <c r="S56" i="12" s="1"/>
  <c r="T56" i="12"/>
  <c r="V56" i="12"/>
  <c r="X56" i="12"/>
  <c r="Y56" i="12"/>
  <c r="Z56" i="12"/>
  <c r="AA56" i="12"/>
  <c r="AC56" i="12"/>
  <c r="E10" i="27"/>
  <c r="E31" i="27" s="1"/>
  <c r="F10" i="27"/>
  <c r="F31" i="27" s="1"/>
  <c r="G10" i="27"/>
  <c r="G31" i="27" s="1"/>
  <c r="L10" i="27"/>
  <c r="L31" i="27" s="1"/>
  <c r="Q10" i="27"/>
  <c r="Q31" i="27" s="1"/>
  <c r="O10" i="27"/>
  <c r="O31" i="27" s="1"/>
  <c r="T10" i="27"/>
  <c r="T31" i="27" s="1"/>
  <c r="W10" i="27"/>
  <c r="W31" i="27" s="1"/>
  <c r="X10" i="27"/>
  <c r="X31" i="27" s="1"/>
  <c r="Y10" i="27"/>
  <c r="Y31" i="27" s="1"/>
  <c r="Z10" i="27"/>
  <c r="Z31" i="27" s="1"/>
  <c r="AB10" i="27"/>
  <c r="AB31" i="27" s="1"/>
  <c r="F19" i="27"/>
  <c r="G19" i="27"/>
  <c r="I19" i="27"/>
  <c r="W19" i="27"/>
  <c r="X19" i="27"/>
  <c r="AB19" i="27"/>
  <c r="F22" i="27"/>
  <c r="G22" i="27"/>
  <c r="I22" i="27"/>
  <c r="M22" i="27"/>
  <c r="K22" i="27"/>
  <c r="W22" i="27"/>
  <c r="X22" i="27"/>
  <c r="Y22" i="27"/>
  <c r="Z22" i="27"/>
  <c r="AB22" i="27"/>
  <c r="F30" i="27"/>
  <c r="G30" i="27"/>
  <c r="I30" i="27"/>
  <c r="L30" i="27"/>
  <c r="Q30" i="27"/>
  <c r="T30" i="27"/>
  <c r="W30" i="27"/>
  <c r="X30" i="27"/>
  <c r="Y30" i="27"/>
  <c r="Z30" i="27"/>
  <c r="AB30" i="27"/>
  <c r="E32" i="27"/>
  <c r="F32" i="27"/>
  <c r="G32" i="27"/>
  <c r="I32" i="27"/>
  <c r="L32" i="27"/>
  <c r="Q32" i="27"/>
  <c r="O32" i="27"/>
  <c r="T32" i="27"/>
  <c r="W32" i="27"/>
  <c r="X32" i="27"/>
  <c r="Y32" i="27"/>
  <c r="Z32" i="27"/>
  <c r="AB32" i="27"/>
  <c r="F157" i="18"/>
  <c r="F161" i="18"/>
  <c r="F164" i="18"/>
  <c r="F165" i="18"/>
  <c r="F166" i="18"/>
  <c r="F167" i="18"/>
  <c r="F169" i="18"/>
  <c r="F36" i="27"/>
  <c r="F39" i="27" s="1"/>
  <c r="G36" i="27"/>
  <c r="G39" i="27" s="1"/>
  <c r="I36" i="27"/>
  <c r="I39" i="27" s="1"/>
  <c r="L36" i="27"/>
  <c r="L39" i="27" s="1"/>
  <c r="K36" i="27"/>
  <c r="Q36" i="27"/>
  <c r="Q39" i="27" s="1"/>
  <c r="O36" i="27"/>
  <c r="O39" i="27" s="1"/>
  <c r="T36" i="27"/>
  <c r="W36" i="27"/>
  <c r="X36" i="27"/>
  <c r="Y36" i="27"/>
  <c r="Z36" i="27"/>
  <c r="AB36" i="27"/>
  <c r="Z39" i="27" l="1"/>
  <c r="G167" i="18" s="1"/>
  <c r="G14" i="18" s="1"/>
  <c r="G56" i="18" s="1"/>
  <c r="Y39" i="27"/>
  <c r="G166" i="18" s="1"/>
  <c r="G13" i="18" s="1"/>
  <c r="G55" i="18" s="1"/>
  <c r="X39" i="27"/>
  <c r="G165" i="18" s="1"/>
  <c r="G12" i="18" s="1"/>
  <c r="G54" i="18" s="1"/>
  <c r="W39" i="27"/>
  <c r="G164" i="18" s="1"/>
  <c r="G11" i="18" s="1"/>
  <c r="G53" i="18" s="1"/>
  <c r="T39" i="27"/>
  <c r="G161" i="18" s="1"/>
  <c r="G8" i="18" s="1"/>
  <c r="G50" i="18" s="1"/>
  <c r="AB39" i="27"/>
  <c r="AB24" i="27" s="1"/>
  <c r="K39" i="27"/>
  <c r="G157" i="18" s="1"/>
  <c r="G4" i="18" s="1"/>
  <c r="G46" i="18" s="1"/>
  <c r="Y24" i="12"/>
  <c r="F52" i="12"/>
  <c r="K54" i="12"/>
  <c r="K42" i="12"/>
  <c r="K34" i="12"/>
  <c r="K40" i="12"/>
  <c r="K56" i="12"/>
  <c r="K41" i="12"/>
  <c r="K29" i="12"/>
  <c r="J22" i="27"/>
  <c r="D22" i="27" s="1"/>
  <c r="J19" i="27"/>
  <c r="D19" i="27" s="1"/>
  <c r="G24" i="27"/>
  <c r="Q24" i="27"/>
  <c r="X24" i="27"/>
  <c r="Z24" i="27"/>
  <c r="T24" i="27"/>
  <c r="Y18" i="12"/>
  <c r="Y20" i="12" s="1"/>
  <c r="O24" i="27"/>
  <c r="Y52" i="12"/>
  <c r="AC52" i="12"/>
  <c r="L24" i="27"/>
  <c r="M24" i="27" s="1"/>
  <c r="J52" i="12"/>
  <c r="AA52" i="12"/>
  <c r="T52" i="12"/>
  <c r="Z52" i="12"/>
  <c r="H52" i="12"/>
  <c r="Q52" i="12"/>
  <c r="S52" i="12" s="1"/>
  <c r="X52" i="12"/>
  <c r="V52" i="12"/>
  <c r="X38" i="12"/>
  <c r="W24" i="27"/>
  <c r="F24" i="27"/>
  <c r="I24" i="27"/>
  <c r="AA38" i="12"/>
  <c r="T38" i="12"/>
  <c r="J38" i="12"/>
  <c r="Y32" i="12"/>
  <c r="X27" i="12"/>
  <c r="AC38" i="12"/>
  <c r="V38" i="12"/>
  <c r="Z38" i="12"/>
  <c r="Q38" i="12"/>
  <c r="S38" i="12" s="1"/>
  <c r="H38" i="12"/>
  <c r="Y38" i="12"/>
  <c r="G38" i="12"/>
  <c r="Y27" i="12"/>
  <c r="G27" i="12"/>
  <c r="G32" i="12"/>
  <c r="AC27" i="12"/>
  <c r="M27" i="12"/>
  <c r="O27" i="12" s="1"/>
  <c r="AA27" i="12"/>
  <c r="T27" i="12"/>
  <c r="J27" i="12"/>
  <c r="Z27" i="12"/>
  <c r="Q27" i="12"/>
  <c r="S27" i="12" s="1"/>
  <c r="H27" i="12"/>
  <c r="F27" i="12"/>
  <c r="AA32" i="12"/>
  <c r="T32" i="12"/>
  <c r="J32" i="12"/>
  <c r="Z32" i="12"/>
  <c r="Q32" i="12"/>
  <c r="S32" i="12" s="1"/>
  <c r="H32" i="12"/>
  <c r="F32" i="12"/>
  <c r="X32" i="12"/>
  <c r="AC32" i="12"/>
  <c r="V32" i="12"/>
  <c r="V27" i="12"/>
  <c r="G169" i="18" l="1"/>
  <c r="G16" i="18" s="1"/>
  <c r="G58" i="18" s="1"/>
  <c r="Y24" i="27"/>
  <c r="K24" i="27"/>
  <c r="K32" i="12"/>
  <c r="K52" i="12"/>
  <c r="K38" i="12"/>
  <c r="K27" i="12"/>
  <c r="J24" i="27"/>
  <c r="R24" i="27"/>
  <c r="M26" i="12"/>
  <c r="O26" i="12" s="1"/>
  <c r="AC26" i="12"/>
  <c r="X26" i="12"/>
  <c r="Y26" i="12"/>
  <c r="Q26" i="12"/>
  <c r="S26" i="12" s="1"/>
  <c r="AA26" i="12"/>
  <c r="V26" i="12"/>
  <c r="F26" i="12"/>
  <c r="T26" i="12"/>
  <c r="G26" i="12"/>
  <c r="Z26" i="12"/>
  <c r="H26" i="12"/>
  <c r="J26" i="12"/>
  <c r="D24" i="27" l="1"/>
  <c r="K26" i="12"/>
  <c r="A99" i="10"/>
  <c r="A98" i="10"/>
  <c r="A97" i="10"/>
  <c r="A96" i="10"/>
  <c r="A95" i="10"/>
  <c r="A94" i="10"/>
  <c r="A93" i="10"/>
  <c r="A92" i="10"/>
  <c r="A91" i="10"/>
  <c r="A90" i="10"/>
  <c r="A89" i="10"/>
  <c r="A88" i="10"/>
  <c r="A135" i="10"/>
  <c r="A134" i="10"/>
  <c r="A133" i="10"/>
  <c r="A132" i="10"/>
  <c r="A131" i="10"/>
  <c r="A130" i="10"/>
  <c r="A63" i="10"/>
  <c r="A62" i="10"/>
  <c r="A61" i="10"/>
  <c r="A60" i="10"/>
  <c r="A59" i="10"/>
  <c r="A58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1" i="10"/>
  <c r="A110" i="10"/>
  <c r="A109" i="10"/>
  <c r="A108" i="10"/>
  <c r="A107" i="10"/>
  <c r="A39" i="10"/>
  <c r="A38" i="10"/>
  <c r="A37" i="10"/>
  <c r="A36" i="10"/>
  <c r="A35" i="10"/>
  <c r="A34" i="10"/>
  <c r="A21" i="10"/>
  <c r="A20" i="10"/>
  <c r="A19" i="10"/>
  <c r="A18" i="10"/>
  <c r="A17" i="10"/>
  <c r="A16" i="10"/>
  <c r="A33" i="10"/>
  <c r="A32" i="10"/>
  <c r="A31" i="10"/>
  <c r="A30" i="10"/>
  <c r="A29" i="10"/>
  <c r="A28" i="10"/>
  <c r="A15" i="10"/>
  <c r="A14" i="10"/>
  <c r="A13" i="10"/>
  <c r="J13" i="10" s="1"/>
  <c r="K13" i="10" s="1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A12" i="10"/>
  <c r="J12" i="10" s="1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A11" i="10"/>
  <c r="J11" i="10" s="1"/>
  <c r="K11" i="10" s="1"/>
  <c r="L11" i="10" s="1"/>
  <c r="M11" i="10" s="1"/>
  <c r="N11" i="10" s="1"/>
  <c r="O11" i="10" s="1"/>
  <c r="P11" i="10" s="1"/>
  <c r="Q11" i="10" s="1"/>
  <c r="R11" i="10" s="1"/>
  <c r="S11" i="10" s="1"/>
  <c r="T11" i="10" s="1"/>
  <c r="U11" i="10" s="1"/>
  <c r="A10" i="10"/>
  <c r="I10" i="10" s="1"/>
  <c r="J10" i="10" s="1"/>
  <c r="K10" i="10" s="1"/>
  <c r="L10" i="10" s="1"/>
  <c r="M10" i="10" s="1"/>
  <c r="N10" i="10" s="1"/>
  <c r="O10" i="10" s="1"/>
  <c r="P10" i="10" s="1"/>
  <c r="Q10" i="10" s="1"/>
  <c r="R10" i="10" s="1"/>
  <c r="S10" i="10" s="1"/>
  <c r="T10" i="10" s="1"/>
  <c r="U10" i="10" s="1"/>
  <c r="A9" i="10"/>
  <c r="A8" i="10"/>
  <c r="A7" i="10"/>
  <c r="A6" i="10"/>
  <c r="A5" i="10"/>
  <c r="A4" i="10"/>
  <c r="V10" i="10" l="1"/>
  <c r="W10" i="10" s="1"/>
  <c r="X10" i="10" s="1"/>
  <c r="Y10" i="10" s="1"/>
  <c r="Z10" i="10" s="1"/>
  <c r="AA10" i="10" s="1"/>
  <c r="AB10" i="10" s="1"/>
  <c r="AC10" i="10" s="1"/>
  <c r="W13" i="10"/>
  <c r="X13" i="10" s="1"/>
  <c r="Y13" i="10" s="1"/>
  <c r="Z13" i="10" s="1"/>
  <c r="AA13" i="10" s="1"/>
  <c r="AB13" i="10" s="1"/>
  <c r="AC13" i="10" s="1"/>
  <c r="W12" i="10"/>
  <c r="X12" i="10" s="1"/>
  <c r="Y12" i="10" s="1"/>
  <c r="Z12" i="10" s="1"/>
  <c r="AA12" i="10" s="1"/>
  <c r="AB12" i="10" s="1"/>
  <c r="AC12" i="10" s="1"/>
  <c r="W11" i="10"/>
  <c r="X11" i="10" s="1"/>
  <c r="Y11" i="10" s="1"/>
  <c r="Z11" i="10" s="1"/>
  <c r="AA11" i="10" s="1"/>
  <c r="AB11" i="10" s="1"/>
  <c r="AC11" i="10" s="1"/>
  <c r="A87" i="7"/>
  <c r="A86" i="7"/>
  <c r="A85" i="7"/>
  <c r="A84" i="7"/>
  <c r="A83" i="7"/>
  <c r="A82" i="7"/>
  <c r="A51" i="7"/>
  <c r="A50" i="7"/>
  <c r="A49" i="7"/>
  <c r="A48" i="7"/>
  <c r="A47" i="7"/>
  <c r="A46" i="7"/>
  <c r="A135" i="7"/>
  <c r="A134" i="7"/>
  <c r="A133" i="7"/>
  <c r="A132" i="7"/>
  <c r="A131" i="7"/>
  <c r="A130" i="7"/>
  <c r="A63" i="7"/>
  <c r="A62" i="7"/>
  <c r="A61" i="7"/>
  <c r="A60" i="7"/>
  <c r="A59" i="7"/>
  <c r="A58" i="7"/>
  <c r="A129" i="7"/>
  <c r="A128" i="7"/>
  <c r="A127" i="7"/>
  <c r="A126" i="7"/>
  <c r="A125" i="7"/>
  <c r="A124" i="7"/>
  <c r="A39" i="7"/>
  <c r="A38" i="7"/>
  <c r="A37" i="7"/>
  <c r="A36" i="7"/>
  <c r="A35" i="7"/>
  <c r="A34" i="7"/>
  <c r="A123" i="7"/>
  <c r="A122" i="7"/>
  <c r="A121" i="7"/>
  <c r="A120" i="7"/>
  <c r="A119" i="7"/>
  <c r="A118" i="7"/>
  <c r="A27" i="7"/>
  <c r="A26" i="7"/>
  <c r="A25" i="7"/>
  <c r="A24" i="7"/>
  <c r="A23" i="7"/>
  <c r="A22" i="7"/>
  <c r="A15" i="7"/>
  <c r="A14" i="7"/>
  <c r="A13" i="7"/>
  <c r="A12" i="7"/>
  <c r="A11" i="7"/>
  <c r="A10" i="7"/>
  <c r="A9" i="7"/>
  <c r="A8" i="7"/>
  <c r="A7" i="7"/>
  <c r="A6" i="7"/>
  <c r="A5" i="7"/>
  <c r="A4" i="7"/>
  <c r="A21" i="7"/>
  <c r="A20" i="7"/>
  <c r="A19" i="7"/>
  <c r="A18" i="7"/>
  <c r="A17" i="7"/>
  <c r="A16" i="7"/>
  <c r="A33" i="7"/>
  <c r="A32" i="7"/>
  <c r="A31" i="7"/>
  <c r="A30" i="7"/>
  <c r="A29" i="7"/>
  <c r="A28" i="7"/>
  <c r="AP10" i="10" l="1"/>
  <c r="AQ10" i="10" s="1"/>
  <c r="AR10" i="10" s="1"/>
  <c r="AD10" i="10"/>
  <c r="AE10" i="10" s="1"/>
  <c r="AF10" i="10" s="1"/>
  <c r="AG10" i="10" s="1"/>
  <c r="AP13" i="10"/>
  <c r="AQ13" i="10" s="1"/>
  <c r="AR13" i="10" s="1"/>
  <c r="AD13" i="10"/>
  <c r="AE13" i="10" s="1"/>
  <c r="AF13" i="10" s="1"/>
  <c r="AD11" i="10"/>
  <c r="AE11" i="10" s="1"/>
  <c r="AF11" i="10" s="1"/>
  <c r="AP11" i="10"/>
  <c r="AQ11" i="10" s="1"/>
  <c r="AR11" i="10" s="1"/>
  <c r="AD12" i="10"/>
  <c r="AE12" i="10" s="1"/>
  <c r="AF12" i="10" s="1"/>
  <c r="AP12" i="10"/>
  <c r="AQ12" i="10" s="1"/>
  <c r="AR12" i="10" s="1"/>
  <c r="AH10" i="10"/>
  <c r="AI10" i="10" s="1"/>
  <c r="AJ10" i="10" s="1"/>
  <c r="AK10" i="10" s="1"/>
  <c r="AL10" i="10" s="1"/>
  <c r="AM10" i="10" s="1"/>
  <c r="AN10" i="10" s="1"/>
  <c r="AO10" i="10" s="1"/>
  <c r="BD26" i="7"/>
  <c r="BC15" i="7"/>
  <c r="BC14" i="7"/>
  <c r="BD13" i="7"/>
  <c r="BC13" i="7"/>
  <c r="BD12" i="7"/>
  <c r="BC12" i="7"/>
  <c r="BD11" i="7"/>
  <c r="BC11" i="7"/>
  <c r="BD10" i="7"/>
  <c r="BC10" i="7"/>
  <c r="BC39" i="10"/>
  <c r="BC38" i="10"/>
  <c r="BD37" i="10"/>
  <c r="BC37" i="10"/>
  <c r="BD36" i="10"/>
  <c r="BC36" i="10"/>
  <c r="BD35" i="10"/>
  <c r="BC35" i="10"/>
  <c r="BD34" i="10"/>
  <c r="BC34" i="10"/>
  <c r="AG13" i="10" l="1"/>
  <c r="AH13" i="10" s="1"/>
  <c r="AI13" i="10" s="1"/>
  <c r="AJ13" i="10" s="1"/>
  <c r="AK13" i="10" s="1"/>
  <c r="AL13" i="10" s="1"/>
  <c r="AM13" i="10" s="1"/>
  <c r="AN13" i="10" s="1"/>
  <c r="AO13" i="10" s="1"/>
  <c r="AG12" i="10"/>
  <c r="AH12" i="10" s="1"/>
  <c r="AI12" i="10" s="1"/>
  <c r="AJ12" i="10" s="1"/>
  <c r="AK12" i="10" s="1"/>
  <c r="AL12" i="10" s="1"/>
  <c r="AM12" i="10" s="1"/>
  <c r="AN12" i="10" s="1"/>
  <c r="AO12" i="10" s="1"/>
  <c r="AG11" i="10"/>
  <c r="AH11" i="10" s="1"/>
  <c r="AI11" i="10" s="1"/>
  <c r="AJ11" i="10" s="1"/>
  <c r="AK11" i="10" s="1"/>
  <c r="AL11" i="10" s="1"/>
  <c r="AM11" i="10" s="1"/>
  <c r="AN11" i="10" s="1"/>
  <c r="AO11" i="10" s="1"/>
  <c r="AS12" i="10"/>
  <c r="AT12" i="10" s="1"/>
  <c r="AU12" i="10" s="1"/>
  <c r="AV12" i="10" s="1"/>
  <c r="AW12" i="10" s="1"/>
  <c r="AX12" i="10" s="1"/>
  <c r="AY12" i="10" s="1"/>
  <c r="AZ12" i="10" s="1"/>
  <c r="BA12" i="10" s="1"/>
  <c r="BB12" i="10" s="1"/>
  <c r="AS11" i="10"/>
  <c r="AT11" i="10" s="1"/>
  <c r="AU11" i="10" s="1"/>
  <c r="AV11" i="10" s="1"/>
  <c r="AW11" i="10" s="1"/>
  <c r="AX11" i="10" s="1"/>
  <c r="AY11" i="10" s="1"/>
  <c r="AZ11" i="10" s="1"/>
  <c r="BA11" i="10" s="1"/>
  <c r="BB11" i="10" s="1"/>
  <c r="AS13" i="10"/>
  <c r="AT13" i="10" s="1"/>
  <c r="AU13" i="10" s="1"/>
  <c r="AV13" i="10" s="1"/>
  <c r="AW13" i="10" s="1"/>
  <c r="AX13" i="10" s="1"/>
  <c r="AY13" i="10" s="1"/>
  <c r="AZ13" i="10" s="1"/>
  <c r="BA13" i="10" s="1"/>
  <c r="BB13" i="10" s="1"/>
  <c r="AS10" i="10"/>
  <c r="AT10" i="10" s="1"/>
  <c r="AU10" i="10" s="1"/>
  <c r="AV10" i="10" s="1"/>
  <c r="AW10" i="10" s="1"/>
  <c r="AX10" i="10" s="1"/>
  <c r="AY10" i="10" s="1"/>
  <c r="AZ10" i="10" s="1"/>
  <c r="BA10" i="10" s="1"/>
  <c r="BB10" i="10" s="1"/>
  <c r="I26" i="7"/>
  <c r="I34" i="10" l="1"/>
  <c r="J26" i="7"/>
  <c r="K26" i="7" s="1"/>
  <c r="L26" i="7" s="1"/>
  <c r="M26" i="7" s="1"/>
  <c r="N26" i="7" s="1"/>
  <c r="O26" i="7" s="1"/>
  <c r="P26" i="7" s="1"/>
  <c r="Q26" i="7" s="1"/>
  <c r="R26" i="7" s="1"/>
  <c r="S26" i="7" s="1"/>
  <c r="T26" i="7" s="1"/>
  <c r="U26" i="7" s="1"/>
  <c r="J12" i="7" l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I10" i="7"/>
  <c r="J10" i="7" s="1"/>
  <c r="K10" i="7" s="1"/>
  <c r="L10" i="7" s="1"/>
  <c r="M10" i="7" s="1"/>
  <c r="N10" i="7" s="1"/>
  <c r="O10" i="7" s="1"/>
  <c r="P10" i="7" s="1"/>
  <c r="Q10" i="7" s="1"/>
  <c r="R10" i="7" s="1"/>
  <c r="S10" i="7" s="1"/>
  <c r="T10" i="7" s="1"/>
  <c r="J11" i="7"/>
  <c r="K11" i="7" s="1"/>
  <c r="L11" i="7" s="1"/>
  <c r="M11" i="7" s="1"/>
  <c r="N11" i="7" s="1"/>
  <c r="O11" i="7" s="1"/>
  <c r="P11" i="7" s="1"/>
  <c r="Q11" i="7" s="1"/>
  <c r="R11" i="7" s="1"/>
  <c r="S11" i="7" s="1"/>
  <c r="T11" i="7" s="1"/>
  <c r="J13" i="7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J37" i="10"/>
  <c r="K37" i="10" s="1"/>
  <c r="L37" i="10" s="1"/>
  <c r="M37" i="10" s="1"/>
  <c r="N37" i="10" s="1"/>
  <c r="O37" i="10" s="1"/>
  <c r="P37" i="10" s="1"/>
  <c r="Q37" i="10" s="1"/>
  <c r="R37" i="10" s="1"/>
  <c r="S37" i="10" s="1"/>
  <c r="T37" i="10" s="1"/>
  <c r="U37" i="10" s="1"/>
  <c r="J35" i="10"/>
  <c r="K35" i="10" s="1"/>
  <c r="L35" i="10" s="1"/>
  <c r="M35" i="10" s="1"/>
  <c r="N35" i="10" s="1"/>
  <c r="O35" i="10" s="1"/>
  <c r="P35" i="10" s="1"/>
  <c r="Q35" i="10" s="1"/>
  <c r="R35" i="10" s="1"/>
  <c r="S35" i="10" s="1"/>
  <c r="T35" i="10" s="1"/>
  <c r="U35" i="10" s="1"/>
  <c r="J36" i="10"/>
  <c r="K36" i="10" s="1"/>
  <c r="L36" i="10" s="1"/>
  <c r="M36" i="10" s="1"/>
  <c r="N36" i="10" s="1"/>
  <c r="O36" i="10" s="1"/>
  <c r="P36" i="10" s="1"/>
  <c r="Q36" i="10" s="1"/>
  <c r="R36" i="10" s="1"/>
  <c r="S36" i="10" s="1"/>
  <c r="T36" i="10" s="1"/>
  <c r="U36" i="10" s="1"/>
  <c r="J34" i="10"/>
  <c r="K34" i="10" s="1"/>
  <c r="L34" i="10" s="1"/>
  <c r="M34" i="10" s="1"/>
  <c r="N34" i="10" s="1"/>
  <c r="O34" i="10" s="1"/>
  <c r="P34" i="10" s="1"/>
  <c r="Q34" i="10" s="1"/>
  <c r="R34" i="10" s="1"/>
  <c r="S34" i="10" s="1"/>
  <c r="T34" i="10" s="1"/>
  <c r="U34" i="10" s="1"/>
  <c r="V26" i="7"/>
  <c r="W26" i="7" s="1"/>
  <c r="X26" i="7" s="1"/>
  <c r="Y26" i="7" s="1"/>
  <c r="Z26" i="7" s="1"/>
  <c r="AA26" i="7" s="1"/>
  <c r="AB26" i="7" s="1"/>
  <c r="AC26" i="7" s="1"/>
  <c r="U10" i="7" l="1"/>
  <c r="V10" i="7" s="1"/>
  <c r="W10" i="7" s="1"/>
  <c r="X10" i="7" s="1"/>
  <c r="Y10" i="7" s="1"/>
  <c r="Z10" i="7" s="1"/>
  <c r="AA10" i="7" s="1"/>
  <c r="AB10" i="7" s="1"/>
  <c r="AC10" i="7" s="1"/>
  <c r="U13" i="7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U11" i="7"/>
  <c r="W11" i="7" s="1"/>
  <c r="X11" i="7" s="1"/>
  <c r="Y11" i="7" s="1"/>
  <c r="Z11" i="7" s="1"/>
  <c r="AA11" i="7" s="1"/>
  <c r="AB11" i="7" s="1"/>
  <c r="AC11" i="7" s="1"/>
  <c r="U12" i="7"/>
  <c r="W12" i="7" s="1"/>
  <c r="X12" i="7" s="1"/>
  <c r="Y12" i="7" s="1"/>
  <c r="Z12" i="7" s="1"/>
  <c r="AA12" i="7" s="1"/>
  <c r="AB12" i="7" s="1"/>
  <c r="AC12" i="7" s="1"/>
  <c r="AD26" i="7"/>
  <c r="AE26" i="7" s="1"/>
  <c r="AF26" i="7" s="1"/>
  <c r="V34" i="10"/>
  <c r="W34" i="10" s="1"/>
  <c r="X34" i="10" s="1"/>
  <c r="Y34" i="10" s="1"/>
  <c r="Z34" i="10" s="1"/>
  <c r="AA34" i="10" s="1"/>
  <c r="AB34" i="10" s="1"/>
  <c r="AC34" i="10" s="1"/>
  <c r="W35" i="10"/>
  <c r="X35" i="10" s="1"/>
  <c r="Y35" i="10" s="1"/>
  <c r="Z35" i="10" s="1"/>
  <c r="AA35" i="10" s="1"/>
  <c r="AB35" i="10" s="1"/>
  <c r="AC35" i="10" s="1"/>
  <c r="W36" i="10"/>
  <c r="X36" i="10" s="1"/>
  <c r="Y36" i="10" s="1"/>
  <c r="Z36" i="10" s="1"/>
  <c r="AA36" i="10" s="1"/>
  <c r="AB36" i="10" s="1"/>
  <c r="AC36" i="10" s="1"/>
  <c r="W37" i="10"/>
  <c r="X37" i="10" s="1"/>
  <c r="Y37" i="10" s="1"/>
  <c r="Z37" i="10" s="1"/>
  <c r="AA37" i="10" s="1"/>
  <c r="AB37" i="10" s="1"/>
  <c r="AC37" i="10" s="1"/>
  <c r="CP20" i="31"/>
  <c r="CO20" i="31"/>
  <c r="BN20" i="31"/>
  <c r="AL20" i="31"/>
  <c r="Y20" i="31"/>
  <c r="H20" i="31" s="1"/>
  <c r="G20" i="31"/>
  <c r="CP19" i="31"/>
  <c r="CO19" i="31"/>
  <c r="BN19" i="31"/>
  <c r="AL19" i="31"/>
  <c r="Y19" i="31"/>
  <c r="H19" i="31" s="1"/>
  <c r="G19" i="31"/>
  <c r="CP18" i="31"/>
  <c r="CO18" i="31"/>
  <c r="BN18" i="31"/>
  <c r="AL18" i="31"/>
  <c r="Y18" i="31"/>
  <c r="G18" i="31"/>
  <c r="CP17" i="31"/>
  <c r="CO17" i="31"/>
  <c r="BN17" i="31"/>
  <c r="AL17" i="31"/>
  <c r="Y17" i="31"/>
  <c r="G17" i="31"/>
  <c r="CP16" i="31"/>
  <c r="CO16" i="31"/>
  <c r="BN16" i="31"/>
  <c r="AL16" i="31"/>
  <c r="Y16" i="31"/>
  <c r="G16" i="31"/>
  <c r="CP15" i="31"/>
  <c r="CO15" i="31"/>
  <c r="BN15" i="31"/>
  <c r="AL15" i="31"/>
  <c r="Y15" i="31"/>
  <c r="G15" i="31"/>
  <c r="CP14" i="31"/>
  <c r="CO14" i="31"/>
  <c r="BN14" i="31"/>
  <c r="AL14" i="31"/>
  <c r="Y14" i="31"/>
  <c r="AK13" i="31"/>
  <c r="AJ13" i="31"/>
  <c r="AI13" i="31"/>
  <c r="AH13" i="31"/>
  <c r="AG13" i="31"/>
  <c r="AF13" i="31"/>
  <c r="AE13" i="31"/>
  <c r="AD13" i="31"/>
  <c r="AC13" i="31"/>
  <c r="AB13" i="31"/>
  <c r="AA13" i="31"/>
  <c r="Z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D7" i="31"/>
  <c r="AD12" i="7" l="1"/>
  <c r="AE12" i="7" s="1"/>
  <c r="AF12" i="7" s="1"/>
  <c r="AD11" i="7"/>
  <c r="AE11" i="7" s="1"/>
  <c r="AF11" i="7" s="1"/>
  <c r="AD10" i="7"/>
  <c r="AE10" i="7" s="1"/>
  <c r="AF10" i="7" s="1"/>
  <c r="AG10" i="7" s="1"/>
  <c r="AH10" i="7" s="1"/>
  <c r="AI10" i="7" s="1"/>
  <c r="AJ10" i="7" s="1"/>
  <c r="AK10" i="7" s="1"/>
  <c r="AL10" i="7" s="1"/>
  <c r="AM10" i="7" s="1"/>
  <c r="AN10" i="7" s="1"/>
  <c r="AO10" i="7" s="1"/>
  <c r="AP10" i="7" s="1"/>
  <c r="AQ10" i="7" s="1"/>
  <c r="AR10" i="7" s="1"/>
  <c r="H18" i="31"/>
  <c r="AG11" i="7"/>
  <c r="AH11" i="7" s="1"/>
  <c r="AI11" i="7" s="1"/>
  <c r="AJ11" i="7" s="1"/>
  <c r="AK11" i="7" s="1"/>
  <c r="AL11" i="7" s="1"/>
  <c r="AM11" i="7" s="1"/>
  <c r="AN11" i="7" s="1"/>
  <c r="AO11" i="7" s="1"/>
  <c r="AP11" i="7" s="1"/>
  <c r="AQ11" i="7" s="1"/>
  <c r="AR11" i="7" s="1"/>
  <c r="AS11" i="7" s="1"/>
  <c r="AT11" i="7" s="1"/>
  <c r="AU11" i="7" s="1"/>
  <c r="AV11" i="7" s="1"/>
  <c r="AW11" i="7" s="1"/>
  <c r="AX11" i="7" s="1"/>
  <c r="AY11" i="7" s="1"/>
  <c r="AZ11" i="7" s="1"/>
  <c r="BA11" i="7" s="1"/>
  <c r="BB11" i="7" s="1"/>
  <c r="AG13" i="7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AS10" i="7"/>
  <c r="AT10" i="7" s="1"/>
  <c r="AU10" i="7" s="1"/>
  <c r="AV10" i="7" s="1"/>
  <c r="AW10" i="7" s="1"/>
  <c r="AX10" i="7" s="1"/>
  <c r="AY10" i="7" s="1"/>
  <c r="AZ10" i="7" s="1"/>
  <c r="BA10" i="7" s="1"/>
  <c r="BB10" i="7" s="1"/>
  <c r="AG26" i="7"/>
  <c r="AH26" i="7" s="1"/>
  <c r="AI26" i="7" s="1"/>
  <c r="AJ26" i="7" s="1"/>
  <c r="AK26" i="7" s="1"/>
  <c r="AL26" i="7" s="1"/>
  <c r="AM26" i="7" s="1"/>
  <c r="AN26" i="7" s="1"/>
  <c r="AO26" i="7" s="1"/>
  <c r="AP26" i="7" s="1"/>
  <c r="AQ26" i="7" s="1"/>
  <c r="AR26" i="7" s="1"/>
  <c r="AS26" i="7" s="1"/>
  <c r="AT26" i="7" s="1"/>
  <c r="AU26" i="7" s="1"/>
  <c r="AV26" i="7" s="1"/>
  <c r="AW26" i="7" s="1"/>
  <c r="AX26" i="7" s="1"/>
  <c r="AY26" i="7" s="1"/>
  <c r="AZ26" i="7" s="1"/>
  <c r="BA26" i="7" s="1"/>
  <c r="BB26" i="7" s="1"/>
  <c r="AG12" i="7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H16" i="31"/>
  <c r="H14" i="31"/>
  <c r="H17" i="31"/>
  <c r="H15" i="31"/>
  <c r="AD37" i="10"/>
  <c r="AE37" i="10" s="1"/>
  <c r="AF37" i="10" s="1"/>
  <c r="AG37" i="10" s="1"/>
  <c r="AP37" i="10"/>
  <c r="AQ37" i="10" s="1"/>
  <c r="AR37" i="10" s="1"/>
  <c r="AS37" i="10" s="1"/>
  <c r="AD36" i="10"/>
  <c r="AE36" i="10" s="1"/>
  <c r="AF36" i="10" s="1"/>
  <c r="AG36" i="10" s="1"/>
  <c r="AP36" i="10"/>
  <c r="AQ36" i="10" s="1"/>
  <c r="AR36" i="10" s="1"/>
  <c r="AS36" i="10" s="1"/>
  <c r="AD35" i="10"/>
  <c r="AE35" i="10" s="1"/>
  <c r="AF35" i="10" s="1"/>
  <c r="AG35" i="10" s="1"/>
  <c r="AP35" i="10"/>
  <c r="AQ35" i="10" s="1"/>
  <c r="AR35" i="10" s="1"/>
  <c r="AS35" i="10" s="1"/>
  <c r="AD34" i="10"/>
  <c r="AE34" i="10" s="1"/>
  <c r="AF34" i="10" s="1"/>
  <c r="AG34" i="10" s="1"/>
  <c r="AP34" i="10"/>
  <c r="AQ34" i="10" s="1"/>
  <c r="AR34" i="10" s="1"/>
  <c r="AS34" i="10" s="1"/>
  <c r="AL13" i="31"/>
  <c r="Y13" i="31"/>
  <c r="AT35" i="10" l="1"/>
  <c r="AU35" i="10" s="1"/>
  <c r="AV35" i="10" s="1"/>
  <c r="AW35" i="10" s="1"/>
  <c r="AX35" i="10" s="1"/>
  <c r="AY35" i="10" s="1"/>
  <c r="AZ35" i="10" s="1"/>
  <c r="BA35" i="10" s="1"/>
  <c r="BB35" i="10" s="1"/>
  <c r="AT36" i="10"/>
  <c r="AU36" i="10" s="1"/>
  <c r="AV36" i="10" s="1"/>
  <c r="AW36" i="10" s="1"/>
  <c r="AX36" i="10" s="1"/>
  <c r="AY36" i="10" s="1"/>
  <c r="AZ36" i="10" s="1"/>
  <c r="BA36" i="10" s="1"/>
  <c r="BB36" i="10" s="1"/>
  <c r="AT34" i="10"/>
  <c r="AU34" i="10" s="1"/>
  <c r="AV34" i="10" s="1"/>
  <c r="AW34" i="10" s="1"/>
  <c r="AX34" i="10" s="1"/>
  <c r="AY34" i="10" s="1"/>
  <c r="AZ34" i="10" s="1"/>
  <c r="BA34" i="10" s="1"/>
  <c r="BB34" i="10" s="1"/>
  <c r="AH34" i="10"/>
  <c r="AI34" i="10" s="1"/>
  <c r="AJ34" i="10" s="1"/>
  <c r="AK34" i="10" s="1"/>
  <c r="AL34" i="10" s="1"/>
  <c r="AM34" i="10" s="1"/>
  <c r="AN34" i="10" s="1"/>
  <c r="AO34" i="10" s="1"/>
  <c r="AT37" i="10"/>
  <c r="AU37" i="10" s="1"/>
  <c r="AV37" i="10" s="1"/>
  <c r="AW37" i="10" s="1"/>
  <c r="AX37" i="10" s="1"/>
  <c r="AY37" i="10" s="1"/>
  <c r="AZ37" i="10" s="1"/>
  <c r="BA37" i="10" s="1"/>
  <c r="BB37" i="10" s="1"/>
  <c r="AH37" i="10"/>
  <c r="AI37" i="10" s="1"/>
  <c r="AJ37" i="10" s="1"/>
  <c r="AK37" i="10" s="1"/>
  <c r="AL37" i="10" s="1"/>
  <c r="AM37" i="10" s="1"/>
  <c r="AN37" i="10" s="1"/>
  <c r="AO37" i="10" s="1"/>
  <c r="AH35" i="10"/>
  <c r="AI35" i="10" s="1"/>
  <c r="AJ35" i="10" s="1"/>
  <c r="AK35" i="10" s="1"/>
  <c r="AL35" i="10" s="1"/>
  <c r="AM35" i="10" s="1"/>
  <c r="AN35" i="10" s="1"/>
  <c r="AO35" i="10" s="1"/>
  <c r="AH36" i="10"/>
  <c r="AI36" i="10" s="1"/>
  <c r="AJ36" i="10" s="1"/>
  <c r="AK36" i="10" s="1"/>
  <c r="AL36" i="10" s="1"/>
  <c r="AM36" i="10" s="1"/>
  <c r="AN36" i="10" s="1"/>
  <c r="AO36" i="10" s="1"/>
  <c r="D6" i="31"/>
  <c r="D8" i="31"/>
  <c r="H13" i="31"/>
  <c r="BL52" i="6"/>
  <c r="BL51" i="6"/>
  <c r="BL50" i="6"/>
  <c r="BL49" i="6"/>
  <c r="BL48" i="6"/>
  <c r="BL47" i="6"/>
  <c r="BL46" i="6"/>
  <c r="BL45" i="6"/>
  <c r="BL44" i="6"/>
  <c r="BL43" i="6"/>
  <c r="BL42" i="6"/>
  <c r="BL41" i="6"/>
  <c r="BL40" i="6"/>
  <c r="BL39" i="6"/>
  <c r="BL38" i="6"/>
  <c r="BL37" i="6"/>
  <c r="BL36" i="6"/>
  <c r="BL35" i="6"/>
  <c r="BL34" i="6"/>
  <c r="BL33" i="6"/>
  <c r="BL32" i="6"/>
  <c r="BL31" i="6"/>
  <c r="BL30" i="6"/>
  <c r="BL29" i="6"/>
  <c r="BL28" i="6"/>
  <c r="BL27" i="6"/>
  <c r="BL26" i="6"/>
  <c r="BL25" i="6"/>
  <c r="BL24" i="6"/>
  <c r="BL23" i="6"/>
  <c r="BL22" i="6"/>
  <c r="BL21" i="6"/>
  <c r="BL20" i="6"/>
  <c r="BL19" i="6"/>
  <c r="BL18" i="6"/>
  <c r="BL17" i="6"/>
  <c r="BL16" i="6"/>
  <c r="BL15" i="6"/>
  <c r="BL14" i="6"/>
  <c r="BL13" i="6"/>
  <c r="BK12" i="6"/>
  <c r="BK59" i="6" s="1"/>
  <c r="BJ12" i="6"/>
  <c r="BJ59" i="6" s="1"/>
  <c r="BI12" i="6"/>
  <c r="BI59" i="6" s="1"/>
  <c r="BH12" i="6"/>
  <c r="BH59" i="6" s="1"/>
  <c r="BG12" i="6"/>
  <c r="BG59" i="6" s="1"/>
  <c r="BF12" i="6"/>
  <c r="BF59" i="6" s="1"/>
  <c r="BE12" i="6"/>
  <c r="BE59" i="6" s="1"/>
  <c r="BD12" i="6"/>
  <c r="BD59" i="6" s="1"/>
  <c r="BC12" i="6"/>
  <c r="BC59" i="6" s="1"/>
  <c r="BB12" i="6"/>
  <c r="BB59" i="6" s="1"/>
  <c r="BA12" i="6"/>
  <c r="BA59" i="6" s="1"/>
  <c r="AZ12" i="6"/>
  <c r="AZ59" i="6" s="1"/>
  <c r="P21" i="24" l="1"/>
  <c r="J36" i="8"/>
  <c r="L36" i="8"/>
  <c r="L19" i="12"/>
  <c r="BL55" i="6"/>
  <c r="BL56" i="6"/>
  <c r="D5" i="31"/>
  <c r="BL12" i="6"/>
  <c r="L24" i="12" l="1"/>
  <c r="BL59" i="6"/>
  <c r="AY52" i="6"/>
  <c r="AY51" i="6"/>
  <c r="AY50" i="6"/>
  <c r="AY49" i="6"/>
  <c r="AY48" i="6"/>
  <c r="AY47" i="6"/>
  <c r="AY46" i="6"/>
  <c r="AY45" i="6"/>
  <c r="AY44" i="6"/>
  <c r="AY43" i="6"/>
  <c r="AY42" i="6"/>
  <c r="AY41" i="6"/>
  <c r="AY40" i="6"/>
  <c r="AY39" i="6"/>
  <c r="AY38" i="6"/>
  <c r="AY37" i="6"/>
  <c r="AY36" i="6"/>
  <c r="AY35" i="6"/>
  <c r="AY34" i="6"/>
  <c r="AY33" i="6"/>
  <c r="AY32" i="6"/>
  <c r="AY31" i="6"/>
  <c r="AY30" i="6"/>
  <c r="AY29" i="6"/>
  <c r="AY28" i="6"/>
  <c r="AY27" i="6"/>
  <c r="AY26" i="6"/>
  <c r="AY25" i="6"/>
  <c r="AY24" i="6"/>
  <c r="AY23" i="6"/>
  <c r="AY22" i="6"/>
  <c r="AY21" i="6"/>
  <c r="AY20" i="6"/>
  <c r="AY19" i="6"/>
  <c r="AY18" i="6"/>
  <c r="AY17" i="6"/>
  <c r="AY16" i="6"/>
  <c r="AY15" i="6"/>
  <c r="AY14" i="6"/>
  <c r="AY56" i="6" s="1"/>
  <c r="AY13" i="6"/>
  <c r="AX12" i="6"/>
  <c r="AX59" i="6" s="1"/>
  <c r="AW12" i="6"/>
  <c r="AW59" i="6" s="1"/>
  <c r="AV12" i="6"/>
  <c r="AV59" i="6" s="1"/>
  <c r="AU12" i="6"/>
  <c r="AU59" i="6" s="1"/>
  <c r="AT12" i="6"/>
  <c r="AT59" i="6" s="1"/>
  <c r="AS12" i="6"/>
  <c r="AS59" i="6" s="1"/>
  <c r="AR12" i="6"/>
  <c r="AR59" i="6" s="1"/>
  <c r="AQ12" i="6"/>
  <c r="AQ59" i="6" s="1"/>
  <c r="AP12" i="6"/>
  <c r="AP59" i="6" s="1"/>
  <c r="AO12" i="6"/>
  <c r="AO59" i="6" s="1"/>
  <c r="AN12" i="6"/>
  <c r="AN59" i="6" s="1"/>
  <c r="AM12" i="6"/>
  <c r="AM59" i="6" s="1"/>
  <c r="AL52" i="6"/>
  <c r="AL51" i="6"/>
  <c r="AL50" i="6"/>
  <c r="AL49" i="6"/>
  <c r="AL48" i="6"/>
  <c r="AL47" i="6"/>
  <c r="AL46" i="6"/>
  <c r="AL45" i="6"/>
  <c r="AL44" i="6"/>
  <c r="AL43" i="6"/>
  <c r="AL42" i="6"/>
  <c r="AL41" i="6"/>
  <c r="AL40" i="6"/>
  <c r="AL39" i="6"/>
  <c r="AL38" i="6"/>
  <c r="AL37" i="6"/>
  <c r="AL36" i="6"/>
  <c r="AL35" i="6"/>
  <c r="AL34" i="6"/>
  <c r="AL33" i="6"/>
  <c r="AL32" i="6"/>
  <c r="AL31" i="6"/>
  <c r="AL30" i="6"/>
  <c r="AL29" i="6"/>
  <c r="AL28" i="6"/>
  <c r="AL27" i="6"/>
  <c r="AL26" i="6"/>
  <c r="AL25" i="6"/>
  <c r="AL24" i="6"/>
  <c r="AL23" i="6"/>
  <c r="AL22" i="6"/>
  <c r="AL21" i="6"/>
  <c r="AL20" i="6"/>
  <c r="H20" i="6" s="1"/>
  <c r="V36" i="8" s="1"/>
  <c r="AL19" i="6"/>
  <c r="H19" i="6" s="1"/>
  <c r="AL18" i="6"/>
  <c r="H18" i="6" s="1"/>
  <c r="AL17" i="6"/>
  <c r="H17" i="6" s="1"/>
  <c r="AL16" i="6"/>
  <c r="H16" i="6" s="1"/>
  <c r="AL15" i="6"/>
  <c r="H15" i="6" s="1"/>
  <c r="AL14" i="6"/>
  <c r="H14" i="6" s="1"/>
  <c r="Q22" i="24" s="1"/>
  <c r="AL13" i="6"/>
  <c r="AK12" i="6"/>
  <c r="AK59" i="6" s="1"/>
  <c r="AJ12" i="6"/>
  <c r="AJ59" i="6" s="1"/>
  <c r="AI12" i="6"/>
  <c r="AI59" i="6" s="1"/>
  <c r="AH12" i="6"/>
  <c r="AH59" i="6" s="1"/>
  <c r="AG12" i="6"/>
  <c r="AG59" i="6" s="1"/>
  <c r="AF12" i="6"/>
  <c r="AF59" i="6" s="1"/>
  <c r="AE12" i="6"/>
  <c r="AE59" i="6" s="1"/>
  <c r="AD12" i="6"/>
  <c r="AD59" i="6" s="1"/>
  <c r="AC12" i="6"/>
  <c r="AC59" i="6" s="1"/>
  <c r="AB12" i="6"/>
  <c r="AB59" i="6" s="1"/>
  <c r="AA12" i="6"/>
  <c r="AA59" i="6" s="1"/>
  <c r="Z12" i="6"/>
  <c r="Z59" i="6" s="1"/>
  <c r="AY55" i="6" l="1"/>
  <c r="H13" i="6"/>
  <c r="AL55" i="6"/>
  <c r="D4" i="6"/>
  <c r="W19" i="12"/>
  <c r="W25" i="12" s="1"/>
  <c r="AF19" i="12"/>
  <c r="G19" i="12"/>
  <c r="G25" i="12" s="1"/>
  <c r="Q19" i="12"/>
  <c r="AD19" i="12"/>
  <c r="AD25" i="12" s="1"/>
  <c r="AL56" i="6"/>
  <c r="AL57" i="6"/>
  <c r="AY12" i="6"/>
  <c r="AL12" i="6"/>
  <c r="Q21" i="24" l="1"/>
  <c r="Z36" i="8"/>
  <c r="Z19" i="12"/>
  <c r="H36" i="8"/>
  <c r="N36" i="8"/>
  <c r="J19" i="12"/>
  <c r="AD24" i="12"/>
  <c r="W24" i="12"/>
  <c r="AY59" i="6"/>
  <c r="P22" i="24"/>
  <c r="P36" i="8"/>
  <c r="AC19" i="12"/>
  <c r="AC25" i="12" s="1"/>
  <c r="P23" i="24"/>
  <c r="AF18" i="12"/>
  <c r="AF20" i="12" s="1"/>
  <c r="AF24" i="12"/>
  <c r="R19" i="24"/>
  <c r="Q24" i="12"/>
  <c r="G24" i="12"/>
  <c r="F19" i="12"/>
  <c r="W18" i="12"/>
  <c r="W20" i="12" s="1"/>
  <c r="AD18" i="12"/>
  <c r="AD20" i="12" s="1"/>
  <c r="Q18" i="12"/>
  <c r="Q20" i="12" s="1"/>
  <c r="G18" i="12"/>
  <c r="G20" i="12" s="1"/>
  <c r="H12" i="6"/>
  <c r="H54" i="6"/>
  <c r="AE19" i="12"/>
  <c r="AE25" i="12" s="1"/>
  <c r="H19" i="12"/>
  <c r="P19" i="12"/>
  <c r="AL59" i="6"/>
  <c r="X19" i="12"/>
  <c r="X25" i="12" s="1"/>
  <c r="AB19" i="12"/>
  <c r="AB25" i="12" s="1"/>
  <c r="U19" i="12"/>
  <c r="Z25" i="12" l="1"/>
  <c r="Z24" i="12"/>
  <c r="Z18" i="12"/>
  <c r="Z20" i="12" s="1"/>
  <c r="F24" i="12"/>
  <c r="J24" i="12"/>
  <c r="AE24" i="12"/>
  <c r="U24" i="12"/>
  <c r="X24" i="12"/>
  <c r="AB24" i="12"/>
  <c r="P19" i="24"/>
  <c r="AC18" i="12"/>
  <c r="AC20" i="12" s="1"/>
  <c r="AA18" i="12"/>
  <c r="AA20" i="12" s="1"/>
  <c r="AA24" i="12"/>
  <c r="F36" i="8"/>
  <c r="Q19" i="24"/>
  <c r="K19" i="12"/>
  <c r="H24" i="12"/>
  <c r="P24" i="12"/>
  <c r="R19" i="12"/>
  <c r="F18" i="12"/>
  <c r="F20" i="12" s="1"/>
  <c r="AE18" i="12"/>
  <c r="AE20" i="12" s="1"/>
  <c r="U18" i="12"/>
  <c r="U20" i="12" s="1"/>
  <c r="AB18" i="12"/>
  <c r="AB20" i="12" s="1"/>
  <c r="X18" i="12"/>
  <c r="X20" i="12" s="1"/>
  <c r="J18" i="12"/>
  <c r="H18" i="12"/>
  <c r="H20" i="12" s="1"/>
  <c r="P18" i="12"/>
  <c r="P20" i="12" s="1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K24" i="12" l="1"/>
  <c r="J20" i="12"/>
  <c r="K18" i="12"/>
  <c r="S19" i="12"/>
  <c r="R18" i="12"/>
  <c r="R20" i="12" s="1"/>
  <c r="R24" i="12"/>
  <c r="BD97" i="10"/>
  <c r="BD96" i="10"/>
  <c r="BD95" i="10"/>
  <c r="BD94" i="10"/>
  <c r="BD91" i="10"/>
  <c r="BD90" i="10"/>
  <c r="BD89" i="10"/>
  <c r="BD88" i="10"/>
  <c r="BD133" i="10"/>
  <c r="BD132" i="10"/>
  <c r="BD131" i="10"/>
  <c r="BD130" i="10"/>
  <c r="BD61" i="10"/>
  <c r="BD60" i="10"/>
  <c r="BD59" i="10"/>
  <c r="BD58" i="10"/>
  <c r="BD127" i="10"/>
  <c r="BD126" i="10"/>
  <c r="BD125" i="10"/>
  <c r="BD124" i="10"/>
  <c r="BD121" i="10"/>
  <c r="BD120" i="10"/>
  <c r="BD119" i="10"/>
  <c r="BD118" i="10"/>
  <c r="BD109" i="10"/>
  <c r="BD108" i="10"/>
  <c r="BD107" i="10"/>
  <c r="BD19" i="10"/>
  <c r="BD18" i="10"/>
  <c r="BD17" i="10"/>
  <c r="BD16" i="10"/>
  <c r="BD31" i="10"/>
  <c r="BD30" i="10"/>
  <c r="BD29" i="10"/>
  <c r="BD28" i="10"/>
  <c r="BD13" i="10"/>
  <c r="BD12" i="10"/>
  <c r="BD11" i="10"/>
  <c r="BD10" i="10"/>
  <c r="BD7" i="10"/>
  <c r="BD6" i="10"/>
  <c r="BD5" i="10"/>
  <c r="BD4" i="10"/>
  <c r="BC87" i="7"/>
  <c r="BC86" i="7"/>
  <c r="BC85" i="7"/>
  <c r="BC84" i="7"/>
  <c r="BC83" i="7"/>
  <c r="BC82" i="7"/>
  <c r="BC51" i="7"/>
  <c r="BC50" i="7"/>
  <c r="BC49" i="7"/>
  <c r="BC48" i="7"/>
  <c r="BC47" i="7"/>
  <c r="BC46" i="7"/>
  <c r="BC135" i="7"/>
  <c r="BC134" i="7"/>
  <c r="BC133" i="7"/>
  <c r="BC132" i="7"/>
  <c r="BC131" i="7"/>
  <c r="BC130" i="7"/>
  <c r="BC63" i="7"/>
  <c r="BC62" i="7"/>
  <c r="BC61" i="7"/>
  <c r="BC60" i="7"/>
  <c r="BC59" i="7"/>
  <c r="BC58" i="7"/>
  <c r="BC129" i="7"/>
  <c r="BC128" i="7"/>
  <c r="BC127" i="7"/>
  <c r="BC126" i="7"/>
  <c r="BC125" i="7"/>
  <c r="BC124" i="7"/>
  <c r="BC39" i="7"/>
  <c r="BC38" i="7"/>
  <c r="BC37" i="7"/>
  <c r="BC36" i="7"/>
  <c r="BC35" i="7"/>
  <c r="BC34" i="7"/>
  <c r="BC123" i="7"/>
  <c r="BC122" i="7"/>
  <c r="BC121" i="7"/>
  <c r="BC120" i="7"/>
  <c r="BC119" i="7"/>
  <c r="BC118" i="7"/>
  <c r="BC27" i="7"/>
  <c r="BC26" i="7"/>
  <c r="BC25" i="7"/>
  <c r="BC24" i="7"/>
  <c r="BC23" i="7"/>
  <c r="BC22" i="7"/>
  <c r="BC9" i="7"/>
  <c r="BC8" i="7"/>
  <c r="BC7" i="7"/>
  <c r="BC6" i="7"/>
  <c r="BC5" i="7"/>
  <c r="BC4" i="7"/>
  <c r="BC21" i="7"/>
  <c r="BC20" i="7"/>
  <c r="BC19" i="7"/>
  <c r="BC18" i="7"/>
  <c r="BC17" i="7"/>
  <c r="BC16" i="7"/>
  <c r="BC33" i="7"/>
  <c r="BC32" i="7"/>
  <c r="BC31" i="7"/>
  <c r="BC30" i="7"/>
  <c r="BC29" i="7"/>
  <c r="BC28" i="7"/>
  <c r="CM20" i="31" l="1"/>
  <c r="CI19" i="31"/>
  <c r="CE18" i="31"/>
  <c r="CM16" i="31"/>
  <c r="CI15" i="31"/>
  <c r="CE14" i="31"/>
  <c r="BY19" i="31"/>
  <c r="BT18" i="31"/>
  <c r="BZ16" i="31"/>
  <c r="BU15" i="31"/>
  <c r="BP14" i="31"/>
  <c r="CK20" i="31"/>
  <c r="CG15" i="31"/>
  <c r="BR18" i="31"/>
  <c r="BS15" i="31"/>
  <c r="BR15" i="31"/>
  <c r="CI20" i="31"/>
  <c r="CI16" i="31"/>
  <c r="BU19" i="31"/>
  <c r="BQ15" i="31"/>
  <c r="BO17" i="31"/>
  <c r="CL17" i="31"/>
  <c r="CH16" i="31"/>
  <c r="BT19" i="31"/>
  <c r="BU16" i="31"/>
  <c r="BO16" i="31"/>
  <c r="BR16" i="31"/>
  <c r="CL18" i="31"/>
  <c r="BP19" i="31"/>
  <c r="CG17" i="31"/>
  <c r="CC16" i="31"/>
  <c r="BU17" i="31"/>
  <c r="CJ18" i="31"/>
  <c r="CJ14" i="31"/>
  <c r="BZ15" i="31"/>
  <c r="CE17" i="31"/>
  <c r="BX18" i="31"/>
  <c r="CD17" i="31"/>
  <c r="CH14" i="31"/>
  <c r="BX15" i="31"/>
  <c r="CG18" i="31"/>
  <c r="BV18" i="31"/>
  <c r="BR14" i="31"/>
  <c r="CJ19" i="31"/>
  <c r="BU18" i="31"/>
  <c r="CL20" i="31"/>
  <c r="CH19" i="31"/>
  <c r="CD18" i="31"/>
  <c r="CL16" i="31"/>
  <c r="CH15" i="31"/>
  <c r="CD14" i="31"/>
  <c r="BX19" i="31"/>
  <c r="BS18" i="31"/>
  <c r="BY16" i="31"/>
  <c r="BT15" i="31"/>
  <c r="BO20" i="31"/>
  <c r="CG19" i="31"/>
  <c r="CC18" i="31"/>
  <c r="CK16" i="31"/>
  <c r="CC14" i="31"/>
  <c r="BW19" i="31"/>
  <c r="BX16" i="31"/>
  <c r="BO19" i="31"/>
  <c r="BO18" i="31"/>
  <c r="CE19" i="31"/>
  <c r="CE15" i="31"/>
  <c r="BZ20" i="31"/>
  <c r="BV16" i="31"/>
  <c r="CH20" i="31"/>
  <c r="CD15" i="31"/>
  <c r="BZ17" i="31"/>
  <c r="CD20" i="31"/>
  <c r="CL14" i="31"/>
  <c r="BV17" i="31"/>
  <c r="CK18" i="31"/>
  <c r="CK14" i="31"/>
  <c r="BP16" i="31"/>
  <c r="CB20" i="31"/>
  <c r="BS20" i="31"/>
  <c r="CM19" i="31"/>
  <c r="CI14" i="31"/>
  <c r="BT14" i="31"/>
  <c r="CH18" i="31"/>
  <c r="BQ20" i="31"/>
  <c r="BS14" i="31"/>
  <c r="CC17" i="31"/>
  <c r="BP20" i="31"/>
  <c r="BW15" i="31"/>
  <c r="CB17" i="31"/>
  <c r="CF14" i="31"/>
  <c r="BP17" i="31"/>
  <c r="CJ20" i="31"/>
  <c r="CF19" i="31"/>
  <c r="CB18" i="31"/>
  <c r="CJ16" i="31"/>
  <c r="CF15" i="31"/>
  <c r="CB14" i="31"/>
  <c r="BV19" i="31"/>
  <c r="BQ18" i="31"/>
  <c r="BW16" i="31"/>
  <c r="CM17" i="31"/>
  <c r="BP18" i="31"/>
  <c r="CD19" i="31"/>
  <c r="BY20" i="31"/>
  <c r="BP15" i="31"/>
  <c r="CD16" i="31"/>
  <c r="BW14" i="31"/>
  <c r="BZ18" i="31"/>
  <c r="CF17" i="31"/>
  <c r="BT17" i="31"/>
  <c r="CI18" i="31"/>
  <c r="BS17" i="31"/>
  <c r="CL15" i="31"/>
  <c r="BR17" i="31"/>
  <c r="CK15" i="31"/>
  <c r="CJ15" i="31"/>
  <c r="BV15" i="31"/>
  <c r="CG20" i="31"/>
  <c r="CC19" i="31"/>
  <c r="CK17" i="31"/>
  <c r="CG16" i="31"/>
  <c r="CC15" i="31"/>
  <c r="BX20" i="31"/>
  <c r="BS19" i="31"/>
  <c r="BY17" i="31"/>
  <c r="BT16" i="31"/>
  <c r="BZ14" i="31"/>
  <c r="BO15" i="31"/>
  <c r="CF20" i="31"/>
  <c r="CB19" i="31"/>
  <c r="CJ17" i="31"/>
  <c r="CF16" i="31"/>
  <c r="CB15" i="31"/>
  <c r="BW20" i="31"/>
  <c r="BR19" i="31"/>
  <c r="BX17" i="31"/>
  <c r="BS16" i="31"/>
  <c r="BY14" i="31"/>
  <c r="BO14" i="31"/>
  <c r="CE20" i="31"/>
  <c r="CM18" i="31"/>
  <c r="CI17" i="31"/>
  <c r="CE16" i="31"/>
  <c r="CM14" i="31"/>
  <c r="BV20" i="31"/>
  <c r="BQ19" i="31"/>
  <c r="BW17" i="31"/>
  <c r="BX14" i="31"/>
  <c r="CH17" i="31"/>
  <c r="BU20" i="31"/>
  <c r="BQ16" i="31"/>
  <c r="CC20" i="31"/>
  <c r="BT20" i="31"/>
  <c r="BV14" i="31"/>
  <c r="CB16" i="31"/>
  <c r="BY18" i="31"/>
  <c r="BU14" i="31"/>
  <c r="CM15" i="31"/>
  <c r="BR20" i="31"/>
  <c r="BY15" i="31"/>
  <c r="CL19" i="31"/>
  <c r="BW18" i="31"/>
  <c r="CK19" i="31"/>
  <c r="CG14" i="31"/>
  <c r="BQ17" i="31"/>
  <c r="CF18" i="31"/>
  <c r="BZ19" i="31"/>
  <c r="BQ14" i="31"/>
  <c r="FJ52" i="6"/>
  <c r="FD27" i="6"/>
  <c r="FB41" i="6"/>
  <c r="FB47" i="6"/>
  <c r="FI33" i="6"/>
  <c r="FK31" i="6"/>
  <c r="FB50" i="6"/>
  <c r="FL22" i="6"/>
  <c r="FB45" i="6"/>
  <c r="FH36" i="6"/>
  <c r="FB27" i="6"/>
  <c r="FH32" i="6"/>
  <c r="FK52" i="6"/>
  <c r="FG36" i="6"/>
  <c r="FG34" i="6"/>
  <c r="FG22" i="6"/>
  <c r="FF28" i="6"/>
  <c r="FM41" i="6"/>
  <c r="FM40" i="6"/>
  <c r="FC49" i="6"/>
  <c r="FM47" i="6"/>
  <c r="FJ29" i="6"/>
  <c r="FJ27" i="6"/>
  <c r="FD47" i="6"/>
  <c r="FH21" i="6"/>
  <c r="FF29" i="6"/>
  <c r="FK49" i="6"/>
  <c r="FK15" i="6"/>
  <c r="FI22" i="6"/>
  <c r="FM49" i="6"/>
  <c r="FE42" i="6"/>
  <c r="FD25" i="6"/>
  <c r="FM27" i="6"/>
  <c r="FH26" i="6"/>
  <c r="FL43" i="6"/>
  <c r="FI46" i="6"/>
  <c r="FD49" i="6"/>
  <c r="FH35" i="6"/>
  <c r="FH50" i="6"/>
  <c r="FK22" i="6"/>
  <c r="FK46" i="6"/>
  <c r="FH15" i="6"/>
  <c r="FL48" i="6"/>
  <c r="FJ40" i="6"/>
  <c r="FC15" i="6"/>
  <c r="FJ21" i="6"/>
  <c r="FK41" i="6"/>
  <c r="FD43" i="6"/>
  <c r="FK32" i="6"/>
  <c r="FL26" i="6"/>
  <c r="FC46" i="6"/>
  <c r="FJ35" i="6"/>
  <c r="FH46" i="6"/>
  <c r="FF15" i="6"/>
  <c r="FF38" i="6"/>
  <c r="FJ38" i="6"/>
  <c r="FM19" i="6"/>
  <c r="FM21" i="6"/>
  <c r="FI26" i="6"/>
  <c r="FK44" i="6"/>
  <c r="FB37" i="6"/>
  <c r="FB28" i="6"/>
  <c r="FD29" i="6"/>
  <c r="FI29" i="6"/>
  <c r="FD31" i="6"/>
  <c r="FK33" i="6"/>
  <c r="FD35" i="6"/>
  <c r="FD21" i="6"/>
  <c r="FM38" i="6"/>
  <c r="FH29" i="6"/>
  <c r="FE32" i="6"/>
  <c r="FH33" i="6"/>
  <c r="FM30" i="6"/>
  <c r="FI48" i="6"/>
  <c r="FD51" i="6"/>
  <c r="FH25" i="6"/>
  <c r="FG50" i="6"/>
  <c r="FI51" i="6"/>
  <c r="FE30" i="6"/>
  <c r="FB39" i="6"/>
  <c r="FI49" i="6"/>
  <c r="FL34" i="6"/>
  <c r="FB19" i="6"/>
  <c r="FF21" i="6"/>
  <c r="FI41" i="6"/>
  <c r="FK34" i="6"/>
  <c r="FF52" i="6"/>
  <c r="FJ26" i="6"/>
  <c r="FG39" i="6"/>
  <c r="FK48" i="6"/>
  <c r="FD28" i="6"/>
  <c r="FH45" i="6"/>
  <c r="FL19" i="6"/>
  <c r="FJ19" i="6"/>
  <c r="FE48" i="6"/>
  <c r="FJ15" i="6"/>
  <c r="FE33" i="6"/>
  <c r="FJ50" i="6"/>
  <c r="FK37" i="6"/>
  <c r="FD52" i="6"/>
  <c r="FG48" i="6"/>
  <c r="FB31" i="6"/>
  <c r="FI15" i="6"/>
  <c r="FC32" i="6"/>
  <c r="FF42" i="6"/>
  <c r="FM44" i="6"/>
  <c r="FI34" i="6"/>
  <c r="FB48" i="6"/>
  <c r="FF47" i="6"/>
  <c r="FB30" i="6"/>
  <c r="FB15" i="6"/>
  <c r="FH52" i="6"/>
  <c r="FI45" i="6"/>
  <c r="FG52" i="6"/>
  <c r="FJ45" i="6"/>
  <c r="FC45" i="6"/>
  <c r="FC29" i="6"/>
  <c r="FI32" i="6"/>
  <c r="FJ47" i="6"/>
  <c r="FJ30" i="6"/>
  <c r="FC38" i="6"/>
  <c r="FB49" i="6"/>
  <c r="FK51" i="6"/>
  <c r="FJ36" i="6"/>
  <c r="FK35" i="6"/>
  <c r="FC40" i="6"/>
  <c r="FF40" i="6"/>
  <c r="FC30" i="6"/>
  <c r="FI40" i="6"/>
  <c r="FH44" i="6"/>
  <c r="FL52" i="6"/>
  <c r="FH27" i="6"/>
  <c r="FM48" i="6"/>
  <c r="FE34" i="6"/>
  <c r="FF19" i="6"/>
  <c r="FD50" i="6"/>
  <c r="FH38" i="6"/>
  <c r="FB22" i="6"/>
  <c r="FK21" i="6"/>
  <c r="FH49" i="6"/>
  <c r="FE39" i="6"/>
  <c r="FE45" i="6"/>
  <c r="FC44" i="6"/>
  <c r="FI28" i="6"/>
  <c r="FC25" i="6"/>
  <c r="FI43" i="6"/>
  <c r="FG38" i="6"/>
  <c r="FF33" i="6"/>
  <c r="FC42" i="6"/>
  <c r="FE35" i="6"/>
  <c r="FF48" i="6"/>
  <c r="FE50" i="6"/>
  <c r="FG43" i="6"/>
  <c r="FF44" i="6"/>
  <c r="FB32" i="6"/>
  <c r="FK43" i="6"/>
  <c r="FH39" i="6"/>
  <c r="FC21" i="6"/>
  <c r="FD46" i="6"/>
  <c r="FG30" i="6"/>
  <c r="FK39" i="6"/>
  <c r="FJ33" i="6"/>
  <c r="FG47" i="6"/>
  <c r="FL47" i="6"/>
  <c r="FF22" i="6"/>
  <c r="FE31" i="6"/>
  <c r="FI35" i="6"/>
  <c r="FI52" i="6"/>
  <c r="FM26" i="6"/>
  <c r="FM33" i="6"/>
  <c r="FM31" i="6"/>
  <c r="FJ31" i="6"/>
  <c r="FB42" i="6"/>
  <c r="FE37" i="6"/>
  <c r="FK28" i="6"/>
  <c r="FI31" i="6"/>
  <c r="FK27" i="6"/>
  <c r="FE36" i="6"/>
  <c r="FG19" i="6"/>
  <c r="FF32" i="6"/>
  <c r="FK47" i="6"/>
  <c r="FK26" i="6"/>
  <c r="FM42" i="6"/>
  <c r="FI27" i="6"/>
  <c r="FB46" i="6"/>
  <c r="FI50" i="6"/>
  <c r="FC43" i="6"/>
  <c r="FC28" i="6"/>
  <c r="FE38" i="6"/>
  <c r="FF46" i="6"/>
  <c r="FE29" i="6"/>
  <c r="FM50" i="6"/>
  <c r="FG25" i="6"/>
  <c r="FM43" i="6"/>
  <c r="FK30" i="6"/>
  <c r="FD30" i="6"/>
  <c r="FC41" i="6"/>
  <c r="FG32" i="6"/>
  <c r="FE19" i="6"/>
  <c r="FM29" i="6"/>
  <c r="FH47" i="6"/>
  <c r="FL21" i="6"/>
  <c r="FH19" i="6"/>
  <c r="FD45" i="6"/>
  <c r="FD39" i="6"/>
  <c r="FH51" i="6"/>
  <c r="FH37" i="6"/>
  <c r="FL25" i="6"/>
  <c r="FE47" i="6"/>
  <c r="FC51" i="6"/>
  <c r="FB25" i="6"/>
  <c r="FE26" i="6"/>
  <c r="FK40" i="6"/>
  <c r="FC35" i="6"/>
  <c r="FJ44" i="6"/>
  <c r="FD19" i="6"/>
  <c r="FG49" i="6"/>
  <c r="FI37" i="6"/>
  <c r="FE21" i="6"/>
  <c r="FH28" i="6"/>
  <c r="FB33" i="6"/>
  <c r="FI19" i="6"/>
  <c r="FC36" i="6"/>
  <c r="FG28" i="6"/>
  <c r="FF45" i="6"/>
  <c r="FL45" i="6"/>
  <c r="FF43" i="6"/>
  <c r="FM32" i="6"/>
  <c r="FB40" i="6"/>
  <c r="FE22" i="6"/>
  <c r="FG31" i="6"/>
  <c r="FE40" i="6"/>
  <c r="FL40" i="6"/>
  <c r="FG41" i="6"/>
  <c r="FL44" i="6"/>
  <c r="FD37" i="6"/>
  <c r="FB38" i="6"/>
  <c r="FH41" i="6"/>
  <c r="FB52" i="6"/>
  <c r="FM46" i="6"/>
  <c r="FH43" i="6"/>
  <c r="FE46" i="6"/>
  <c r="FI21" i="6"/>
  <c r="FC22" i="6"/>
  <c r="FL50" i="6"/>
  <c r="FF25" i="6"/>
  <c r="FM35" i="6"/>
  <c r="FL49" i="6"/>
  <c r="FK50" i="6"/>
  <c r="FE25" i="6"/>
  <c r="FK38" i="6"/>
  <c r="FJ42" i="6"/>
  <c r="FM39" i="6"/>
  <c r="FK29" i="6"/>
  <c r="FD44" i="6"/>
  <c r="FD40" i="6"/>
  <c r="FL35" i="6"/>
  <c r="FF35" i="6"/>
  <c r="FI38" i="6"/>
  <c r="FC37" i="6"/>
  <c r="FE15" i="6"/>
  <c r="FL39" i="6"/>
  <c r="FB44" i="6"/>
  <c r="FG37" i="6"/>
  <c r="FL33" i="6"/>
  <c r="FI44" i="6"/>
  <c r="FC48" i="6"/>
  <c r="FJ46" i="6"/>
  <c r="FF49" i="6"/>
  <c r="FG26" i="6"/>
  <c r="FL41" i="6"/>
  <c r="FE49" i="6"/>
  <c r="FM25" i="6"/>
  <c r="FD41" i="6"/>
  <c r="FB26" i="6"/>
  <c r="FI25" i="6"/>
  <c r="FE28" i="6"/>
  <c r="FG40" i="6"/>
  <c r="FH42" i="6"/>
  <c r="FJ25" i="6"/>
  <c r="FF34" i="6"/>
  <c r="FM36" i="6"/>
  <c r="FB36" i="6"/>
  <c r="FD22" i="6"/>
  <c r="FI47" i="6"/>
  <c r="FE52" i="6"/>
  <c r="FJ32" i="6"/>
  <c r="FG35" i="6"/>
  <c r="FM22" i="6"/>
  <c r="FM45" i="6"/>
  <c r="FL37" i="6"/>
  <c r="FF39" i="6"/>
  <c r="FG46" i="6"/>
  <c r="FJ41" i="6"/>
  <c r="FC47" i="6"/>
  <c r="FG44" i="6"/>
  <c r="FF36" i="6"/>
  <c r="FJ37" i="6"/>
  <c r="FK36" i="6"/>
  <c r="FC34" i="6"/>
  <c r="FL42" i="6"/>
  <c r="FK42" i="6"/>
  <c r="FJ34" i="6"/>
  <c r="FD36" i="6"/>
  <c r="FL31" i="6"/>
  <c r="FC19" i="6"/>
  <c r="FH40" i="6"/>
  <c r="FK19" i="6"/>
  <c r="FE27" i="6"/>
  <c r="FF27" i="6"/>
  <c r="FG51" i="6"/>
  <c r="FE44" i="6"/>
  <c r="FI39" i="6"/>
  <c r="FM28" i="6"/>
  <c r="FM37" i="6"/>
  <c r="FF41" i="6"/>
  <c r="FL27" i="6"/>
  <c r="FF26" i="6"/>
  <c r="FB29" i="6"/>
  <c r="FL15" i="6"/>
  <c r="FB43" i="6"/>
  <c r="FB35" i="6"/>
  <c r="FG21" i="6"/>
  <c r="FC31" i="6"/>
  <c r="FF30" i="6"/>
  <c r="FC50" i="6"/>
  <c r="FD32" i="6"/>
  <c r="FJ51" i="6"/>
  <c r="FG45" i="6"/>
  <c r="FC52" i="6"/>
  <c r="FG29" i="6"/>
  <c r="FJ43" i="6"/>
  <c r="FE41" i="6"/>
  <c r="FI30" i="6"/>
  <c r="FI42" i="6"/>
  <c r="FL36" i="6"/>
  <c r="FF50" i="6"/>
  <c r="FJ22" i="6"/>
  <c r="FG15" i="6"/>
  <c r="FH30" i="6"/>
  <c r="FI36" i="6"/>
  <c r="FD33" i="6"/>
  <c r="FG33" i="6"/>
  <c r="FL29" i="6"/>
  <c r="FJ28" i="6"/>
  <c r="FH48" i="6"/>
  <c r="FM52" i="6"/>
  <c r="FL51" i="6"/>
  <c r="FG27" i="6"/>
  <c r="FJ39" i="6"/>
  <c r="FH34" i="6"/>
  <c r="FC27" i="6"/>
  <c r="FL38" i="6"/>
  <c r="FK45" i="6"/>
  <c r="FD42" i="6"/>
  <c r="FM15" i="6"/>
  <c r="FD48" i="6"/>
  <c r="FE51" i="6"/>
  <c r="FH31" i="6"/>
  <c r="FB34" i="6"/>
  <c r="FL30" i="6"/>
  <c r="FM51" i="6"/>
  <c r="FH22" i="6"/>
  <c r="FB51" i="6"/>
  <c r="FM34" i="6"/>
  <c r="FF31" i="6"/>
  <c r="FC33" i="6"/>
  <c r="FF51" i="6"/>
  <c r="FD26" i="6"/>
  <c r="FJ49" i="6"/>
  <c r="FB21" i="6"/>
  <c r="FL32" i="6"/>
  <c r="FD34" i="6"/>
  <c r="FL28" i="6"/>
  <c r="FC26" i="6"/>
  <c r="FJ48" i="6"/>
  <c r="FK25" i="6"/>
  <c r="FG42" i="6"/>
  <c r="FD38" i="6"/>
  <c r="FE43" i="6"/>
  <c r="FD15" i="6"/>
  <c r="FC39" i="6"/>
  <c r="FL46" i="6"/>
  <c r="FF37" i="6"/>
  <c r="EH36" i="6"/>
  <c r="EB19" i="6"/>
  <c r="DT19" i="6"/>
  <c r="DX19" i="6"/>
  <c r="EC50" i="6"/>
  <c r="ES34" i="6"/>
  <c r="DR18" i="6"/>
  <c r="DY35" i="6"/>
  <c r="EC49" i="6"/>
  <c r="EJ49" i="6"/>
  <c r="EE33" i="6"/>
  <c r="DV33" i="6"/>
  <c r="EZ43" i="6"/>
  <c r="EV43" i="6"/>
  <c r="EZ40" i="6"/>
  <c r="EC40" i="6"/>
  <c r="EX36" i="6"/>
  <c r="EX19" i="6"/>
  <c r="DW19" i="6"/>
  <c r="EX50" i="6"/>
  <c r="EQ50" i="6"/>
  <c r="EZ34" i="6"/>
  <c r="EB34" i="6"/>
  <c r="DX34" i="6"/>
  <c r="EO34" i="6"/>
  <c r="EW35" i="6"/>
  <c r="ER35" i="6"/>
  <c r="EO33" i="6"/>
  <c r="EZ33" i="6"/>
  <c r="EZ52" i="6"/>
  <c r="EM43" i="6"/>
  <c r="EI43" i="6"/>
  <c r="EE43" i="6"/>
  <c r="EP40" i="6"/>
  <c r="EI40" i="6"/>
  <c r="EO40" i="6"/>
  <c r="ER36" i="6"/>
  <c r="EJ36" i="6"/>
  <c r="EG36" i="6"/>
  <c r="EW36" i="6"/>
  <c r="EG19" i="6"/>
  <c r="EG50" i="6"/>
  <c r="ES50" i="6"/>
  <c r="EP50" i="6"/>
  <c r="EI34" i="6"/>
  <c r="EM34" i="6"/>
  <c r="DV43" i="6"/>
  <c r="DR43" i="6"/>
  <c r="DX40" i="6"/>
  <c r="DR40" i="6"/>
  <c r="EM40" i="6"/>
  <c r="DZ36" i="6"/>
  <c r="DS36" i="6"/>
  <c r="EV36" i="6"/>
  <c r="DR20" i="6"/>
  <c r="DP19" i="6"/>
  <c r="ER19" i="6"/>
  <c r="EJ19" i="6"/>
  <c r="DP50" i="6"/>
  <c r="EB50" i="6"/>
  <c r="DR34" i="6"/>
  <c r="EW34" i="6"/>
  <c r="EL34" i="6"/>
  <c r="DX43" i="6"/>
  <c r="EQ43" i="6"/>
  <c r="EH40" i="6"/>
  <c r="EE36" i="6"/>
  <c r="EU36" i="6"/>
  <c r="DZ19" i="6"/>
  <c r="DS19" i="6"/>
  <c r="EU19" i="6"/>
  <c r="ER34" i="6"/>
  <c r="DV34" i="6"/>
  <c r="EJ34" i="6"/>
  <c r="EY43" i="6"/>
  <c r="EP43" i="6"/>
  <c r="EB40" i="6"/>
  <c r="DV40" i="6"/>
  <c r="EZ36" i="6"/>
  <c r="DU36" i="6"/>
  <c r="EW19" i="6"/>
  <c r="EQ19" i="6"/>
  <c r="EW50" i="6"/>
  <c r="EY34" i="6"/>
  <c r="DZ34" i="6"/>
  <c r="EF34" i="6"/>
  <c r="EL43" i="6"/>
  <c r="EH43" i="6"/>
  <c r="DW43" i="6"/>
  <c r="EO43" i="6"/>
  <c r="EL40" i="6"/>
  <c r="EY40" i="6"/>
  <c r="DQ40" i="6"/>
  <c r="EQ36" i="6"/>
  <c r="EI36" i="6"/>
  <c r="ED36" i="6"/>
  <c r="EF19" i="6"/>
  <c r="EZ19" i="6"/>
  <c r="EF50" i="6"/>
  <c r="ER50" i="6"/>
  <c r="EH34" i="6"/>
  <c r="EV34" i="6"/>
  <c r="DU43" i="6"/>
  <c r="DQ43" i="6"/>
  <c r="ES43" i="6"/>
  <c r="EB43" i="6"/>
  <c r="DU40" i="6"/>
  <c r="DW40" i="6"/>
  <c r="DY36" i="6"/>
  <c r="DR36" i="6"/>
  <c r="ES36" i="6"/>
  <c r="DO19" i="6"/>
  <c r="EM19" i="6"/>
  <c r="EI19" i="6"/>
  <c r="DY19" i="6"/>
  <c r="DO50" i="6"/>
  <c r="DZ50" i="6"/>
  <c r="DV50" i="6"/>
  <c r="DQ34" i="6"/>
  <c r="EU34" i="6"/>
  <c r="DU34" i="6"/>
  <c r="EE34" i="6"/>
  <c r="ET43" i="6"/>
  <c r="DP40" i="6"/>
  <c r="EO36" i="6"/>
  <c r="DV19" i="6"/>
  <c r="DR19" i="6"/>
  <c r="DT34" i="6"/>
  <c r="EX43" i="6"/>
  <c r="ED43" i="6"/>
  <c r="ET40" i="6"/>
  <c r="EC36" i="6"/>
  <c r="EM36" i="6"/>
  <c r="EV19" i="6"/>
  <c r="EZ50" i="6"/>
  <c r="EV50" i="6"/>
  <c r="EO50" i="6"/>
  <c r="EL50" i="6"/>
  <c r="DU50" i="6"/>
  <c r="EX34" i="6"/>
  <c r="ED34" i="6"/>
  <c r="EP34" i="6"/>
  <c r="EK43" i="6"/>
  <c r="EG43" i="6"/>
  <c r="ER40" i="6"/>
  <c r="EK40" i="6"/>
  <c r="EX40" i="6"/>
  <c r="EP36" i="6"/>
  <c r="EY36" i="6"/>
  <c r="EF36" i="6"/>
  <c r="EE19" i="6"/>
  <c r="EY19" i="6"/>
  <c r="EI50" i="6"/>
  <c r="EE50" i="6"/>
  <c r="EJ50" i="6"/>
  <c r="EG34" i="6"/>
  <c r="EQ34" i="6"/>
  <c r="EK35" i="6"/>
  <c r="EI35" i="6"/>
  <c r="EU35" i="6"/>
  <c r="EE49" i="6"/>
  <c r="EQ49" i="6"/>
  <c r="EL49" i="6"/>
  <c r="EY33" i="6"/>
  <c r="EF33" i="6"/>
  <c r="DT43" i="6"/>
  <c r="DP43" i="6"/>
  <c r="EC43" i="6"/>
  <c r="DZ40" i="6"/>
  <c r="DT40" i="6"/>
  <c r="EG40" i="6"/>
  <c r="EW40" i="6"/>
  <c r="EE40" i="6"/>
  <c r="DX36" i="6"/>
  <c r="EB36" i="6"/>
  <c r="EL36" i="6"/>
  <c r="DO20" i="6"/>
  <c r="EL19" i="6"/>
  <c r="EH19" i="6"/>
  <c r="DR50" i="6"/>
  <c r="EM50" i="6"/>
  <c r="DY50" i="6"/>
  <c r="DP34" i="6"/>
  <c r="DS34" i="6"/>
  <c r="DW34" i="6"/>
  <c r="DT35" i="6"/>
  <c r="ET35" i="6"/>
  <c r="EY35" i="6"/>
  <c r="DY49" i="6"/>
  <c r="DU49" i="6"/>
  <c r="DT49" i="6"/>
  <c r="DT33" i="6"/>
  <c r="EK33" i="6"/>
  <c r="EV40" i="6"/>
  <c r="DO40" i="6"/>
  <c r="DW36" i="6"/>
  <c r="DQ36" i="6"/>
  <c r="ET19" i="6"/>
  <c r="DU19" i="6"/>
  <c r="DQ19" i="6"/>
  <c r="EU50" i="6"/>
  <c r="DW50" i="6"/>
  <c r="DT50" i="6"/>
  <c r="DZ35" i="6"/>
  <c r="EQ35" i="6"/>
  <c r="EU49" i="6"/>
  <c r="EZ49" i="6"/>
  <c r="DS49" i="6"/>
  <c r="EJ33" i="6"/>
  <c r="EX33" i="6"/>
  <c r="EC33" i="6"/>
  <c r="EW43" i="6"/>
  <c r="DZ43" i="6"/>
  <c r="ER43" i="6"/>
  <c r="EU43" i="6"/>
  <c r="EF40" i="6"/>
  <c r="EU40" i="6"/>
  <c r="ET36" i="6"/>
  <c r="DO36" i="6"/>
  <c r="EC19" i="6"/>
  <c r="EP19" i="6"/>
  <c r="EY50" i="6"/>
  <c r="ED50" i="6"/>
  <c r="DX50" i="6"/>
  <c r="EK50" i="6"/>
  <c r="ET34" i="6"/>
  <c r="EK34" i="6"/>
  <c r="DO34" i="6"/>
  <c r="EX35" i="6"/>
  <c r="EC35" i="6"/>
  <c r="ED49" i="6"/>
  <c r="DP49" i="6"/>
  <c r="DR49" i="6"/>
  <c r="DS33" i="6"/>
  <c r="DR33" i="6"/>
  <c r="EJ43" i="6"/>
  <c r="EF43" i="6"/>
  <c r="EQ40" i="6"/>
  <c r="EJ40" i="6"/>
  <c r="ES40" i="6"/>
  <c r="EK36" i="6"/>
  <c r="DP36" i="6"/>
  <c r="DV36" i="6"/>
  <c r="EO19" i="6"/>
  <c r="EH50" i="6"/>
  <c r="EC34" i="6"/>
  <c r="EG35" i="6"/>
  <c r="ES35" i="6"/>
  <c r="EB35" i="6"/>
  <c r="EP49" i="6"/>
  <c r="EK49" i="6"/>
  <c r="EI49" i="6"/>
  <c r="DS43" i="6"/>
  <c r="DO43" i="6"/>
  <c r="DY43" i="6"/>
  <c r="DY40" i="6"/>
  <c r="DS40" i="6"/>
  <c r="ED40" i="6"/>
  <c r="DT36" i="6"/>
  <c r="ES19" i="6"/>
  <c r="EK19" i="6"/>
  <c r="ED19" i="6"/>
  <c r="DQ50" i="6"/>
  <c r="ET50" i="6"/>
  <c r="DS50" i="6"/>
  <c r="DY34" i="6"/>
  <c r="DP35" i="6"/>
  <c r="DR35" i="6"/>
  <c r="ET49" i="6"/>
  <c r="DX49" i="6"/>
  <c r="DQ49" i="6"/>
  <c r="EV33" i="6"/>
  <c r="DQ33" i="6"/>
  <c r="EL35" i="6"/>
  <c r="EO35" i="6"/>
  <c r="ER49" i="6"/>
  <c r="DU33" i="6"/>
  <c r="DR17" i="6"/>
  <c r="EP52" i="6"/>
  <c r="EF52" i="6"/>
  <c r="EY48" i="6"/>
  <c r="ET32" i="6"/>
  <c r="EJ32" i="6"/>
  <c r="ED44" i="6"/>
  <c r="EW51" i="6"/>
  <c r="DW51" i="6"/>
  <c r="EY47" i="6"/>
  <c r="EM31" i="6"/>
  <c r="EF31" i="6"/>
  <c r="EY46" i="6"/>
  <c r="ED46" i="6"/>
  <c r="EP46" i="6"/>
  <c r="DR30" i="6"/>
  <c r="EK30" i="6"/>
  <c r="EQ30" i="6"/>
  <c r="DU35" i="6"/>
  <c r="DZ49" i="6"/>
  <c r="ES33" i="6"/>
  <c r="DX52" i="6"/>
  <c r="EO48" i="6"/>
  <c r="EJ48" i="6"/>
  <c r="DO48" i="6"/>
  <c r="EK32" i="6"/>
  <c r="EO32" i="6"/>
  <c r="DQ32" i="6"/>
  <c r="EQ44" i="6"/>
  <c r="EL44" i="6"/>
  <c r="EF44" i="6"/>
  <c r="EC44" i="6"/>
  <c r="EJ51" i="6"/>
  <c r="EF51" i="6"/>
  <c r="EU51" i="6"/>
  <c r="EL47" i="6"/>
  <c r="EH47" i="6"/>
  <c r="EO47" i="6"/>
  <c r="ES47" i="6"/>
  <c r="DV31" i="6"/>
  <c r="DY31" i="6"/>
  <c r="EH46" i="6"/>
  <c r="EL46" i="6"/>
  <c r="EO46" i="6"/>
  <c r="DY30" i="6"/>
  <c r="EB33" i="6"/>
  <c r="EJ52" i="6"/>
  <c r="DW48" i="6"/>
  <c r="DS48" i="6"/>
  <c r="ES48" i="6"/>
  <c r="DT32" i="6"/>
  <c r="DW32" i="6"/>
  <c r="ES32" i="6"/>
  <c r="EI32" i="6"/>
  <c r="DY44" i="6"/>
  <c r="DU44" i="6"/>
  <c r="EB44" i="6"/>
  <c r="DS51" i="6"/>
  <c r="DO51" i="6"/>
  <c r="EZ35" i="6"/>
  <c r="EW49" i="6"/>
  <c r="ET33" i="6"/>
  <c r="DS52" i="6"/>
  <c r="EG48" i="6"/>
  <c r="DQ44" i="6"/>
  <c r="EF35" i="6"/>
  <c r="DX35" i="6"/>
  <c r="EO49" i="6"/>
  <c r="ER33" i="6"/>
  <c r="EI33" i="6"/>
  <c r="EO52" i="6"/>
  <c r="EI52" i="6"/>
  <c r="EZ48" i="6"/>
  <c r="EF48" i="6"/>
  <c r="EW32" i="6"/>
  <c r="EH32" i="6"/>
  <c r="EV44" i="6"/>
  <c r="EZ51" i="6"/>
  <c r="EV51" i="6"/>
  <c r="DO35" i="6"/>
  <c r="DW49" i="6"/>
  <c r="DO49" i="6"/>
  <c r="DZ33" i="6"/>
  <c r="EH33" i="6"/>
  <c r="DW52" i="6"/>
  <c r="DR52" i="6"/>
  <c r="EX52" i="6"/>
  <c r="ER48" i="6"/>
  <c r="EM48" i="6"/>
  <c r="EI48" i="6"/>
  <c r="ED48" i="6"/>
  <c r="EF32" i="6"/>
  <c r="EM32" i="6"/>
  <c r="EP44" i="6"/>
  <c r="EK44" i="6"/>
  <c r="EU44" i="6"/>
  <c r="EX44" i="6"/>
  <c r="EM51" i="6"/>
  <c r="EI51" i="6"/>
  <c r="EE51" i="6"/>
  <c r="ET51" i="6"/>
  <c r="DW35" i="6"/>
  <c r="EW33" i="6"/>
  <c r="DP33" i="6"/>
  <c r="EM52" i="6"/>
  <c r="EV52" i="6"/>
  <c r="EB52" i="6"/>
  <c r="DZ48" i="6"/>
  <c r="DV48" i="6"/>
  <c r="DR48" i="6"/>
  <c r="DQ48" i="6"/>
  <c r="DO32" i="6"/>
  <c r="DV32" i="6"/>
  <c r="EG32" i="6"/>
  <c r="DX44" i="6"/>
  <c r="DT44" i="6"/>
  <c r="ES44" i="6"/>
  <c r="DV51" i="6"/>
  <c r="EV35" i="6"/>
  <c r="EH35" i="6"/>
  <c r="DO33" i="6"/>
  <c r="DV52" i="6"/>
  <c r="EE52" i="6"/>
  <c r="EU52" i="6"/>
  <c r="EX48" i="6"/>
  <c r="EZ32" i="6"/>
  <c r="EH44" i="6"/>
  <c r="EE35" i="6"/>
  <c r="DS35" i="6"/>
  <c r="EM49" i="6"/>
  <c r="EQ33" i="6"/>
  <c r="ER52" i="6"/>
  <c r="EH52" i="6"/>
  <c r="EW48" i="6"/>
  <c r="DX32" i="6"/>
  <c r="EE32" i="6"/>
  <c r="DR16" i="6"/>
  <c r="DP44" i="6"/>
  <c r="DV49" i="6"/>
  <c r="DY33" i="6"/>
  <c r="EM33" i="6"/>
  <c r="DZ52" i="6"/>
  <c r="ED52" i="6"/>
  <c r="DP52" i="6"/>
  <c r="EQ48" i="6"/>
  <c r="EL48" i="6"/>
  <c r="EH48" i="6"/>
  <c r="ER32" i="6"/>
  <c r="EY32" i="6"/>
  <c r="EO44" i="6"/>
  <c r="EJ44" i="6"/>
  <c r="DO44" i="6"/>
  <c r="EL51" i="6"/>
  <c r="EJ35" i="6"/>
  <c r="EL52" i="6"/>
  <c r="EY52" i="6"/>
  <c r="DQ52" i="6"/>
  <c r="DY48" i="6"/>
  <c r="DU48" i="6"/>
  <c r="EV48" i="6"/>
  <c r="DZ32" i="6"/>
  <c r="DS32" i="6"/>
  <c r="ED32" i="6"/>
  <c r="DW44" i="6"/>
  <c r="DS44" i="6"/>
  <c r="DU51" i="6"/>
  <c r="DQ51" i="6"/>
  <c r="EB51" i="6"/>
  <c r="DS47" i="6"/>
  <c r="DO47" i="6"/>
  <c r="DZ47" i="6"/>
  <c r="DP31" i="6"/>
  <c r="ET31" i="6"/>
  <c r="EQ31" i="6"/>
  <c r="DO46" i="6"/>
  <c r="DZ46" i="6"/>
  <c r="DT46" i="6"/>
  <c r="ED35" i="6"/>
  <c r="EV49" i="6"/>
  <c r="EF49" i="6"/>
  <c r="EY49" i="6"/>
  <c r="EP33" i="6"/>
  <c r="EL33" i="6"/>
  <c r="DU52" i="6"/>
  <c r="DO52" i="6"/>
  <c r="EW52" i="6"/>
  <c r="EC48" i="6"/>
  <c r="EU48" i="6"/>
  <c r="EE48" i="6"/>
  <c r="EX32" i="6"/>
  <c r="DW47" i="6"/>
  <c r="EZ31" i="6"/>
  <c r="EP31" i="6"/>
  <c r="EO30" i="6"/>
  <c r="EE30" i="6"/>
  <c r="EM35" i="6"/>
  <c r="DQ35" i="6"/>
  <c r="ES49" i="6"/>
  <c r="EH49" i="6"/>
  <c r="DX33" i="6"/>
  <c r="EQ52" i="6"/>
  <c r="ET52" i="6"/>
  <c r="ET48" i="6"/>
  <c r="DR32" i="6"/>
  <c r="EC32" i="6"/>
  <c r="EZ44" i="6"/>
  <c r="EX51" i="6"/>
  <c r="DZ51" i="6"/>
  <c r="EZ47" i="6"/>
  <c r="EV47" i="6"/>
  <c r="ES31" i="6"/>
  <c r="EI31" i="6"/>
  <c r="DV35" i="6"/>
  <c r="EB49" i="6"/>
  <c r="EG33" i="6"/>
  <c r="DY52" i="6"/>
  <c r="ES52" i="6"/>
  <c r="EP48" i="6"/>
  <c r="EK48" i="6"/>
  <c r="EB48" i="6"/>
  <c r="EL32" i="6"/>
  <c r="EQ32" i="6"/>
  <c r="EU32" i="6"/>
  <c r="EV32" i="6"/>
  <c r="ER44" i="6"/>
  <c r="EM44" i="6"/>
  <c r="EI44" i="6"/>
  <c r="EW44" i="6"/>
  <c r="EK51" i="6"/>
  <c r="EG51" i="6"/>
  <c r="EM47" i="6"/>
  <c r="EI47" i="6"/>
  <c r="EE47" i="6"/>
  <c r="DX47" i="6"/>
  <c r="EB31" i="6"/>
  <c r="DR31" i="6"/>
  <c r="EI46" i="6"/>
  <c r="EE46" i="6"/>
  <c r="EP35" i="6"/>
  <c r="EG49" i="6"/>
  <c r="EU33" i="6"/>
  <c r="EK52" i="6"/>
  <c r="EG52" i="6"/>
  <c r="EC52" i="6"/>
  <c r="DX48" i="6"/>
  <c r="DT48" i="6"/>
  <c r="DU32" i="6"/>
  <c r="DY32" i="6"/>
  <c r="DP32" i="6"/>
  <c r="EB32" i="6"/>
  <c r="DZ44" i="6"/>
  <c r="DV44" i="6"/>
  <c r="DR44" i="6"/>
  <c r="ET44" i="6"/>
  <c r="DT51" i="6"/>
  <c r="DP51" i="6"/>
  <c r="DX51" i="6"/>
  <c r="DV47" i="6"/>
  <c r="DR47" i="6"/>
  <c r="EX49" i="6"/>
  <c r="ED33" i="6"/>
  <c r="DW33" i="6"/>
  <c r="DT52" i="6"/>
  <c r="DP48" i="6"/>
  <c r="EP32" i="6"/>
  <c r="EG44" i="6"/>
  <c r="EE44" i="6"/>
  <c r="EY44" i="6"/>
  <c r="ER51" i="6"/>
  <c r="EP47" i="6"/>
  <c r="DZ31" i="6"/>
  <c r="EU46" i="6"/>
  <c r="EQ46" i="6"/>
  <c r="EI30" i="6"/>
  <c r="DZ30" i="6"/>
  <c r="DR51" i="6"/>
  <c r="DT47" i="6"/>
  <c r="ER47" i="6"/>
  <c r="ED31" i="6"/>
  <c r="DQ46" i="6"/>
  <c r="EZ30" i="6"/>
  <c r="DU30" i="6"/>
  <c r="ER30" i="6"/>
  <c r="DY45" i="6"/>
  <c r="EW45" i="6"/>
  <c r="DS29" i="6"/>
  <c r="DU28" i="6"/>
  <c r="DY28" i="6"/>
  <c r="ED28" i="6"/>
  <c r="EJ28" i="6"/>
  <c r="EX28" i="6"/>
  <c r="DO26" i="6"/>
  <c r="DS26" i="6"/>
  <c r="DS25" i="6"/>
  <c r="EX25" i="6"/>
  <c r="EG25" i="6"/>
  <c r="EM25" i="6"/>
  <c r="DT39" i="6"/>
  <c r="ES39" i="6"/>
  <c r="DR42" i="6"/>
  <c r="EC42" i="6"/>
  <c r="EF42" i="6"/>
  <c r="EP42" i="6"/>
  <c r="DP38" i="6"/>
  <c r="DX38" i="6"/>
  <c r="EU38" i="6"/>
  <c r="DU22" i="6"/>
  <c r="EX22" i="6"/>
  <c r="EQ41" i="6"/>
  <c r="EY41" i="6"/>
  <c r="DR41" i="6"/>
  <c r="EQ47" i="6"/>
  <c r="ER46" i="6"/>
  <c r="EY30" i="6"/>
  <c r="DX30" i="6"/>
  <c r="EU45" i="6"/>
  <c r="EI45" i="6"/>
  <c r="EL45" i="6"/>
  <c r="EG29" i="6"/>
  <c r="EM29" i="6"/>
  <c r="EY29" i="6"/>
  <c r="DS28" i="6"/>
  <c r="EP27" i="6"/>
  <c r="EU27" i="6"/>
  <c r="ET26" i="6"/>
  <c r="EI26" i="6"/>
  <c r="EB26" i="6"/>
  <c r="DU25" i="6"/>
  <c r="EL25" i="6"/>
  <c r="EB39" i="6"/>
  <c r="ER39" i="6"/>
  <c r="EQ39" i="6"/>
  <c r="DX42" i="6"/>
  <c r="EQ42" i="6"/>
  <c r="ET22" i="6"/>
  <c r="EI22" i="6"/>
  <c r="EW22" i="6"/>
  <c r="DY41" i="6"/>
  <c r="DS41" i="6"/>
  <c r="EY51" i="6"/>
  <c r="EC47" i="6"/>
  <c r="EJ31" i="6"/>
  <c r="EC31" i="6"/>
  <c r="EX46" i="6"/>
  <c r="DW46" i="6"/>
  <c r="EH30" i="6"/>
  <c r="EX30" i="6"/>
  <c r="DS30" i="6"/>
  <c r="ED45" i="6"/>
  <c r="EK45" i="6"/>
  <c r="EV29" i="6"/>
  <c r="DT29" i="6"/>
  <c r="EC28" i="6"/>
  <c r="DR28" i="6"/>
  <c r="EM27" i="6"/>
  <c r="DO27" i="6"/>
  <c r="EC26" i="6"/>
  <c r="EV26" i="6"/>
  <c r="DZ26" i="6"/>
  <c r="EU25" i="6"/>
  <c r="EF25" i="6"/>
  <c r="EK25" i="6"/>
  <c r="EH51" i="6"/>
  <c r="EJ47" i="6"/>
  <c r="EB47" i="6"/>
  <c r="DS31" i="6"/>
  <c r="EG46" i="6"/>
  <c r="DV46" i="6"/>
  <c r="DQ30" i="6"/>
  <c r="DT30" i="6"/>
  <c r="EP45" i="6"/>
  <c r="DT45" i="6"/>
  <c r="EJ45" i="6"/>
  <c r="EE29" i="6"/>
  <c r="EF29" i="6"/>
  <c r="EL29" i="6"/>
  <c r="EK28" i="6"/>
  <c r="EO28" i="6"/>
  <c r="EZ28" i="6"/>
  <c r="DV27" i="6"/>
  <c r="EO27" i="6"/>
  <c r="EE26" i="6"/>
  <c r="DY26" i="6"/>
  <c r="ED25" i="6"/>
  <c r="EV25" i="6"/>
  <c r="DT25" i="6"/>
  <c r="DR24" i="6"/>
  <c r="DQ47" i="6"/>
  <c r="ED47" i="6"/>
  <c r="DP46" i="6"/>
  <c r="ET45" i="6"/>
  <c r="DX45" i="6"/>
  <c r="EH45" i="6"/>
  <c r="DT28" i="6"/>
  <c r="DW28" i="6"/>
  <c r="EB28" i="6"/>
  <c r="EY28" i="6"/>
  <c r="ET27" i="6"/>
  <c r="DR25" i="6"/>
  <c r="EE25" i="6"/>
  <c r="DY51" i="6"/>
  <c r="DX31" i="6"/>
  <c r="EW31" i="6"/>
  <c r="EK46" i="6"/>
  <c r="EW30" i="6"/>
  <c r="EP30" i="6"/>
  <c r="EC45" i="6"/>
  <c r="DS45" i="6"/>
  <c r="EG45" i="6"/>
  <c r="EU29" i="6"/>
  <c r="DW29" i="6"/>
  <c r="EK29" i="6"/>
  <c r="EV28" i="6"/>
  <c r="EE28" i="6"/>
  <c r="EK27" i="6"/>
  <c r="EO26" i="6"/>
  <c r="EQ26" i="6"/>
  <c r="DX26" i="6"/>
  <c r="EL26" i="6"/>
  <c r="ES25" i="6"/>
  <c r="EQ51" i="6"/>
  <c r="EX47" i="6"/>
  <c r="EY31" i="6"/>
  <c r="EV31" i="6"/>
  <c r="DW31" i="6"/>
  <c r="EW46" i="6"/>
  <c r="EF30" i="6"/>
  <c r="ED29" i="6"/>
  <c r="EW28" i="6"/>
  <c r="DQ28" i="6"/>
  <c r="DX28" i="6"/>
  <c r="EY27" i="6"/>
  <c r="EL27" i="6"/>
  <c r="ER27" i="6"/>
  <c r="DW26" i="6"/>
  <c r="DR26" i="6"/>
  <c r="EG26" i="6"/>
  <c r="EB25" i="6"/>
  <c r="ET25" i="6"/>
  <c r="EC25" i="6"/>
  <c r="EG47" i="6"/>
  <c r="EH31" i="6"/>
  <c r="DT31" i="6"/>
  <c r="EF46" i="6"/>
  <c r="DY46" i="6"/>
  <c r="DO30" i="6"/>
  <c r="EM30" i="6"/>
  <c r="ES45" i="6"/>
  <c r="EO45" i="6"/>
  <c r="DQ45" i="6"/>
  <c r="EQ29" i="6"/>
  <c r="DV29" i="6"/>
  <c r="EI29" i="6"/>
  <c r="EF28" i="6"/>
  <c r="EM28" i="6"/>
  <c r="EU28" i="6"/>
  <c r="EH27" i="6"/>
  <c r="DU27" i="6"/>
  <c r="EE27" i="6"/>
  <c r="DV26" i="6"/>
  <c r="EQ25" i="6"/>
  <c r="DQ25" i="6"/>
  <c r="ES51" i="6"/>
  <c r="DP47" i="6"/>
  <c r="DQ31" i="6"/>
  <c r="ER31" i="6"/>
  <c r="EV46" i="6"/>
  <c r="EU30" i="6"/>
  <c r="EB45" i="6"/>
  <c r="DW45" i="6"/>
  <c r="EZ45" i="6"/>
  <c r="DY29" i="6"/>
  <c r="ES29" i="6"/>
  <c r="EZ29" i="6"/>
  <c r="DO28" i="6"/>
  <c r="DV28" i="6"/>
  <c r="DP28" i="6"/>
  <c r="DQ27" i="6"/>
  <c r="EQ27" i="6"/>
  <c r="EZ26" i="6"/>
  <c r="EP26" i="6"/>
  <c r="DY25" i="6"/>
  <c r="EP51" i="6"/>
  <c r="EC51" i="6"/>
  <c r="EU31" i="6"/>
  <c r="DX46" i="6"/>
  <c r="ED30" i="6"/>
  <c r="EV30" i="6"/>
  <c r="EL30" i="6"/>
  <c r="DP45" i="6"/>
  <c r="EB29" i="6"/>
  <c r="DU29" i="6"/>
  <c r="ED27" i="6"/>
  <c r="DP26" i="6"/>
  <c r="EX26" i="6"/>
  <c r="ER25" i="6"/>
  <c r="EO25" i="6"/>
  <c r="EO51" i="6"/>
  <c r="EW47" i="6"/>
  <c r="EX31" i="6"/>
  <c r="DO31" i="6"/>
  <c r="ET46" i="6"/>
  <c r="EJ46" i="6"/>
  <c r="EF45" i="6"/>
  <c r="EX29" i="6"/>
  <c r="DR29" i="6"/>
  <c r="EI28" i="6"/>
  <c r="ET28" i="6"/>
  <c r="EX27" i="6"/>
  <c r="EJ27" i="6"/>
  <c r="DZ27" i="6"/>
  <c r="EY26" i="6"/>
  <c r="DU26" i="6"/>
  <c r="DZ25" i="6"/>
  <c r="DP25" i="6"/>
  <c r="EW25" i="6"/>
  <c r="EW39" i="6"/>
  <c r="EJ39" i="6"/>
  <c r="EZ39" i="6"/>
  <c r="EV42" i="6"/>
  <c r="EY38" i="6"/>
  <c r="DZ38" i="6"/>
  <c r="EL38" i="6"/>
  <c r="DU38" i="6"/>
  <c r="EB22" i="6"/>
  <c r="ED51" i="6"/>
  <c r="EF47" i="6"/>
  <c r="EG31" i="6"/>
  <c r="EC46" i="6"/>
  <c r="DU46" i="6"/>
  <c r="ET30" i="6"/>
  <c r="EB30" i="6"/>
  <c r="EJ30" i="6"/>
  <c r="ER45" i="6"/>
  <c r="EM45" i="6"/>
  <c r="DU45" i="6"/>
  <c r="EP29" i="6"/>
  <c r="ET29" i="6"/>
  <c r="EW29" i="6"/>
  <c r="ER28" i="6"/>
  <c r="EG27" i="6"/>
  <c r="DS27" i="6"/>
  <c r="EC27" i="6"/>
  <c r="DY27" i="6"/>
  <c r="EH26" i="6"/>
  <c r="EM26" i="6"/>
  <c r="EP25" i="6"/>
  <c r="EZ25" i="6"/>
  <c r="DO25" i="6"/>
  <c r="EL39" i="6"/>
  <c r="EF39" i="6"/>
  <c r="DS42" i="6"/>
  <c r="EH38" i="6"/>
  <c r="EK22" i="6"/>
  <c r="EL22" i="6"/>
  <c r="DU47" i="6"/>
  <c r="EO31" i="6"/>
  <c r="DS46" i="6"/>
  <c r="EC30" i="6"/>
  <c r="DZ45" i="6"/>
  <c r="DV45" i="6"/>
  <c r="DR45" i="6"/>
  <c r="DX29" i="6"/>
  <c r="ER29" i="6"/>
  <c r="DP29" i="6"/>
  <c r="EC29" i="6"/>
  <c r="DZ28" i="6"/>
  <c r="EH28" i="6"/>
  <c r="ES28" i="6"/>
  <c r="DP27" i="6"/>
  <c r="EW27" i="6"/>
  <c r="EF27" i="6"/>
  <c r="DQ26" i="6"/>
  <c r="ES26" i="6"/>
  <c r="DX25" i="6"/>
  <c r="DW25" i="6"/>
  <c r="EI25" i="6"/>
  <c r="DU39" i="6"/>
  <c r="DO39" i="6"/>
  <c r="ED39" i="6"/>
  <c r="EU42" i="6"/>
  <c r="DQ38" i="6"/>
  <c r="EK38" i="6"/>
  <c r="DT38" i="6"/>
  <c r="DY47" i="6"/>
  <c r="EK31" i="6"/>
  <c r="ES46" i="6"/>
  <c r="EG30" i="6"/>
  <c r="EY45" i="6"/>
  <c r="DZ29" i="6"/>
  <c r="EZ27" i="6"/>
  <c r="DW27" i="6"/>
  <c r="DX27" i="6"/>
  <c r="EK26" i="6"/>
  <c r="DT26" i="6"/>
  <c r="EY25" i="6"/>
  <c r="ED42" i="6"/>
  <c r="EL42" i="6"/>
  <c r="EM42" i="6"/>
  <c r="DV22" i="6"/>
  <c r="EU47" i="6"/>
  <c r="EL31" i="6"/>
  <c r="EE31" i="6"/>
  <c r="EZ46" i="6"/>
  <c r="EB46" i="6"/>
  <c r="EM46" i="6"/>
  <c r="DW30" i="6"/>
  <c r="DV30" i="6"/>
  <c r="DP30" i="6"/>
  <c r="EV45" i="6"/>
  <c r="DO45" i="6"/>
  <c r="EO29" i="6"/>
  <c r="DQ29" i="6"/>
  <c r="EG28" i="6"/>
  <c r="EP28" i="6"/>
  <c r="ES27" i="6"/>
  <c r="EI27" i="6"/>
  <c r="EV27" i="6"/>
  <c r="EU26" i="6"/>
  <c r="EW26" i="6"/>
  <c r="DV25" i="6"/>
  <c r="EH25" i="6"/>
  <c r="EV39" i="6"/>
  <c r="EC39" i="6"/>
  <c r="EZ42" i="6"/>
  <c r="EK42" i="6"/>
  <c r="EK47" i="6"/>
  <c r="ET47" i="6"/>
  <c r="DU31" i="6"/>
  <c r="DR46" i="6"/>
  <c r="ES30" i="6"/>
  <c r="EE45" i="6"/>
  <c r="EQ45" i="6"/>
  <c r="EX45" i="6"/>
  <c r="EJ29" i="6"/>
  <c r="EH29" i="6"/>
  <c r="DO29" i="6"/>
  <c r="EL28" i="6"/>
  <c r="EQ28" i="6"/>
  <c r="EB27" i="6"/>
  <c r="DR27" i="6"/>
  <c r="DT27" i="6"/>
  <c r="ED26" i="6"/>
  <c r="EF26" i="6"/>
  <c r="EJ26" i="6"/>
  <c r="ER26" i="6"/>
  <c r="EJ25" i="6"/>
  <c r="EK39" i="6"/>
  <c r="EE39" i="6"/>
  <c r="EU39" i="6"/>
  <c r="DX39" i="6"/>
  <c r="EI42" i="6"/>
  <c r="ET42" i="6"/>
  <c r="DY42" i="6"/>
  <c r="EJ42" i="6"/>
  <c r="EG38" i="6"/>
  <c r="EV38" i="6"/>
  <c r="ED22" i="6"/>
  <c r="DO22" i="6"/>
  <c r="ER22" i="6"/>
  <c r="EX39" i="6"/>
  <c r="ER42" i="6"/>
  <c r="ER38" i="6"/>
  <c r="DT22" i="6"/>
  <c r="DZ37" i="6"/>
  <c r="DO37" i="6"/>
  <c r="DX21" i="6"/>
  <c r="DO15" i="6"/>
  <c r="EX15" i="6"/>
  <c r="EG39" i="6"/>
  <c r="DZ42" i="6"/>
  <c r="EJ38" i="6"/>
  <c r="DV38" i="6"/>
  <c r="EE38" i="6"/>
  <c r="EV22" i="6"/>
  <c r="EL41" i="6"/>
  <c r="DO41" i="6"/>
  <c r="EO37" i="6"/>
  <c r="EZ37" i="6"/>
  <c r="EZ21" i="6"/>
  <c r="ER21" i="6"/>
  <c r="EH21" i="6"/>
  <c r="DP39" i="6"/>
  <c r="EW42" i="6"/>
  <c r="EQ38" i="6"/>
  <c r="EE22" i="6"/>
  <c r="EP22" i="6"/>
  <c r="DW37" i="6"/>
  <c r="DY37" i="6"/>
  <c r="EO21" i="6"/>
  <c r="EI21" i="6"/>
  <c r="DZ21" i="6"/>
  <c r="DQ21" i="6"/>
  <c r="DT42" i="6"/>
  <c r="DS38" i="6"/>
  <c r="DP22" i="6"/>
  <c r="DS22" i="6"/>
  <c r="EG41" i="6"/>
  <c r="EW41" i="6"/>
  <c r="EX41" i="6"/>
  <c r="EV37" i="6"/>
  <c r="EQ37" i="6"/>
  <c r="EY37" i="6"/>
  <c r="DW21" i="6"/>
  <c r="DR21" i="6"/>
  <c r="DP21" i="6"/>
  <c r="ET15" i="6"/>
  <c r="DW39" i="6"/>
  <c r="EY42" i="6"/>
  <c r="EZ38" i="6"/>
  <c r="EJ22" i="6"/>
  <c r="EP41" i="6"/>
  <c r="ES41" i="6"/>
  <c r="EE37" i="6"/>
  <c r="EX37" i="6"/>
  <c r="EL37" i="6"/>
  <c r="EQ21" i="6"/>
  <c r="DO21" i="6"/>
  <c r="EY15" i="6"/>
  <c r="EP15" i="6"/>
  <c r="DZ39" i="6"/>
  <c r="DS39" i="6"/>
  <c r="EH42" i="6"/>
  <c r="DV42" i="6"/>
  <c r="EI38" i="6"/>
  <c r="EP38" i="6"/>
  <c r="EM22" i="6"/>
  <c r="DX41" i="6"/>
  <c r="EF41" i="6"/>
  <c r="ER41" i="6"/>
  <c r="EM37" i="6"/>
  <c r="DT37" i="6"/>
  <c r="EK37" i="6"/>
  <c r="EV21" i="6"/>
  <c r="DY21" i="6"/>
  <c r="EU15" i="6"/>
  <c r="EK15" i="6"/>
  <c r="DQ42" i="6"/>
  <c r="DR38" i="6"/>
  <c r="DO38" i="6"/>
  <c r="DR22" i="6"/>
  <c r="EK41" i="6"/>
  <c r="EU37" i="6"/>
  <c r="DV37" i="6"/>
  <c r="EJ37" i="6"/>
  <c r="DP37" i="6"/>
  <c r="EM21" i="6"/>
  <c r="EE21" i="6"/>
  <c r="EX21" i="6"/>
  <c r="EZ15" i="6"/>
  <c r="EQ15" i="6"/>
  <c r="EG15" i="6"/>
  <c r="ET39" i="6"/>
  <c r="DU42" i="6"/>
  <c r="EO42" i="6"/>
  <c r="EG22" i="6"/>
  <c r="DQ22" i="6"/>
  <c r="DZ41" i="6"/>
  <c r="EJ41" i="6"/>
  <c r="ED37" i="6"/>
  <c r="EW37" i="6"/>
  <c r="EH37" i="6"/>
  <c r="DV21" i="6"/>
  <c r="EW21" i="6"/>
  <c r="EV15" i="6"/>
  <c r="EL15" i="6"/>
  <c r="EC15" i="6"/>
  <c r="DR39" i="6"/>
  <c r="EX42" i="6"/>
  <c r="EX38" i="6"/>
  <c r="EM38" i="6"/>
  <c r="EV41" i="6"/>
  <c r="EO41" i="6"/>
  <c r="EI41" i="6"/>
  <c r="ES37" i="6"/>
  <c r="DS37" i="6"/>
  <c r="EG37" i="6"/>
  <c r="EU21" i="6"/>
  <c r="EL21" i="6"/>
  <c r="EW15" i="6"/>
  <c r="ER15" i="6"/>
  <c r="EH15" i="6"/>
  <c r="DX15" i="6"/>
  <c r="EM39" i="6"/>
  <c r="EG42" i="6"/>
  <c r="DO42" i="6"/>
  <c r="ET38" i="6"/>
  <c r="EH22" i="6"/>
  <c r="EE41" i="6"/>
  <c r="DW41" i="6"/>
  <c r="DU41" i="6"/>
  <c r="DQ41" i="6"/>
  <c r="ET37" i="6"/>
  <c r="DR37" i="6"/>
  <c r="ED21" i="6"/>
  <c r="EG21" i="6"/>
  <c r="ES15" i="6"/>
  <c r="EM15" i="6"/>
  <c r="ED15" i="6"/>
  <c r="DT15" i="6"/>
  <c r="DV39" i="6"/>
  <c r="EO39" i="6"/>
  <c r="DP42" i="6"/>
  <c r="EC38" i="6"/>
  <c r="EW38" i="6"/>
  <c r="EU22" i="6"/>
  <c r="EF22" i="6"/>
  <c r="EH41" i="6"/>
  <c r="EC37" i="6"/>
  <c r="EF37" i="6"/>
  <c r="EK21" i="6"/>
  <c r="EF21" i="6"/>
  <c r="EO15" i="6"/>
  <c r="EI15" i="6"/>
  <c r="DY15" i="6"/>
  <c r="DP15" i="6"/>
  <c r="ED38" i="6"/>
  <c r="EC22" i="6"/>
  <c r="EU41" i="6"/>
  <c r="ER37" i="6"/>
  <c r="DT21" i="6"/>
  <c r="ET21" i="6"/>
  <c r="DU21" i="6"/>
  <c r="EJ15" i="6"/>
  <c r="EE15" i="6"/>
  <c r="DU15" i="6"/>
  <c r="EY39" i="6"/>
  <c r="EP39" i="6"/>
  <c r="ES42" i="6"/>
  <c r="EE42" i="6"/>
  <c r="ES38" i="6"/>
  <c r="EO38" i="6"/>
  <c r="EZ22" i="6"/>
  <c r="DZ22" i="6"/>
  <c r="ED41" i="6"/>
  <c r="EM41" i="6"/>
  <c r="EB41" i="6"/>
  <c r="DQ37" i="6"/>
  <c r="EB37" i="6"/>
  <c r="EC21" i="6"/>
  <c r="EF15" i="6"/>
  <c r="DZ15" i="6"/>
  <c r="DQ15" i="6"/>
  <c r="EH39" i="6"/>
  <c r="EI39" i="6"/>
  <c r="EB42" i="6"/>
  <c r="EB38" i="6"/>
  <c r="DY38" i="6"/>
  <c r="EF38" i="6"/>
  <c r="ES22" i="6"/>
  <c r="DY22" i="6"/>
  <c r="DV41" i="6"/>
  <c r="EP37" i="6"/>
  <c r="EB15" i="6"/>
  <c r="DV15" i="6"/>
  <c r="DQ39" i="6"/>
  <c r="DY39" i="6"/>
  <c r="DW42" i="6"/>
  <c r="EO22" i="6"/>
  <c r="DX22" i="6"/>
  <c r="ET41" i="6"/>
  <c r="EZ41" i="6"/>
  <c r="DR23" i="6"/>
  <c r="DX37" i="6"/>
  <c r="EI37" i="6"/>
  <c r="DU37" i="6"/>
  <c r="EJ21" i="6"/>
  <c r="ES21" i="6"/>
  <c r="DW15" i="6"/>
  <c r="DR15" i="6"/>
  <c r="DW38" i="6"/>
  <c r="DW22" i="6"/>
  <c r="EQ22" i="6"/>
  <c r="EY22" i="6"/>
  <c r="EC41" i="6"/>
  <c r="DT41" i="6"/>
  <c r="DP41" i="6"/>
  <c r="EP21" i="6"/>
  <c r="DS21" i="6"/>
  <c r="EB21" i="6"/>
  <c r="EY21" i="6"/>
  <c r="DS15" i="6"/>
  <c r="BD85" i="7"/>
  <c r="BD84" i="7"/>
  <c r="BD83" i="7"/>
  <c r="BD82" i="7"/>
  <c r="BD49" i="7"/>
  <c r="BD48" i="7"/>
  <c r="BD47" i="7"/>
  <c r="BD46" i="7"/>
  <c r="BD133" i="7"/>
  <c r="BD132" i="7"/>
  <c r="BD131" i="7"/>
  <c r="BD130" i="7"/>
  <c r="BD61" i="7"/>
  <c r="BD60" i="7"/>
  <c r="BD59" i="7"/>
  <c r="BD58" i="7"/>
  <c r="BD127" i="7"/>
  <c r="BD126" i="7"/>
  <c r="BD125" i="7"/>
  <c r="BD124" i="7"/>
  <c r="BD37" i="7"/>
  <c r="BD36" i="7"/>
  <c r="BD35" i="7"/>
  <c r="BD34" i="7"/>
  <c r="BD121" i="7"/>
  <c r="BD120" i="7"/>
  <c r="BD119" i="7"/>
  <c r="BD118" i="7"/>
  <c r="BD25" i="7"/>
  <c r="BD24" i="7"/>
  <c r="BD23" i="7"/>
  <c r="BD22" i="7"/>
  <c r="BD7" i="7"/>
  <c r="BD6" i="7"/>
  <c r="BD5" i="7"/>
  <c r="BD4" i="7"/>
  <c r="BD19" i="7"/>
  <c r="BD18" i="7"/>
  <c r="BD17" i="7"/>
  <c r="BD16" i="7"/>
  <c r="BD31" i="7"/>
  <c r="BD30" i="7"/>
  <c r="BD29" i="7"/>
  <c r="BD28" i="7"/>
  <c r="DC21" i="6" l="1"/>
  <c r="DL21" i="6"/>
  <c r="DK21" i="6"/>
  <c r="DB21" i="6"/>
  <c r="DI21" i="6"/>
  <c r="DF21" i="6"/>
  <c r="DJ21" i="6"/>
  <c r="DH21" i="6"/>
  <c r="DG21" i="6"/>
  <c r="DE21" i="6"/>
  <c r="DD21" i="6"/>
  <c r="AN14" i="31"/>
  <c r="DG27" i="6"/>
  <c r="DG32" i="6"/>
  <c r="DG46" i="6"/>
  <c r="DD47" i="6"/>
  <c r="DC43" i="6"/>
  <c r="DE40" i="6"/>
  <c r="DD23" i="6"/>
  <c r="DI37" i="6"/>
  <c r="DI51" i="6"/>
  <c r="DI31" i="6"/>
  <c r="DG39" i="6"/>
  <c r="DI50" i="6"/>
  <c r="DC48" i="6"/>
  <c r="DL30" i="6"/>
  <c r="DJ44" i="6"/>
  <c r="DJ26" i="6"/>
  <c r="DF25" i="6"/>
  <c r="DG36" i="6"/>
  <c r="DG33" i="6"/>
  <c r="DH51" i="6"/>
  <c r="DL52" i="6"/>
  <c r="DK48" i="6"/>
  <c r="DG44" i="6"/>
  <c r="DL25" i="6"/>
  <c r="DF33" i="6"/>
  <c r="DD36" i="6"/>
  <c r="DK49" i="6"/>
  <c r="DE33" i="6"/>
  <c r="DJ49" i="6"/>
  <c r="DL33" i="6"/>
  <c r="DI27" i="6"/>
  <c r="DJ46" i="6"/>
  <c r="DE38" i="6"/>
  <c r="DK39" i="6"/>
  <c r="DG34" i="6"/>
  <c r="DL26" i="6"/>
  <c r="DI49" i="6"/>
  <c r="DG29" i="6"/>
  <c r="DG42" i="6"/>
  <c r="DL35" i="6"/>
  <c r="DL48" i="6"/>
  <c r="DG22" i="6"/>
  <c r="DG51" i="6"/>
  <c r="DE45" i="6"/>
  <c r="DH49" i="6"/>
  <c r="DI35" i="6"/>
  <c r="DD30" i="6"/>
  <c r="DK36" i="6"/>
  <c r="DK32" i="6"/>
  <c r="DK38" i="6"/>
  <c r="DH30" i="6"/>
  <c r="DD49" i="6"/>
  <c r="DI42" i="6"/>
  <c r="DL31" i="6"/>
  <c r="DI44" i="6"/>
  <c r="DI36" i="6"/>
  <c r="DF47" i="6"/>
  <c r="DJ51" i="6"/>
  <c r="DC30" i="6"/>
  <c r="DD22" i="6"/>
  <c r="DE27" i="6"/>
  <c r="DI32" i="6"/>
  <c r="DE46" i="6"/>
  <c r="DC47" i="6"/>
  <c r="DK43" i="6"/>
  <c r="DD40" i="6"/>
  <c r="DC23" i="6"/>
  <c r="DL37" i="6"/>
  <c r="DK51" i="6"/>
  <c r="DE31" i="6"/>
  <c r="DK52" i="6"/>
  <c r="DE50" i="6"/>
  <c r="DD48" i="6"/>
  <c r="DK30" i="6"/>
  <c r="DH44" i="6"/>
  <c r="DK41" i="6"/>
  <c r="DE25" i="6"/>
  <c r="DC36" i="6"/>
  <c r="DJ33" i="6"/>
  <c r="DK37" i="6"/>
  <c r="DH31" i="6"/>
  <c r="DD50" i="6"/>
  <c r="DJ30" i="6"/>
  <c r="DI41" i="6"/>
  <c r="DF36" i="6"/>
  <c r="DI33" i="6"/>
  <c r="DE36" i="6"/>
  <c r="DC25" i="6"/>
  <c r="DH33" i="6"/>
  <c r="DG28" i="6"/>
  <c r="DC52" i="6"/>
  <c r="DB22" i="6"/>
  <c r="DH37" i="6"/>
  <c r="DF45" i="6"/>
  <c r="DF42" i="6"/>
  <c r="DI34" i="6"/>
  <c r="DC41" i="6"/>
  <c r="DL38" i="6"/>
  <c r="DE34" i="6"/>
  <c r="DL22" i="6"/>
  <c r="DE26" i="6"/>
  <c r="DJ32" i="6"/>
  <c r="DJ38" i="6"/>
  <c r="DH50" i="6"/>
  <c r="DI26" i="6"/>
  <c r="DH46" i="6"/>
  <c r="DC37" i="6"/>
  <c r="DE48" i="6"/>
  <c r="DH25" i="6"/>
  <c r="DC27" i="6"/>
  <c r="DF32" i="6"/>
  <c r="DD46" i="6"/>
  <c r="DL28" i="6"/>
  <c r="DJ43" i="6"/>
  <c r="DC40" i="6"/>
  <c r="DJ23" i="6"/>
  <c r="DF27" i="6"/>
  <c r="DL32" i="6"/>
  <c r="DF46" i="6"/>
  <c r="DK28" i="6"/>
  <c r="DI43" i="6"/>
  <c r="DK40" i="6"/>
  <c r="DH23" i="6"/>
  <c r="DJ37" i="6"/>
  <c r="DG35" i="6"/>
  <c r="DG31" i="6"/>
  <c r="DJ52" i="6"/>
  <c r="DC50" i="6"/>
  <c r="DJ48" i="6"/>
  <c r="DC45" i="6"/>
  <c r="DC44" i="6"/>
  <c r="DG41" i="6"/>
  <c r="DD25" i="6"/>
  <c r="DD29" i="6"/>
  <c r="DD35" i="6"/>
  <c r="DF48" i="6"/>
  <c r="DD33" i="6"/>
  <c r="DC28" i="6"/>
  <c r="DF52" i="6"/>
  <c r="DD41" i="6"/>
  <c r="DF29" i="6"/>
  <c r="DH38" i="6"/>
  <c r="DI30" i="6"/>
  <c r="DC51" i="6"/>
  <c r="DC26" i="6"/>
  <c r="DJ29" i="6"/>
  <c r="DK31" i="6"/>
  <c r="DK44" i="6"/>
  <c r="DJ36" i="6"/>
  <c r="DE43" i="6"/>
  <c r="DC34" i="6"/>
  <c r="DH32" i="6"/>
  <c r="DJ31" i="6"/>
  <c r="DH26" i="6"/>
  <c r="DD27" i="6"/>
  <c r="DC29" i="6"/>
  <c r="DC46" i="6"/>
  <c r="DH28" i="6"/>
  <c r="DH43" i="6"/>
  <c r="DL40" i="6"/>
  <c r="DG23" i="6"/>
  <c r="DG37" i="6"/>
  <c r="DE35" i="6"/>
  <c r="DF31" i="6"/>
  <c r="DI52" i="6"/>
  <c r="DF50" i="6"/>
  <c r="DH48" i="6"/>
  <c r="DI45" i="6"/>
  <c r="DF44" i="6"/>
  <c r="DF41" i="6"/>
  <c r="DD37" i="6"/>
  <c r="DJ39" i="6"/>
  <c r="DC33" i="6"/>
  <c r="DJ47" i="6"/>
  <c r="DE52" i="6"/>
  <c r="DF43" i="6"/>
  <c r="DG50" i="6"/>
  <c r="DE23" i="6"/>
  <c r="DF23" i="6"/>
  <c r="DL27" i="6"/>
  <c r="DI29" i="6"/>
  <c r="DL46" i="6"/>
  <c r="DJ28" i="6"/>
  <c r="DL43" i="6"/>
  <c r="DJ40" i="6"/>
  <c r="DI38" i="6"/>
  <c r="DF37" i="6"/>
  <c r="DF35" i="6"/>
  <c r="DC31" i="6"/>
  <c r="DH52" i="6"/>
  <c r="DL34" i="6"/>
  <c r="DG48" i="6"/>
  <c r="DH45" i="6"/>
  <c r="DE44" i="6"/>
  <c r="DJ41" i="6"/>
  <c r="DI22" i="6"/>
  <c r="DH40" i="6"/>
  <c r="DE41" i="6"/>
  <c r="DK47" i="6"/>
  <c r="DD38" i="6"/>
  <c r="DJ34" i="6"/>
  <c r="DF49" i="6"/>
  <c r="DF28" i="6"/>
  <c r="DH35" i="6"/>
  <c r="DG26" i="6"/>
  <c r="DD39" i="6"/>
  <c r="DJ25" i="6"/>
  <c r="DG47" i="6"/>
  <c r="DC39" i="6"/>
  <c r="DK22" i="6"/>
  <c r="DC49" i="6"/>
  <c r="DH42" i="6"/>
  <c r="DL44" i="6"/>
  <c r="DK27" i="6"/>
  <c r="DH29" i="6"/>
  <c r="DK46" i="6"/>
  <c r="DI28" i="6"/>
  <c r="DL42" i="6"/>
  <c r="DI40" i="6"/>
  <c r="DG38" i="6"/>
  <c r="DE37" i="6"/>
  <c r="DC35" i="6"/>
  <c r="DD31" i="6"/>
  <c r="DG52" i="6"/>
  <c r="DK34" i="6"/>
  <c r="DI48" i="6"/>
  <c r="DD45" i="6"/>
  <c r="DD44" i="6"/>
  <c r="DH41" i="6"/>
  <c r="DH22" i="6"/>
  <c r="DK42" i="6"/>
  <c r="DG45" i="6"/>
  <c r="DH27" i="6"/>
  <c r="DG40" i="6"/>
  <c r="DK26" i="6"/>
  <c r="DJ27" i="6"/>
  <c r="DF40" i="6"/>
  <c r="DL39" i="6"/>
  <c r="DE22" i="6"/>
  <c r="DI23" i="6"/>
  <c r="DI25" i="6"/>
  <c r="DI46" i="6"/>
  <c r="DH39" i="6"/>
  <c r="DG25" i="6"/>
  <c r="DD43" i="6"/>
  <c r="DF39" i="6"/>
  <c r="DK33" i="6"/>
  <c r="DE32" i="6"/>
  <c r="DE29" i="6"/>
  <c r="DL47" i="6"/>
  <c r="DE28" i="6"/>
  <c r="DC42" i="6"/>
  <c r="DB23" i="6"/>
  <c r="DF38" i="6"/>
  <c r="DF51" i="6"/>
  <c r="DK35" i="6"/>
  <c r="DI39" i="6"/>
  <c r="DD52" i="6"/>
  <c r="DH34" i="6"/>
  <c r="DG30" i="6"/>
  <c r="DJ45" i="6"/>
  <c r="DF26" i="6"/>
  <c r="DL41" i="6"/>
  <c r="DF22" i="6"/>
  <c r="DG49" i="6"/>
  <c r="DD32" i="6"/>
  <c r="DL29" i="6"/>
  <c r="DI47" i="6"/>
  <c r="DD28" i="6"/>
  <c r="DE42" i="6"/>
  <c r="DK23" i="6"/>
  <c r="DC38" i="6"/>
  <c r="DE51" i="6"/>
  <c r="DJ35" i="6"/>
  <c r="DE39" i="6"/>
  <c r="DL50" i="6"/>
  <c r="DF34" i="6"/>
  <c r="DE30" i="6"/>
  <c r="DL45" i="6"/>
  <c r="DD26" i="6"/>
  <c r="DK25" i="6"/>
  <c r="DC22" i="6"/>
  <c r="DL36" i="6"/>
  <c r="DE49" i="6"/>
  <c r="DC32" i="6"/>
  <c r="DK29" i="6"/>
  <c r="DE47" i="6"/>
  <c r="DG43" i="6"/>
  <c r="DD42" i="6"/>
  <c r="DL23" i="6"/>
  <c r="DK50" i="6"/>
  <c r="DK45" i="6"/>
  <c r="DL49" i="6"/>
  <c r="DJ42" i="6"/>
  <c r="DD51" i="6"/>
  <c r="DD34" i="6"/>
  <c r="DH47" i="6"/>
  <c r="DL51" i="6"/>
  <c r="DF30" i="6"/>
  <c r="DJ22" i="6"/>
  <c r="DJ50" i="6"/>
  <c r="DH36" i="6"/>
  <c r="BN14" i="6"/>
  <c r="CH43" i="6"/>
  <c r="CJ43" i="6"/>
  <c r="BY43" i="6"/>
  <c r="BW40" i="6"/>
  <c r="CC40" i="6"/>
  <c r="BP40" i="6"/>
  <c r="CB36" i="6"/>
  <c r="CK36" i="6"/>
  <c r="BO36" i="6"/>
  <c r="CT50" i="6"/>
  <c r="BT50" i="6"/>
  <c r="CH50" i="6"/>
  <c r="CP34" i="6"/>
  <c r="CA35" i="6"/>
  <c r="CL49" i="6"/>
  <c r="CY33" i="6"/>
  <c r="CS33" i="6"/>
  <c r="CU33" i="6"/>
  <c r="CJ52" i="6"/>
  <c r="CI52" i="6"/>
  <c r="BQ43" i="6"/>
  <c r="BS43" i="6"/>
  <c r="CN40" i="6"/>
  <c r="BP36" i="6"/>
  <c r="CW36" i="6"/>
  <c r="CC50" i="6"/>
  <c r="CY50" i="6"/>
  <c r="BY50" i="6"/>
  <c r="CU34" i="6"/>
  <c r="CI34" i="6"/>
  <c r="CE35" i="6"/>
  <c r="CU35" i="6"/>
  <c r="CU49" i="6"/>
  <c r="CF49" i="6"/>
  <c r="CH49" i="6"/>
  <c r="CN33" i="6"/>
  <c r="CH33" i="6"/>
  <c r="CB33" i="6"/>
  <c r="CR33" i="6"/>
  <c r="CW52" i="6"/>
  <c r="BS52" i="6"/>
  <c r="CO43" i="6"/>
  <c r="BX43" i="6"/>
  <c r="BV40" i="6"/>
  <c r="CI40" i="6"/>
  <c r="CW40" i="6"/>
  <c r="CJ40" i="6"/>
  <c r="CR36" i="6"/>
  <c r="BY36" i="6"/>
  <c r="CD50" i="6"/>
  <c r="CJ50" i="6"/>
  <c r="BS50" i="6"/>
  <c r="CQ34" i="6"/>
  <c r="CK34" i="6"/>
  <c r="CD34" i="6"/>
  <c r="CH34" i="6"/>
  <c r="CX43" i="6"/>
  <c r="BW43" i="6"/>
  <c r="BU43" i="6"/>
  <c r="BN40" i="6"/>
  <c r="BY40" i="6"/>
  <c r="BO40" i="6"/>
  <c r="CA36" i="6"/>
  <c r="CI36" i="6"/>
  <c r="BO50" i="6"/>
  <c r="BR50" i="6"/>
  <c r="BY34" i="6"/>
  <c r="BT34" i="6"/>
  <c r="CE34" i="6"/>
  <c r="CG43" i="6"/>
  <c r="DB40" i="6"/>
  <c r="BN36" i="6"/>
  <c r="CV36" i="6"/>
  <c r="CS50" i="6"/>
  <c r="CX50" i="6"/>
  <c r="BQ50" i="6"/>
  <c r="CT34" i="6"/>
  <c r="BX34" i="6"/>
  <c r="BP43" i="6"/>
  <c r="BO43" i="6"/>
  <c r="CP43" i="6"/>
  <c r="CS40" i="6"/>
  <c r="CH40" i="6"/>
  <c r="CV40" i="6"/>
  <c r="CU40" i="6"/>
  <c r="BX36" i="6"/>
  <c r="CY36" i="6"/>
  <c r="CB50" i="6"/>
  <c r="CA50" i="6"/>
  <c r="CI50" i="6"/>
  <c r="DB34" i="6"/>
  <c r="CC34" i="6"/>
  <c r="BR34" i="6"/>
  <c r="CN43" i="6"/>
  <c r="CL43" i="6"/>
  <c r="CB40" i="6"/>
  <c r="BX40" i="6"/>
  <c r="CT40" i="6"/>
  <c r="CX36" i="6"/>
  <c r="BQ19" i="6"/>
  <c r="CO50" i="6"/>
  <c r="BN50" i="6"/>
  <c r="CO34" i="6"/>
  <c r="CJ34" i="6"/>
  <c r="BQ34" i="6"/>
  <c r="CV43" i="6"/>
  <c r="BV43" i="6"/>
  <c r="CA43" i="6"/>
  <c r="CG40" i="6"/>
  <c r="CL40" i="6"/>
  <c r="CO36" i="6"/>
  <c r="CH36" i="6"/>
  <c r="CT36" i="6"/>
  <c r="CU36" i="6"/>
  <c r="BW50" i="6"/>
  <c r="CV50" i="6"/>
  <c r="BW34" i="6"/>
  <c r="BS34" i="6"/>
  <c r="BN34" i="6"/>
  <c r="CE43" i="6"/>
  <c r="CW43" i="6"/>
  <c r="CQ40" i="6"/>
  <c r="CF40" i="6"/>
  <c r="CN36" i="6"/>
  <c r="BW36" i="6"/>
  <c r="BT36" i="6"/>
  <c r="BN20" i="6"/>
  <c r="BV50" i="6"/>
  <c r="CG50" i="6"/>
  <c r="BN43" i="6"/>
  <c r="CS43" i="6"/>
  <c r="CR40" i="6"/>
  <c r="DA40" i="6"/>
  <c r="BS40" i="6"/>
  <c r="BU40" i="6"/>
  <c r="BV36" i="6"/>
  <c r="CG36" i="6"/>
  <c r="CX34" i="6"/>
  <c r="DA43" i="6"/>
  <c r="CR43" i="6"/>
  <c r="CA40" i="6"/>
  <c r="CE40" i="6"/>
  <c r="BT40" i="6"/>
  <c r="CP36" i="6"/>
  <c r="CQ36" i="6"/>
  <c r="DB50" i="6"/>
  <c r="CW50" i="6"/>
  <c r="CN34" i="6"/>
  <c r="CG34" i="6"/>
  <c r="CI35" i="6"/>
  <c r="BO35" i="6"/>
  <c r="CQ49" i="6"/>
  <c r="BS33" i="6"/>
  <c r="BO33" i="6"/>
  <c r="CI43" i="6"/>
  <c r="CU43" i="6"/>
  <c r="CK43" i="6"/>
  <c r="CQ43" i="6"/>
  <c r="CP40" i="6"/>
  <c r="BQ40" i="6"/>
  <c r="BR36" i="6"/>
  <c r="DB36" i="6"/>
  <c r="BS36" i="6"/>
  <c r="BQ20" i="6"/>
  <c r="CP50" i="6"/>
  <c r="CU50" i="6"/>
  <c r="CF50" i="6"/>
  <c r="CS34" i="6"/>
  <c r="BV34" i="6"/>
  <c r="BP34" i="6"/>
  <c r="BN18" i="6"/>
  <c r="CW35" i="6"/>
  <c r="CL35" i="6"/>
  <c r="BU49" i="6"/>
  <c r="CW49" i="6"/>
  <c r="BR43" i="6"/>
  <c r="CD43" i="6"/>
  <c r="BT43" i="6"/>
  <c r="CF43" i="6"/>
  <c r="CY40" i="6"/>
  <c r="BR40" i="6"/>
  <c r="CF36" i="6"/>
  <c r="CJ36" i="6"/>
  <c r="BX50" i="6"/>
  <c r="BU50" i="6"/>
  <c r="CB34" i="6"/>
  <c r="CH35" i="6"/>
  <c r="CB35" i="6"/>
  <c r="BP35" i="6"/>
  <c r="CK49" i="6"/>
  <c r="CB49" i="6"/>
  <c r="DA33" i="6"/>
  <c r="CD40" i="6"/>
  <c r="CL36" i="6"/>
  <c r="CD36" i="6"/>
  <c r="CQ50" i="6"/>
  <c r="CW34" i="6"/>
  <c r="DA34" i="6"/>
  <c r="BN35" i="6"/>
  <c r="CN49" i="6"/>
  <c r="CY49" i="6"/>
  <c r="CI49" i="6"/>
  <c r="CO33" i="6"/>
  <c r="CI33" i="6"/>
  <c r="CT33" i="6"/>
  <c r="CT43" i="6"/>
  <c r="CB43" i="6"/>
  <c r="BQ36" i="6"/>
  <c r="DA36" i="6"/>
  <c r="CC36" i="6"/>
  <c r="DA50" i="6"/>
  <c r="CN50" i="6"/>
  <c r="CK50" i="6"/>
  <c r="CR34" i="6"/>
  <c r="CL34" i="6"/>
  <c r="CF34" i="6"/>
  <c r="CY34" i="6"/>
  <c r="CO35" i="6"/>
  <c r="CV49" i="6"/>
  <c r="BT49" i="6"/>
  <c r="CY43" i="6"/>
  <c r="CC43" i="6"/>
  <c r="DB43" i="6"/>
  <c r="CO40" i="6"/>
  <c r="CX40" i="6"/>
  <c r="CK40" i="6"/>
  <c r="CS36" i="6"/>
  <c r="CE36" i="6"/>
  <c r="BU36" i="6"/>
  <c r="CE50" i="6"/>
  <c r="CR50" i="6"/>
  <c r="CL50" i="6"/>
  <c r="BP50" i="6"/>
  <c r="CA34" i="6"/>
  <c r="BU34" i="6"/>
  <c r="BO34" i="6"/>
  <c r="CV34" i="6"/>
  <c r="BQ18" i="6"/>
  <c r="BW35" i="6"/>
  <c r="CG35" i="6"/>
  <c r="CV35" i="6"/>
  <c r="CA49" i="6"/>
  <c r="CS49" i="6"/>
  <c r="BQ49" i="6"/>
  <c r="CV33" i="6"/>
  <c r="CJ35" i="6"/>
  <c r="BT35" i="6"/>
  <c r="CJ33" i="6"/>
  <c r="CO52" i="6"/>
  <c r="BV48" i="6"/>
  <c r="BQ48" i="6"/>
  <c r="CW32" i="6"/>
  <c r="CK32" i="6"/>
  <c r="BP32" i="6"/>
  <c r="DA44" i="6"/>
  <c r="CJ44" i="6"/>
  <c r="CG47" i="6"/>
  <c r="CB47" i="6"/>
  <c r="CF31" i="6"/>
  <c r="CP31" i="6"/>
  <c r="BP31" i="6"/>
  <c r="BN31" i="6"/>
  <c r="CA46" i="6"/>
  <c r="DA46" i="6"/>
  <c r="CL46" i="6"/>
  <c r="BW46" i="6"/>
  <c r="BS30" i="6"/>
  <c r="CH30" i="6"/>
  <c r="BS35" i="6"/>
  <c r="DB49" i="6"/>
  <c r="CR49" i="6"/>
  <c r="BP49" i="6"/>
  <c r="BR33" i="6"/>
  <c r="CD52" i="6"/>
  <c r="BQ52" i="6"/>
  <c r="CV52" i="6"/>
  <c r="CD48" i="6"/>
  <c r="CF32" i="6"/>
  <c r="CP32" i="6"/>
  <c r="BT32" i="6"/>
  <c r="CI44" i="6"/>
  <c r="CR44" i="6"/>
  <c r="CD44" i="6"/>
  <c r="BS44" i="6"/>
  <c r="CW51" i="6"/>
  <c r="CN51" i="6"/>
  <c r="BQ51" i="6"/>
  <c r="BP47" i="6"/>
  <c r="CR47" i="6"/>
  <c r="BO31" i="6"/>
  <c r="CO31" i="6"/>
  <c r="CI46" i="6"/>
  <c r="CK46" i="6"/>
  <c r="BT46" i="6"/>
  <c r="BW30" i="6"/>
  <c r="CP35" i="6"/>
  <c r="CJ49" i="6"/>
  <c r="BV49" i="6"/>
  <c r="BQ33" i="6"/>
  <c r="CP33" i="6"/>
  <c r="CF52" i="6"/>
  <c r="CQ52" i="6"/>
  <c r="CA52" i="6"/>
  <c r="CX48" i="6"/>
  <c r="CO48" i="6"/>
  <c r="BO32" i="6"/>
  <c r="BX32" i="6"/>
  <c r="BR44" i="6"/>
  <c r="CA44" i="6"/>
  <c r="BO44" i="6"/>
  <c r="CK35" i="6"/>
  <c r="BQ35" i="6"/>
  <c r="BX33" i="6"/>
  <c r="BQ17" i="6"/>
  <c r="BO52" i="6"/>
  <c r="CX52" i="6"/>
  <c r="DA52" i="6"/>
  <c r="CH52" i="6"/>
  <c r="CL48" i="6"/>
  <c r="CG48" i="6"/>
  <c r="BW48" i="6"/>
  <c r="BY48" i="6"/>
  <c r="CS51" i="6"/>
  <c r="CT35" i="6"/>
  <c r="CP49" i="6"/>
  <c r="BO49" i="6"/>
  <c r="BR49" i="6"/>
  <c r="CX33" i="6"/>
  <c r="CG52" i="6"/>
  <c r="CC52" i="6"/>
  <c r="CB52" i="6"/>
  <c r="BU48" i="6"/>
  <c r="BP48" i="6"/>
  <c r="DB32" i="6"/>
  <c r="CV32" i="6"/>
  <c r="BN16" i="6"/>
  <c r="CY44" i="6"/>
  <c r="CC44" i="6"/>
  <c r="CB51" i="6"/>
  <c r="CY35" i="6"/>
  <c r="CQ35" i="6"/>
  <c r="CG33" i="6"/>
  <c r="BP52" i="6"/>
  <c r="BY52" i="6"/>
  <c r="BO48" i="6"/>
  <c r="BS48" i="6"/>
  <c r="CJ32" i="6"/>
  <c r="CE32" i="6"/>
  <c r="CN44" i="6"/>
  <c r="CH44" i="6"/>
  <c r="CP44" i="6"/>
  <c r="CD35" i="6"/>
  <c r="CF35" i="6"/>
  <c r="DA49" i="6"/>
  <c r="BP33" i="6"/>
  <c r="CK33" i="6"/>
  <c r="BN17" i="6"/>
  <c r="CS52" i="6"/>
  <c r="BX52" i="6"/>
  <c r="CS48" i="6"/>
  <c r="BS32" i="6"/>
  <c r="BN32" i="6"/>
  <c r="CO32" i="6"/>
  <c r="BV44" i="6"/>
  <c r="BQ44" i="6"/>
  <c r="BX44" i="6"/>
  <c r="BY35" i="6"/>
  <c r="CE49" i="6"/>
  <c r="CE33" i="6"/>
  <c r="BW52" i="6"/>
  <c r="CK48" i="6"/>
  <c r="CB48" i="6"/>
  <c r="BN48" i="6"/>
  <c r="DB48" i="6"/>
  <c r="BW32" i="6"/>
  <c r="CX32" i="6"/>
  <c r="BY44" i="6"/>
  <c r="BX35" i="6"/>
  <c r="CO49" i="6"/>
  <c r="BN49" i="6"/>
  <c r="BW33" i="6"/>
  <c r="CW33" i="6"/>
  <c r="CD33" i="6"/>
  <c r="CN52" i="6"/>
  <c r="BU52" i="6"/>
  <c r="BT48" i="6"/>
  <c r="CJ48" i="6"/>
  <c r="DA32" i="6"/>
  <c r="CU32" i="6"/>
  <c r="CR32" i="6"/>
  <c r="BQ16" i="6"/>
  <c r="CX44" i="6"/>
  <c r="CX35" i="6"/>
  <c r="BR35" i="6"/>
  <c r="BV33" i="6"/>
  <c r="CF33" i="6"/>
  <c r="CA33" i="6"/>
  <c r="BN52" i="6"/>
  <c r="CR52" i="6"/>
  <c r="CR48" i="6"/>
  <c r="CF48" i="6"/>
  <c r="CI32" i="6"/>
  <c r="CD32" i="6"/>
  <c r="CQ32" i="6"/>
  <c r="CL44" i="6"/>
  <c r="CG44" i="6"/>
  <c r="CO44" i="6"/>
  <c r="BN44" i="6"/>
  <c r="CC35" i="6"/>
  <c r="CX49" i="6"/>
  <c r="BT33" i="6"/>
  <c r="BV52" i="6"/>
  <c r="DA48" i="6"/>
  <c r="CA48" i="6"/>
  <c r="CW48" i="6"/>
  <c r="CC48" i="6"/>
  <c r="BR32" i="6"/>
  <c r="CN32" i="6"/>
  <c r="BU44" i="6"/>
  <c r="BP44" i="6"/>
  <c r="BW44" i="6"/>
  <c r="CL51" i="6"/>
  <c r="DB51" i="6"/>
  <c r="CY47" i="6"/>
  <c r="CT47" i="6"/>
  <c r="DB47" i="6"/>
  <c r="CW47" i="6"/>
  <c r="CR31" i="6"/>
  <c r="CY31" i="6"/>
  <c r="BV31" i="6"/>
  <c r="CB31" i="6"/>
  <c r="BX46" i="6"/>
  <c r="BO46" i="6"/>
  <c r="DA35" i="6"/>
  <c r="CC49" i="6"/>
  <c r="CC33" i="6"/>
  <c r="BN33" i="6"/>
  <c r="CI48" i="6"/>
  <c r="CV48" i="6"/>
  <c r="CT32" i="6"/>
  <c r="CL32" i="6"/>
  <c r="CG32" i="6"/>
  <c r="CU44" i="6"/>
  <c r="CW44" i="6"/>
  <c r="CI51" i="6"/>
  <c r="CV51" i="6"/>
  <c r="BW51" i="6"/>
  <c r="CH47" i="6"/>
  <c r="CC47" i="6"/>
  <c r="CJ47" i="6"/>
  <c r="CS47" i="6"/>
  <c r="CH31" i="6"/>
  <c r="CT46" i="6"/>
  <c r="CN35" i="6"/>
  <c r="CS35" i="6"/>
  <c r="BY49" i="6"/>
  <c r="CG49" i="6"/>
  <c r="CL33" i="6"/>
  <c r="CK52" i="6"/>
  <c r="CL52" i="6"/>
  <c r="CP52" i="6"/>
  <c r="CY52" i="6"/>
  <c r="BR48" i="6"/>
  <c r="CU48" i="6"/>
  <c r="CY32" i="6"/>
  <c r="CC32" i="6"/>
  <c r="BU32" i="6"/>
  <c r="CB32" i="6"/>
  <c r="CT44" i="6"/>
  <c r="CV44" i="6"/>
  <c r="CX51" i="6"/>
  <c r="BX51" i="6"/>
  <c r="BV51" i="6"/>
  <c r="BQ47" i="6"/>
  <c r="BS47" i="6"/>
  <c r="CQ47" i="6"/>
  <c r="BV35" i="6"/>
  <c r="BU35" i="6"/>
  <c r="CD49" i="6"/>
  <c r="BU33" i="6"/>
  <c r="BT52" i="6"/>
  <c r="BR52" i="6"/>
  <c r="CU52" i="6"/>
  <c r="CT48" i="6"/>
  <c r="CH32" i="6"/>
  <c r="CA32" i="6"/>
  <c r="CK44" i="6"/>
  <c r="CS44" i="6"/>
  <c r="CQ44" i="6"/>
  <c r="CG51" i="6"/>
  <c r="BU51" i="6"/>
  <c r="CL47" i="6"/>
  <c r="CP47" i="6"/>
  <c r="CQ31" i="6"/>
  <c r="DA31" i="6"/>
  <c r="CJ46" i="6"/>
  <c r="CY46" i="6"/>
  <c r="CT49" i="6"/>
  <c r="BW49" i="6"/>
  <c r="CQ33" i="6"/>
  <c r="CE52" i="6"/>
  <c r="CT52" i="6"/>
  <c r="CY48" i="6"/>
  <c r="CP48" i="6"/>
  <c r="CQ48" i="6"/>
  <c r="BQ32" i="6"/>
  <c r="CS32" i="6"/>
  <c r="BY32" i="6"/>
  <c r="BT44" i="6"/>
  <c r="CB44" i="6"/>
  <c r="CF44" i="6"/>
  <c r="BP51" i="6"/>
  <c r="CH51" i="6"/>
  <c r="CO51" i="6"/>
  <c r="CO47" i="6"/>
  <c r="CF47" i="6"/>
  <c r="DB35" i="6"/>
  <c r="CR35" i="6"/>
  <c r="BX49" i="6"/>
  <c r="BS49" i="6"/>
  <c r="DB33" i="6"/>
  <c r="BY33" i="6"/>
  <c r="DB52" i="6"/>
  <c r="CN48" i="6"/>
  <c r="CH48" i="6"/>
  <c r="BX48" i="6"/>
  <c r="CE48" i="6"/>
  <c r="BV32" i="6"/>
  <c r="CE44" i="6"/>
  <c r="DB44" i="6"/>
  <c r="BS51" i="6"/>
  <c r="BT51" i="6"/>
  <c r="CX47" i="6"/>
  <c r="BW47" i="6"/>
  <c r="CW31" i="6"/>
  <c r="CG31" i="6"/>
  <c r="CT31" i="6"/>
  <c r="CR46" i="6"/>
  <c r="CN46" i="6"/>
  <c r="CB46" i="6"/>
  <c r="BU47" i="6"/>
  <c r="BX31" i="6"/>
  <c r="CV46" i="6"/>
  <c r="DB46" i="6"/>
  <c r="CY30" i="6"/>
  <c r="BX45" i="6"/>
  <c r="BO45" i="6"/>
  <c r="BS45" i="6"/>
  <c r="BR45" i="6"/>
  <c r="BW29" i="6"/>
  <c r="CY29" i="6"/>
  <c r="BT29" i="6"/>
  <c r="CS28" i="6"/>
  <c r="BN28" i="6"/>
  <c r="CF27" i="6"/>
  <c r="CR27" i="6"/>
  <c r="CL27" i="6"/>
  <c r="CJ26" i="6"/>
  <c r="CY26" i="6"/>
  <c r="BS25" i="6"/>
  <c r="CA25" i="6"/>
  <c r="BX39" i="6"/>
  <c r="BS42" i="6"/>
  <c r="CH42" i="6"/>
  <c r="BN38" i="6"/>
  <c r="CX38" i="6"/>
  <c r="BR22" i="6"/>
  <c r="BN22" i="6"/>
  <c r="BY22" i="6"/>
  <c r="BU22" i="6"/>
  <c r="CJ51" i="6"/>
  <c r="CU47" i="6"/>
  <c r="CE46" i="6"/>
  <c r="BS46" i="6"/>
  <c r="BU46" i="6"/>
  <c r="CU30" i="6"/>
  <c r="CJ30" i="6"/>
  <c r="BX30" i="6"/>
  <c r="CI29" i="6"/>
  <c r="CD29" i="6"/>
  <c r="CX28" i="6"/>
  <c r="BU28" i="6"/>
  <c r="BO27" i="6"/>
  <c r="CY27" i="6"/>
  <c r="BV27" i="6"/>
  <c r="CW26" i="6"/>
  <c r="CP26" i="6"/>
  <c r="BY26" i="6"/>
  <c r="CH25" i="6"/>
  <c r="CE39" i="6"/>
  <c r="CF39" i="6"/>
  <c r="CA38" i="6"/>
  <c r="CP38" i="6"/>
  <c r="CY38" i="6"/>
  <c r="CT51" i="6"/>
  <c r="CQ51" i="6"/>
  <c r="CD47" i="6"/>
  <c r="BO47" i="6"/>
  <c r="BW31" i="6"/>
  <c r="BN46" i="6"/>
  <c r="BR46" i="6"/>
  <c r="CV45" i="6"/>
  <c r="CX45" i="6"/>
  <c r="BN29" i="6"/>
  <c r="CQ29" i="6"/>
  <c r="CC28" i="6"/>
  <c r="CH28" i="6"/>
  <c r="CB27" i="6"/>
  <c r="CI27" i="6"/>
  <c r="CF26" i="6"/>
  <c r="BT26" i="6"/>
  <c r="CI26" i="6"/>
  <c r="CN25" i="6"/>
  <c r="CW25" i="6"/>
  <c r="CC51" i="6"/>
  <c r="CP51" i="6"/>
  <c r="CK31" i="6"/>
  <c r="BQ46" i="6"/>
  <c r="CT30" i="6"/>
  <c r="CI30" i="6"/>
  <c r="CV30" i="6"/>
  <c r="CN45" i="6"/>
  <c r="CE45" i="6"/>
  <c r="BQ45" i="6"/>
  <c r="CU45" i="6"/>
  <c r="CX29" i="6"/>
  <c r="BS29" i="6"/>
  <c r="CO28" i="6"/>
  <c r="CR28" i="6"/>
  <c r="CQ27" i="6"/>
  <c r="BO26" i="6"/>
  <c r="CV26" i="6"/>
  <c r="BR25" i="6"/>
  <c r="CG25" i="6"/>
  <c r="BY25" i="6"/>
  <c r="CE51" i="6"/>
  <c r="CN47" i="6"/>
  <c r="CA47" i="6"/>
  <c r="BT31" i="6"/>
  <c r="BU31" i="6"/>
  <c r="CU46" i="6"/>
  <c r="CX46" i="6"/>
  <c r="CS30" i="6"/>
  <c r="CC30" i="6"/>
  <c r="BV45" i="6"/>
  <c r="BN45" i="6"/>
  <c r="CI45" i="6"/>
  <c r="CT29" i="6"/>
  <c r="CH29" i="6"/>
  <c r="CA29" i="6"/>
  <c r="BW28" i="6"/>
  <c r="CW28" i="6"/>
  <c r="BR28" i="6"/>
  <c r="CG28" i="6"/>
  <c r="CK27" i="6"/>
  <c r="CV27" i="6"/>
  <c r="BU27" i="6"/>
  <c r="CH27" i="6"/>
  <c r="CO26" i="6"/>
  <c r="BX26" i="6"/>
  <c r="BV47" i="6"/>
  <c r="BR31" i="6"/>
  <c r="CD46" i="6"/>
  <c r="CG46" i="6"/>
  <c r="CS46" i="6"/>
  <c r="CB30" i="6"/>
  <c r="CE30" i="6"/>
  <c r="CR30" i="6"/>
  <c r="CC29" i="6"/>
  <c r="CN29" i="6"/>
  <c r="CB28" i="6"/>
  <c r="BT27" i="6"/>
  <c r="CA27" i="6"/>
  <c r="CT26" i="6"/>
  <c r="BS26" i="6"/>
  <c r="CH26" i="6"/>
  <c r="CT25" i="6"/>
  <c r="CL25" i="6"/>
  <c r="CV25" i="6"/>
  <c r="CU51" i="6"/>
  <c r="DB31" i="6"/>
  <c r="CN31" i="6"/>
  <c r="CC46" i="6"/>
  <c r="BP46" i="6"/>
  <c r="CO30" i="6"/>
  <c r="BV30" i="6"/>
  <c r="CT45" i="6"/>
  <c r="BP45" i="6"/>
  <c r="CG29" i="6"/>
  <c r="CW29" i="6"/>
  <c r="BR29" i="6"/>
  <c r="CQ28" i="6"/>
  <c r="CE27" i="6"/>
  <c r="CC26" i="6"/>
  <c r="CC25" i="6"/>
  <c r="BQ25" i="6"/>
  <c r="DB25" i="6"/>
  <c r="BV25" i="6"/>
  <c r="DA51" i="6"/>
  <c r="CR51" i="6"/>
  <c r="DA47" i="6"/>
  <c r="CJ31" i="6"/>
  <c r="CL31" i="6"/>
  <c r="CN30" i="6"/>
  <c r="CR45" i="6"/>
  <c r="CL45" i="6"/>
  <c r="CC45" i="6"/>
  <c r="CS29" i="6"/>
  <c r="BY29" i="6"/>
  <c r="CK28" i="6"/>
  <c r="CV28" i="6"/>
  <c r="BQ28" i="6"/>
  <c r="DB27" i="6"/>
  <c r="CU27" i="6"/>
  <c r="CP27" i="6"/>
  <c r="CN26" i="6"/>
  <c r="CF25" i="6"/>
  <c r="CA51" i="6"/>
  <c r="CD51" i="6"/>
  <c r="CI47" i="6"/>
  <c r="CK47" i="6"/>
  <c r="BS31" i="6"/>
  <c r="CI31" i="6"/>
  <c r="CW46" i="6"/>
  <c r="BR30" i="6"/>
  <c r="CD30" i="6"/>
  <c r="CQ30" i="6"/>
  <c r="CA45" i="6"/>
  <c r="BU45" i="6"/>
  <c r="DB45" i="6"/>
  <c r="CB29" i="6"/>
  <c r="DB29" i="6"/>
  <c r="CL29" i="6"/>
  <c r="DB28" i="6"/>
  <c r="BT28" i="6"/>
  <c r="CA28" i="6"/>
  <c r="CJ27" i="6"/>
  <c r="BY27" i="6"/>
  <c r="BR27" i="6"/>
  <c r="CS26" i="6"/>
  <c r="CU26" i="6"/>
  <c r="BR26" i="6"/>
  <c r="CE26" i="6"/>
  <c r="CS25" i="6"/>
  <c r="CK25" i="6"/>
  <c r="CU25" i="6"/>
  <c r="BR47" i="6"/>
  <c r="BT47" i="6"/>
  <c r="CE31" i="6"/>
  <c r="CF46" i="6"/>
  <c r="CX30" i="6"/>
  <c r="BU30" i="6"/>
  <c r="CS45" i="6"/>
  <c r="DA45" i="6"/>
  <c r="CF29" i="6"/>
  <c r="CV29" i="6"/>
  <c r="BQ29" i="6"/>
  <c r="CJ28" i="6"/>
  <c r="CN28" i="6"/>
  <c r="BS27" i="6"/>
  <c r="CD27" i="6"/>
  <c r="CB26" i="6"/>
  <c r="BW26" i="6"/>
  <c r="CB25" i="6"/>
  <c r="BP25" i="6"/>
  <c r="DA25" i="6"/>
  <c r="BU25" i="6"/>
  <c r="CY51" i="6"/>
  <c r="CV31" i="6"/>
  <c r="BQ31" i="6"/>
  <c r="CD31" i="6"/>
  <c r="CQ46" i="6"/>
  <c r="CG30" i="6"/>
  <c r="CL30" i="6"/>
  <c r="DB30" i="6"/>
  <c r="CB45" i="6"/>
  <c r="CY45" i="6"/>
  <c r="BV29" i="6"/>
  <c r="BS28" i="6"/>
  <c r="CF28" i="6"/>
  <c r="CU28" i="6"/>
  <c r="BP28" i="6"/>
  <c r="CT27" i="6"/>
  <c r="CO27" i="6"/>
  <c r="CL26" i="6"/>
  <c r="DB26" i="6"/>
  <c r="CE25" i="6"/>
  <c r="CN39" i="6"/>
  <c r="CA39" i="6"/>
  <c r="CQ39" i="6"/>
  <c r="CU42" i="6"/>
  <c r="CW42" i="6"/>
  <c r="BQ42" i="6"/>
  <c r="CH38" i="6"/>
  <c r="CK38" i="6"/>
  <c r="CW22" i="6"/>
  <c r="BY51" i="6"/>
  <c r="CX31" i="6"/>
  <c r="BY46" i="6"/>
  <c r="CO46" i="6"/>
  <c r="BP30" i="6"/>
  <c r="BQ30" i="6"/>
  <c r="CA30" i="6"/>
  <c r="CP30" i="6"/>
  <c r="CQ45" i="6"/>
  <c r="CK45" i="6"/>
  <c r="CO45" i="6"/>
  <c r="CP29" i="6"/>
  <c r="CK29" i="6"/>
  <c r="DA28" i="6"/>
  <c r="BY28" i="6"/>
  <c r="BX27" i="6"/>
  <c r="BQ27" i="6"/>
  <c r="DA27" i="6"/>
  <c r="CR26" i="6"/>
  <c r="BQ26" i="6"/>
  <c r="CD26" i="6"/>
  <c r="CJ25" i="6"/>
  <c r="CR25" i="6"/>
  <c r="BV39" i="6"/>
  <c r="CK39" i="6"/>
  <c r="CP39" i="6"/>
  <c r="CD42" i="6"/>
  <c r="CP42" i="6"/>
  <c r="CF42" i="6"/>
  <c r="CW38" i="6"/>
  <c r="CR38" i="6"/>
  <c r="CD38" i="6"/>
  <c r="CJ22" i="6"/>
  <c r="CF22" i="6"/>
  <c r="CR22" i="6"/>
  <c r="CN22" i="6"/>
  <c r="CF51" i="6"/>
  <c r="BR51" i="6"/>
  <c r="BY47" i="6"/>
  <c r="CU31" i="6"/>
  <c r="CA31" i="6"/>
  <c r="CC31" i="6"/>
  <c r="BT30" i="6"/>
  <c r="BY45" i="6"/>
  <c r="BT45" i="6"/>
  <c r="CD45" i="6"/>
  <c r="CJ45" i="6"/>
  <c r="BX29" i="6"/>
  <c r="DA29" i="6"/>
  <c r="CU29" i="6"/>
  <c r="BP29" i="6"/>
  <c r="CE28" i="6"/>
  <c r="CL28" i="6"/>
  <c r="CC27" i="6"/>
  <c r="BV26" i="6"/>
  <c r="CP25" i="6"/>
  <c r="BO25" i="6"/>
  <c r="CY25" i="6"/>
  <c r="BT25" i="6"/>
  <c r="CU39" i="6"/>
  <c r="BN39" i="6"/>
  <c r="CH39" i="6"/>
  <c r="BX42" i="6"/>
  <c r="BO42" i="6"/>
  <c r="CY42" i="6"/>
  <c r="CF38" i="6"/>
  <c r="BO51" i="6"/>
  <c r="CV47" i="6"/>
  <c r="CH46" i="6"/>
  <c r="CW30" i="6"/>
  <c r="CK30" i="6"/>
  <c r="DA30" i="6"/>
  <c r="CH45" i="6"/>
  <c r="CE29" i="6"/>
  <c r="BU29" i="6"/>
  <c r="CT28" i="6"/>
  <c r="BO28" i="6"/>
  <c r="CX27" i="6"/>
  <c r="CS27" i="6"/>
  <c r="CN27" i="6"/>
  <c r="CX26" i="6"/>
  <c r="CK26" i="6"/>
  <c r="DA26" i="6"/>
  <c r="BX25" i="6"/>
  <c r="CD25" i="6"/>
  <c r="DA39" i="6"/>
  <c r="DB39" i="6"/>
  <c r="BY39" i="6"/>
  <c r="CL42" i="6"/>
  <c r="CO42" i="6"/>
  <c r="BO38" i="6"/>
  <c r="CK51" i="6"/>
  <c r="CE47" i="6"/>
  <c r="BX47" i="6"/>
  <c r="CS31" i="6"/>
  <c r="BY31" i="6"/>
  <c r="CF30" i="6"/>
  <c r="BN30" i="6"/>
  <c r="BY30" i="6"/>
  <c r="CW45" i="6"/>
  <c r="BW45" i="6"/>
  <c r="CJ29" i="6"/>
  <c r="CP28" i="6"/>
  <c r="CY28" i="6"/>
  <c r="BV28" i="6"/>
  <c r="CG27" i="6"/>
  <c r="BW27" i="6"/>
  <c r="BN27" i="6"/>
  <c r="CG26" i="6"/>
  <c r="CQ26" i="6"/>
  <c r="BN26" i="6"/>
  <c r="CA26" i="6"/>
  <c r="CO25" i="6"/>
  <c r="CI25" i="6"/>
  <c r="CI39" i="6"/>
  <c r="CJ39" i="6"/>
  <c r="CG39" i="6"/>
  <c r="BN51" i="6"/>
  <c r="BN47" i="6"/>
  <c r="CP46" i="6"/>
  <c r="BV46" i="6"/>
  <c r="BO30" i="6"/>
  <c r="CP45" i="6"/>
  <c r="CF45" i="6"/>
  <c r="CG45" i="6"/>
  <c r="CO29" i="6"/>
  <c r="BO29" i="6"/>
  <c r="CR29" i="6"/>
  <c r="BX28" i="6"/>
  <c r="CD28" i="6"/>
  <c r="CI28" i="6"/>
  <c r="CW27" i="6"/>
  <c r="BP27" i="6"/>
  <c r="BP26" i="6"/>
  <c r="BU26" i="6"/>
  <c r="BW25" i="6"/>
  <c r="CQ25" i="6"/>
  <c r="BN25" i="6"/>
  <c r="CX25" i="6"/>
  <c r="BR39" i="6"/>
  <c r="BS39" i="6"/>
  <c r="CT39" i="6"/>
  <c r="CC42" i="6"/>
  <c r="CJ42" i="6"/>
  <c r="CB42" i="6"/>
  <c r="CE38" i="6"/>
  <c r="BU38" i="6"/>
  <c r="CC38" i="6"/>
  <c r="CI22" i="6"/>
  <c r="CE22" i="6"/>
  <c r="CQ22" i="6"/>
  <c r="CL22" i="6"/>
  <c r="CX39" i="6"/>
  <c r="CV42" i="6"/>
  <c r="BR42" i="6"/>
  <c r="BY38" i="6"/>
  <c r="CT22" i="6"/>
  <c r="CL41" i="6"/>
  <c r="CH23" i="6"/>
  <c r="CV23" i="6"/>
  <c r="CQ23" i="6"/>
  <c r="BO37" i="6"/>
  <c r="CI37" i="6"/>
  <c r="BX21" i="6"/>
  <c r="BT21" i="6"/>
  <c r="CG21" i="6"/>
  <c r="CC39" i="6"/>
  <c r="CE42" i="6"/>
  <c r="CB38" i="6"/>
  <c r="BS22" i="6"/>
  <c r="CC22" i="6"/>
  <c r="BV22" i="6"/>
  <c r="BQ41" i="6"/>
  <c r="CU41" i="6"/>
  <c r="CY41" i="6"/>
  <c r="CN23" i="6"/>
  <c r="BQ23" i="6"/>
  <c r="CD23" i="6"/>
  <c r="BX23" i="6"/>
  <c r="CP37" i="6"/>
  <c r="CY37" i="6"/>
  <c r="CT21" i="6"/>
  <c r="BP21" i="6"/>
  <c r="BQ24" i="6"/>
  <c r="BN42" i="6"/>
  <c r="CX42" i="6"/>
  <c r="CS42" i="6"/>
  <c r="DA22" i="6"/>
  <c r="CW41" i="6"/>
  <c r="BW41" i="6"/>
  <c r="CX41" i="6"/>
  <c r="CW23" i="6"/>
  <c r="BU23" i="6"/>
  <c r="BT37" i="6"/>
  <c r="DB37" i="6"/>
  <c r="CO37" i="6"/>
  <c r="CC21" i="6"/>
  <c r="CV39" i="6"/>
  <c r="CW39" i="6"/>
  <c r="CG42" i="6"/>
  <c r="CV38" i="6"/>
  <c r="CT38" i="6"/>
  <c r="CY22" i="6"/>
  <c r="CS22" i="6"/>
  <c r="CF41" i="6"/>
  <c r="CK41" i="6"/>
  <c r="CQ41" i="6"/>
  <c r="DA23" i="6"/>
  <c r="CV37" i="6"/>
  <c r="CD37" i="6"/>
  <c r="CH37" i="6"/>
  <c r="CO21" i="6"/>
  <c r="CS39" i="6"/>
  <c r="CT42" i="6"/>
  <c r="BP42" i="6"/>
  <c r="BX38" i="6"/>
  <c r="CH22" i="6"/>
  <c r="CB22" i="6"/>
  <c r="BO41" i="6"/>
  <c r="BP41" i="6"/>
  <c r="CJ41" i="6"/>
  <c r="CL23" i="6"/>
  <c r="CG23" i="6"/>
  <c r="CU23" i="6"/>
  <c r="CE37" i="6"/>
  <c r="CG37" i="6"/>
  <c r="CS21" i="6"/>
  <c r="BW21" i="6"/>
  <c r="CJ21" i="6"/>
  <c r="BU39" i="6"/>
  <c r="CR42" i="6"/>
  <c r="DB38" i="6"/>
  <c r="BV38" i="6"/>
  <c r="BQ22" i="6"/>
  <c r="CA22" i="6"/>
  <c r="CK22" i="6"/>
  <c r="CT41" i="6"/>
  <c r="BY41" i="6"/>
  <c r="BT23" i="6"/>
  <c r="BP23" i="6"/>
  <c r="CC23" i="6"/>
  <c r="BN37" i="6"/>
  <c r="CN37" i="6"/>
  <c r="DA37" i="6"/>
  <c r="BY37" i="6"/>
  <c r="CB21" i="6"/>
  <c r="BS21" i="6"/>
  <c r="CA42" i="6"/>
  <c r="CK42" i="6"/>
  <c r="CJ38" i="6"/>
  <c r="CQ38" i="6"/>
  <c r="BT22" i="6"/>
  <c r="CV41" i="6"/>
  <c r="CI41" i="6"/>
  <c r="BV41" i="6"/>
  <c r="BX41" i="6"/>
  <c r="BR37" i="6"/>
  <c r="CC37" i="6"/>
  <c r="BS37" i="6"/>
  <c r="CW21" i="6"/>
  <c r="CR39" i="6"/>
  <c r="BW42" i="6"/>
  <c r="BS38" i="6"/>
  <c r="BT38" i="6"/>
  <c r="CS38" i="6"/>
  <c r="CX22" i="6"/>
  <c r="CE41" i="6"/>
  <c r="BU41" i="6"/>
  <c r="CY23" i="6"/>
  <c r="CT23" i="6"/>
  <c r="CF21" i="6"/>
  <c r="CR21" i="6"/>
  <c r="CN21" i="6"/>
  <c r="DA21" i="6"/>
  <c r="CO39" i="6"/>
  <c r="BT39" i="6"/>
  <c r="CL38" i="6"/>
  <c r="CG22" i="6"/>
  <c r="BN41" i="6"/>
  <c r="CH41" i="6"/>
  <c r="CP41" i="6"/>
  <c r="CJ23" i="6"/>
  <c r="CK23" i="6"/>
  <c r="CF23" i="6"/>
  <c r="CB23" i="6"/>
  <c r="CS37" i="6"/>
  <c r="CL37" i="6"/>
  <c r="CX37" i="6"/>
  <c r="BO21" i="6"/>
  <c r="CA21" i="6"/>
  <c r="BV21" i="6"/>
  <c r="CI21" i="6"/>
  <c r="BW39" i="6"/>
  <c r="BV42" i="6"/>
  <c r="DA38" i="6"/>
  <c r="CO38" i="6"/>
  <c r="BW38" i="6"/>
  <c r="BP22" i="6"/>
  <c r="CP22" i="6"/>
  <c r="BT41" i="6"/>
  <c r="BS23" i="6"/>
  <c r="BO23" i="6"/>
  <c r="CB37" i="6"/>
  <c r="BQ37" i="6"/>
  <c r="BX37" i="6"/>
  <c r="BR21" i="6"/>
  <c r="CL39" i="6"/>
  <c r="CQ42" i="6"/>
  <c r="CI38" i="6"/>
  <c r="BQ38" i="6"/>
  <c r="BX22" i="6"/>
  <c r="CR41" i="6"/>
  <c r="CS41" i="6"/>
  <c r="CG41" i="6"/>
  <c r="CS23" i="6"/>
  <c r="CR37" i="6"/>
  <c r="CV21" i="6"/>
  <c r="BO39" i="6"/>
  <c r="BY42" i="6"/>
  <c r="BU42" i="6"/>
  <c r="BR38" i="6"/>
  <c r="BO22" i="6"/>
  <c r="CA41" i="6"/>
  <c r="CB41" i="6"/>
  <c r="DB41" i="6"/>
  <c r="CO41" i="6"/>
  <c r="CP23" i="6"/>
  <c r="CX23" i="6"/>
  <c r="CA23" i="6"/>
  <c r="CA37" i="6"/>
  <c r="CT37" i="6"/>
  <c r="CK37" i="6"/>
  <c r="CU37" i="6"/>
  <c r="CE21" i="6"/>
  <c r="CQ21" i="6"/>
  <c r="CL21" i="6"/>
  <c r="CY21" i="6"/>
  <c r="CB39" i="6"/>
  <c r="CN38" i="6"/>
  <c r="CV22" i="6"/>
  <c r="CD41" i="6"/>
  <c r="BS41" i="6"/>
  <c r="BW23" i="6"/>
  <c r="CI23" i="6"/>
  <c r="CE23" i="6"/>
  <c r="BV37" i="6"/>
  <c r="BP37" i="6"/>
  <c r="BW37" i="6"/>
  <c r="BN21" i="6"/>
  <c r="BY21" i="6"/>
  <c r="BU21" i="6"/>
  <c r="CH21" i="6"/>
  <c r="CY39" i="6"/>
  <c r="BQ39" i="6"/>
  <c r="DB42" i="6"/>
  <c r="BT42" i="6"/>
  <c r="BP38" i="6"/>
  <c r="CU22" i="6"/>
  <c r="CO22" i="6"/>
  <c r="CN41" i="6"/>
  <c r="DA41" i="6"/>
  <c r="BR23" i="6"/>
  <c r="BN23" i="6"/>
  <c r="CR23" i="6"/>
  <c r="BQ21" i="6"/>
  <c r="BQ15" i="6"/>
  <c r="BQ14" i="6"/>
  <c r="CD39" i="6"/>
  <c r="BP39" i="6"/>
  <c r="DA42" i="6"/>
  <c r="CD22" i="6"/>
  <c r="BW22" i="6"/>
  <c r="BR41" i="6"/>
  <c r="CC41" i="6"/>
  <c r="CO23" i="6"/>
  <c r="BY23" i="6"/>
  <c r="CW37" i="6"/>
  <c r="CQ37" i="6"/>
  <c r="CJ37" i="6"/>
  <c r="CU21" i="6"/>
  <c r="CI42" i="6"/>
  <c r="CN42" i="6"/>
  <c r="CU38" i="6"/>
  <c r="CG38" i="6"/>
  <c r="BV23" i="6"/>
  <c r="CF37" i="6"/>
  <c r="BU37" i="6"/>
  <c r="CD21" i="6"/>
  <c r="CP21" i="6"/>
  <c r="CK21" i="6"/>
  <c r="CX21" i="6"/>
  <c r="AY19" i="31"/>
  <c r="AO17" i="31"/>
  <c r="AX17" i="31"/>
  <c r="AN20" i="31"/>
  <c r="BJ18" i="31"/>
  <c r="BG18" i="31"/>
  <c r="AP14" i="31"/>
  <c r="AU14" i="31"/>
  <c r="BC16" i="31"/>
  <c r="AO15" i="31"/>
  <c r="BB15" i="31"/>
  <c r="AR14" i="31"/>
  <c r="BH15" i="31"/>
  <c r="BC15" i="31"/>
  <c r="BI16" i="31"/>
  <c r="AW16" i="31"/>
  <c r="BB19" i="31"/>
  <c r="BL17" i="31"/>
  <c r="BF17" i="31"/>
  <c r="BH20" i="31"/>
  <c r="AS18" i="31"/>
  <c r="AP18" i="31"/>
  <c r="AQ14" i="31"/>
  <c r="BK14" i="31"/>
  <c r="AQ16" i="31"/>
  <c r="BD15" i="31"/>
  <c r="AT15" i="31"/>
  <c r="AN18" i="31"/>
  <c r="BK16" i="31"/>
  <c r="AP15" i="31"/>
  <c r="BF16" i="31"/>
  <c r="AQ15" i="31"/>
  <c r="BA16" i="31"/>
  <c r="BF14" i="31"/>
  <c r="AW15" i="31"/>
  <c r="AS19" i="31"/>
  <c r="BJ17" i="31"/>
  <c r="AY17" i="31"/>
  <c r="BD20" i="31"/>
  <c r="BC18" i="31"/>
  <c r="BJ14" i="31"/>
  <c r="AN15" i="31"/>
  <c r="BA15" i="31"/>
  <c r="BI15" i="31"/>
  <c r="AN16" i="31"/>
  <c r="BD19" i="31"/>
  <c r="BI17" i="31"/>
  <c r="BE17" i="31"/>
  <c r="AO20" i="31"/>
  <c r="BB18" i="31"/>
  <c r="BF18" i="31"/>
  <c r="BG14" i="31"/>
  <c r="BI14" i="31"/>
  <c r="BF15" i="31"/>
  <c r="AY16" i="31"/>
  <c r="AV15" i="31"/>
  <c r="AV19" i="31"/>
  <c r="BC19" i="31"/>
  <c r="AP17" i="31"/>
  <c r="BG20" i="31"/>
  <c r="BA18" i="31"/>
  <c r="AO18" i="31"/>
  <c r="BC14" i="31"/>
  <c r="AY14" i="31"/>
  <c r="AR16" i="31"/>
  <c r="BE15" i="31"/>
  <c r="AR15" i="31"/>
  <c r="AU15" i="31"/>
  <c r="BH19" i="31"/>
  <c r="BA19" i="31"/>
  <c r="AQ17" i="31"/>
  <c r="BL20" i="31"/>
  <c r="AS20" i="31"/>
  <c r="AX18" i="31"/>
  <c r="AQ18" i="31"/>
  <c r="AO14" i="31"/>
  <c r="AS15" i="31"/>
  <c r="BE19" i="31"/>
  <c r="AP19" i="31"/>
  <c r="BC17" i="31"/>
  <c r="AQ20" i="31"/>
  <c r="BA20" i="31"/>
  <c r="AT18" i="31"/>
  <c r="AS14" i="31"/>
  <c r="AW19" i="31"/>
  <c r="AR19" i="31"/>
  <c r="AR17" i="31"/>
  <c r="AV20" i="31"/>
  <c r="BF20" i="31"/>
  <c r="BL18" i="31"/>
  <c r="AX14" i="31"/>
  <c r="BA14" i="31"/>
  <c r="BG19" i="31"/>
  <c r="AQ19" i="31"/>
  <c r="BG17" i="31"/>
  <c r="AX20" i="31"/>
  <c r="AW20" i="31"/>
  <c r="AU18" i="31"/>
  <c r="BH14" i="31"/>
  <c r="BG16" i="31"/>
  <c r="AO19" i="31"/>
  <c r="AT19" i="31"/>
  <c r="AS17" i="31"/>
  <c r="BK20" i="31"/>
  <c r="BE20" i="31"/>
  <c r="AV18" i="31"/>
  <c r="BE14" i="31"/>
  <c r="BE16" i="31"/>
  <c r="AS16" i="31"/>
  <c r="BL19" i="31"/>
  <c r="AU19" i="31"/>
  <c r="BA17" i="31"/>
  <c r="BJ20" i="31"/>
  <c r="BB20" i="31"/>
  <c r="AY18" i="31"/>
  <c r="BD14" i="31"/>
  <c r="BJ16" i="31"/>
  <c r="AX16" i="31"/>
  <c r="BL15" i="31"/>
  <c r="BJ19" i="31"/>
  <c r="BI19" i="31"/>
  <c r="AT17" i="31"/>
  <c r="AP20" i="31"/>
  <c r="AU20" i="31"/>
  <c r="AW18" i="31"/>
  <c r="AT14" i="31"/>
  <c r="BH16" i="31"/>
  <c r="AT16" i="31"/>
  <c r="AX15" i="31"/>
  <c r="AX19" i="31"/>
  <c r="AN17" i="31"/>
  <c r="AU17" i="31"/>
  <c r="AT20" i="31"/>
  <c r="AY20" i="31"/>
  <c r="BI18" i="31"/>
  <c r="BL14" i="31"/>
  <c r="AO16" i="31"/>
  <c r="AV16" i="31"/>
  <c r="BK15" i="31"/>
  <c r="BF19" i="31"/>
  <c r="BK17" i="31"/>
  <c r="BD17" i="31"/>
  <c r="BI20" i="31"/>
  <c r="BE18" i="31"/>
  <c r="AV14" i="31"/>
  <c r="BD16" i="31"/>
  <c r="AU16" i="31"/>
  <c r="AY15" i="31"/>
  <c r="AN19" i="31"/>
  <c r="BH17" i="31"/>
  <c r="AV17" i="31"/>
  <c r="AR20" i="31"/>
  <c r="AR18" i="31"/>
  <c r="BH18" i="31"/>
  <c r="AW14" i="31"/>
  <c r="BB16" i="31"/>
  <c r="BJ15" i="31"/>
  <c r="BK19" i="31"/>
  <c r="BB17" i="31"/>
  <c r="AW17" i="31"/>
  <c r="BC20" i="31"/>
  <c r="BD18" i="31"/>
  <c r="BK18" i="31"/>
  <c r="BB14" i="31"/>
  <c r="AP16" i="31"/>
  <c r="BL16" i="31"/>
  <c r="BG15" i="31"/>
  <c r="CF13" i="31"/>
  <c r="BX13" i="31"/>
  <c r="CN15" i="31"/>
  <c r="CA15" i="31"/>
  <c r="BU13" i="31"/>
  <c r="BS13" i="31"/>
  <c r="CC13" i="31"/>
  <c r="CA17" i="31"/>
  <c r="CA20" i="31"/>
  <c r="CA18" i="31"/>
  <c r="BT13" i="31"/>
  <c r="BV13" i="31"/>
  <c r="BP13" i="31"/>
  <c r="CN18" i="31"/>
  <c r="BW13" i="31"/>
  <c r="CA19" i="31"/>
  <c r="CK13" i="31"/>
  <c r="CI13" i="31"/>
  <c r="CN17" i="31"/>
  <c r="CN20" i="31"/>
  <c r="BQ13" i="31"/>
  <c r="CA16" i="31"/>
  <c r="BO13" i="31"/>
  <c r="CA14" i="31"/>
  <c r="CL13" i="31"/>
  <c r="BZ13" i="31"/>
  <c r="CB13" i="31"/>
  <c r="CN14" i="31"/>
  <c r="CN19" i="31"/>
  <c r="CN16" i="31"/>
  <c r="CD13" i="31"/>
  <c r="BR13" i="31"/>
  <c r="CE13" i="31"/>
  <c r="CJ13" i="31"/>
  <c r="CG13" i="31"/>
  <c r="CM13" i="31"/>
  <c r="BY13" i="31"/>
  <c r="CH13" i="31"/>
  <c r="J15" i="31" l="1"/>
  <c r="J19" i="31"/>
  <c r="J18" i="31"/>
  <c r="J20" i="31"/>
  <c r="J17" i="31"/>
  <c r="J14" i="31"/>
  <c r="J16" i="31"/>
  <c r="J16" i="10"/>
  <c r="K16" i="10" s="1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J18" i="10"/>
  <c r="K18" i="10" s="1"/>
  <c r="L18" i="10" s="1"/>
  <c r="M18" i="10" s="1"/>
  <c r="N18" i="10" s="1"/>
  <c r="O18" i="10" s="1"/>
  <c r="P18" i="10" s="1"/>
  <c r="Q18" i="10" s="1"/>
  <c r="R18" i="10" s="1"/>
  <c r="S18" i="10" s="1"/>
  <c r="J17" i="10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F7" i="31"/>
  <c r="CN13" i="31"/>
  <c r="CA13" i="31"/>
  <c r="F6" i="31"/>
  <c r="AZ14" i="31"/>
  <c r="BM20" i="31"/>
  <c r="AZ20" i="31"/>
  <c r="AZ19" i="31"/>
  <c r="BM19" i="31"/>
  <c r="AZ18" i="31"/>
  <c r="BM16" i="31"/>
  <c r="BM15" i="31"/>
  <c r="AZ16" i="31"/>
  <c r="BM18" i="31"/>
  <c r="BM14" i="31"/>
  <c r="AZ15" i="31"/>
  <c r="T18" i="10" l="1"/>
  <c r="DO24" i="6"/>
  <c r="I14" i="31"/>
  <c r="F8" i="31"/>
  <c r="I16" i="31"/>
  <c r="I15" i="31"/>
  <c r="I20" i="31"/>
  <c r="I18" i="31"/>
  <c r="I19" i="31"/>
  <c r="W16" i="10"/>
  <c r="X16" i="10" s="1"/>
  <c r="Y16" i="10" s="1"/>
  <c r="Z16" i="10" s="1"/>
  <c r="AA16" i="10" s="1"/>
  <c r="AB16" i="10" s="1"/>
  <c r="AC16" i="10" s="1"/>
  <c r="W17" i="10"/>
  <c r="X17" i="10" s="1"/>
  <c r="Y17" i="10" s="1"/>
  <c r="Z17" i="10" s="1"/>
  <c r="AA17" i="10" s="1"/>
  <c r="AB17" i="10" s="1"/>
  <c r="AC17" i="10" s="1"/>
  <c r="J13" i="31"/>
  <c r="E7" i="31"/>
  <c r="G7" i="31" s="1"/>
  <c r="E6" i="31"/>
  <c r="G6" i="31" s="1"/>
  <c r="C13" i="28"/>
  <c r="U18" i="10" l="1"/>
  <c r="DQ24" i="6" s="1"/>
  <c r="DP24" i="6"/>
  <c r="W18" i="10"/>
  <c r="DS24" i="6" s="1"/>
  <c r="DR13" i="6"/>
  <c r="DR14" i="6"/>
  <c r="F5" i="31"/>
  <c r="J19" i="10"/>
  <c r="AD16" i="10"/>
  <c r="AE16" i="10" s="1"/>
  <c r="AF16" i="10" s="1"/>
  <c r="AG16" i="10" s="1"/>
  <c r="AP16" i="10"/>
  <c r="AQ16" i="10" s="1"/>
  <c r="AR16" i="10" s="1"/>
  <c r="AS16" i="10" s="1"/>
  <c r="AD17" i="10"/>
  <c r="AE17" i="10" s="1"/>
  <c r="AF17" i="10" s="1"/>
  <c r="AG17" i="10" s="1"/>
  <c r="AP17" i="10"/>
  <c r="AQ17" i="10" s="1"/>
  <c r="AR17" i="10" s="1"/>
  <c r="AS17" i="10" s="1"/>
  <c r="X18" i="10" l="1"/>
  <c r="DT24" i="6" s="1"/>
  <c r="AH16" i="10"/>
  <c r="AI16" i="10" s="1"/>
  <c r="AJ16" i="10" s="1"/>
  <c r="AK16" i="10" s="1"/>
  <c r="AL16" i="10" s="1"/>
  <c r="AM16" i="10" s="1"/>
  <c r="AN16" i="10" s="1"/>
  <c r="AO16" i="10" s="1"/>
  <c r="AT17" i="10"/>
  <c r="AU17" i="10" s="1"/>
  <c r="AV17" i="10" s="1"/>
  <c r="AW17" i="10" s="1"/>
  <c r="AX17" i="10" s="1"/>
  <c r="AY17" i="10" s="1"/>
  <c r="AZ17" i="10" s="1"/>
  <c r="BA17" i="10" s="1"/>
  <c r="BB17" i="10" s="1"/>
  <c r="AT16" i="10"/>
  <c r="AU16" i="10" s="1"/>
  <c r="AV16" i="10" s="1"/>
  <c r="AW16" i="10" s="1"/>
  <c r="AX16" i="10" s="1"/>
  <c r="AY16" i="10" s="1"/>
  <c r="AZ16" i="10" s="1"/>
  <c r="BA16" i="10" s="1"/>
  <c r="BB16" i="10" s="1"/>
  <c r="AH17" i="10"/>
  <c r="AI17" i="10" s="1"/>
  <c r="AJ17" i="10" s="1"/>
  <c r="AK17" i="10" s="1"/>
  <c r="AL17" i="10" s="1"/>
  <c r="AM17" i="10" s="1"/>
  <c r="AN17" i="10" s="1"/>
  <c r="AO17" i="10" s="1"/>
  <c r="K19" i="10"/>
  <c r="F4" i="24"/>
  <c r="Y18" i="10" l="1"/>
  <c r="DU24" i="6" s="1"/>
  <c r="L19" i="10"/>
  <c r="Z18" i="10" l="1"/>
  <c r="DV24" i="6" s="1"/>
  <c r="M19" i="10"/>
  <c r="F30" i="26"/>
  <c r="J29" i="26"/>
  <c r="M29" i="26" s="1"/>
  <c r="J28" i="26"/>
  <c r="M28" i="26" s="1"/>
  <c r="J27" i="26"/>
  <c r="M27" i="26" s="1"/>
  <c r="J26" i="26"/>
  <c r="M26" i="26" s="1"/>
  <c r="J25" i="26"/>
  <c r="M25" i="26" s="1"/>
  <c r="J24" i="26"/>
  <c r="M24" i="26" s="1"/>
  <c r="J23" i="26"/>
  <c r="M23" i="26" s="1"/>
  <c r="J22" i="26"/>
  <c r="M22" i="26" s="1"/>
  <c r="J21" i="26"/>
  <c r="M21" i="26" s="1"/>
  <c r="J20" i="26"/>
  <c r="M20" i="26" s="1"/>
  <c r="J19" i="26"/>
  <c r="M19" i="26" s="1"/>
  <c r="J18" i="26"/>
  <c r="M18" i="26" s="1"/>
  <c r="J17" i="26"/>
  <c r="M17" i="26" s="1"/>
  <c r="J16" i="26"/>
  <c r="M16" i="26" s="1"/>
  <c r="J15" i="26"/>
  <c r="M15" i="26" s="1"/>
  <c r="J14" i="26"/>
  <c r="M14" i="26" s="1"/>
  <c r="J13" i="26"/>
  <c r="M13" i="26" s="1"/>
  <c r="J12" i="26"/>
  <c r="M12" i="26" s="1"/>
  <c r="J11" i="26"/>
  <c r="M11" i="26" s="1"/>
  <c r="J10" i="26"/>
  <c r="M10" i="26" s="1"/>
  <c r="J9" i="26"/>
  <c r="M9" i="26" s="1"/>
  <c r="AA18" i="10" l="1"/>
  <c r="DW24" i="6" s="1"/>
  <c r="N19" i="10"/>
  <c r="M30" i="26"/>
  <c r="J30" i="26"/>
  <c r="S33" i="24"/>
  <c r="AB18" i="10" l="1"/>
  <c r="DX24" i="6" s="1"/>
  <c r="O19" i="10"/>
  <c r="K13" i="24"/>
  <c r="AC18" i="10" l="1"/>
  <c r="DY24" i="6" s="1"/>
  <c r="P19" i="10"/>
  <c r="AD18" i="10" l="1"/>
  <c r="DZ24" i="6" s="1"/>
  <c r="AP18" i="10"/>
  <c r="EM24" i="6" s="1"/>
  <c r="Q19" i="10"/>
  <c r="AQ18" i="10" l="1"/>
  <c r="EO24" i="6" s="1"/>
  <c r="AE18" i="10"/>
  <c r="EB24" i="6" s="1"/>
  <c r="R19" i="10"/>
  <c r="BC21" i="10"/>
  <c r="BC20" i="10"/>
  <c r="BC19" i="10"/>
  <c r="BC18" i="10"/>
  <c r="BC17" i="10"/>
  <c r="BC16" i="10"/>
  <c r="AF18" i="10" l="1"/>
  <c r="AR18" i="10"/>
  <c r="S19" i="10"/>
  <c r="BC5" i="10"/>
  <c r="BC6" i="10"/>
  <c r="BC7" i="10"/>
  <c r="BC8" i="10"/>
  <c r="BC9" i="10"/>
  <c r="BC10" i="10"/>
  <c r="BC11" i="10"/>
  <c r="BC12" i="10"/>
  <c r="BC13" i="10"/>
  <c r="BC14" i="10"/>
  <c r="BC15" i="10"/>
  <c r="BC28" i="10"/>
  <c r="BC29" i="10"/>
  <c r="BC30" i="10"/>
  <c r="BC31" i="10"/>
  <c r="BC32" i="10"/>
  <c r="BC33" i="10"/>
  <c r="BC107" i="10"/>
  <c r="BC108" i="10"/>
  <c r="BC109" i="10"/>
  <c r="BC110" i="10"/>
  <c r="BC111" i="10"/>
  <c r="BC118" i="10"/>
  <c r="BC119" i="10"/>
  <c r="BC120" i="10"/>
  <c r="BC121" i="10"/>
  <c r="BC122" i="10"/>
  <c r="BC123" i="10"/>
  <c r="BC124" i="10"/>
  <c r="BC125" i="10"/>
  <c r="BC126" i="10"/>
  <c r="BC127" i="10"/>
  <c r="BC128" i="10"/>
  <c r="BC129" i="10"/>
  <c r="BC58" i="10"/>
  <c r="BC59" i="10"/>
  <c r="BC60" i="10"/>
  <c r="BC61" i="10"/>
  <c r="BC62" i="10"/>
  <c r="BC63" i="10"/>
  <c r="BC130" i="10"/>
  <c r="BC131" i="10"/>
  <c r="BC132" i="10"/>
  <c r="BC133" i="10"/>
  <c r="BC134" i="10"/>
  <c r="BC135" i="10"/>
  <c r="BC88" i="10"/>
  <c r="BC89" i="10"/>
  <c r="BC90" i="10"/>
  <c r="BC91" i="10"/>
  <c r="BC92" i="10"/>
  <c r="BC93" i="10"/>
  <c r="BC94" i="10"/>
  <c r="BC95" i="10"/>
  <c r="BC96" i="10"/>
  <c r="BC97" i="10"/>
  <c r="BC98" i="10"/>
  <c r="BC99" i="10"/>
  <c r="BC4" i="10"/>
  <c r="B37" i="11"/>
  <c r="B17" i="11"/>
  <c r="J21" i="11"/>
  <c r="S13" i="24" s="1"/>
  <c r="G13" i="24" s="1"/>
  <c r="AS18" i="10" l="1"/>
  <c r="EQ24" i="6" s="1"/>
  <c r="EP24" i="6"/>
  <c r="AG18" i="10"/>
  <c r="ED24" i="6" s="1"/>
  <c r="EC24" i="6"/>
  <c r="E6" i="28"/>
  <c r="T19" i="10"/>
  <c r="U19" i="10" s="1"/>
  <c r="J6" i="7"/>
  <c r="K6" i="7" s="1"/>
  <c r="L6" i="7" s="1"/>
  <c r="M6" i="7" s="1"/>
  <c r="N6" i="7" s="1"/>
  <c r="O6" i="7" s="1"/>
  <c r="P6" i="7" s="1"/>
  <c r="Q6" i="7" s="1"/>
  <c r="R6" i="7" s="1"/>
  <c r="J7" i="7"/>
  <c r="K7" i="7" s="1"/>
  <c r="L7" i="7" s="1"/>
  <c r="M7" i="7" s="1"/>
  <c r="N7" i="7" s="1"/>
  <c r="O7" i="7" s="1"/>
  <c r="P7" i="7" s="1"/>
  <c r="Q7" i="7" s="1"/>
  <c r="R7" i="7" s="1"/>
  <c r="T7" i="7" s="1"/>
  <c r="J4" i="7"/>
  <c r="K4" i="7" s="1"/>
  <c r="L4" i="7" s="1"/>
  <c r="M4" i="7" s="1"/>
  <c r="N4" i="7" s="1"/>
  <c r="O4" i="7" s="1"/>
  <c r="P4" i="7" s="1"/>
  <c r="Q4" i="7" s="1"/>
  <c r="R4" i="7" s="1"/>
  <c r="T4" i="7" s="1"/>
  <c r="AH18" i="10" l="1"/>
  <c r="EE24" i="6" s="1"/>
  <c r="AT18" i="10"/>
  <c r="ER24" i="6" s="1"/>
  <c r="T6" i="7"/>
  <c r="BN13" i="6"/>
  <c r="BN54" i="6" s="1"/>
  <c r="U4" i="7"/>
  <c r="W4" i="7" s="1"/>
  <c r="X4" i="7" s="1"/>
  <c r="Y4" i="7" s="1"/>
  <c r="Z4" i="7" s="1"/>
  <c r="AA4" i="7" s="1"/>
  <c r="AB4" i="7" s="1"/>
  <c r="AC4" i="7" s="1"/>
  <c r="U7" i="7"/>
  <c r="W7" i="7" s="1"/>
  <c r="X7" i="7" s="1"/>
  <c r="Y7" i="7" s="1"/>
  <c r="Z7" i="7" s="1"/>
  <c r="AA7" i="7" s="1"/>
  <c r="AB7" i="7" s="1"/>
  <c r="AC7" i="7" s="1"/>
  <c r="H13" i="24"/>
  <c r="C6" i="28"/>
  <c r="O155" i="18"/>
  <c r="N19" i="24"/>
  <c r="B7" i="11"/>
  <c r="B8" i="11" s="1"/>
  <c r="B9" i="11" s="1"/>
  <c r="B10" i="11" s="1"/>
  <c r="B11" i="11" s="1"/>
  <c r="B12" i="11" s="1"/>
  <c r="B13" i="11" s="1"/>
  <c r="B14" i="11" s="1"/>
  <c r="B15" i="11" s="1"/>
  <c r="B16" i="11" s="1"/>
  <c r="BO54" i="6" l="1"/>
  <c r="BO13" i="6"/>
  <c r="BO16" i="6"/>
  <c r="BO17" i="6"/>
  <c r="BO18" i="6"/>
  <c r="BO14" i="6"/>
  <c r="AU18" i="10"/>
  <c r="ES24" i="6" s="1"/>
  <c r="AI18" i="10"/>
  <c r="EF24" i="6" s="1"/>
  <c r="U6" i="7"/>
  <c r="BP13" i="6"/>
  <c r="BP54" i="6" s="1"/>
  <c r="AD7" i="7"/>
  <c r="AE7" i="7" s="1"/>
  <c r="AF7" i="7" s="1"/>
  <c r="AG7" i="7" s="1"/>
  <c r="AH7" i="7" s="1"/>
  <c r="AI7" i="7" s="1"/>
  <c r="AJ7" i="7" s="1"/>
  <c r="AK7" i="7" s="1"/>
  <c r="AL7" i="7" s="1"/>
  <c r="AM7" i="7" s="1"/>
  <c r="AN7" i="7" s="1"/>
  <c r="AO7" i="7" s="1"/>
  <c r="AP7" i="7" s="1"/>
  <c r="AQ7" i="7" s="1"/>
  <c r="AR7" i="7" s="1"/>
  <c r="AS7" i="7" s="1"/>
  <c r="AT7" i="7" s="1"/>
  <c r="AU7" i="7" s="1"/>
  <c r="AV7" i="7" s="1"/>
  <c r="AW7" i="7" s="1"/>
  <c r="AX7" i="7" s="1"/>
  <c r="AY7" i="7" s="1"/>
  <c r="AZ7" i="7" s="1"/>
  <c r="BA7" i="7" s="1"/>
  <c r="BB7" i="7" s="1"/>
  <c r="AD4" i="7"/>
  <c r="AE4" i="7" s="1"/>
  <c r="AF4" i="7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" i="2"/>
  <c r="BP17" i="6" l="1"/>
  <c r="BP14" i="6"/>
  <c r="BP16" i="6"/>
  <c r="BP18" i="6"/>
  <c r="AJ18" i="10"/>
  <c r="EG24" i="6" s="1"/>
  <c r="AV18" i="10"/>
  <c r="ET24" i="6" s="1"/>
  <c r="W6" i="7"/>
  <c r="BQ13" i="6"/>
  <c r="BQ54" i="6" s="1"/>
  <c r="AG4" i="7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S4" i="7" s="1"/>
  <c r="AT4" i="7" s="1"/>
  <c r="AU4" i="7" s="1"/>
  <c r="AV4" i="7" s="1"/>
  <c r="AW4" i="7" s="1"/>
  <c r="AX4" i="7" s="1"/>
  <c r="AY4" i="7" s="1"/>
  <c r="AZ4" i="7" s="1"/>
  <c r="BA4" i="7" s="1"/>
  <c r="BB4" i="7" s="1"/>
  <c r="W19" i="10"/>
  <c r="T19" i="12"/>
  <c r="BR16" i="6" l="1"/>
  <c r="BR18" i="6"/>
  <c r="BR17" i="6"/>
  <c r="BR14" i="6"/>
  <c r="AW18" i="10"/>
  <c r="EU24" i="6" s="1"/>
  <c r="AK18" i="10"/>
  <c r="EH24" i="6" s="1"/>
  <c r="T24" i="12"/>
  <c r="X6" i="7"/>
  <c r="BR13" i="6"/>
  <c r="BR54" i="6" s="1"/>
  <c r="K25" i="24"/>
  <c r="T18" i="12"/>
  <c r="T20" i="12" s="1"/>
  <c r="X19" i="10"/>
  <c r="H57" i="6"/>
  <c r="I4" i="10"/>
  <c r="I88" i="10"/>
  <c r="I124" i="10"/>
  <c r="I94" i="10"/>
  <c r="H55" i="6"/>
  <c r="V19" i="12"/>
  <c r="V25" i="12" s="1"/>
  <c r="H56" i="6"/>
  <c r="DR58" i="6"/>
  <c r="D8" i="28"/>
  <c r="C8" i="28" s="1"/>
  <c r="D7" i="6"/>
  <c r="D3" i="6" s="1"/>
  <c r="K97" i="18" l="1"/>
  <c r="K96" i="18"/>
  <c r="K72" i="18"/>
  <c r="K7" i="18" s="1"/>
  <c r="K94" i="18"/>
  <c r="K76" i="18"/>
  <c r="K11" i="18" s="1"/>
  <c r="K109" i="18"/>
  <c r="K86" i="18"/>
  <c r="K20" i="18" s="1"/>
  <c r="K108" i="18"/>
  <c r="K91" i="18"/>
  <c r="K106" i="18"/>
  <c r="K69" i="18"/>
  <c r="K4" i="18" s="1"/>
  <c r="K105" i="18"/>
  <c r="K87" i="18"/>
  <c r="K21" i="18" s="1"/>
  <c r="K85" i="18"/>
  <c r="K103" i="18"/>
  <c r="L92" i="18"/>
  <c r="K102" i="18"/>
  <c r="K84" i="18"/>
  <c r="K18" i="18" s="1"/>
  <c r="K99" i="18"/>
  <c r="K95" i="18"/>
  <c r="K107" i="18"/>
  <c r="L70" i="18"/>
  <c r="K101" i="18"/>
  <c r="K83" i="18"/>
  <c r="K17" i="18" s="1"/>
  <c r="K81" i="18"/>
  <c r="K16" i="18" s="1"/>
  <c r="K75" i="18"/>
  <c r="K10" i="18" s="1"/>
  <c r="K79" i="18"/>
  <c r="K14" i="18" s="1"/>
  <c r="K98" i="18"/>
  <c r="K80" i="18"/>
  <c r="K15" i="18" s="1"/>
  <c r="K77" i="18"/>
  <c r="K12" i="18" s="1"/>
  <c r="K74" i="18"/>
  <c r="K9" i="18" s="1"/>
  <c r="K73" i="18"/>
  <c r="J85" i="18"/>
  <c r="J107" i="18"/>
  <c r="BS17" i="6"/>
  <c r="BS14" i="6"/>
  <c r="BS18" i="6"/>
  <c r="BS16" i="6"/>
  <c r="V24" i="12"/>
  <c r="J109" i="18"/>
  <c r="F92" i="18"/>
  <c r="F96" i="18"/>
  <c r="F106" i="18"/>
  <c r="F108" i="18"/>
  <c r="F105" i="18"/>
  <c r="F70" i="18"/>
  <c r="F100" i="18"/>
  <c r="F99" i="18"/>
  <c r="F98" i="18"/>
  <c r="AL18" i="10"/>
  <c r="EI24" i="6" s="1"/>
  <c r="AX18" i="10"/>
  <c r="EV24" i="6" s="1"/>
  <c r="J99" i="18"/>
  <c r="J97" i="18"/>
  <c r="J108" i="18"/>
  <c r="J98" i="18"/>
  <c r="J106" i="18"/>
  <c r="J103" i="18"/>
  <c r="J100" i="18"/>
  <c r="J96" i="18"/>
  <c r="J105" i="18"/>
  <c r="J102" i="18"/>
  <c r="J90" i="18"/>
  <c r="J68" i="18"/>
  <c r="J101" i="18"/>
  <c r="J76" i="18"/>
  <c r="F76" i="18"/>
  <c r="J75" i="18"/>
  <c r="J74" i="18"/>
  <c r="J78" i="18"/>
  <c r="F78" i="18"/>
  <c r="J86" i="18"/>
  <c r="F77" i="18"/>
  <c r="F74" i="18"/>
  <c r="J84" i="18"/>
  <c r="J77" i="18"/>
  <c r="J83" i="18"/>
  <c r="F84" i="18"/>
  <c r="F83" i="18"/>
  <c r="F86" i="18"/>
  <c r="J81" i="18"/>
  <c r="J80" i="18"/>
  <c r="J79" i="18"/>
  <c r="Y6" i="7"/>
  <c r="BS13" i="6"/>
  <c r="BS54" i="6" s="1"/>
  <c r="V18" i="12"/>
  <c r="V20" i="12" s="1"/>
  <c r="L18" i="12"/>
  <c r="DO54" i="6"/>
  <c r="EB54" i="6"/>
  <c r="Y19" i="10"/>
  <c r="J125" i="10"/>
  <c r="K125" i="10" s="1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J107" i="10"/>
  <c r="K107" i="10" s="1"/>
  <c r="L107" i="10" s="1"/>
  <c r="M107" i="10" s="1"/>
  <c r="N107" i="10" s="1"/>
  <c r="O107" i="10" s="1"/>
  <c r="P107" i="10" s="1"/>
  <c r="Q107" i="10" s="1"/>
  <c r="S107" i="10" s="1"/>
  <c r="T107" i="10" s="1"/>
  <c r="U107" i="10" s="1"/>
  <c r="J61" i="10"/>
  <c r="K61" i="10" s="1"/>
  <c r="L61" i="10" s="1"/>
  <c r="M61" i="10" s="1"/>
  <c r="N61" i="10" s="1"/>
  <c r="O61" i="10" s="1"/>
  <c r="P61" i="10" s="1"/>
  <c r="Q61" i="10" s="1"/>
  <c r="R61" i="10" s="1"/>
  <c r="S61" i="10" s="1"/>
  <c r="T61" i="10" s="1"/>
  <c r="U61" i="10" s="1"/>
  <c r="J4" i="10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J133" i="10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J126" i="10"/>
  <c r="K126" i="10" s="1"/>
  <c r="L126" i="10" s="1"/>
  <c r="M126" i="10" s="1"/>
  <c r="N126" i="10" s="1"/>
  <c r="O126" i="10" s="1"/>
  <c r="P126" i="10" s="1"/>
  <c r="Q126" i="10" s="1"/>
  <c r="R126" i="10" s="1"/>
  <c r="S126" i="10" s="1"/>
  <c r="T126" i="10" s="1"/>
  <c r="U126" i="10" s="1"/>
  <c r="J130" i="10"/>
  <c r="K130" i="10" s="1"/>
  <c r="L130" i="10" s="1"/>
  <c r="M130" i="10" s="1"/>
  <c r="N130" i="10" s="1"/>
  <c r="O130" i="10" s="1"/>
  <c r="P130" i="10" s="1"/>
  <c r="Q130" i="10" s="1"/>
  <c r="R130" i="10" s="1"/>
  <c r="S130" i="10" s="1"/>
  <c r="T130" i="10" s="1"/>
  <c r="U130" i="10" s="1"/>
  <c r="J96" i="10"/>
  <c r="K96" i="10" s="1"/>
  <c r="L96" i="10" s="1"/>
  <c r="M96" i="10" s="1"/>
  <c r="N96" i="10" s="1"/>
  <c r="O96" i="10" s="1"/>
  <c r="P96" i="10" s="1"/>
  <c r="Q96" i="10" s="1"/>
  <c r="R96" i="10" s="1"/>
  <c r="S96" i="10" s="1"/>
  <c r="T96" i="10" s="1"/>
  <c r="U96" i="10" s="1"/>
  <c r="J5" i="10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J30" i="10"/>
  <c r="K30" i="10" s="1"/>
  <c r="L30" i="10" s="1"/>
  <c r="M30" i="10" s="1"/>
  <c r="N30" i="10" s="1"/>
  <c r="O30" i="10" s="1"/>
  <c r="P30" i="10" s="1"/>
  <c r="Q30" i="10" s="1"/>
  <c r="T30" i="10" s="1"/>
  <c r="J60" i="10"/>
  <c r="K60" i="10" s="1"/>
  <c r="L60" i="10" s="1"/>
  <c r="M60" i="10" s="1"/>
  <c r="N60" i="10" s="1"/>
  <c r="O60" i="10" s="1"/>
  <c r="P60" i="10" s="1"/>
  <c r="Q60" i="10" s="1"/>
  <c r="S60" i="10" s="1"/>
  <c r="T60" i="10" s="1"/>
  <c r="U60" i="10" s="1"/>
  <c r="J91" i="10"/>
  <c r="K91" i="10" s="1"/>
  <c r="L91" i="10" s="1"/>
  <c r="M91" i="10" s="1"/>
  <c r="N91" i="10" s="1"/>
  <c r="O91" i="10" s="1"/>
  <c r="P91" i="10" s="1"/>
  <c r="Q91" i="10" s="1"/>
  <c r="R91" i="10" s="1"/>
  <c r="S91" i="10" s="1"/>
  <c r="T91" i="10" s="1"/>
  <c r="U91" i="10" s="1"/>
  <c r="J97" i="10"/>
  <c r="K97" i="10" s="1"/>
  <c r="L97" i="10" s="1"/>
  <c r="M97" i="10" s="1"/>
  <c r="N97" i="10" s="1"/>
  <c r="O97" i="10" s="1"/>
  <c r="P97" i="10" s="1"/>
  <c r="Q97" i="10" s="1"/>
  <c r="R97" i="10" s="1"/>
  <c r="S97" i="10" s="1"/>
  <c r="T97" i="10" s="1"/>
  <c r="U97" i="10" s="1"/>
  <c r="J127" i="10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I28" i="10"/>
  <c r="J108" i="10"/>
  <c r="K108" i="10" s="1"/>
  <c r="L108" i="10" s="1"/>
  <c r="M108" i="10" s="1"/>
  <c r="N108" i="10" s="1"/>
  <c r="O108" i="10" s="1"/>
  <c r="P108" i="10" s="1"/>
  <c r="Q108" i="10" s="1"/>
  <c r="S108" i="10" s="1"/>
  <c r="J7" i="10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J120" i="10"/>
  <c r="K120" i="10" s="1"/>
  <c r="L120" i="10" s="1"/>
  <c r="M120" i="10" s="1"/>
  <c r="N120" i="10" s="1"/>
  <c r="O120" i="10" s="1"/>
  <c r="P120" i="10" s="1"/>
  <c r="Q120" i="10" s="1"/>
  <c r="R120" i="10" s="1"/>
  <c r="S120" i="10" s="1"/>
  <c r="T120" i="10" s="1"/>
  <c r="U120" i="10" s="1"/>
  <c r="J59" i="10"/>
  <c r="K59" i="10" s="1"/>
  <c r="L59" i="10" s="1"/>
  <c r="M59" i="10" s="1"/>
  <c r="N59" i="10" s="1"/>
  <c r="O59" i="10" s="1"/>
  <c r="P59" i="10" s="1"/>
  <c r="Q59" i="10" s="1"/>
  <c r="S59" i="10" s="1"/>
  <c r="T59" i="10" s="1"/>
  <c r="U59" i="10" s="1"/>
  <c r="J109" i="10"/>
  <c r="K109" i="10" s="1"/>
  <c r="L109" i="10" s="1"/>
  <c r="M109" i="10" s="1"/>
  <c r="N109" i="10" s="1"/>
  <c r="O109" i="10" s="1"/>
  <c r="P109" i="10" s="1"/>
  <c r="Q109" i="10" s="1"/>
  <c r="S109" i="10" s="1"/>
  <c r="T109" i="10" s="1"/>
  <c r="U109" i="10" s="1"/>
  <c r="J131" i="10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J88" i="10"/>
  <c r="K88" i="10" s="1"/>
  <c r="L88" i="10" s="1"/>
  <c r="M88" i="10" s="1"/>
  <c r="N88" i="10" s="1"/>
  <c r="O88" i="10" s="1"/>
  <c r="P88" i="10" s="1"/>
  <c r="Q88" i="10" s="1"/>
  <c r="R88" i="10" s="1"/>
  <c r="S88" i="10" s="1"/>
  <c r="T88" i="10" s="1"/>
  <c r="U88" i="10" s="1"/>
  <c r="J58" i="10"/>
  <c r="K58" i="10" s="1"/>
  <c r="L58" i="10" s="1"/>
  <c r="M58" i="10" s="1"/>
  <c r="N58" i="10" s="1"/>
  <c r="O58" i="10" s="1"/>
  <c r="P58" i="10" s="1"/>
  <c r="Q58" i="10" s="1"/>
  <c r="S58" i="10" s="1"/>
  <c r="T58" i="10" s="1"/>
  <c r="U58" i="10" s="1"/>
  <c r="J94" i="10"/>
  <c r="K94" i="10" s="1"/>
  <c r="L94" i="10" s="1"/>
  <c r="M94" i="10" s="1"/>
  <c r="N94" i="10" s="1"/>
  <c r="O94" i="10" s="1"/>
  <c r="P94" i="10" s="1"/>
  <c r="Q94" i="10" s="1"/>
  <c r="R94" i="10" s="1"/>
  <c r="S94" i="10" s="1"/>
  <c r="T94" i="10" s="1"/>
  <c r="U94" i="10" s="1"/>
  <c r="J124" i="10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J132" i="10"/>
  <c r="K132" i="10" s="1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J89" i="10"/>
  <c r="K89" i="10" s="1"/>
  <c r="L89" i="10" s="1"/>
  <c r="M89" i="10" s="1"/>
  <c r="N89" i="10" s="1"/>
  <c r="O89" i="10" s="1"/>
  <c r="P89" i="10" s="1"/>
  <c r="Q89" i="10" s="1"/>
  <c r="R89" i="10" s="1"/>
  <c r="S89" i="10" s="1"/>
  <c r="T89" i="10" s="1"/>
  <c r="U89" i="10" s="1"/>
  <c r="J95" i="10"/>
  <c r="K95" i="10" s="1"/>
  <c r="L95" i="10" s="1"/>
  <c r="M95" i="10" s="1"/>
  <c r="N95" i="10" s="1"/>
  <c r="O95" i="10" s="1"/>
  <c r="P95" i="10" s="1"/>
  <c r="Q95" i="10" s="1"/>
  <c r="R95" i="10" s="1"/>
  <c r="S95" i="10" s="1"/>
  <c r="T95" i="10" s="1"/>
  <c r="U95" i="10" s="1"/>
  <c r="J31" i="10"/>
  <c r="K31" i="10" s="1"/>
  <c r="L31" i="10" s="1"/>
  <c r="M31" i="10" s="1"/>
  <c r="N31" i="10" s="1"/>
  <c r="O31" i="10" s="1"/>
  <c r="P31" i="10" s="1"/>
  <c r="Q31" i="10" s="1"/>
  <c r="T31" i="10" s="1"/>
  <c r="U31" i="10" s="1"/>
  <c r="J121" i="10"/>
  <c r="K121" i="10" s="1"/>
  <c r="L121" i="10" s="1"/>
  <c r="M121" i="10" s="1"/>
  <c r="N121" i="10" s="1"/>
  <c r="O121" i="10" s="1"/>
  <c r="P121" i="10" s="1"/>
  <c r="Q121" i="10" s="1"/>
  <c r="R121" i="10" s="1"/>
  <c r="S121" i="10" s="1"/>
  <c r="T121" i="10" s="1"/>
  <c r="U121" i="10" s="1"/>
  <c r="J90" i="10"/>
  <c r="K90" i="10" s="1"/>
  <c r="L90" i="10" s="1"/>
  <c r="M90" i="10" s="1"/>
  <c r="N90" i="10" s="1"/>
  <c r="O90" i="10" s="1"/>
  <c r="P90" i="10" s="1"/>
  <c r="Q90" i="10" s="1"/>
  <c r="R90" i="10" s="1"/>
  <c r="S90" i="10" s="1"/>
  <c r="T90" i="10" s="1"/>
  <c r="U90" i="10" s="1"/>
  <c r="J119" i="10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J118" i="10"/>
  <c r="K118" i="10" s="1"/>
  <c r="L118" i="10" s="1"/>
  <c r="M118" i="10" s="1"/>
  <c r="N118" i="10" s="1"/>
  <c r="O118" i="10" s="1"/>
  <c r="P118" i="10" s="1"/>
  <c r="Q118" i="10" s="1"/>
  <c r="S118" i="10" s="1"/>
  <c r="T118" i="10" s="1"/>
  <c r="U118" i="10" s="1"/>
  <c r="S18" i="12"/>
  <c r="S20" i="12" s="1"/>
  <c r="S24" i="12"/>
  <c r="H59" i="6"/>
  <c r="BQ58" i="6"/>
  <c r="BO58" i="6"/>
  <c r="BR58" i="6"/>
  <c r="BP58" i="6"/>
  <c r="BS58" i="6"/>
  <c r="BN58" i="6"/>
  <c r="F37" i="8"/>
  <c r="K19" i="18" l="1"/>
  <c r="T108" i="10"/>
  <c r="DO23" i="6"/>
  <c r="U30" i="10"/>
  <c r="DQ20" i="6" s="1"/>
  <c r="DP20" i="6"/>
  <c r="BT17" i="6"/>
  <c r="BT18" i="6"/>
  <c r="BT16" i="6"/>
  <c r="BT14" i="6"/>
  <c r="L20" i="12"/>
  <c r="AY18" i="10"/>
  <c r="EW24" i="6" s="1"/>
  <c r="AM18" i="10"/>
  <c r="EJ24" i="6" s="1"/>
  <c r="F11" i="18"/>
  <c r="F13" i="18"/>
  <c r="F20" i="18"/>
  <c r="F9" i="18"/>
  <c r="F18" i="18"/>
  <c r="F12" i="18"/>
  <c r="F17" i="18"/>
  <c r="Z6" i="7"/>
  <c r="BT13" i="6"/>
  <c r="Z19" i="10"/>
  <c r="DP54" i="6"/>
  <c r="EC54" i="6"/>
  <c r="J120" i="7"/>
  <c r="K120" i="7" s="1"/>
  <c r="L120" i="7" s="1"/>
  <c r="M120" i="7" s="1"/>
  <c r="N120" i="7" s="1"/>
  <c r="O120" i="7" s="1"/>
  <c r="P120" i="7" s="1"/>
  <c r="Q120" i="7" s="1"/>
  <c r="R120" i="7" s="1"/>
  <c r="S120" i="7" s="1"/>
  <c r="T120" i="7" s="1"/>
  <c r="J37" i="7"/>
  <c r="K37" i="7" s="1"/>
  <c r="L37" i="7" s="1"/>
  <c r="M37" i="7" s="1"/>
  <c r="N37" i="7" s="1"/>
  <c r="O37" i="7" s="1"/>
  <c r="P37" i="7" s="1"/>
  <c r="Q37" i="7" s="1"/>
  <c r="R37" i="7" s="1"/>
  <c r="T37" i="7" s="1"/>
  <c r="J127" i="7"/>
  <c r="K127" i="7" s="1"/>
  <c r="L127" i="7" s="1"/>
  <c r="M127" i="7" s="1"/>
  <c r="N127" i="7" s="1"/>
  <c r="O127" i="7" s="1"/>
  <c r="P127" i="7" s="1"/>
  <c r="Q127" i="7" s="1"/>
  <c r="R127" i="7" s="1"/>
  <c r="S127" i="7" s="1"/>
  <c r="T127" i="7" s="1"/>
  <c r="J59" i="7"/>
  <c r="K59" i="7" s="1"/>
  <c r="L59" i="7" s="1"/>
  <c r="M59" i="7" s="1"/>
  <c r="N59" i="7" s="1"/>
  <c r="O59" i="7" s="1"/>
  <c r="P59" i="7" s="1"/>
  <c r="Q59" i="7" s="1"/>
  <c r="S59" i="7" s="1"/>
  <c r="T59" i="7" s="1"/>
  <c r="J61" i="7"/>
  <c r="K61" i="7" s="1"/>
  <c r="L61" i="7" s="1"/>
  <c r="M61" i="7" s="1"/>
  <c r="N61" i="7" s="1"/>
  <c r="O61" i="7" s="1"/>
  <c r="P61" i="7" s="1"/>
  <c r="Q61" i="7" s="1"/>
  <c r="S61" i="7" s="1"/>
  <c r="T61" i="7" s="1"/>
  <c r="J60" i="7"/>
  <c r="K60" i="7" s="1"/>
  <c r="L60" i="7" s="1"/>
  <c r="M60" i="7" s="1"/>
  <c r="N60" i="7" s="1"/>
  <c r="O60" i="7" s="1"/>
  <c r="P60" i="7" s="1"/>
  <c r="Q60" i="7" s="1"/>
  <c r="S60" i="7" s="1"/>
  <c r="T60" i="7" s="1"/>
  <c r="I82" i="7"/>
  <c r="J82" i="7" s="1"/>
  <c r="K82" i="7" s="1"/>
  <c r="L82" i="7" s="1"/>
  <c r="M82" i="7" s="1"/>
  <c r="N82" i="7" s="1"/>
  <c r="O82" i="7" s="1"/>
  <c r="P82" i="7" s="1"/>
  <c r="Q82" i="7" s="1"/>
  <c r="R82" i="7" s="1"/>
  <c r="S82" i="7" s="1"/>
  <c r="T82" i="7" s="1"/>
  <c r="J25" i="7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J121" i="7"/>
  <c r="K121" i="7" s="1"/>
  <c r="L121" i="7" s="1"/>
  <c r="M121" i="7" s="1"/>
  <c r="N121" i="7" s="1"/>
  <c r="O121" i="7" s="1"/>
  <c r="P121" i="7" s="1"/>
  <c r="Q121" i="7" s="1"/>
  <c r="R121" i="7" s="1"/>
  <c r="S121" i="7" s="1"/>
  <c r="T121" i="7" s="1"/>
  <c r="J58" i="7"/>
  <c r="K58" i="7" s="1"/>
  <c r="L58" i="7" s="1"/>
  <c r="M58" i="7" s="1"/>
  <c r="N58" i="7" s="1"/>
  <c r="O58" i="7" s="1"/>
  <c r="P58" i="7" s="1"/>
  <c r="Q58" i="7" s="1"/>
  <c r="T58" i="7" s="1"/>
  <c r="J85" i="7"/>
  <c r="K85" i="7" s="1"/>
  <c r="L85" i="7" s="1"/>
  <c r="M85" i="7" s="1"/>
  <c r="N85" i="7" s="1"/>
  <c r="O85" i="7" s="1"/>
  <c r="P85" i="7" s="1"/>
  <c r="Q85" i="7" s="1"/>
  <c r="S85" i="7" s="1"/>
  <c r="T85" i="7" s="1"/>
  <c r="J49" i="7"/>
  <c r="K49" i="7" s="1"/>
  <c r="L49" i="7" s="1"/>
  <c r="M49" i="7" s="1"/>
  <c r="N49" i="7" s="1"/>
  <c r="O49" i="7" s="1"/>
  <c r="P49" i="7" s="1"/>
  <c r="Q49" i="7" s="1"/>
  <c r="R49" i="7" s="1"/>
  <c r="S49" i="7" s="1"/>
  <c r="T49" i="7" s="1"/>
  <c r="J119" i="7"/>
  <c r="K119" i="7" s="1"/>
  <c r="L119" i="7" s="1"/>
  <c r="M119" i="7" s="1"/>
  <c r="N119" i="7" s="1"/>
  <c r="O119" i="7" s="1"/>
  <c r="P119" i="7" s="1"/>
  <c r="Q119" i="7" s="1"/>
  <c r="S119" i="7" s="1"/>
  <c r="T119" i="7" s="1"/>
  <c r="I130" i="7"/>
  <c r="J130" i="7" s="1"/>
  <c r="K130" i="7" s="1"/>
  <c r="L130" i="7" s="1"/>
  <c r="M130" i="7" s="1"/>
  <c r="N130" i="7" s="1"/>
  <c r="O130" i="7" s="1"/>
  <c r="P130" i="7" s="1"/>
  <c r="Q130" i="7" s="1"/>
  <c r="R130" i="7" s="1"/>
  <c r="S130" i="7" s="1"/>
  <c r="T130" i="7" s="1"/>
  <c r="J35" i="7"/>
  <c r="K35" i="7" s="1"/>
  <c r="L35" i="7" s="1"/>
  <c r="M35" i="7" s="1"/>
  <c r="N35" i="7" s="1"/>
  <c r="O35" i="7" s="1"/>
  <c r="P35" i="7" s="1"/>
  <c r="Q35" i="7" s="1"/>
  <c r="R35" i="7" s="1"/>
  <c r="S35" i="7" s="1"/>
  <c r="T35" i="7" s="1"/>
  <c r="J133" i="7"/>
  <c r="K133" i="7" s="1"/>
  <c r="L133" i="7" s="1"/>
  <c r="M133" i="7" s="1"/>
  <c r="N133" i="7" s="1"/>
  <c r="O133" i="7" s="1"/>
  <c r="P133" i="7" s="1"/>
  <c r="Q133" i="7" s="1"/>
  <c r="R133" i="7" s="1"/>
  <c r="S133" i="7" s="1"/>
  <c r="T133" i="7" s="1"/>
  <c r="J84" i="7"/>
  <c r="K84" i="7" s="1"/>
  <c r="L84" i="7" s="1"/>
  <c r="M84" i="7" s="1"/>
  <c r="N84" i="7" s="1"/>
  <c r="O84" i="7" s="1"/>
  <c r="P84" i="7" s="1"/>
  <c r="Q84" i="7" s="1"/>
  <c r="S84" i="7" s="1"/>
  <c r="T84" i="7" s="1"/>
  <c r="J36" i="7"/>
  <c r="K36" i="7" s="1"/>
  <c r="L36" i="7" s="1"/>
  <c r="M36" i="7" s="1"/>
  <c r="N36" i="7" s="1"/>
  <c r="O36" i="7" s="1"/>
  <c r="P36" i="7" s="1"/>
  <c r="Q36" i="7" s="1"/>
  <c r="R36" i="7" s="1"/>
  <c r="T36" i="7" s="1"/>
  <c r="I22" i="7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J118" i="7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J131" i="7"/>
  <c r="K131" i="7" s="1"/>
  <c r="L131" i="7" s="1"/>
  <c r="M131" i="7" s="1"/>
  <c r="N131" i="7" s="1"/>
  <c r="O131" i="7" s="1"/>
  <c r="P131" i="7" s="1"/>
  <c r="Q131" i="7" s="1"/>
  <c r="R131" i="7" s="1"/>
  <c r="S131" i="7" s="1"/>
  <c r="T131" i="7" s="1"/>
  <c r="J48" i="7"/>
  <c r="K48" i="7" s="1"/>
  <c r="L48" i="7" s="1"/>
  <c r="M48" i="7" s="1"/>
  <c r="N48" i="7" s="1"/>
  <c r="O48" i="7" s="1"/>
  <c r="P48" i="7" s="1"/>
  <c r="Q48" i="7" s="1"/>
  <c r="R48" i="7" s="1"/>
  <c r="S48" i="7" s="1"/>
  <c r="T48" i="7" s="1"/>
  <c r="J23" i="7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I124" i="7"/>
  <c r="J124" i="7" s="1"/>
  <c r="K124" i="7" s="1"/>
  <c r="L124" i="7" s="1"/>
  <c r="M124" i="7" s="1"/>
  <c r="N124" i="7" s="1"/>
  <c r="O124" i="7" s="1"/>
  <c r="P124" i="7" s="1"/>
  <c r="Q124" i="7" s="1"/>
  <c r="R124" i="7" s="1"/>
  <c r="S124" i="7" s="1"/>
  <c r="T124" i="7" s="1"/>
  <c r="J24" i="7"/>
  <c r="K24" i="7" s="1"/>
  <c r="L24" i="7" s="1"/>
  <c r="M24" i="7" s="1"/>
  <c r="N24" i="7" s="1"/>
  <c r="O24" i="7" s="1"/>
  <c r="P24" i="7" s="1"/>
  <c r="Q24" i="7" s="1"/>
  <c r="R24" i="7" s="1"/>
  <c r="S24" i="7" s="1"/>
  <c r="J132" i="7"/>
  <c r="K132" i="7" s="1"/>
  <c r="L132" i="7" s="1"/>
  <c r="M132" i="7" s="1"/>
  <c r="N132" i="7" s="1"/>
  <c r="O132" i="7" s="1"/>
  <c r="P132" i="7" s="1"/>
  <c r="Q132" i="7" s="1"/>
  <c r="R132" i="7" s="1"/>
  <c r="S132" i="7" s="1"/>
  <c r="T132" i="7" s="1"/>
  <c r="J46" i="7"/>
  <c r="K46" i="7" s="1"/>
  <c r="L46" i="7" s="1"/>
  <c r="M46" i="7" s="1"/>
  <c r="N46" i="7" s="1"/>
  <c r="O46" i="7" s="1"/>
  <c r="P46" i="7" s="1"/>
  <c r="Q46" i="7" s="1"/>
  <c r="R46" i="7" s="1"/>
  <c r="S46" i="7" s="1"/>
  <c r="T46" i="7" s="1"/>
  <c r="J125" i="7"/>
  <c r="K125" i="7" s="1"/>
  <c r="L125" i="7" s="1"/>
  <c r="M125" i="7" s="1"/>
  <c r="N125" i="7" s="1"/>
  <c r="O125" i="7" s="1"/>
  <c r="P125" i="7" s="1"/>
  <c r="Q125" i="7" s="1"/>
  <c r="R125" i="7" s="1"/>
  <c r="S125" i="7" s="1"/>
  <c r="T125" i="7" s="1"/>
  <c r="J34" i="7"/>
  <c r="K34" i="7" s="1"/>
  <c r="L34" i="7" s="1"/>
  <c r="M34" i="7" s="1"/>
  <c r="N34" i="7" s="1"/>
  <c r="O34" i="7" s="1"/>
  <c r="P34" i="7" s="1"/>
  <c r="Q34" i="7" s="1"/>
  <c r="R34" i="7" s="1"/>
  <c r="S34" i="7" s="1"/>
  <c r="T34" i="7" s="1"/>
  <c r="J126" i="7"/>
  <c r="K126" i="7" s="1"/>
  <c r="L126" i="7" s="1"/>
  <c r="M126" i="7" s="1"/>
  <c r="N126" i="7" s="1"/>
  <c r="O126" i="7" s="1"/>
  <c r="P126" i="7" s="1"/>
  <c r="Q126" i="7" s="1"/>
  <c r="R126" i="7" s="1"/>
  <c r="S126" i="7" s="1"/>
  <c r="T126" i="7" s="1"/>
  <c r="J47" i="7"/>
  <c r="K47" i="7" s="1"/>
  <c r="L47" i="7" s="1"/>
  <c r="M47" i="7" s="1"/>
  <c r="N47" i="7" s="1"/>
  <c r="O47" i="7" s="1"/>
  <c r="P47" i="7" s="1"/>
  <c r="Q47" i="7" s="1"/>
  <c r="R47" i="7" s="1"/>
  <c r="S47" i="7" s="1"/>
  <c r="T47" i="7" s="1"/>
  <c r="J83" i="7"/>
  <c r="K83" i="7" s="1"/>
  <c r="L83" i="7" s="1"/>
  <c r="M83" i="7" s="1"/>
  <c r="N83" i="7" s="1"/>
  <c r="O83" i="7" s="1"/>
  <c r="P83" i="7" s="1"/>
  <c r="Q83" i="7" s="1"/>
  <c r="S83" i="7" s="1"/>
  <c r="T83" i="7" s="1"/>
  <c r="J28" i="7"/>
  <c r="K28" i="7" s="1"/>
  <c r="L28" i="7" s="1"/>
  <c r="M28" i="7" s="1"/>
  <c r="N28" i="7" s="1"/>
  <c r="O28" i="7" s="1"/>
  <c r="P28" i="7" s="1"/>
  <c r="Q28" i="7" s="1"/>
  <c r="R28" i="7" s="1"/>
  <c r="T28" i="7" s="1"/>
  <c r="U28" i="7" s="1"/>
  <c r="V58" i="10"/>
  <c r="W58" i="10" s="1"/>
  <c r="X58" i="10" s="1"/>
  <c r="Y58" i="10" s="1"/>
  <c r="Z58" i="10" s="1"/>
  <c r="AA58" i="10" s="1"/>
  <c r="AB58" i="10" s="1"/>
  <c r="AC58" i="10" s="1"/>
  <c r="W120" i="10"/>
  <c r="X120" i="10" s="1"/>
  <c r="Y120" i="10" s="1"/>
  <c r="Z120" i="10" s="1"/>
  <c r="AA120" i="10" s="1"/>
  <c r="AB120" i="10" s="1"/>
  <c r="AC120" i="10" s="1"/>
  <c r="W91" i="10"/>
  <c r="X91" i="10" s="1"/>
  <c r="Y91" i="10" s="1"/>
  <c r="Z91" i="10" s="1"/>
  <c r="AA91" i="10" s="1"/>
  <c r="AB91" i="10" s="1"/>
  <c r="AC91" i="10" s="1"/>
  <c r="W126" i="10"/>
  <c r="X126" i="10" s="1"/>
  <c r="Y126" i="10" s="1"/>
  <c r="Z126" i="10" s="1"/>
  <c r="AA126" i="10" s="1"/>
  <c r="AB126" i="10" s="1"/>
  <c r="AC126" i="10" s="1"/>
  <c r="W31" i="10"/>
  <c r="X31" i="10" s="1"/>
  <c r="Y31" i="10" s="1"/>
  <c r="Z31" i="10" s="1"/>
  <c r="AA31" i="10" s="1"/>
  <c r="AB31" i="10" s="1"/>
  <c r="AC31" i="10" s="1"/>
  <c r="W60" i="10"/>
  <c r="X60" i="10" s="1"/>
  <c r="Y60" i="10" s="1"/>
  <c r="Z60" i="10" s="1"/>
  <c r="AA60" i="10" s="1"/>
  <c r="AB60" i="10" s="1"/>
  <c r="AC60" i="10" s="1"/>
  <c r="V4" i="10"/>
  <c r="W4" i="10" s="1"/>
  <c r="X4" i="10" s="1"/>
  <c r="Y4" i="10" s="1"/>
  <c r="Z4" i="10" s="1"/>
  <c r="AA4" i="10" s="1"/>
  <c r="AB4" i="10" s="1"/>
  <c r="AC4" i="10" s="1"/>
  <c r="W7" i="10"/>
  <c r="X7" i="10" s="1"/>
  <c r="Y7" i="10" s="1"/>
  <c r="Z7" i="10" s="1"/>
  <c r="AA7" i="10" s="1"/>
  <c r="AB7" i="10" s="1"/>
  <c r="AC7" i="10" s="1"/>
  <c r="W95" i="10"/>
  <c r="X95" i="10" s="1"/>
  <c r="Y95" i="10" s="1"/>
  <c r="Z95" i="10" s="1"/>
  <c r="AA95" i="10" s="1"/>
  <c r="AB95" i="10" s="1"/>
  <c r="AC95" i="10" s="1"/>
  <c r="V88" i="10"/>
  <c r="W88" i="10" s="1"/>
  <c r="X88" i="10" s="1"/>
  <c r="Y88" i="10" s="1"/>
  <c r="Z88" i="10" s="1"/>
  <c r="AA88" i="10" s="1"/>
  <c r="AB88" i="10" s="1"/>
  <c r="AC88" i="10" s="1"/>
  <c r="W30" i="10"/>
  <c r="W61" i="10"/>
  <c r="X61" i="10" s="1"/>
  <c r="Y61" i="10" s="1"/>
  <c r="Z61" i="10" s="1"/>
  <c r="AA61" i="10" s="1"/>
  <c r="AB61" i="10" s="1"/>
  <c r="AC61" i="10" s="1"/>
  <c r="W118" i="10"/>
  <c r="X118" i="10" s="1"/>
  <c r="Y118" i="10" s="1"/>
  <c r="Z118" i="10" s="1"/>
  <c r="AA118" i="10" s="1"/>
  <c r="AB118" i="10" s="1"/>
  <c r="AC118" i="10" s="1"/>
  <c r="W89" i="10"/>
  <c r="X89" i="10" s="1"/>
  <c r="Y89" i="10" s="1"/>
  <c r="Z89" i="10" s="1"/>
  <c r="AA89" i="10" s="1"/>
  <c r="AB89" i="10" s="1"/>
  <c r="AC89" i="10" s="1"/>
  <c r="W131" i="10"/>
  <c r="X131" i="10" s="1"/>
  <c r="Y131" i="10" s="1"/>
  <c r="Z131" i="10" s="1"/>
  <c r="AA131" i="10" s="1"/>
  <c r="AB131" i="10" s="1"/>
  <c r="AC131" i="10" s="1"/>
  <c r="W108" i="10"/>
  <c r="W5" i="10"/>
  <c r="X5" i="10" s="1"/>
  <c r="Y5" i="10" s="1"/>
  <c r="Z5" i="10" s="1"/>
  <c r="AA5" i="10" s="1"/>
  <c r="AB5" i="10" s="1"/>
  <c r="AC5" i="10" s="1"/>
  <c r="W119" i="10"/>
  <c r="X119" i="10" s="1"/>
  <c r="Y119" i="10" s="1"/>
  <c r="Z119" i="10" s="1"/>
  <c r="AA119" i="10" s="1"/>
  <c r="AB119" i="10" s="1"/>
  <c r="AC119" i="10" s="1"/>
  <c r="W132" i="10"/>
  <c r="X132" i="10" s="1"/>
  <c r="Y132" i="10" s="1"/>
  <c r="Z132" i="10" s="1"/>
  <c r="AA132" i="10" s="1"/>
  <c r="AB132" i="10" s="1"/>
  <c r="AC132" i="10" s="1"/>
  <c r="W109" i="10"/>
  <c r="X109" i="10" s="1"/>
  <c r="Y109" i="10" s="1"/>
  <c r="Z109" i="10" s="1"/>
  <c r="AA109" i="10" s="1"/>
  <c r="AB109" i="10" s="1"/>
  <c r="AC109" i="10" s="1"/>
  <c r="J28" i="10"/>
  <c r="K28" i="10" s="1"/>
  <c r="L28" i="10" s="1"/>
  <c r="M28" i="10" s="1"/>
  <c r="N28" i="10" s="1"/>
  <c r="O28" i="10" s="1"/>
  <c r="P28" i="10" s="1"/>
  <c r="Q28" i="10" s="1"/>
  <c r="R28" i="10" s="1"/>
  <c r="S28" i="10" s="1"/>
  <c r="T28" i="10" s="1"/>
  <c r="U28" i="10" s="1"/>
  <c r="W96" i="10"/>
  <c r="X96" i="10" s="1"/>
  <c r="Y96" i="10" s="1"/>
  <c r="Z96" i="10" s="1"/>
  <c r="AA96" i="10" s="1"/>
  <c r="AB96" i="10" s="1"/>
  <c r="AC96" i="10" s="1"/>
  <c r="W107" i="10"/>
  <c r="X107" i="10" s="1"/>
  <c r="Y107" i="10" s="1"/>
  <c r="Z107" i="10" s="1"/>
  <c r="AA107" i="10" s="1"/>
  <c r="AB107" i="10" s="1"/>
  <c r="AC107" i="10" s="1"/>
  <c r="W90" i="10"/>
  <c r="X90" i="10" s="1"/>
  <c r="Y90" i="10" s="1"/>
  <c r="Z90" i="10" s="1"/>
  <c r="AA90" i="10" s="1"/>
  <c r="AB90" i="10" s="1"/>
  <c r="AC90" i="10" s="1"/>
  <c r="W124" i="10"/>
  <c r="X124" i="10" s="1"/>
  <c r="Y124" i="10" s="1"/>
  <c r="Z124" i="10" s="1"/>
  <c r="AA124" i="10" s="1"/>
  <c r="AB124" i="10" s="1"/>
  <c r="AC124" i="10" s="1"/>
  <c r="W59" i="10"/>
  <c r="X59" i="10" s="1"/>
  <c r="Y59" i="10" s="1"/>
  <c r="Z59" i="10" s="1"/>
  <c r="AA59" i="10" s="1"/>
  <c r="AB59" i="10" s="1"/>
  <c r="AC59" i="10" s="1"/>
  <c r="W127" i="10"/>
  <c r="X127" i="10" s="1"/>
  <c r="Y127" i="10" s="1"/>
  <c r="Z127" i="10" s="1"/>
  <c r="AA127" i="10" s="1"/>
  <c r="AB127" i="10" s="1"/>
  <c r="AC127" i="10" s="1"/>
  <c r="W130" i="10"/>
  <c r="X130" i="10" s="1"/>
  <c r="Y130" i="10" s="1"/>
  <c r="Z130" i="10" s="1"/>
  <c r="AA130" i="10" s="1"/>
  <c r="AB130" i="10" s="1"/>
  <c r="AC130" i="10" s="1"/>
  <c r="W125" i="10"/>
  <c r="X125" i="10" s="1"/>
  <c r="Y125" i="10" s="1"/>
  <c r="Z125" i="10" s="1"/>
  <c r="AA125" i="10" s="1"/>
  <c r="AB125" i="10" s="1"/>
  <c r="AC125" i="10" s="1"/>
  <c r="W133" i="10"/>
  <c r="X133" i="10" s="1"/>
  <c r="Y133" i="10" s="1"/>
  <c r="Z133" i="10" s="1"/>
  <c r="AA133" i="10" s="1"/>
  <c r="AB133" i="10" s="1"/>
  <c r="AC133" i="10" s="1"/>
  <c r="W121" i="10"/>
  <c r="X121" i="10" s="1"/>
  <c r="Y121" i="10" s="1"/>
  <c r="Z121" i="10" s="1"/>
  <c r="AA121" i="10" s="1"/>
  <c r="AB121" i="10" s="1"/>
  <c r="AC121" i="10" s="1"/>
  <c r="V94" i="10"/>
  <c r="W94" i="10" s="1"/>
  <c r="X94" i="10" s="1"/>
  <c r="Y94" i="10" s="1"/>
  <c r="Z94" i="10" s="1"/>
  <c r="AA94" i="10" s="1"/>
  <c r="AB94" i="10" s="1"/>
  <c r="AC94" i="10" s="1"/>
  <c r="W97" i="10"/>
  <c r="X97" i="10" s="1"/>
  <c r="Y97" i="10" s="1"/>
  <c r="Z97" i="10" s="1"/>
  <c r="AA97" i="10" s="1"/>
  <c r="AB97" i="10" s="1"/>
  <c r="AC97" i="10" s="1"/>
  <c r="BT54" i="6" l="1"/>
  <c r="BT58" i="6"/>
  <c r="U108" i="10"/>
  <c r="DQ23" i="6" s="1"/>
  <c r="DP23" i="6"/>
  <c r="X108" i="10"/>
  <c r="DS23" i="6"/>
  <c r="X30" i="10"/>
  <c r="DS20" i="6"/>
  <c r="T24" i="7"/>
  <c r="BN15" i="6"/>
  <c r="BN19" i="6"/>
  <c r="BU14" i="6"/>
  <c r="BU16" i="6"/>
  <c r="BU18" i="6"/>
  <c r="BU17" i="6"/>
  <c r="AN18" i="10"/>
  <c r="EK24" i="6" s="1"/>
  <c r="AZ18" i="10"/>
  <c r="EX24" i="6" s="1"/>
  <c r="AA6" i="7"/>
  <c r="BU13" i="6"/>
  <c r="U48" i="7"/>
  <c r="W48" i="7" s="1"/>
  <c r="X48" i="7" s="1"/>
  <c r="Y48" i="7" s="1"/>
  <c r="Z48" i="7" s="1"/>
  <c r="AA48" i="7" s="1"/>
  <c r="AB48" i="7" s="1"/>
  <c r="AC48" i="7" s="1"/>
  <c r="U60" i="7"/>
  <c r="W60" i="7" s="1"/>
  <c r="X60" i="7" s="1"/>
  <c r="Y60" i="7" s="1"/>
  <c r="Z60" i="7" s="1"/>
  <c r="AA60" i="7" s="1"/>
  <c r="AB60" i="7" s="1"/>
  <c r="AC60" i="7" s="1"/>
  <c r="U131" i="7"/>
  <c r="W131" i="7" s="1"/>
  <c r="X131" i="7" s="1"/>
  <c r="Y131" i="7" s="1"/>
  <c r="Z131" i="7" s="1"/>
  <c r="AA131" i="7" s="1"/>
  <c r="AB131" i="7" s="1"/>
  <c r="AC131" i="7" s="1"/>
  <c r="U61" i="7"/>
  <c r="W61" i="7" s="1"/>
  <c r="X61" i="7" s="1"/>
  <c r="Y61" i="7" s="1"/>
  <c r="Z61" i="7" s="1"/>
  <c r="AA61" i="7" s="1"/>
  <c r="AB61" i="7" s="1"/>
  <c r="AC61" i="7" s="1"/>
  <c r="U118" i="7"/>
  <c r="W118" i="7" s="1"/>
  <c r="X118" i="7" s="1"/>
  <c r="Y118" i="7" s="1"/>
  <c r="Z118" i="7" s="1"/>
  <c r="AA118" i="7" s="1"/>
  <c r="AB118" i="7" s="1"/>
  <c r="AC118" i="7" s="1"/>
  <c r="U59" i="7"/>
  <c r="W59" i="7" s="1"/>
  <c r="X59" i="7" s="1"/>
  <c r="Y59" i="7" s="1"/>
  <c r="Z59" i="7" s="1"/>
  <c r="AA59" i="7" s="1"/>
  <c r="AB59" i="7" s="1"/>
  <c r="AC59" i="7" s="1"/>
  <c r="U22" i="7"/>
  <c r="V22" i="7" s="1"/>
  <c r="W22" i="7" s="1"/>
  <c r="X22" i="7" s="1"/>
  <c r="Y22" i="7" s="1"/>
  <c r="Z22" i="7" s="1"/>
  <c r="AA22" i="7" s="1"/>
  <c r="AB22" i="7" s="1"/>
  <c r="AC22" i="7" s="1"/>
  <c r="U127" i="7"/>
  <c r="W127" i="7" s="1"/>
  <c r="X127" i="7" s="1"/>
  <c r="Y127" i="7" s="1"/>
  <c r="Z127" i="7" s="1"/>
  <c r="AA127" i="7" s="1"/>
  <c r="AB127" i="7" s="1"/>
  <c r="AC127" i="7" s="1"/>
  <c r="U36" i="7"/>
  <c r="W36" i="7" s="1"/>
  <c r="X36" i="7" s="1"/>
  <c r="Y36" i="7" s="1"/>
  <c r="Z36" i="7" s="1"/>
  <c r="AA36" i="7" s="1"/>
  <c r="AB36" i="7" s="1"/>
  <c r="AC36" i="7" s="1"/>
  <c r="U37" i="7"/>
  <c r="W37" i="7" s="1"/>
  <c r="X37" i="7" s="1"/>
  <c r="Y37" i="7" s="1"/>
  <c r="Z37" i="7" s="1"/>
  <c r="AA37" i="7" s="1"/>
  <c r="AB37" i="7" s="1"/>
  <c r="AC37" i="7" s="1"/>
  <c r="U84" i="7"/>
  <c r="W84" i="7" s="1"/>
  <c r="X84" i="7" s="1"/>
  <c r="Y84" i="7" s="1"/>
  <c r="Z84" i="7" s="1"/>
  <c r="AA84" i="7" s="1"/>
  <c r="AB84" i="7" s="1"/>
  <c r="AC84" i="7" s="1"/>
  <c r="U120" i="7"/>
  <c r="W120" i="7" s="1"/>
  <c r="X120" i="7" s="1"/>
  <c r="Y120" i="7" s="1"/>
  <c r="Z120" i="7" s="1"/>
  <c r="AA120" i="7" s="1"/>
  <c r="AB120" i="7" s="1"/>
  <c r="AC120" i="7" s="1"/>
  <c r="U133" i="7"/>
  <c r="W133" i="7" s="1"/>
  <c r="X133" i="7" s="1"/>
  <c r="Y133" i="7" s="1"/>
  <c r="Z133" i="7" s="1"/>
  <c r="AA133" i="7" s="1"/>
  <c r="AB133" i="7" s="1"/>
  <c r="AC133" i="7" s="1"/>
  <c r="U35" i="7"/>
  <c r="W35" i="7" s="1"/>
  <c r="X35" i="7" s="1"/>
  <c r="Y35" i="7" s="1"/>
  <c r="Z35" i="7" s="1"/>
  <c r="AA35" i="7" s="1"/>
  <c r="AB35" i="7" s="1"/>
  <c r="AC35" i="7" s="1"/>
  <c r="U83" i="7"/>
  <c r="W83" i="7" s="1"/>
  <c r="X83" i="7" s="1"/>
  <c r="Y83" i="7" s="1"/>
  <c r="Z83" i="7" s="1"/>
  <c r="AA83" i="7" s="1"/>
  <c r="AB83" i="7" s="1"/>
  <c r="AC83" i="7" s="1"/>
  <c r="U126" i="7"/>
  <c r="W126" i="7" s="1"/>
  <c r="X126" i="7" s="1"/>
  <c r="Y126" i="7" s="1"/>
  <c r="Z126" i="7" s="1"/>
  <c r="AA126" i="7" s="1"/>
  <c r="AB126" i="7" s="1"/>
  <c r="AC126" i="7" s="1"/>
  <c r="U130" i="7"/>
  <c r="W130" i="7" s="1"/>
  <c r="X130" i="7" s="1"/>
  <c r="Y130" i="7" s="1"/>
  <c r="Z130" i="7" s="1"/>
  <c r="AA130" i="7" s="1"/>
  <c r="AB130" i="7" s="1"/>
  <c r="AC130" i="7" s="1"/>
  <c r="U34" i="7"/>
  <c r="W34" i="7" s="1"/>
  <c r="X34" i="7" s="1"/>
  <c r="Y34" i="7" s="1"/>
  <c r="Z34" i="7" s="1"/>
  <c r="AA34" i="7" s="1"/>
  <c r="AB34" i="7" s="1"/>
  <c r="AC34" i="7" s="1"/>
  <c r="U119" i="7"/>
  <c r="W119" i="7" s="1"/>
  <c r="X119" i="7" s="1"/>
  <c r="Y119" i="7" s="1"/>
  <c r="Z119" i="7" s="1"/>
  <c r="AA119" i="7" s="1"/>
  <c r="AB119" i="7" s="1"/>
  <c r="AC119" i="7" s="1"/>
  <c r="U125" i="7"/>
  <c r="W125" i="7" s="1"/>
  <c r="X125" i="7" s="1"/>
  <c r="Y125" i="7" s="1"/>
  <c r="Z125" i="7" s="1"/>
  <c r="AA125" i="7" s="1"/>
  <c r="AB125" i="7" s="1"/>
  <c r="AC125" i="7" s="1"/>
  <c r="U49" i="7"/>
  <c r="W49" i="7" s="1"/>
  <c r="X49" i="7" s="1"/>
  <c r="Y49" i="7" s="1"/>
  <c r="Z49" i="7" s="1"/>
  <c r="AA49" i="7" s="1"/>
  <c r="AB49" i="7" s="1"/>
  <c r="AC49" i="7" s="1"/>
  <c r="U46" i="7"/>
  <c r="V46" i="7" s="1"/>
  <c r="W46" i="7" s="1"/>
  <c r="X46" i="7" s="1"/>
  <c r="Y46" i="7" s="1"/>
  <c r="Z46" i="7" s="1"/>
  <c r="AA46" i="7" s="1"/>
  <c r="AB46" i="7" s="1"/>
  <c r="AC46" i="7" s="1"/>
  <c r="U85" i="7"/>
  <c r="W85" i="7" s="1"/>
  <c r="X85" i="7" s="1"/>
  <c r="Y85" i="7" s="1"/>
  <c r="Z85" i="7" s="1"/>
  <c r="AA85" i="7" s="1"/>
  <c r="AB85" i="7" s="1"/>
  <c r="AC85" i="7" s="1"/>
  <c r="U132" i="7"/>
  <c r="W132" i="7" s="1"/>
  <c r="X132" i="7" s="1"/>
  <c r="Y132" i="7" s="1"/>
  <c r="Z132" i="7" s="1"/>
  <c r="AA132" i="7" s="1"/>
  <c r="AB132" i="7" s="1"/>
  <c r="AC132" i="7" s="1"/>
  <c r="U58" i="7"/>
  <c r="W58" i="7" s="1"/>
  <c r="X58" i="7" s="1"/>
  <c r="Y58" i="7" s="1"/>
  <c r="Z58" i="7" s="1"/>
  <c r="AA58" i="7" s="1"/>
  <c r="AB58" i="7" s="1"/>
  <c r="AC58" i="7" s="1"/>
  <c r="U24" i="7"/>
  <c r="U121" i="7"/>
  <c r="W121" i="7" s="1"/>
  <c r="X121" i="7" s="1"/>
  <c r="Y121" i="7" s="1"/>
  <c r="Z121" i="7" s="1"/>
  <c r="AA121" i="7" s="1"/>
  <c r="AB121" i="7" s="1"/>
  <c r="AC121" i="7" s="1"/>
  <c r="U124" i="7"/>
  <c r="V124" i="7" s="1"/>
  <c r="W124" i="7" s="1"/>
  <c r="X124" i="7" s="1"/>
  <c r="Y124" i="7" s="1"/>
  <c r="Z124" i="7" s="1"/>
  <c r="AA124" i="7" s="1"/>
  <c r="AB124" i="7" s="1"/>
  <c r="AC124" i="7" s="1"/>
  <c r="U25" i="7"/>
  <c r="W25" i="7" s="1"/>
  <c r="X25" i="7" s="1"/>
  <c r="Y25" i="7" s="1"/>
  <c r="Z25" i="7" s="1"/>
  <c r="AA25" i="7" s="1"/>
  <c r="AB25" i="7" s="1"/>
  <c r="AC25" i="7" s="1"/>
  <c r="U47" i="7"/>
  <c r="W47" i="7" s="1"/>
  <c r="X47" i="7" s="1"/>
  <c r="Y47" i="7" s="1"/>
  <c r="Z47" i="7" s="1"/>
  <c r="AA47" i="7" s="1"/>
  <c r="AB47" i="7" s="1"/>
  <c r="AC47" i="7" s="1"/>
  <c r="U23" i="7"/>
  <c r="W23" i="7" s="1"/>
  <c r="X23" i="7" s="1"/>
  <c r="Y23" i="7" s="1"/>
  <c r="Z23" i="7" s="1"/>
  <c r="AA23" i="7" s="1"/>
  <c r="AB23" i="7" s="1"/>
  <c r="AC23" i="7" s="1"/>
  <c r="U82" i="7"/>
  <c r="V82" i="7" s="1"/>
  <c r="W82" i="7" s="1"/>
  <c r="X82" i="7" s="1"/>
  <c r="Y82" i="7" s="1"/>
  <c r="Z82" i="7" s="1"/>
  <c r="AA82" i="7" s="1"/>
  <c r="AB82" i="7" s="1"/>
  <c r="AC82" i="7" s="1"/>
  <c r="AF28" i="27"/>
  <c r="ED54" i="6"/>
  <c r="DQ54" i="6"/>
  <c r="J6" i="10"/>
  <c r="AA19" i="10"/>
  <c r="J18" i="7"/>
  <c r="K18" i="7" s="1"/>
  <c r="L18" i="7" s="1"/>
  <c r="M18" i="7" s="1"/>
  <c r="N18" i="7" s="1"/>
  <c r="O18" i="7" s="1"/>
  <c r="P18" i="7" s="1"/>
  <c r="Q18" i="7" s="1"/>
  <c r="R18" i="7" s="1"/>
  <c r="S18" i="7" s="1"/>
  <c r="J31" i="7"/>
  <c r="K31" i="7" s="1"/>
  <c r="L31" i="7" s="1"/>
  <c r="M31" i="7" s="1"/>
  <c r="J17" i="7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J16" i="7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J19" i="7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AD125" i="10"/>
  <c r="AE125" i="10" s="1"/>
  <c r="AF125" i="10" s="1"/>
  <c r="AG125" i="10" s="1"/>
  <c r="AP125" i="10"/>
  <c r="AQ125" i="10" s="1"/>
  <c r="AR125" i="10" s="1"/>
  <c r="AS125" i="10" s="1"/>
  <c r="AD131" i="10"/>
  <c r="AE131" i="10" s="1"/>
  <c r="AF131" i="10" s="1"/>
  <c r="AG131" i="10" s="1"/>
  <c r="AP131" i="10"/>
  <c r="AQ131" i="10" s="1"/>
  <c r="AR131" i="10" s="1"/>
  <c r="AS131" i="10" s="1"/>
  <c r="AD95" i="10"/>
  <c r="AE95" i="10" s="1"/>
  <c r="AF95" i="10" s="1"/>
  <c r="AG95" i="10" s="1"/>
  <c r="AP95" i="10"/>
  <c r="AQ95" i="10" s="1"/>
  <c r="AR95" i="10" s="1"/>
  <c r="AS95" i="10" s="1"/>
  <c r="AD91" i="10"/>
  <c r="AE91" i="10" s="1"/>
  <c r="AF91" i="10" s="1"/>
  <c r="AG91" i="10" s="1"/>
  <c r="AP91" i="10"/>
  <c r="AQ91" i="10" s="1"/>
  <c r="AR91" i="10" s="1"/>
  <c r="AS91" i="10" s="1"/>
  <c r="AD130" i="10"/>
  <c r="AE130" i="10" s="1"/>
  <c r="AF130" i="10" s="1"/>
  <c r="AG130" i="10" s="1"/>
  <c r="AP130" i="10"/>
  <c r="AQ130" i="10" s="1"/>
  <c r="AR130" i="10" s="1"/>
  <c r="AS130" i="10" s="1"/>
  <c r="AD109" i="10"/>
  <c r="AE109" i="10" s="1"/>
  <c r="AF109" i="10" s="1"/>
  <c r="AG109" i="10" s="1"/>
  <c r="AP109" i="10"/>
  <c r="AQ109" i="10" s="1"/>
  <c r="AR109" i="10" s="1"/>
  <c r="AS109" i="10" s="1"/>
  <c r="AD89" i="10"/>
  <c r="AE89" i="10" s="1"/>
  <c r="AF89" i="10" s="1"/>
  <c r="AG89" i="10" s="1"/>
  <c r="AP89" i="10"/>
  <c r="AQ89" i="10" s="1"/>
  <c r="AR89" i="10" s="1"/>
  <c r="AS89" i="10" s="1"/>
  <c r="AD7" i="10"/>
  <c r="AE7" i="10" s="1"/>
  <c r="AF7" i="10" s="1"/>
  <c r="AG7" i="10" s="1"/>
  <c r="AP7" i="10"/>
  <c r="AQ7" i="10" s="1"/>
  <c r="AR7" i="10" s="1"/>
  <c r="AS7" i="10" s="1"/>
  <c r="AD120" i="10"/>
  <c r="AE120" i="10" s="1"/>
  <c r="AF120" i="10" s="1"/>
  <c r="AG120" i="10" s="1"/>
  <c r="AP120" i="10"/>
  <c r="AQ120" i="10" s="1"/>
  <c r="AR120" i="10" s="1"/>
  <c r="AS120" i="10" s="1"/>
  <c r="AD133" i="10"/>
  <c r="AE133" i="10" s="1"/>
  <c r="AF133" i="10" s="1"/>
  <c r="AG133" i="10" s="1"/>
  <c r="AP133" i="10"/>
  <c r="AQ133" i="10" s="1"/>
  <c r="AR133" i="10" s="1"/>
  <c r="AS133" i="10" s="1"/>
  <c r="AD88" i="10"/>
  <c r="AE88" i="10" s="1"/>
  <c r="AF88" i="10" s="1"/>
  <c r="AG88" i="10" s="1"/>
  <c r="AP88" i="10"/>
  <c r="AQ88" i="10" s="1"/>
  <c r="AR88" i="10" s="1"/>
  <c r="AS88" i="10" s="1"/>
  <c r="AD127" i="10"/>
  <c r="AE127" i="10" s="1"/>
  <c r="AF127" i="10" s="1"/>
  <c r="AG127" i="10" s="1"/>
  <c r="AP127" i="10"/>
  <c r="AQ127" i="10" s="1"/>
  <c r="AR127" i="10" s="1"/>
  <c r="AS127" i="10" s="1"/>
  <c r="AD4" i="10"/>
  <c r="AE4" i="10" s="1"/>
  <c r="AF4" i="10" s="1"/>
  <c r="AG4" i="10" s="1"/>
  <c r="AP4" i="10"/>
  <c r="AQ4" i="10" s="1"/>
  <c r="AR4" i="10" s="1"/>
  <c r="AS4" i="10" s="1"/>
  <c r="AD97" i="10"/>
  <c r="AE97" i="10" s="1"/>
  <c r="AF97" i="10" s="1"/>
  <c r="AG97" i="10" s="1"/>
  <c r="AP97" i="10"/>
  <c r="AQ97" i="10" s="1"/>
  <c r="AR97" i="10" s="1"/>
  <c r="AS97" i="10" s="1"/>
  <c r="AD59" i="10"/>
  <c r="AE59" i="10" s="1"/>
  <c r="AF59" i="10" s="1"/>
  <c r="AG59" i="10" s="1"/>
  <c r="AP59" i="10"/>
  <c r="AQ59" i="10" s="1"/>
  <c r="AD119" i="10"/>
  <c r="AE119" i="10" s="1"/>
  <c r="AF119" i="10" s="1"/>
  <c r="AG119" i="10" s="1"/>
  <c r="AP119" i="10"/>
  <c r="AQ119" i="10" s="1"/>
  <c r="AR119" i="10" s="1"/>
  <c r="AS119" i="10" s="1"/>
  <c r="AD60" i="10"/>
  <c r="AE60" i="10" s="1"/>
  <c r="AF60" i="10" s="1"/>
  <c r="AG60" i="10" s="1"/>
  <c r="AP60" i="10"/>
  <c r="AQ60" i="10" s="1"/>
  <c r="AR60" i="10" s="1"/>
  <c r="AS60" i="10" s="1"/>
  <c r="AD96" i="10"/>
  <c r="AE96" i="10" s="1"/>
  <c r="AF96" i="10" s="1"/>
  <c r="AG96" i="10" s="1"/>
  <c r="AP96" i="10"/>
  <c r="AQ96" i="10" s="1"/>
  <c r="AR96" i="10" s="1"/>
  <c r="AS96" i="10" s="1"/>
  <c r="AD126" i="10"/>
  <c r="AE126" i="10" s="1"/>
  <c r="AF126" i="10" s="1"/>
  <c r="AG126" i="10" s="1"/>
  <c r="AP126" i="10"/>
  <c r="AQ126" i="10" s="1"/>
  <c r="AR126" i="10" s="1"/>
  <c r="AS126" i="10" s="1"/>
  <c r="AD61" i="10"/>
  <c r="AE61" i="10" s="1"/>
  <c r="AF61" i="10" s="1"/>
  <c r="AG61" i="10" s="1"/>
  <c r="AP61" i="10"/>
  <c r="AQ61" i="10" s="1"/>
  <c r="AR61" i="10" s="1"/>
  <c r="AS61" i="10" s="1"/>
  <c r="AD94" i="10"/>
  <c r="AE94" i="10" s="1"/>
  <c r="AF94" i="10" s="1"/>
  <c r="AG94" i="10" s="1"/>
  <c r="AP94" i="10"/>
  <c r="AQ94" i="10" s="1"/>
  <c r="AR94" i="10" s="1"/>
  <c r="AS94" i="10" s="1"/>
  <c r="AD90" i="10"/>
  <c r="AE90" i="10" s="1"/>
  <c r="AF90" i="10" s="1"/>
  <c r="AG90" i="10" s="1"/>
  <c r="AP90" i="10"/>
  <c r="AQ90" i="10" s="1"/>
  <c r="AR90" i="10" s="1"/>
  <c r="AS90" i="10" s="1"/>
  <c r="AD132" i="10"/>
  <c r="AE132" i="10" s="1"/>
  <c r="AF132" i="10" s="1"/>
  <c r="AG132" i="10" s="1"/>
  <c r="AP132" i="10"/>
  <c r="AQ132" i="10" s="1"/>
  <c r="AR132" i="10" s="1"/>
  <c r="AS132" i="10" s="1"/>
  <c r="AD118" i="10"/>
  <c r="AE118" i="10" s="1"/>
  <c r="AF118" i="10" s="1"/>
  <c r="AG118" i="10" s="1"/>
  <c r="AP118" i="10"/>
  <c r="AQ118" i="10" s="1"/>
  <c r="AR118" i="10" s="1"/>
  <c r="AS118" i="10" s="1"/>
  <c r="AD58" i="10"/>
  <c r="AE58" i="10" s="1"/>
  <c r="AF58" i="10" s="1"/>
  <c r="AG58" i="10" s="1"/>
  <c r="AP58" i="10"/>
  <c r="AQ58" i="10" s="1"/>
  <c r="AR58" i="10" s="1"/>
  <c r="AS58" i="10" s="1"/>
  <c r="AD124" i="10"/>
  <c r="AE124" i="10" s="1"/>
  <c r="AF124" i="10" s="1"/>
  <c r="AG124" i="10" s="1"/>
  <c r="AP124" i="10"/>
  <c r="AQ124" i="10" s="1"/>
  <c r="AR124" i="10" s="1"/>
  <c r="AS124" i="10" s="1"/>
  <c r="AD121" i="10"/>
  <c r="AE121" i="10" s="1"/>
  <c r="AF121" i="10" s="1"/>
  <c r="AG121" i="10" s="1"/>
  <c r="AP121" i="10"/>
  <c r="AQ121" i="10" s="1"/>
  <c r="AR121" i="10" s="1"/>
  <c r="AS121" i="10" s="1"/>
  <c r="AD107" i="10"/>
  <c r="AE107" i="10" s="1"/>
  <c r="AF107" i="10" s="1"/>
  <c r="AG107" i="10" s="1"/>
  <c r="AP107" i="10"/>
  <c r="AQ107" i="10" s="1"/>
  <c r="AR107" i="10" s="1"/>
  <c r="AS107" i="10" s="1"/>
  <c r="AD5" i="10"/>
  <c r="AE5" i="10" s="1"/>
  <c r="AF5" i="10" s="1"/>
  <c r="AG5" i="10" s="1"/>
  <c r="AP5" i="10"/>
  <c r="AQ5" i="10" s="1"/>
  <c r="AR5" i="10" s="1"/>
  <c r="AS5" i="10" s="1"/>
  <c r="AD31" i="10"/>
  <c r="AE31" i="10" s="1"/>
  <c r="AF31" i="10" s="1"/>
  <c r="AG31" i="10" s="1"/>
  <c r="AP31" i="10"/>
  <c r="AQ31" i="10" s="1"/>
  <c r="AR31" i="10" s="1"/>
  <c r="AS31" i="10" s="1"/>
  <c r="V28" i="10"/>
  <c r="W28" i="10" s="1"/>
  <c r="X28" i="10" s="1"/>
  <c r="Y28" i="10" s="1"/>
  <c r="Z28" i="10" s="1"/>
  <c r="AA28" i="10" s="1"/>
  <c r="AB28" i="10" s="1"/>
  <c r="AC28" i="10" s="1"/>
  <c r="W28" i="7"/>
  <c r="X28" i="7" s="1"/>
  <c r="Y28" i="7" s="1"/>
  <c r="Z28" i="7" s="1"/>
  <c r="AA28" i="7" s="1"/>
  <c r="AB28" i="7" s="1"/>
  <c r="AC28" i="7" s="1"/>
  <c r="BU54" i="6" l="1"/>
  <c r="BU58" i="6"/>
  <c r="Y108" i="10"/>
  <c r="DT23" i="6"/>
  <c r="Y30" i="10"/>
  <c r="DT20" i="6"/>
  <c r="W24" i="7"/>
  <c r="BP19" i="6"/>
  <c r="BP15" i="6"/>
  <c r="T18" i="7"/>
  <c r="BO24" i="6" s="1"/>
  <c r="BN24" i="6"/>
  <c r="BO19" i="6"/>
  <c r="BO15" i="6"/>
  <c r="X24" i="7"/>
  <c r="BR19" i="6"/>
  <c r="BR15" i="6"/>
  <c r="BV14" i="6"/>
  <c r="BV17" i="6"/>
  <c r="BV16" i="6"/>
  <c r="BV18" i="6"/>
  <c r="BA18" i="10"/>
  <c r="EY24" i="6" s="1"/>
  <c r="AO18" i="10"/>
  <c r="EL24" i="6" s="1"/>
  <c r="AB6" i="7"/>
  <c r="BV13" i="6"/>
  <c r="AD82" i="7"/>
  <c r="AE82" i="7" s="1"/>
  <c r="AF82" i="7" s="1"/>
  <c r="AG82" i="7" s="1"/>
  <c r="AH82" i="7" s="1"/>
  <c r="AI82" i="7" s="1"/>
  <c r="AJ82" i="7" s="1"/>
  <c r="AK82" i="7" s="1"/>
  <c r="AL82" i="7" s="1"/>
  <c r="AM82" i="7" s="1"/>
  <c r="AN82" i="7" s="1"/>
  <c r="AO82" i="7" s="1"/>
  <c r="AP82" i="7" s="1"/>
  <c r="AQ82" i="7" s="1"/>
  <c r="AR82" i="7" s="1"/>
  <c r="AS82" i="7" s="1"/>
  <c r="AT82" i="7" s="1"/>
  <c r="AU82" i="7" s="1"/>
  <c r="AV82" i="7" s="1"/>
  <c r="AW82" i="7" s="1"/>
  <c r="AX82" i="7" s="1"/>
  <c r="AY82" i="7" s="1"/>
  <c r="AZ82" i="7" s="1"/>
  <c r="BA82" i="7" s="1"/>
  <c r="BB82" i="7" s="1"/>
  <c r="AD126" i="7"/>
  <c r="AE126" i="7" s="1"/>
  <c r="AF126" i="7" s="1"/>
  <c r="AG126" i="7" s="1"/>
  <c r="AH126" i="7" s="1"/>
  <c r="AI126" i="7" s="1"/>
  <c r="AJ126" i="7" s="1"/>
  <c r="AK126" i="7" s="1"/>
  <c r="AL126" i="7" s="1"/>
  <c r="AM126" i="7" s="1"/>
  <c r="AN126" i="7" s="1"/>
  <c r="AO126" i="7" s="1"/>
  <c r="AP126" i="7"/>
  <c r="AQ126" i="7" s="1"/>
  <c r="AR126" i="7" s="1"/>
  <c r="AS126" i="7" s="1"/>
  <c r="AT126" i="7" s="1"/>
  <c r="AU126" i="7" s="1"/>
  <c r="AV126" i="7" s="1"/>
  <c r="AW126" i="7" s="1"/>
  <c r="AX126" i="7" s="1"/>
  <c r="AY126" i="7" s="1"/>
  <c r="AZ126" i="7" s="1"/>
  <c r="BA126" i="7" s="1"/>
  <c r="BB126" i="7" s="1"/>
  <c r="AD23" i="7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AD83" i="7"/>
  <c r="AE83" i="7" s="1"/>
  <c r="AF83" i="7" s="1"/>
  <c r="AG83" i="7" s="1"/>
  <c r="AH83" i="7" s="1"/>
  <c r="AI83" i="7" s="1"/>
  <c r="AJ83" i="7" s="1"/>
  <c r="AK83" i="7" s="1"/>
  <c r="AL83" i="7" s="1"/>
  <c r="AM83" i="7" s="1"/>
  <c r="AN83" i="7" s="1"/>
  <c r="AO83" i="7" s="1"/>
  <c r="AP83" i="7" s="1"/>
  <c r="AQ83" i="7" s="1"/>
  <c r="AR83" i="7" s="1"/>
  <c r="AS83" i="7"/>
  <c r="AT83" i="7" s="1"/>
  <c r="AU83" i="7" s="1"/>
  <c r="AV83" i="7" s="1"/>
  <c r="AW83" i="7" s="1"/>
  <c r="AX83" i="7" s="1"/>
  <c r="AY83" i="7" s="1"/>
  <c r="AZ83" i="7" s="1"/>
  <c r="BA83" i="7" s="1"/>
  <c r="BB83" i="7" s="1"/>
  <c r="AD47" i="7"/>
  <c r="AE47" i="7" s="1"/>
  <c r="AF47" i="7" s="1"/>
  <c r="AG47" i="7" s="1"/>
  <c r="AH47" i="7" s="1"/>
  <c r="AI47" i="7" s="1"/>
  <c r="AJ47" i="7" s="1"/>
  <c r="AK47" i="7" s="1"/>
  <c r="AL47" i="7" s="1"/>
  <c r="AM47" i="7" s="1"/>
  <c r="AN47" i="7" s="1"/>
  <c r="AO47" i="7" s="1"/>
  <c r="AP47" i="7" s="1"/>
  <c r="AQ47" i="7" s="1"/>
  <c r="AR47" i="7" s="1"/>
  <c r="AS47" i="7"/>
  <c r="AT47" i="7" s="1"/>
  <c r="AU47" i="7" s="1"/>
  <c r="AV47" i="7" s="1"/>
  <c r="AW47" i="7" s="1"/>
  <c r="AX47" i="7" s="1"/>
  <c r="AY47" i="7" s="1"/>
  <c r="AZ47" i="7" s="1"/>
  <c r="BA47" i="7" s="1"/>
  <c r="BB47" i="7" s="1"/>
  <c r="AD35" i="7"/>
  <c r="AE35" i="7" s="1"/>
  <c r="AF35" i="7" s="1"/>
  <c r="AG35" i="7" s="1"/>
  <c r="AH35" i="7" s="1"/>
  <c r="AI35" i="7" s="1"/>
  <c r="AJ35" i="7" s="1"/>
  <c r="AK35" i="7" s="1"/>
  <c r="AL35" i="7" s="1"/>
  <c r="AM35" i="7" s="1"/>
  <c r="AN35" i="7" s="1"/>
  <c r="AO35" i="7" s="1"/>
  <c r="AP35" i="7" s="1"/>
  <c r="AQ35" i="7" s="1"/>
  <c r="AR35" i="7" s="1"/>
  <c r="AS35" i="7"/>
  <c r="AT35" i="7" s="1"/>
  <c r="AU35" i="7" s="1"/>
  <c r="AV35" i="7" s="1"/>
  <c r="AW35" i="7" s="1"/>
  <c r="AX35" i="7" s="1"/>
  <c r="AY35" i="7" s="1"/>
  <c r="AZ35" i="7" s="1"/>
  <c r="BA35" i="7" s="1"/>
  <c r="BB35" i="7" s="1"/>
  <c r="AD25" i="7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AD133" i="7"/>
  <c r="AE133" i="7" s="1"/>
  <c r="AF133" i="7" s="1"/>
  <c r="AG133" i="7" s="1"/>
  <c r="AH133" i="7" s="1"/>
  <c r="AI133" i="7" s="1"/>
  <c r="AJ133" i="7" s="1"/>
  <c r="AK133" i="7" s="1"/>
  <c r="AL133" i="7" s="1"/>
  <c r="AM133" i="7" s="1"/>
  <c r="AN133" i="7" s="1"/>
  <c r="AO133" i="7" s="1"/>
  <c r="AP133" i="7"/>
  <c r="AQ133" i="7" s="1"/>
  <c r="AR133" i="7" s="1"/>
  <c r="AS133" i="7" s="1"/>
  <c r="AT133" i="7" s="1"/>
  <c r="AU133" i="7" s="1"/>
  <c r="AV133" i="7" s="1"/>
  <c r="AW133" i="7" s="1"/>
  <c r="AX133" i="7" s="1"/>
  <c r="AY133" i="7" s="1"/>
  <c r="AZ133" i="7" s="1"/>
  <c r="BA133" i="7" s="1"/>
  <c r="BB133" i="7" s="1"/>
  <c r="AD124" i="7"/>
  <c r="AE124" i="7" s="1"/>
  <c r="AF124" i="7" s="1"/>
  <c r="AG124" i="7" s="1"/>
  <c r="AH124" i="7" s="1"/>
  <c r="AI124" i="7" s="1"/>
  <c r="AJ124" i="7" s="1"/>
  <c r="AK124" i="7" s="1"/>
  <c r="AL124" i="7" s="1"/>
  <c r="AM124" i="7" s="1"/>
  <c r="AN124" i="7" s="1"/>
  <c r="AO124" i="7" s="1"/>
  <c r="AP124" i="7"/>
  <c r="AQ124" i="7" s="1"/>
  <c r="AR124" i="7" s="1"/>
  <c r="AS124" i="7" s="1"/>
  <c r="AT124" i="7" s="1"/>
  <c r="AU124" i="7" s="1"/>
  <c r="AV124" i="7" s="1"/>
  <c r="AW124" i="7" s="1"/>
  <c r="AX124" i="7" s="1"/>
  <c r="AY124" i="7" s="1"/>
  <c r="AZ124" i="7" s="1"/>
  <c r="BA124" i="7" s="1"/>
  <c r="BB124" i="7" s="1"/>
  <c r="AD120" i="7"/>
  <c r="AE120" i="7" s="1"/>
  <c r="AF120" i="7" s="1"/>
  <c r="AG120" i="7" s="1"/>
  <c r="AH120" i="7" s="1"/>
  <c r="AI120" i="7" s="1"/>
  <c r="AJ120" i="7" s="1"/>
  <c r="AK120" i="7" s="1"/>
  <c r="AL120" i="7" s="1"/>
  <c r="AM120" i="7" s="1"/>
  <c r="AN120" i="7" s="1"/>
  <c r="AO120" i="7" s="1"/>
  <c r="AP120" i="7" s="1"/>
  <c r="AQ120" i="7" s="1"/>
  <c r="AR120" i="7" s="1"/>
  <c r="AS120" i="7" s="1"/>
  <c r="AT120" i="7" s="1"/>
  <c r="AU120" i="7" s="1"/>
  <c r="AV120" i="7" s="1"/>
  <c r="AW120" i="7" s="1"/>
  <c r="AX120" i="7" s="1"/>
  <c r="AY120" i="7" s="1"/>
  <c r="AZ120" i="7" s="1"/>
  <c r="BA120" i="7" s="1"/>
  <c r="BB120" i="7" s="1"/>
  <c r="AD121" i="7"/>
  <c r="AE121" i="7" s="1"/>
  <c r="AF121" i="7" s="1"/>
  <c r="AG121" i="7" s="1"/>
  <c r="AH121" i="7" s="1"/>
  <c r="AI121" i="7" s="1"/>
  <c r="AJ121" i="7" s="1"/>
  <c r="AK121" i="7" s="1"/>
  <c r="AL121" i="7" s="1"/>
  <c r="AM121" i="7" s="1"/>
  <c r="AN121" i="7" s="1"/>
  <c r="AO121" i="7" s="1"/>
  <c r="AP121" i="7" s="1"/>
  <c r="AQ121" i="7" s="1"/>
  <c r="AR121" i="7" s="1"/>
  <c r="AS121" i="7" s="1"/>
  <c r="AT121" i="7" s="1"/>
  <c r="AU121" i="7" s="1"/>
  <c r="AV121" i="7" s="1"/>
  <c r="AW121" i="7" s="1"/>
  <c r="AX121" i="7" s="1"/>
  <c r="AY121" i="7" s="1"/>
  <c r="AZ121" i="7" s="1"/>
  <c r="BA121" i="7" s="1"/>
  <c r="BB121" i="7" s="1"/>
  <c r="AD84" i="7"/>
  <c r="AE84" i="7" s="1"/>
  <c r="AF84" i="7" s="1"/>
  <c r="AG84" i="7" s="1"/>
  <c r="AH84" i="7" s="1"/>
  <c r="AI84" i="7" s="1"/>
  <c r="AJ84" i="7" s="1"/>
  <c r="AK84" i="7" s="1"/>
  <c r="AL84" i="7" s="1"/>
  <c r="AM84" i="7" s="1"/>
  <c r="AN84" i="7" s="1"/>
  <c r="AO84" i="7" s="1"/>
  <c r="AP84" i="7" s="1"/>
  <c r="AQ84" i="7" s="1"/>
  <c r="AR84" i="7" s="1"/>
  <c r="AS84" i="7" s="1"/>
  <c r="AT84" i="7" s="1"/>
  <c r="AU84" i="7" s="1"/>
  <c r="AV84" i="7" s="1"/>
  <c r="AW84" i="7" s="1"/>
  <c r="AX84" i="7" s="1"/>
  <c r="AY84" i="7" s="1"/>
  <c r="AZ84" i="7" s="1"/>
  <c r="BA84" i="7" s="1"/>
  <c r="BB84" i="7" s="1"/>
  <c r="AD37" i="7"/>
  <c r="AE37" i="7" s="1"/>
  <c r="AF37" i="7" s="1"/>
  <c r="AG37" i="7" s="1"/>
  <c r="AH37" i="7" s="1"/>
  <c r="AI37" i="7" s="1"/>
  <c r="AJ37" i="7" s="1"/>
  <c r="AK37" i="7" s="1"/>
  <c r="AL37" i="7" s="1"/>
  <c r="AM37" i="7" s="1"/>
  <c r="AN37" i="7" s="1"/>
  <c r="AO37" i="7" s="1"/>
  <c r="AP37" i="7" s="1"/>
  <c r="AQ37" i="7" s="1"/>
  <c r="AR37" i="7" s="1"/>
  <c r="AS37" i="7" s="1"/>
  <c r="AT37" i="7" s="1"/>
  <c r="AU37" i="7" s="1"/>
  <c r="AV37" i="7" s="1"/>
  <c r="AW37" i="7" s="1"/>
  <c r="AX37" i="7" s="1"/>
  <c r="AY37" i="7" s="1"/>
  <c r="AZ37" i="7" s="1"/>
  <c r="BA37" i="7" s="1"/>
  <c r="BB37" i="7" s="1"/>
  <c r="AD36" i="7"/>
  <c r="AE36" i="7" s="1"/>
  <c r="AF36" i="7" s="1"/>
  <c r="AG36" i="7" s="1"/>
  <c r="AH36" i="7" s="1"/>
  <c r="AI36" i="7" s="1"/>
  <c r="AJ36" i="7" s="1"/>
  <c r="AK36" i="7" s="1"/>
  <c r="AL36" i="7" s="1"/>
  <c r="AM36" i="7" s="1"/>
  <c r="AN36" i="7" s="1"/>
  <c r="AO36" i="7" s="1"/>
  <c r="AP36" i="7" s="1"/>
  <c r="AQ36" i="7" s="1"/>
  <c r="AR36" i="7" s="1"/>
  <c r="AS36" i="7" s="1"/>
  <c r="AT36" i="7" s="1"/>
  <c r="AU36" i="7" s="1"/>
  <c r="AV36" i="7" s="1"/>
  <c r="AW36" i="7" s="1"/>
  <c r="AX36" i="7" s="1"/>
  <c r="AY36" i="7" s="1"/>
  <c r="AZ36" i="7" s="1"/>
  <c r="BA36" i="7" s="1"/>
  <c r="BB36" i="7" s="1"/>
  <c r="AD132" i="7"/>
  <c r="AE132" i="7" s="1"/>
  <c r="AF132" i="7" s="1"/>
  <c r="AG132" i="7" s="1"/>
  <c r="AH132" i="7" s="1"/>
  <c r="AI132" i="7" s="1"/>
  <c r="AJ132" i="7" s="1"/>
  <c r="AK132" i="7" s="1"/>
  <c r="AL132" i="7" s="1"/>
  <c r="AM132" i="7" s="1"/>
  <c r="AN132" i="7" s="1"/>
  <c r="AO132" i="7" s="1"/>
  <c r="AP132" i="7"/>
  <c r="AQ132" i="7" s="1"/>
  <c r="AR132" i="7" s="1"/>
  <c r="AS132" i="7" s="1"/>
  <c r="AT132" i="7" s="1"/>
  <c r="AU132" i="7" s="1"/>
  <c r="AV132" i="7" s="1"/>
  <c r="AW132" i="7" s="1"/>
  <c r="AX132" i="7" s="1"/>
  <c r="AY132" i="7" s="1"/>
  <c r="AZ132" i="7" s="1"/>
  <c r="BA132" i="7" s="1"/>
  <c r="BB132" i="7" s="1"/>
  <c r="AP127" i="7"/>
  <c r="AQ127" i="7" s="1"/>
  <c r="AR127" i="7" s="1"/>
  <c r="AS127" i="7" s="1"/>
  <c r="AT127" i="7" s="1"/>
  <c r="AU127" i="7" s="1"/>
  <c r="AV127" i="7" s="1"/>
  <c r="AW127" i="7" s="1"/>
  <c r="AX127" i="7" s="1"/>
  <c r="AY127" i="7" s="1"/>
  <c r="AZ127" i="7" s="1"/>
  <c r="BA127" i="7" s="1"/>
  <c r="BB127" i="7" s="1"/>
  <c r="AD127" i="7"/>
  <c r="AE127" i="7" s="1"/>
  <c r="AF127" i="7" s="1"/>
  <c r="AG127" i="7" s="1"/>
  <c r="AH127" i="7" s="1"/>
  <c r="AI127" i="7" s="1"/>
  <c r="AJ127" i="7" s="1"/>
  <c r="AK127" i="7" s="1"/>
  <c r="AL127" i="7" s="1"/>
  <c r="AM127" i="7" s="1"/>
  <c r="AN127" i="7" s="1"/>
  <c r="AO127" i="7" s="1"/>
  <c r="AD22" i="7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AD46" i="7"/>
  <c r="AE46" i="7" s="1"/>
  <c r="AF46" i="7" s="1"/>
  <c r="AG46" i="7" s="1"/>
  <c r="AH46" i="7" s="1"/>
  <c r="AI46" i="7" s="1"/>
  <c r="AJ46" i="7" s="1"/>
  <c r="AK46" i="7" s="1"/>
  <c r="AL46" i="7" s="1"/>
  <c r="AM46" i="7" s="1"/>
  <c r="AN46" i="7" s="1"/>
  <c r="AO46" i="7" s="1"/>
  <c r="AP46" i="7" s="1"/>
  <c r="AQ46" i="7" s="1"/>
  <c r="AR46" i="7" s="1"/>
  <c r="AS46" i="7" s="1"/>
  <c r="AT46" i="7" s="1"/>
  <c r="AU46" i="7" s="1"/>
  <c r="AV46" i="7" s="1"/>
  <c r="AW46" i="7" s="1"/>
  <c r="AX46" i="7" s="1"/>
  <c r="AY46" i="7" s="1"/>
  <c r="AZ46" i="7" s="1"/>
  <c r="BA46" i="7" s="1"/>
  <c r="BB46" i="7" s="1"/>
  <c r="AD59" i="7"/>
  <c r="AE59" i="7" s="1"/>
  <c r="AF59" i="7" s="1"/>
  <c r="AG59" i="7" s="1"/>
  <c r="AH59" i="7" s="1"/>
  <c r="AI59" i="7" s="1"/>
  <c r="AJ59" i="7" s="1"/>
  <c r="AK59" i="7" s="1"/>
  <c r="AL59" i="7" s="1"/>
  <c r="AM59" i="7" s="1"/>
  <c r="AN59" i="7" s="1"/>
  <c r="AO59" i="7" s="1"/>
  <c r="AP59" i="7" s="1"/>
  <c r="AQ59" i="7" s="1"/>
  <c r="AR59" i="7" s="1"/>
  <c r="AS59" i="7" s="1"/>
  <c r="AT59" i="7" s="1"/>
  <c r="AU59" i="7" s="1"/>
  <c r="AV59" i="7" s="1"/>
  <c r="AW59" i="7" s="1"/>
  <c r="AX59" i="7" s="1"/>
  <c r="AY59" i="7" s="1"/>
  <c r="AZ59" i="7" s="1"/>
  <c r="BA59" i="7" s="1"/>
  <c r="BB59" i="7" s="1"/>
  <c r="AD49" i="7"/>
  <c r="AE49" i="7" s="1"/>
  <c r="AF49" i="7" s="1"/>
  <c r="AG49" i="7" s="1"/>
  <c r="AH49" i="7" s="1"/>
  <c r="AI49" i="7" s="1"/>
  <c r="AJ49" i="7" s="1"/>
  <c r="AK49" i="7" s="1"/>
  <c r="AL49" i="7" s="1"/>
  <c r="AM49" i="7" s="1"/>
  <c r="AN49" i="7" s="1"/>
  <c r="AO49" i="7" s="1"/>
  <c r="AP49" i="7" s="1"/>
  <c r="AQ49" i="7" s="1"/>
  <c r="AR49" i="7" s="1"/>
  <c r="AS49" i="7"/>
  <c r="AT49" i="7" s="1"/>
  <c r="AU49" i="7" s="1"/>
  <c r="AV49" i="7" s="1"/>
  <c r="AW49" i="7" s="1"/>
  <c r="AX49" i="7" s="1"/>
  <c r="AY49" i="7" s="1"/>
  <c r="AZ49" i="7" s="1"/>
  <c r="BA49" i="7" s="1"/>
  <c r="BB49" i="7" s="1"/>
  <c r="AD118" i="7"/>
  <c r="AE118" i="7" s="1"/>
  <c r="AF118" i="7" s="1"/>
  <c r="AG118" i="7" s="1"/>
  <c r="AH118" i="7" s="1"/>
  <c r="AI118" i="7" s="1"/>
  <c r="AJ118" i="7" s="1"/>
  <c r="AK118" i="7" s="1"/>
  <c r="AL118" i="7" s="1"/>
  <c r="AM118" i="7" s="1"/>
  <c r="AN118" i="7" s="1"/>
  <c r="AO118" i="7" s="1"/>
  <c r="AP118" i="7" s="1"/>
  <c r="AQ118" i="7" s="1"/>
  <c r="AR118" i="7" s="1"/>
  <c r="AS118" i="7" s="1"/>
  <c r="AT118" i="7" s="1"/>
  <c r="AU118" i="7" s="1"/>
  <c r="AV118" i="7" s="1"/>
  <c r="AW118" i="7" s="1"/>
  <c r="AX118" i="7" s="1"/>
  <c r="AY118" i="7" s="1"/>
  <c r="AZ118" i="7" s="1"/>
  <c r="BA118" i="7" s="1"/>
  <c r="BB118" i="7" s="1"/>
  <c r="AP125" i="7"/>
  <c r="AQ125" i="7" s="1"/>
  <c r="AR125" i="7" s="1"/>
  <c r="AS125" i="7" s="1"/>
  <c r="AT125" i="7" s="1"/>
  <c r="AU125" i="7" s="1"/>
  <c r="AV125" i="7" s="1"/>
  <c r="AW125" i="7" s="1"/>
  <c r="AX125" i="7" s="1"/>
  <c r="AY125" i="7" s="1"/>
  <c r="AZ125" i="7" s="1"/>
  <c r="BA125" i="7" s="1"/>
  <c r="BB125" i="7" s="1"/>
  <c r="AD125" i="7"/>
  <c r="AE125" i="7" s="1"/>
  <c r="AF125" i="7" s="1"/>
  <c r="AG125" i="7" s="1"/>
  <c r="AH125" i="7" s="1"/>
  <c r="AI125" i="7" s="1"/>
  <c r="AJ125" i="7" s="1"/>
  <c r="AK125" i="7" s="1"/>
  <c r="AL125" i="7" s="1"/>
  <c r="AM125" i="7" s="1"/>
  <c r="AN125" i="7" s="1"/>
  <c r="AO125" i="7" s="1"/>
  <c r="AD61" i="7"/>
  <c r="AE61" i="7" s="1"/>
  <c r="AF61" i="7" s="1"/>
  <c r="AG61" i="7" s="1"/>
  <c r="AH61" i="7" s="1"/>
  <c r="AI61" i="7" s="1"/>
  <c r="AJ61" i="7" s="1"/>
  <c r="AK61" i="7" s="1"/>
  <c r="AL61" i="7" s="1"/>
  <c r="AM61" i="7" s="1"/>
  <c r="AN61" i="7" s="1"/>
  <c r="AO61" i="7" s="1"/>
  <c r="AP61" i="7" s="1"/>
  <c r="AQ61" i="7" s="1"/>
  <c r="AR61" i="7" s="1"/>
  <c r="AS61" i="7" s="1"/>
  <c r="AT61" i="7" s="1"/>
  <c r="AU61" i="7" s="1"/>
  <c r="AV61" i="7" s="1"/>
  <c r="AW61" i="7" s="1"/>
  <c r="AX61" i="7" s="1"/>
  <c r="AY61" i="7" s="1"/>
  <c r="AZ61" i="7" s="1"/>
  <c r="BA61" i="7" s="1"/>
  <c r="BB61" i="7" s="1"/>
  <c r="AD119" i="7"/>
  <c r="AE119" i="7" s="1"/>
  <c r="AF119" i="7" s="1"/>
  <c r="AG119" i="7" s="1"/>
  <c r="AH119" i="7" s="1"/>
  <c r="AI119" i="7" s="1"/>
  <c r="AJ119" i="7" s="1"/>
  <c r="AK119" i="7" s="1"/>
  <c r="AL119" i="7" s="1"/>
  <c r="AM119" i="7" s="1"/>
  <c r="AN119" i="7" s="1"/>
  <c r="AO119" i="7" s="1"/>
  <c r="AP119" i="7" s="1"/>
  <c r="AQ119" i="7" s="1"/>
  <c r="AR119" i="7" s="1"/>
  <c r="AS119" i="7" s="1"/>
  <c r="AT119" i="7" s="1"/>
  <c r="AU119" i="7" s="1"/>
  <c r="AV119" i="7" s="1"/>
  <c r="AW119" i="7" s="1"/>
  <c r="AX119" i="7" s="1"/>
  <c r="AY119" i="7" s="1"/>
  <c r="AZ119" i="7" s="1"/>
  <c r="BA119" i="7" s="1"/>
  <c r="BB119" i="7" s="1"/>
  <c r="AD131" i="7"/>
  <c r="AE131" i="7" s="1"/>
  <c r="AF131" i="7" s="1"/>
  <c r="AG131" i="7" s="1"/>
  <c r="AH131" i="7" s="1"/>
  <c r="AI131" i="7" s="1"/>
  <c r="AJ131" i="7" s="1"/>
  <c r="AK131" i="7" s="1"/>
  <c r="AL131" i="7" s="1"/>
  <c r="AM131" i="7" s="1"/>
  <c r="AN131" i="7" s="1"/>
  <c r="AO131" i="7" s="1"/>
  <c r="AP131" i="7"/>
  <c r="AQ131" i="7" s="1"/>
  <c r="AR131" i="7" s="1"/>
  <c r="AS131" i="7" s="1"/>
  <c r="AT131" i="7" s="1"/>
  <c r="AU131" i="7" s="1"/>
  <c r="AV131" i="7" s="1"/>
  <c r="AW131" i="7" s="1"/>
  <c r="AX131" i="7" s="1"/>
  <c r="AY131" i="7" s="1"/>
  <c r="AZ131" i="7" s="1"/>
  <c r="BA131" i="7" s="1"/>
  <c r="BB131" i="7" s="1"/>
  <c r="AD58" i="7"/>
  <c r="AE58" i="7" s="1"/>
  <c r="AF58" i="7" s="1"/>
  <c r="AG58" i="7" s="1"/>
  <c r="AH58" i="7" s="1"/>
  <c r="AI58" i="7" s="1"/>
  <c r="AJ58" i="7" s="1"/>
  <c r="AK58" i="7" s="1"/>
  <c r="AL58" i="7" s="1"/>
  <c r="AM58" i="7" s="1"/>
  <c r="AN58" i="7" s="1"/>
  <c r="AO58" i="7" s="1"/>
  <c r="AP58" i="7" s="1"/>
  <c r="AQ58" i="7" s="1"/>
  <c r="AR58" i="7" s="1"/>
  <c r="AS58" i="7" s="1"/>
  <c r="AT58" i="7" s="1"/>
  <c r="AU58" i="7" s="1"/>
  <c r="AV58" i="7" s="1"/>
  <c r="AW58" i="7" s="1"/>
  <c r="AX58" i="7" s="1"/>
  <c r="AY58" i="7" s="1"/>
  <c r="AZ58" i="7" s="1"/>
  <c r="BA58" i="7" s="1"/>
  <c r="BB58" i="7" s="1"/>
  <c r="AD34" i="7"/>
  <c r="AE34" i="7" s="1"/>
  <c r="AF34" i="7" s="1"/>
  <c r="AG34" i="7" s="1"/>
  <c r="AH34" i="7" s="1"/>
  <c r="AI34" i="7" s="1"/>
  <c r="AJ34" i="7" s="1"/>
  <c r="AK34" i="7" s="1"/>
  <c r="AL34" i="7" s="1"/>
  <c r="AM34" i="7" s="1"/>
  <c r="AN34" i="7" s="1"/>
  <c r="AO34" i="7" s="1"/>
  <c r="AP34" i="7" s="1"/>
  <c r="AQ34" i="7" s="1"/>
  <c r="AR34" i="7" s="1"/>
  <c r="AS34" i="7" s="1"/>
  <c r="AT34" i="7" s="1"/>
  <c r="AU34" i="7" s="1"/>
  <c r="AV34" i="7" s="1"/>
  <c r="AW34" i="7" s="1"/>
  <c r="AX34" i="7" s="1"/>
  <c r="AY34" i="7" s="1"/>
  <c r="AZ34" i="7" s="1"/>
  <c r="BA34" i="7" s="1"/>
  <c r="BB34" i="7" s="1"/>
  <c r="AD60" i="7"/>
  <c r="AE60" i="7" s="1"/>
  <c r="AF60" i="7" s="1"/>
  <c r="AG60" i="7" s="1"/>
  <c r="AH60" i="7" s="1"/>
  <c r="AI60" i="7" s="1"/>
  <c r="AJ60" i="7" s="1"/>
  <c r="AK60" i="7" s="1"/>
  <c r="AL60" i="7" s="1"/>
  <c r="AM60" i="7" s="1"/>
  <c r="AN60" i="7" s="1"/>
  <c r="AO60" i="7" s="1"/>
  <c r="AP60" i="7" s="1"/>
  <c r="AQ60" i="7" s="1"/>
  <c r="AR60" i="7" s="1"/>
  <c r="AS60" i="7" s="1"/>
  <c r="AT60" i="7" s="1"/>
  <c r="AU60" i="7" s="1"/>
  <c r="AV60" i="7" s="1"/>
  <c r="AW60" i="7" s="1"/>
  <c r="AX60" i="7" s="1"/>
  <c r="AY60" i="7" s="1"/>
  <c r="AZ60" i="7" s="1"/>
  <c r="BA60" i="7" s="1"/>
  <c r="BB60" i="7" s="1"/>
  <c r="AD85" i="7"/>
  <c r="AE85" i="7" s="1"/>
  <c r="AF85" i="7" s="1"/>
  <c r="AG85" i="7" s="1"/>
  <c r="AH85" i="7" s="1"/>
  <c r="AI85" i="7" s="1"/>
  <c r="AJ85" i="7" s="1"/>
  <c r="AK85" i="7" s="1"/>
  <c r="AL85" i="7" s="1"/>
  <c r="AM85" i="7" s="1"/>
  <c r="AN85" i="7" s="1"/>
  <c r="AO85" i="7" s="1"/>
  <c r="AP85" i="7" s="1"/>
  <c r="AQ85" i="7" s="1"/>
  <c r="AR85" i="7" s="1"/>
  <c r="AS85" i="7" s="1"/>
  <c r="AT85" i="7" s="1"/>
  <c r="AU85" i="7" s="1"/>
  <c r="AV85" i="7" s="1"/>
  <c r="AW85" i="7" s="1"/>
  <c r="AX85" i="7" s="1"/>
  <c r="AY85" i="7" s="1"/>
  <c r="AZ85" i="7" s="1"/>
  <c r="BA85" i="7" s="1"/>
  <c r="BB85" i="7" s="1"/>
  <c r="AD130" i="7"/>
  <c r="AE130" i="7" s="1"/>
  <c r="AF130" i="7" s="1"/>
  <c r="AG130" i="7" s="1"/>
  <c r="AH130" i="7" s="1"/>
  <c r="AI130" i="7" s="1"/>
  <c r="AJ130" i="7" s="1"/>
  <c r="AK130" i="7" s="1"/>
  <c r="AL130" i="7" s="1"/>
  <c r="AM130" i="7" s="1"/>
  <c r="AN130" i="7" s="1"/>
  <c r="AO130" i="7" s="1"/>
  <c r="AP130" i="7"/>
  <c r="AQ130" i="7" s="1"/>
  <c r="AR130" i="7" s="1"/>
  <c r="AS130" i="7" s="1"/>
  <c r="AT130" i="7" s="1"/>
  <c r="AU130" i="7" s="1"/>
  <c r="AV130" i="7" s="1"/>
  <c r="AW130" i="7" s="1"/>
  <c r="AX130" i="7" s="1"/>
  <c r="AY130" i="7" s="1"/>
  <c r="AZ130" i="7" s="1"/>
  <c r="BA130" i="7" s="1"/>
  <c r="BB130" i="7" s="1"/>
  <c r="AD48" i="7"/>
  <c r="AE48" i="7" s="1"/>
  <c r="AF48" i="7" s="1"/>
  <c r="AG48" i="7" s="1"/>
  <c r="AH48" i="7" s="1"/>
  <c r="AI48" i="7" s="1"/>
  <c r="AJ48" i="7" s="1"/>
  <c r="AK48" i="7" s="1"/>
  <c r="AL48" i="7" s="1"/>
  <c r="AM48" i="7" s="1"/>
  <c r="AN48" i="7" s="1"/>
  <c r="AO48" i="7" s="1"/>
  <c r="AP48" i="7" s="1"/>
  <c r="AQ48" i="7" s="1"/>
  <c r="AR48" i="7" s="1"/>
  <c r="AS48" i="7" s="1"/>
  <c r="AT48" i="7" s="1"/>
  <c r="AU48" i="7" s="1"/>
  <c r="AV48" i="7" s="1"/>
  <c r="AW48" i="7" s="1"/>
  <c r="AX48" i="7" s="1"/>
  <c r="AY48" i="7" s="1"/>
  <c r="AZ48" i="7" s="1"/>
  <c r="BA48" i="7" s="1"/>
  <c r="BB48" i="7" s="1"/>
  <c r="U19" i="7"/>
  <c r="W19" i="7" s="1"/>
  <c r="X19" i="7" s="1"/>
  <c r="Y19" i="7" s="1"/>
  <c r="Z19" i="7" s="1"/>
  <c r="AA19" i="7" s="1"/>
  <c r="AB19" i="7" s="1"/>
  <c r="AC19" i="7" s="1"/>
  <c r="U16" i="7"/>
  <c r="W16" i="7" s="1"/>
  <c r="X16" i="7" s="1"/>
  <c r="Y16" i="7" s="1"/>
  <c r="Z16" i="7" s="1"/>
  <c r="AA16" i="7" s="1"/>
  <c r="AB16" i="7" s="1"/>
  <c r="AC16" i="7" s="1"/>
  <c r="U17" i="7"/>
  <c r="W17" i="7" s="1"/>
  <c r="X17" i="7" s="1"/>
  <c r="Y17" i="7" s="1"/>
  <c r="Z17" i="7" s="1"/>
  <c r="AA17" i="7" s="1"/>
  <c r="AB17" i="7" s="1"/>
  <c r="AC17" i="7" s="1"/>
  <c r="AT118" i="10"/>
  <c r="AU118" i="10" s="1"/>
  <c r="AV118" i="10" s="1"/>
  <c r="AW118" i="10" s="1"/>
  <c r="AX118" i="10" s="1"/>
  <c r="AY118" i="10" s="1"/>
  <c r="AZ118" i="10" s="1"/>
  <c r="BA118" i="10" s="1"/>
  <c r="BB118" i="10" s="1"/>
  <c r="AT88" i="10"/>
  <c r="AU88" i="10" s="1"/>
  <c r="AV88" i="10" s="1"/>
  <c r="AW88" i="10" s="1"/>
  <c r="AX88" i="10" s="1"/>
  <c r="AY88" i="10" s="1"/>
  <c r="AZ88" i="10" s="1"/>
  <c r="BA88" i="10" s="1"/>
  <c r="BB88" i="10" s="1"/>
  <c r="AT95" i="10"/>
  <c r="AU95" i="10" s="1"/>
  <c r="AV95" i="10" s="1"/>
  <c r="AW95" i="10" s="1"/>
  <c r="AX95" i="10" s="1"/>
  <c r="AY95" i="10" s="1"/>
  <c r="AZ95" i="10" s="1"/>
  <c r="BA95" i="10" s="1"/>
  <c r="BB95" i="10" s="1"/>
  <c r="AH118" i="10"/>
  <c r="AI118" i="10" s="1"/>
  <c r="AJ118" i="10" s="1"/>
  <c r="AK118" i="10" s="1"/>
  <c r="AL118" i="10" s="1"/>
  <c r="AM118" i="10" s="1"/>
  <c r="AN118" i="10" s="1"/>
  <c r="AO118" i="10" s="1"/>
  <c r="AH88" i="10"/>
  <c r="AI88" i="10" s="1"/>
  <c r="AJ88" i="10" s="1"/>
  <c r="AK88" i="10" s="1"/>
  <c r="AL88" i="10" s="1"/>
  <c r="AM88" i="10" s="1"/>
  <c r="AN88" i="10" s="1"/>
  <c r="AO88" i="10" s="1"/>
  <c r="AH95" i="10"/>
  <c r="AI95" i="10" s="1"/>
  <c r="AJ95" i="10" s="1"/>
  <c r="AK95" i="10" s="1"/>
  <c r="AL95" i="10" s="1"/>
  <c r="AM95" i="10" s="1"/>
  <c r="AN95" i="10" s="1"/>
  <c r="AO95" i="10" s="1"/>
  <c r="AT132" i="10"/>
  <c r="AU132" i="10" s="1"/>
  <c r="AV132" i="10" s="1"/>
  <c r="AW132" i="10" s="1"/>
  <c r="AX132" i="10" s="1"/>
  <c r="AY132" i="10" s="1"/>
  <c r="AZ132" i="10" s="1"/>
  <c r="BA132" i="10" s="1"/>
  <c r="BB132" i="10" s="1"/>
  <c r="AT96" i="10"/>
  <c r="AU96" i="10" s="1"/>
  <c r="AV96" i="10" s="1"/>
  <c r="AW96" i="10" s="1"/>
  <c r="AX96" i="10" s="1"/>
  <c r="AY96" i="10" s="1"/>
  <c r="AZ96" i="10" s="1"/>
  <c r="BA96" i="10" s="1"/>
  <c r="BB96" i="10" s="1"/>
  <c r="AT133" i="10"/>
  <c r="AU133" i="10" s="1"/>
  <c r="AV133" i="10" s="1"/>
  <c r="AW133" i="10" s="1"/>
  <c r="AX133" i="10" s="1"/>
  <c r="AY133" i="10" s="1"/>
  <c r="AZ133" i="10" s="1"/>
  <c r="BA133" i="10" s="1"/>
  <c r="BB133" i="10" s="1"/>
  <c r="AT131" i="10"/>
  <c r="AU131" i="10" s="1"/>
  <c r="AV131" i="10" s="1"/>
  <c r="AW131" i="10" s="1"/>
  <c r="AX131" i="10" s="1"/>
  <c r="AY131" i="10" s="1"/>
  <c r="AZ131" i="10" s="1"/>
  <c r="BA131" i="10" s="1"/>
  <c r="BB131" i="10" s="1"/>
  <c r="AH132" i="10"/>
  <c r="AI132" i="10" s="1"/>
  <c r="AJ132" i="10" s="1"/>
  <c r="AK132" i="10" s="1"/>
  <c r="AL132" i="10" s="1"/>
  <c r="AM132" i="10" s="1"/>
  <c r="AN132" i="10" s="1"/>
  <c r="AO132" i="10" s="1"/>
  <c r="AH96" i="10"/>
  <c r="AI96" i="10" s="1"/>
  <c r="AJ96" i="10" s="1"/>
  <c r="AK96" i="10" s="1"/>
  <c r="AL96" i="10" s="1"/>
  <c r="AM96" i="10" s="1"/>
  <c r="AN96" i="10" s="1"/>
  <c r="AO96" i="10" s="1"/>
  <c r="AH133" i="10"/>
  <c r="AI133" i="10" s="1"/>
  <c r="AJ133" i="10" s="1"/>
  <c r="AK133" i="10" s="1"/>
  <c r="AL133" i="10" s="1"/>
  <c r="AM133" i="10" s="1"/>
  <c r="AN133" i="10" s="1"/>
  <c r="AO133" i="10" s="1"/>
  <c r="AH131" i="10"/>
  <c r="AI131" i="10" s="1"/>
  <c r="AJ131" i="10" s="1"/>
  <c r="AK131" i="10" s="1"/>
  <c r="AL131" i="10" s="1"/>
  <c r="AM131" i="10" s="1"/>
  <c r="AN131" i="10" s="1"/>
  <c r="AO131" i="10" s="1"/>
  <c r="AT31" i="10"/>
  <c r="AU31" i="10" s="1"/>
  <c r="AV31" i="10" s="1"/>
  <c r="AW31" i="10" s="1"/>
  <c r="AX31" i="10" s="1"/>
  <c r="AY31" i="10" s="1"/>
  <c r="AZ31" i="10" s="1"/>
  <c r="BA31" i="10" s="1"/>
  <c r="BB31" i="10" s="1"/>
  <c r="AT60" i="10"/>
  <c r="AU60" i="10" s="1"/>
  <c r="AV60" i="10" s="1"/>
  <c r="AW60" i="10" s="1"/>
  <c r="AX60" i="10" s="1"/>
  <c r="AY60" i="10" s="1"/>
  <c r="AZ60" i="10" s="1"/>
  <c r="BA60" i="10" s="1"/>
  <c r="BB60" i="10" s="1"/>
  <c r="AT120" i="10"/>
  <c r="AU120" i="10" s="1"/>
  <c r="AV120" i="10" s="1"/>
  <c r="AW120" i="10" s="1"/>
  <c r="AX120" i="10" s="1"/>
  <c r="AY120" i="10" s="1"/>
  <c r="AZ120" i="10" s="1"/>
  <c r="BA120" i="10" s="1"/>
  <c r="BB120" i="10" s="1"/>
  <c r="AT125" i="10"/>
  <c r="AU125" i="10" s="1"/>
  <c r="AV125" i="10" s="1"/>
  <c r="AW125" i="10" s="1"/>
  <c r="AX125" i="10" s="1"/>
  <c r="AY125" i="10" s="1"/>
  <c r="AZ125" i="10" s="1"/>
  <c r="BA125" i="10" s="1"/>
  <c r="BB125" i="10" s="1"/>
  <c r="AH31" i="10"/>
  <c r="AI31" i="10" s="1"/>
  <c r="AJ31" i="10" s="1"/>
  <c r="AK31" i="10" s="1"/>
  <c r="AL31" i="10" s="1"/>
  <c r="AM31" i="10" s="1"/>
  <c r="AN31" i="10" s="1"/>
  <c r="AO31" i="10" s="1"/>
  <c r="AH60" i="10"/>
  <c r="AI60" i="10" s="1"/>
  <c r="AJ60" i="10" s="1"/>
  <c r="AK60" i="10" s="1"/>
  <c r="AL60" i="10" s="1"/>
  <c r="AM60" i="10" s="1"/>
  <c r="AN60" i="10" s="1"/>
  <c r="AO60" i="10" s="1"/>
  <c r="AH120" i="10"/>
  <c r="AI120" i="10" s="1"/>
  <c r="AJ120" i="10" s="1"/>
  <c r="AK120" i="10" s="1"/>
  <c r="AL120" i="10" s="1"/>
  <c r="AM120" i="10" s="1"/>
  <c r="AN120" i="10" s="1"/>
  <c r="AO120" i="10" s="1"/>
  <c r="AH125" i="10"/>
  <c r="AI125" i="10" s="1"/>
  <c r="AJ125" i="10" s="1"/>
  <c r="AK125" i="10" s="1"/>
  <c r="AL125" i="10" s="1"/>
  <c r="AM125" i="10" s="1"/>
  <c r="AN125" i="10" s="1"/>
  <c r="AO125" i="10" s="1"/>
  <c r="AT5" i="10"/>
  <c r="AU5" i="10" s="1"/>
  <c r="AV5" i="10" s="1"/>
  <c r="AW5" i="10" s="1"/>
  <c r="AX5" i="10" s="1"/>
  <c r="AY5" i="10" s="1"/>
  <c r="AZ5" i="10" s="1"/>
  <c r="BA5" i="10" s="1"/>
  <c r="BB5" i="10" s="1"/>
  <c r="AT119" i="10"/>
  <c r="AU119" i="10" s="1"/>
  <c r="AV119" i="10" s="1"/>
  <c r="AW119" i="10" s="1"/>
  <c r="AX119" i="10" s="1"/>
  <c r="AY119" i="10" s="1"/>
  <c r="AZ119" i="10" s="1"/>
  <c r="BA119" i="10" s="1"/>
  <c r="BB119" i="10" s="1"/>
  <c r="AT7" i="10"/>
  <c r="AU7" i="10" s="1"/>
  <c r="AV7" i="10" s="1"/>
  <c r="AW7" i="10" s="1"/>
  <c r="AX7" i="10" s="1"/>
  <c r="AY7" i="10" s="1"/>
  <c r="AZ7" i="10" s="1"/>
  <c r="BA7" i="10" s="1"/>
  <c r="BB7" i="10" s="1"/>
  <c r="AH5" i="10"/>
  <c r="AI5" i="10" s="1"/>
  <c r="AJ5" i="10" s="1"/>
  <c r="AK5" i="10" s="1"/>
  <c r="AL5" i="10" s="1"/>
  <c r="AM5" i="10" s="1"/>
  <c r="AN5" i="10" s="1"/>
  <c r="AO5" i="10" s="1"/>
  <c r="AH119" i="10"/>
  <c r="AI119" i="10" s="1"/>
  <c r="AJ119" i="10" s="1"/>
  <c r="AK119" i="10" s="1"/>
  <c r="AL119" i="10" s="1"/>
  <c r="AM119" i="10" s="1"/>
  <c r="AN119" i="10" s="1"/>
  <c r="AO119" i="10" s="1"/>
  <c r="AH7" i="10"/>
  <c r="AI7" i="10" s="1"/>
  <c r="AJ7" i="10" s="1"/>
  <c r="AK7" i="10" s="1"/>
  <c r="AL7" i="10" s="1"/>
  <c r="AM7" i="10" s="1"/>
  <c r="AN7" i="10" s="1"/>
  <c r="AO7" i="10" s="1"/>
  <c r="AT107" i="10"/>
  <c r="AU107" i="10" s="1"/>
  <c r="AV107" i="10" s="1"/>
  <c r="AW107" i="10" s="1"/>
  <c r="AX107" i="10" s="1"/>
  <c r="AY107" i="10" s="1"/>
  <c r="AZ107" i="10" s="1"/>
  <c r="BA107" i="10" s="1"/>
  <c r="BB107" i="10" s="1"/>
  <c r="AT90" i="10"/>
  <c r="AU90" i="10" s="1"/>
  <c r="AV90" i="10" s="1"/>
  <c r="AW90" i="10" s="1"/>
  <c r="AX90" i="10" s="1"/>
  <c r="AY90" i="10" s="1"/>
  <c r="AZ90" i="10" s="1"/>
  <c r="BA90" i="10" s="1"/>
  <c r="BB90" i="10" s="1"/>
  <c r="AT89" i="10"/>
  <c r="AU89" i="10" s="1"/>
  <c r="AV89" i="10" s="1"/>
  <c r="AW89" i="10" s="1"/>
  <c r="AX89" i="10" s="1"/>
  <c r="AY89" i="10" s="1"/>
  <c r="AZ89" i="10" s="1"/>
  <c r="BA89" i="10" s="1"/>
  <c r="BB89" i="10" s="1"/>
  <c r="AH107" i="10"/>
  <c r="AI107" i="10" s="1"/>
  <c r="AJ107" i="10" s="1"/>
  <c r="AK107" i="10" s="1"/>
  <c r="AL107" i="10" s="1"/>
  <c r="AM107" i="10" s="1"/>
  <c r="AN107" i="10" s="1"/>
  <c r="AO107" i="10" s="1"/>
  <c r="AH90" i="10"/>
  <c r="AI90" i="10" s="1"/>
  <c r="AJ90" i="10" s="1"/>
  <c r="AK90" i="10" s="1"/>
  <c r="AL90" i="10" s="1"/>
  <c r="AM90" i="10" s="1"/>
  <c r="AN90" i="10" s="1"/>
  <c r="AO90" i="10" s="1"/>
  <c r="AH59" i="10"/>
  <c r="AI59" i="10" s="1"/>
  <c r="AJ59" i="10" s="1"/>
  <c r="AK59" i="10" s="1"/>
  <c r="AL59" i="10" s="1"/>
  <c r="AM59" i="10" s="1"/>
  <c r="AN59" i="10" s="1"/>
  <c r="AO59" i="10" s="1"/>
  <c r="AH89" i="10"/>
  <c r="AI89" i="10" s="1"/>
  <c r="AJ89" i="10" s="1"/>
  <c r="AK89" i="10" s="1"/>
  <c r="AL89" i="10" s="1"/>
  <c r="AM89" i="10" s="1"/>
  <c r="AN89" i="10" s="1"/>
  <c r="AO89" i="10" s="1"/>
  <c r="AT121" i="10"/>
  <c r="AU121" i="10" s="1"/>
  <c r="AV121" i="10" s="1"/>
  <c r="AW121" i="10" s="1"/>
  <c r="AX121" i="10" s="1"/>
  <c r="AY121" i="10" s="1"/>
  <c r="AZ121" i="10" s="1"/>
  <c r="BA121" i="10" s="1"/>
  <c r="BB121" i="10" s="1"/>
  <c r="AT94" i="10"/>
  <c r="AU94" i="10" s="1"/>
  <c r="AV94" i="10" s="1"/>
  <c r="AW94" i="10" s="1"/>
  <c r="AX94" i="10" s="1"/>
  <c r="AY94" i="10" s="1"/>
  <c r="AZ94" i="10" s="1"/>
  <c r="BA94" i="10" s="1"/>
  <c r="BB94" i="10" s="1"/>
  <c r="AT97" i="10"/>
  <c r="AU97" i="10" s="1"/>
  <c r="AV97" i="10" s="1"/>
  <c r="AW97" i="10" s="1"/>
  <c r="AX97" i="10" s="1"/>
  <c r="AY97" i="10" s="1"/>
  <c r="AZ97" i="10" s="1"/>
  <c r="BA97" i="10" s="1"/>
  <c r="BB97" i="10" s="1"/>
  <c r="AT109" i="10"/>
  <c r="AU109" i="10" s="1"/>
  <c r="AV109" i="10" s="1"/>
  <c r="AW109" i="10" s="1"/>
  <c r="AX109" i="10" s="1"/>
  <c r="AY109" i="10" s="1"/>
  <c r="AZ109" i="10" s="1"/>
  <c r="BA109" i="10" s="1"/>
  <c r="BB109" i="10" s="1"/>
  <c r="AH94" i="10"/>
  <c r="AI94" i="10" s="1"/>
  <c r="AJ94" i="10" s="1"/>
  <c r="AK94" i="10" s="1"/>
  <c r="AL94" i="10" s="1"/>
  <c r="AM94" i="10" s="1"/>
  <c r="AN94" i="10" s="1"/>
  <c r="AO94" i="10" s="1"/>
  <c r="AT124" i="10"/>
  <c r="AU124" i="10" s="1"/>
  <c r="AV124" i="10" s="1"/>
  <c r="AW124" i="10" s="1"/>
  <c r="AX124" i="10" s="1"/>
  <c r="AY124" i="10" s="1"/>
  <c r="AZ124" i="10" s="1"/>
  <c r="BA124" i="10" s="1"/>
  <c r="BB124" i="10" s="1"/>
  <c r="AT61" i="10"/>
  <c r="AU61" i="10" s="1"/>
  <c r="AV61" i="10" s="1"/>
  <c r="AW61" i="10" s="1"/>
  <c r="AX61" i="10" s="1"/>
  <c r="AY61" i="10" s="1"/>
  <c r="AZ61" i="10" s="1"/>
  <c r="BA61" i="10" s="1"/>
  <c r="BB61" i="10" s="1"/>
  <c r="AT4" i="10"/>
  <c r="AU4" i="10" s="1"/>
  <c r="AV4" i="10" s="1"/>
  <c r="AW4" i="10" s="1"/>
  <c r="AX4" i="10" s="1"/>
  <c r="AY4" i="10" s="1"/>
  <c r="AZ4" i="10" s="1"/>
  <c r="BA4" i="10" s="1"/>
  <c r="BB4" i="10" s="1"/>
  <c r="AT130" i="10"/>
  <c r="AU130" i="10" s="1"/>
  <c r="AV130" i="10" s="1"/>
  <c r="AW130" i="10" s="1"/>
  <c r="AX130" i="10" s="1"/>
  <c r="AY130" i="10" s="1"/>
  <c r="AZ130" i="10" s="1"/>
  <c r="BA130" i="10" s="1"/>
  <c r="BB130" i="10" s="1"/>
  <c r="AH124" i="10"/>
  <c r="AI124" i="10" s="1"/>
  <c r="AJ124" i="10" s="1"/>
  <c r="AK124" i="10" s="1"/>
  <c r="AL124" i="10" s="1"/>
  <c r="AM124" i="10" s="1"/>
  <c r="AN124" i="10" s="1"/>
  <c r="AO124" i="10" s="1"/>
  <c r="AH61" i="10"/>
  <c r="AI61" i="10" s="1"/>
  <c r="AJ61" i="10" s="1"/>
  <c r="AK61" i="10" s="1"/>
  <c r="AL61" i="10" s="1"/>
  <c r="AM61" i="10" s="1"/>
  <c r="AN61" i="10" s="1"/>
  <c r="AO61" i="10" s="1"/>
  <c r="AH4" i="10"/>
  <c r="AI4" i="10" s="1"/>
  <c r="AJ4" i="10" s="1"/>
  <c r="AK4" i="10" s="1"/>
  <c r="AL4" i="10" s="1"/>
  <c r="AM4" i="10" s="1"/>
  <c r="AN4" i="10" s="1"/>
  <c r="AO4" i="10" s="1"/>
  <c r="AH130" i="10"/>
  <c r="AI130" i="10" s="1"/>
  <c r="AJ130" i="10" s="1"/>
  <c r="AK130" i="10" s="1"/>
  <c r="AL130" i="10" s="1"/>
  <c r="AM130" i="10" s="1"/>
  <c r="AN130" i="10" s="1"/>
  <c r="AO130" i="10" s="1"/>
  <c r="AH109" i="10"/>
  <c r="AI109" i="10" s="1"/>
  <c r="AJ109" i="10" s="1"/>
  <c r="AK109" i="10" s="1"/>
  <c r="AL109" i="10" s="1"/>
  <c r="AM109" i="10" s="1"/>
  <c r="AN109" i="10" s="1"/>
  <c r="AO109" i="10" s="1"/>
  <c r="AT58" i="10"/>
  <c r="AU58" i="10" s="1"/>
  <c r="AV58" i="10" s="1"/>
  <c r="AW58" i="10" s="1"/>
  <c r="AX58" i="10" s="1"/>
  <c r="AY58" i="10" s="1"/>
  <c r="AZ58" i="10" s="1"/>
  <c r="BA58" i="10" s="1"/>
  <c r="BB58" i="10" s="1"/>
  <c r="AT126" i="10"/>
  <c r="AU126" i="10" s="1"/>
  <c r="AV126" i="10" s="1"/>
  <c r="AW126" i="10" s="1"/>
  <c r="AX126" i="10" s="1"/>
  <c r="AY126" i="10" s="1"/>
  <c r="AZ126" i="10" s="1"/>
  <c r="BA126" i="10" s="1"/>
  <c r="BB126" i="10" s="1"/>
  <c r="AT127" i="10"/>
  <c r="AU127" i="10" s="1"/>
  <c r="AV127" i="10" s="1"/>
  <c r="AW127" i="10" s="1"/>
  <c r="AX127" i="10" s="1"/>
  <c r="AY127" i="10" s="1"/>
  <c r="AZ127" i="10" s="1"/>
  <c r="BA127" i="10" s="1"/>
  <c r="BB127" i="10" s="1"/>
  <c r="AT91" i="10"/>
  <c r="AU91" i="10" s="1"/>
  <c r="AV91" i="10" s="1"/>
  <c r="AW91" i="10" s="1"/>
  <c r="AX91" i="10" s="1"/>
  <c r="AY91" i="10" s="1"/>
  <c r="AZ91" i="10" s="1"/>
  <c r="BA91" i="10" s="1"/>
  <c r="BB91" i="10" s="1"/>
  <c r="AH121" i="10"/>
  <c r="AI121" i="10" s="1"/>
  <c r="AJ121" i="10" s="1"/>
  <c r="AK121" i="10" s="1"/>
  <c r="AL121" i="10" s="1"/>
  <c r="AM121" i="10" s="1"/>
  <c r="AN121" i="10" s="1"/>
  <c r="AO121" i="10" s="1"/>
  <c r="AH97" i="10"/>
  <c r="AI97" i="10" s="1"/>
  <c r="AJ97" i="10" s="1"/>
  <c r="AK97" i="10" s="1"/>
  <c r="AL97" i="10" s="1"/>
  <c r="AM97" i="10" s="1"/>
  <c r="AN97" i="10" s="1"/>
  <c r="AO97" i="10" s="1"/>
  <c r="AH58" i="10"/>
  <c r="AI58" i="10" s="1"/>
  <c r="AJ58" i="10" s="1"/>
  <c r="AK58" i="10" s="1"/>
  <c r="AL58" i="10" s="1"/>
  <c r="AM58" i="10" s="1"/>
  <c r="AN58" i="10" s="1"/>
  <c r="AO58" i="10" s="1"/>
  <c r="AH126" i="10"/>
  <c r="AI126" i="10" s="1"/>
  <c r="AJ126" i="10" s="1"/>
  <c r="AK126" i="10" s="1"/>
  <c r="AL126" i="10" s="1"/>
  <c r="AM126" i="10" s="1"/>
  <c r="AN126" i="10" s="1"/>
  <c r="AO126" i="10" s="1"/>
  <c r="AH127" i="10"/>
  <c r="AI127" i="10" s="1"/>
  <c r="AJ127" i="10" s="1"/>
  <c r="AK127" i="10" s="1"/>
  <c r="AL127" i="10" s="1"/>
  <c r="AM127" i="10" s="1"/>
  <c r="AN127" i="10" s="1"/>
  <c r="AO127" i="10" s="1"/>
  <c r="AH91" i="10"/>
  <c r="AI91" i="10" s="1"/>
  <c r="AJ91" i="10" s="1"/>
  <c r="AK91" i="10" s="1"/>
  <c r="AL91" i="10" s="1"/>
  <c r="AM91" i="10" s="1"/>
  <c r="AN91" i="10" s="1"/>
  <c r="AO91" i="10" s="1"/>
  <c r="AB19" i="10"/>
  <c r="K6" i="10"/>
  <c r="DR54" i="6"/>
  <c r="EE54" i="6"/>
  <c r="N31" i="7"/>
  <c r="O31" i="7" s="1"/>
  <c r="P31" i="7" s="1"/>
  <c r="Q31" i="7" s="1"/>
  <c r="R31" i="7" s="1"/>
  <c r="T31" i="7" s="1"/>
  <c r="AR59" i="10"/>
  <c r="AS59" i="10" s="1"/>
  <c r="AD28" i="10"/>
  <c r="AE28" i="10" s="1"/>
  <c r="AF28" i="10" s="1"/>
  <c r="AG28" i="10" s="1"/>
  <c r="AP28" i="10"/>
  <c r="AQ28" i="10" s="1"/>
  <c r="AR28" i="10" s="1"/>
  <c r="AS28" i="10" s="1"/>
  <c r="AD28" i="7"/>
  <c r="AE28" i="7" s="1"/>
  <c r="AF28" i="7" s="1"/>
  <c r="BV54" i="6" l="1"/>
  <c r="BV58" i="6"/>
  <c r="U18" i="7"/>
  <c r="Z108" i="10"/>
  <c r="DU23" i="6"/>
  <c r="Z30" i="10"/>
  <c r="DU20" i="6"/>
  <c r="W18" i="7"/>
  <c r="BP24" i="6"/>
  <c r="Y24" i="7"/>
  <c r="BS15" i="6"/>
  <c r="BS19" i="6"/>
  <c r="X18" i="7"/>
  <c r="BR24" i="6"/>
  <c r="BW14" i="6"/>
  <c r="BW18" i="6"/>
  <c r="BW17" i="6"/>
  <c r="BW16" i="6"/>
  <c r="BB18" i="10"/>
  <c r="AC6" i="7"/>
  <c r="BW13" i="6"/>
  <c r="AD17" i="7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AD16" i="7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AD19" i="7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U31" i="7"/>
  <c r="W31" i="7" s="1"/>
  <c r="X31" i="7" s="1"/>
  <c r="Y31" i="7" s="1"/>
  <c r="Z31" i="7" s="1"/>
  <c r="AA31" i="7" s="1"/>
  <c r="AB31" i="7" s="1"/>
  <c r="AC31" i="7" s="1"/>
  <c r="AG28" i="7"/>
  <c r="AH28" i="7" s="1"/>
  <c r="AI28" i="7" s="1"/>
  <c r="AJ28" i="7" s="1"/>
  <c r="AK28" i="7" s="1"/>
  <c r="AL28" i="7" s="1"/>
  <c r="AM28" i="7" s="1"/>
  <c r="AN28" i="7" s="1"/>
  <c r="AO28" i="7" s="1"/>
  <c r="AP28" i="7" s="1"/>
  <c r="AQ28" i="7" s="1"/>
  <c r="AR28" i="7" s="1"/>
  <c r="AS28" i="7" s="1"/>
  <c r="AT28" i="7" s="1"/>
  <c r="AU28" i="7" s="1"/>
  <c r="AV28" i="7" s="1"/>
  <c r="AW28" i="7" s="1"/>
  <c r="AX28" i="7" s="1"/>
  <c r="AY28" i="7" s="1"/>
  <c r="AZ28" i="7" s="1"/>
  <c r="BA28" i="7" s="1"/>
  <c r="BB28" i="7" s="1"/>
  <c r="AT28" i="10"/>
  <c r="AU28" i="10" s="1"/>
  <c r="AV28" i="10" s="1"/>
  <c r="AW28" i="10" s="1"/>
  <c r="AX28" i="10" s="1"/>
  <c r="AY28" i="10" s="1"/>
  <c r="AZ28" i="10" s="1"/>
  <c r="BA28" i="10" s="1"/>
  <c r="BB28" i="10" s="1"/>
  <c r="AH28" i="10"/>
  <c r="AI28" i="10" s="1"/>
  <c r="AJ28" i="10" s="1"/>
  <c r="AK28" i="10" s="1"/>
  <c r="AL28" i="10" s="1"/>
  <c r="AM28" i="10" s="1"/>
  <c r="AN28" i="10" s="1"/>
  <c r="AO28" i="10" s="1"/>
  <c r="L6" i="10"/>
  <c r="EF54" i="6"/>
  <c r="DS54" i="6"/>
  <c r="AC19" i="10"/>
  <c r="BW54" i="6" l="1"/>
  <c r="BW58" i="6"/>
  <c r="AA108" i="10"/>
  <c r="DV23" i="6"/>
  <c r="AA30" i="10"/>
  <c r="DV20" i="6"/>
  <c r="FD24" i="6"/>
  <c r="EZ24" i="6"/>
  <c r="FG24" i="6"/>
  <c r="FC24" i="6"/>
  <c r="FF24" i="6"/>
  <c r="FB24" i="6"/>
  <c r="FH24" i="6"/>
  <c r="FE24" i="6"/>
  <c r="FJ24" i="6"/>
  <c r="FI24" i="6"/>
  <c r="FL24" i="6"/>
  <c r="FM24" i="6"/>
  <c r="FK24" i="6"/>
  <c r="Z24" i="7"/>
  <c r="BT19" i="6"/>
  <c r="BT15" i="6"/>
  <c r="Y18" i="7"/>
  <c r="BS24" i="6"/>
  <c r="BX17" i="6"/>
  <c r="BX14" i="6"/>
  <c r="BX18" i="6"/>
  <c r="BX16" i="6"/>
  <c r="BX13" i="6"/>
  <c r="AD6" i="7"/>
  <c r="AD31" i="7"/>
  <c r="AE31" i="7" s="1"/>
  <c r="AF31" i="7" s="1"/>
  <c r="AG31" i="7" s="1"/>
  <c r="AH31" i="7" s="1"/>
  <c r="AI31" i="7" s="1"/>
  <c r="AJ31" i="7" s="1"/>
  <c r="AK31" i="7" s="1"/>
  <c r="AL31" i="7" s="1"/>
  <c r="AM31" i="7" s="1"/>
  <c r="AN31" i="7" s="1"/>
  <c r="AO31" i="7" s="1"/>
  <c r="AP31" i="7" s="1"/>
  <c r="AQ31" i="7" s="1"/>
  <c r="AR31" i="7" s="1"/>
  <c r="AS31" i="7" s="1"/>
  <c r="AT31" i="7" s="1"/>
  <c r="AU31" i="7" s="1"/>
  <c r="AV31" i="7" s="1"/>
  <c r="AW31" i="7" s="1"/>
  <c r="AX31" i="7" s="1"/>
  <c r="AY31" i="7" s="1"/>
  <c r="AZ31" i="7" s="1"/>
  <c r="BA31" i="7" s="1"/>
  <c r="BB31" i="7" s="1"/>
  <c r="AP19" i="10"/>
  <c r="AD19" i="10"/>
  <c r="M6" i="10"/>
  <c r="EG54" i="6"/>
  <c r="DT54" i="6"/>
  <c r="AT59" i="10"/>
  <c r="BX54" i="6" l="1"/>
  <c r="BX58" i="6"/>
  <c r="AB108" i="10"/>
  <c r="DW23" i="6"/>
  <c r="AB30" i="10"/>
  <c r="DW20" i="6"/>
  <c r="AA24" i="7"/>
  <c r="BU19" i="6"/>
  <c r="BU15" i="6"/>
  <c r="Z18" i="7"/>
  <c r="BT24" i="6"/>
  <c r="BY16" i="6"/>
  <c r="BY18" i="6"/>
  <c r="BY14" i="6"/>
  <c r="BY17" i="6"/>
  <c r="AE6" i="7"/>
  <c r="BY13" i="6"/>
  <c r="BY58" i="6" s="1"/>
  <c r="N6" i="10"/>
  <c r="DU54" i="6"/>
  <c r="EH54" i="6"/>
  <c r="AE19" i="10"/>
  <c r="AQ19" i="10"/>
  <c r="AU59" i="10"/>
  <c r="AC108" i="10" l="1"/>
  <c r="DX23" i="6"/>
  <c r="AC30" i="10"/>
  <c r="DX20" i="6"/>
  <c r="AB24" i="7"/>
  <c r="BV15" i="6"/>
  <c r="BV19" i="6"/>
  <c r="AA18" i="7"/>
  <c r="BU24" i="6"/>
  <c r="CA17" i="6"/>
  <c r="CA14" i="6"/>
  <c r="CA16" i="6"/>
  <c r="CA18" i="6"/>
  <c r="BZ13" i="6"/>
  <c r="BZ58" i="6" s="1"/>
  <c r="BY54" i="6"/>
  <c r="AF6" i="7"/>
  <c r="CA13" i="6"/>
  <c r="AR19" i="10"/>
  <c r="AS19" i="10" s="1"/>
  <c r="AF19" i="10"/>
  <c r="AG19" i="10" s="1"/>
  <c r="O6" i="10"/>
  <c r="EI54" i="6"/>
  <c r="DV54" i="6"/>
  <c r="AV59" i="10"/>
  <c r="CA54" i="6" l="1"/>
  <c r="CA58" i="6"/>
  <c r="DY23" i="6"/>
  <c r="AP108" i="10"/>
  <c r="AD108" i="10"/>
  <c r="DY20" i="6"/>
  <c r="AD30" i="10"/>
  <c r="AP30" i="10"/>
  <c r="AC24" i="7"/>
  <c r="BW15" i="6"/>
  <c r="BW19" i="6"/>
  <c r="AB18" i="7"/>
  <c r="BV24" i="6"/>
  <c r="CB17" i="6"/>
  <c r="CB14" i="6"/>
  <c r="CB18" i="6"/>
  <c r="CB16" i="6"/>
  <c r="CB13" i="6"/>
  <c r="AG6" i="7"/>
  <c r="DB54" i="6"/>
  <c r="P6" i="10"/>
  <c r="DW54" i="6"/>
  <c r="EJ54" i="6"/>
  <c r="AW59" i="10"/>
  <c r="CB54" i="6" l="1"/>
  <c r="CB58" i="6"/>
  <c r="AE108" i="10"/>
  <c r="DZ23" i="6"/>
  <c r="AQ108" i="10"/>
  <c r="EM23" i="6"/>
  <c r="AQ30" i="10"/>
  <c r="EM20" i="6"/>
  <c r="AE30" i="10"/>
  <c r="DZ20" i="6"/>
  <c r="BX19" i="6"/>
  <c r="BX15" i="6"/>
  <c r="AD24" i="7"/>
  <c r="AC18" i="7"/>
  <c r="BW24" i="6"/>
  <c r="CC14" i="6"/>
  <c r="CC16" i="6"/>
  <c r="CC17" i="6"/>
  <c r="CC18" i="6"/>
  <c r="DC54" i="6"/>
  <c r="AH6" i="7"/>
  <c r="CC13" i="6"/>
  <c r="AH19" i="10"/>
  <c r="AT19" i="10"/>
  <c r="Q6" i="10"/>
  <c r="EK54" i="6"/>
  <c r="DX54" i="6"/>
  <c r="AX59" i="10"/>
  <c r="CC54" i="6" l="1"/>
  <c r="CC58" i="6"/>
  <c r="AR108" i="10"/>
  <c r="EO23" i="6"/>
  <c r="AF108" i="10"/>
  <c r="EB23" i="6"/>
  <c r="AF30" i="10"/>
  <c r="EB20" i="6"/>
  <c r="AR30" i="10"/>
  <c r="EO20" i="6"/>
  <c r="AE24" i="7"/>
  <c r="BY19" i="6"/>
  <c r="BY15" i="6"/>
  <c r="BX24" i="6"/>
  <c r="AD18" i="7"/>
  <c r="CD14" i="6"/>
  <c r="CD17" i="6"/>
  <c r="CD18" i="6"/>
  <c r="CD16" i="6"/>
  <c r="DD54" i="6"/>
  <c r="AI6" i="7"/>
  <c r="CD13" i="6"/>
  <c r="R6" i="10"/>
  <c r="EL54" i="6"/>
  <c r="DY54" i="6"/>
  <c r="AU19" i="10"/>
  <c r="AI19" i="10"/>
  <c r="AY59" i="10"/>
  <c r="CD54" i="6" l="1"/>
  <c r="CD58" i="6"/>
  <c r="AG108" i="10"/>
  <c r="EC23" i="6"/>
  <c r="AS108" i="10"/>
  <c r="EP23" i="6"/>
  <c r="EP20" i="6"/>
  <c r="AS30" i="10"/>
  <c r="AG30" i="10"/>
  <c r="EC20" i="6"/>
  <c r="AF24" i="7"/>
  <c r="CA19" i="6"/>
  <c r="CA15" i="6"/>
  <c r="AE18" i="7"/>
  <c r="BY24" i="6"/>
  <c r="CE14" i="6"/>
  <c r="CE18" i="6"/>
  <c r="CE17" i="6"/>
  <c r="CE16" i="6"/>
  <c r="AJ6" i="7"/>
  <c r="CE13" i="6"/>
  <c r="DE54" i="6"/>
  <c r="AJ19" i="10"/>
  <c r="AV19" i="10"/>
  <c r="S6" i="10"/>
  <c r="DZ54" i="6"/>
  <c r="EM54" i="6"/>
  <c r="AZ59" i="10"/>
  <c r="CE54" i="6" l="1"/>
  <c r="CE58" i="6"/>
  <c r="DO17" i="6"/>
  <c r="DO13" i="6"/>
  <c r="DO58" i="6" s="1"/>
  <c r="DO18" i="6"/>
  <c r="DO16" i="6"/>
  <c r="DO14" i="6"/>
  <c r="AT108" i="10"/>
  <c r="EQ23" i="6"/>
  <c r="ED23" i="6"/>
  <c r="AH108" i="10"/>
  <c r="ED20" i="6"/>
  <c r="AH30" i="10"/>
  <c r="AT30" i="10"/>
  <c r="EQ20" i="6"/>
  <c r="AG24" i="7"/>
  <c r="CB15" i="6"/>
  <c r="CB19" i="6"/>
  <c r="AF18" i="7"/>
  <c r="CA24" i="6"/>
  <c r="CF17" i="6"/>
  <c r="CF16" i="6"/>
  <c r="CF14" i="6"/>
  <c r="CF18" i="6"/>
  <c r="DF54" i="6"/>
  <c r="AK6" i="7"/>
  <c r="CF13" i="6"/>
  <c r="T6" i="10"/>
  <c r="EO54" i="6"/>
  <c r="AW19" i="10"/>
  <c r="AK19" i="10"/>
  <c r="BA59" i="10"/>
  <c r="J29" i="10"/>
  <c r="CF54" i="6" l="1"/>
  <c r="CF58" i="6"/>
  <c r="U6" i="10"/>
  <c r="DP13" i="6"/>
  <c r="DP58" i="6" s="1"/>
  <c r="DP14" i="6"/>
  <c r="DP16" i="6"/>
  <c r="DP17" i="6"/>
  <c r="DP18" i="6"/>
  <c r="AI108" i="10"/>
  <c r="EE23" i="6"/>
  <c r="ER23" i="6"/>
  <c r="AU108" i="10"/>
  <c r="AU30" i="10"/>
  <c r="ER20" i="6"/>
  <c r="AI30" i="10"/>
  <c r="EE20" i="6"/>
  <c r="AH24" i="7"/>
  <c r="CC19" i="6"/>
  <c r="CC15" i="6"/>
  <c r="CB24" i="6"/>
  <c r="AG18" i="7"/>
  <c r="CG14" i="6"/>
  <c r="CG17" i="6"/>
  <c r="CG16" i="6"/>
  <c r="CG18" i="6"/>
  <c r="AL6" i="7"/>
  <c r="CG13" i="6"/>
  <c r="DG54" i="6"/>
  <c r="AL19" i="10"/>
  <c r="AX19" i="10"/>
  <c r="EP54" i="6"/>
  <c r="BB59" i="10"/>
  <c r="K29" i="10"/>
  <c r="CG54" i="6" l="1"/>
  <c r="CG58" i="6"/>
  <c r="DQ13" i="6"/>
  <c r="DQ58" i="6" s="1"/>
  <c r="DQ18" i="6"/>
  <c r="DQ16" i="6"/>
  <c r="DQ14" i="6"/>
  <c r="DQ17" i="6"/>
  <c r="AV108" i="10"/>
  <c r="ES23" i="6"/>
  <c r="AJ108" i="10"/>
  <c r="EF23" i="6"/>
  <c r="AJ30" i="10"/>
  <c r="EF20" i="6"/>
  <c r="AV30" i="10"/>
  <c r="ES20" i="6"/>
  <c r="AI24" i="7"/>
  <c r="CD19" i="6"/>
  <c r="CD15" i="6"/>
  <c r="AH18" i="7"/>
  <c r="CC24" i="6"/>
  <c r="CH17" i="6"/>
  <c r="CH18" i="6"/>
  <c r="CH16" i="6"/>
  <c r="CH14" i="6"/>
  <c r="DH54" i="6"/>
  <c r="AM6" i="7"/>
  <c r="CH13" i="6"/>
  <c r="EQ54" i="6"/>
  <c r="AY19" i="10"/>
  <c r="AM19" i="10"/>
  <c r="L29" i="10"/>
  <c r="CH54" i="6" l="1"/>
  <c r="CH58" i="6"/>
  <c r="AK108" i="10"/>
  <c r="EG23" i="6"/>
  <c r="AW108" i="10"/>
  <c r="ET23" i="6"/>
  <c r="AW30" i="10"/>
  <c r="ET20" i="6"/>
  <c r="AK30" i="10"/>
  <c r="EG20" i="6"/>
  <c r="AJ24" i="7"/>
  <c r="CE19" i="6"/>
  <c r="CE15" i="6"/>
  <c r="AI18" i="7"/>
  <c r="CD24" i="6"/>
  <c r="CI16" i="6"/>
  <c r="CI17" i="6"/>
  <c r="CI18" i="6"/>
  <c r="CI14" i="6"/>
  <c r="AN6" i="7"/>
  <c r="CI13" i="6"/>
  <c r="DI54" i="6"/>
  <c r="AN19" i="10"/>
  <c r="AZ19" i="10"/>
  <c r="W6" i="10"/>
  <c r="ER54" i="6"/>
  <c r="M29" i="10"/>
  <c r="CI54" i="6" l="1"/>
  <c r="CI58" i="6"/>
  <c r="AX108" i="10"/>
  <c r="EU23" i="6"/>
  <c r="AL108" i="10"/>
  <c r="EH23" i="6"/>
  <c r="AL30" i="10"/>
  <c r="EH20" i="6"/>
  <c r="EU20" i="6"/>
  <c r="AX30" i="10"/>
  <c r="DS16" i="6"/>
  <c r="DS18" i="6"/>
  <c r="DS17" i="6"/>
  <c r="DS14" i="6"/>
  <c r="DS13" i="6"/>
  <c r="DS58" i="6" s="1"/>
  <c r="AK24" i="7"/>
  <c r="CF15" i="6"/>
  <c r="CF19" i="6"/>
  <c r="AJ18" i="7"/>
  <c r="CE24" i="6"/>
  <c r="CJ14" i="6"/>
  <c r="CJ18" i="6"/>
  <c r="CJ17" i="6"/>
  <c r="CJ16" i="6"/>
  <c r="DJ54" i="6"/>
  <c r="AO6" i="7"/>
  <c r="CJ13" i="6"/>
  <c r="X6" i="10"/>
  <c r="ES54" i="6"/>
  <c r="BA19" i="10"/>
  <c r="AO19" i="10"/>
  <c r="N29" i="10"/>
  <c r="CJ54" i="6" l="1"/>
  <c r="CJ58" i="6"/>
  <c r="AM108" i="10"/>
  <c r="EI23" i="6"/>
  <c r="AY108" i="10"/>
  <c r="EV23" i="6"/>
  <c r="AY30" i="10"/>
  <c r="EV20" i="6"/>
  <c r="AM30" i="10"/>
  <c r="EI20" i="6"/>
  <c r="DT16" i="6"/>
  <c r="DT18" i="6"/>
  <c r="DT17" i="6"/>
  <c r="DT14" i="6"/>
  <c r="DT13" i="6"/>
  <c r="DT58" i="6" s="1"/>
  <c r="AL24" i="7"/>
  <c r="CG15" i="6"/>
  <c r="CG19" i="6"/>
  <c r="AK18" i="7"/>
  <c r="CF24" i="6"/>
  <c r="CK13" i="6"/>
  <c r="AP6" i="7"/>
  <c r="CK17" i="6"/>
  <c r="CK14" i="6"/>
  <c r="CK16" i="6"/>
  <c r="CK18" i="6"/>
  <c r="DK54" i="6"/>
  <c r="BB19" i="10"/>
  <c r="Y6" i="10"/>
  <c r="ET54" i="6"/>
  <c r="O29" i="10"/>
  <c r="CK54" i="6" l="1"/>
  <c r="CK58" i="6"/>
  <c r="AZ108" i="10"/>
  <c r="EW23" i="6"/>
  <c r="AN108" i="10"/>
  <c r="EJ23" i="6"/>
  <c r="AN30" i="10"/>
  <c r="EJ20" i="6"/>
  <c r="AZ30" i="10"/>
  <c r="EW20" i="6"/>
  <c r="DU16" i="6"/>
  <c r="DU18" i="6"/>
  <c r="DU17" i="6"/>
  <c r="DU13" i="6"/>
  <c r="DU58" i="6" s="1"/>
  <c r="DU14" i="6"/>
  <c r="AM24" i="7"/>
  <c r="CH19" i="6"/>
  <c r="CH15" i="6"/>
  <c r="AL18" i="7"/>
  <c r="CG24" i="6"/>
  <c r="AQ6" i="7"/>
  <c r="CL16" i="6"/>
  <c r="CL14" i="6"/>
  <c r="CL17" i="6"/>
  <c r="CL18" i="6"/>
  <c r="CL13" i="6"/>
  <c r="DL54" i="6"/>
  <c r="Z6" i="10"/>
  <c r="EU54" i="6"/>
  <c r="P29" i="10"/>
  <c r="CL54" i="6" l="1"/>
  <c r="CL58" i="6"/>
  <c r="AO108" i="10"/>
  <c r="EL23" i="6" s="1"/>
  <c r="EK23" i="6"/>
  <c r="EX23" i="6"/>
  <c r="BA108" i="10"/>
  <c r="BA30" i="10"/>
  <c r="EX20" i="6"/>
  <c r="AO30" i="10"/>
  <c r="EL20" i="6" s="1"/>
  <c r="EK20" i="6"/>
  <c r="DV18" i="6"/>
  <c r="DV16" i="6"/>
  <c r="DV17" i="6"/>
  <c r="DV13" i="6"/>
  <c r="DV58" i="6" s="1"/>
  <c r="DV14" i="6"/>
  <c r="AN24" i="7"/>
  <c r="CI15" i="6"/>
  <c r="CI19" i="6"/>
  <c r="AM18" i="7"/>
  <c r="CH24" i="6"/>
  <c r="AR6" i="7"/>
  <c r="CN17" i="6"/>
  <c r="CN14" i="6"/>
  <c r="CN18" i="6"/>
  <c r="CN16" i="6"/>
  <c r="CN13" i="6"/>
  <c r="AA6" i="10"/>
  <c r="EV54" i="6"/>
  <c r="Q29" i="10"/>
  <c r="CN54" i="6" l="1"/>
  <c r="CN58" i="6"/>
  <c r="EY23" i="6"/>
  <c r="BB108" i="10"/>
  <c r="BB30" i="10"/>
  <c r="EY20" i="6"/>
  <c r="DW18" i="6"/>
  <c r="DW17" i="6"/>
  <c r="DW16" i="6"/>
  <c r="DW14" i="6"/>
  <c r="DW13" i="6"/>
  <c r="DW58" i="6" s="1"/>
  <c r="AO24" i="7"/>
  <c r="CJ15" i="6"/>
  <c r="CJ19" i="6"/>
  <c r="AN18" i="7"/>
  <c r="CI24" i="6"/>
  <c r="CO17" i="6"/>
  <c r="CO14" i="6"/>
  <c r="CO16" i="6"/>
  <c r="CO18" i="6"/>
  <c r="CO13" i="6"/>
  <c r="AS6" i="7"/>
  <c r="AB6" i="10"/>
  <c r="EW54" i="6"/>
  <c r="CO54" i="6" l="1"/>
  <c r="CO58" i="6"/>
  <c r="FE23" i="6"/>
  <c r="FM23" i="6"/>
  <c r="FH23" i="6"/>
  <c r="FC23" i="6"/>
  <c r="FG23" i="6"/>
  <c r="FL23" i="6"/>
  <c r="FI23" i="6"/>
  <c r="FF23" i="6"/>
  <c r="EZ23" i="6"/>
  <c r="FD23" i="6"/>
  <c r="FJ23" i="6"/>
  <c r="FB23" i="6"/>
  <c r="FK23" i="6"/>
  <c r="FD20" i="6"/>
  <c r="FF20" i="6"/>
  <c r="FJ20" i="6"/>
  <c r="FC20" i="6"/>
  <c r="EZ20" i="6"/>
  <c r="FL20" i="6"/>
  <c r="FM20" i="6"/>
  <c r="FK20" i="6"/>
  <c r="FE20" i="6"/>
  <c r="FG20" i="6"/>
  <c r="FI20" i="6"/>
  <c r="FH20" i="6"/>
  <c r="FB20" i="6"/>
  <c r="DX16" i="6"/>
  <c r="DX18" i="6"/>
  <c r="DX17" i="6"/>
  <c r="DX14" i="6"/>
  <c r="DX13" i="6"/>
  <c r="DX58" i="6" s="1"/>
  <c r="AP24" i="7"/>
  <c r="CK19" i="6"/>
  <c r="CK15" i="6"/>
  <c r="AO18" i="7"/>
  <c r="CJ24" i="6"/>
  <c r="CP17" i="6"/>
  <c r="CP16" i="6"/>
  <c r="CP18" i="6"/>
  <c r="CP14" i="6"/>
  <c r="AT6" i="7"/>
  <c r="CP13" i="6"/>
  <c r="AC6" i="10"/>
  <c r="EX54" i="6"/>
  <c r="CP54" i="6" l="1"/>
  <c r="CP58" i="6"/>
  <c r="DY17" i="6"/>
  <c r="DY16" i="6"/>
  <c r="DY18" i="6"/>
  <c r="DY13" i="6"/>
  <c r="DY58" i="6" s="1"/>
  <c r="DY14" i="6"/>
  <c r="AQ24" i="7"/>
  <c r="CL15" i="6"/>
  <c r="CL19" i="6"/>
  <c r="AP18" i="7"/>
  <c r="CK24" i="6"/>
  <c r="CQ18" i="6"/>
  <c r="CQ16" i="6"/>
  <c r="CQ17" i="6"/>
  <c r="CQ14" i="6"/>
  <c r="AU6" i="7"/>
  <c r="CQ13" i="6"/>
  <c r="EY54" i="6"/>
  <c r="AD6" i="10"/>
  <c r="AP6" i="10"/>
  <c r="T29" i="10"/>
  <c r="U29" i="10" s="1"/>
  <c r="CQ54" i="6" l="1"/>
  <c r="CQ58" i="6"/>
  <c r="EM18" i="6"/>
  <c r="EM17" i="6"/>
  <c r="EM16" i="6"/>
  <c r="EM14" i="6"/>
  <c r="EM13" i="6"/>
  <c r="EM58" i="6" s="1"/>
  <c r="DZ16" i="6"/>
  <c r="DZ18" i="6"/>
  <c r="DZ17" i="6"/>
  <c r="DZ13" i="6"/>
  <c r="DZ58" i="6" s="1"/>
  <c r="DZ14" i="6"/>
  <c r="AR24" i="7"/>
  <c r="CN15" i="6"/>
  <c r="CN19" i="6"/>
  <c r="AQ18" i="7"/>
  <c r="CL24" i="6"/>
  <c r="CR17" i="6"/>
  <c r="CR18" i="6"/>
  <c r="CR16" i="6"/>
  <c r="CR14" i="6"/>
  <c r="AV6" i="7"/>
  <c r="CR13" i="6"/>
  <c r="AQ6" i="10"/>
  <c r="FM54" i="6"/>
  <c r="AE6" i="10"/>
  <c r="EZ54" i="6"/>
  <c r="CR54" i="6" l="1"/>
  <c r="CR58" i="6"/>
  <c r="EB17" i="6"/>
  <c r="EB18" i="6"/>
  <c r="EB16" i="6"/>
  <c r="EB13" i="6"/>
  <c r="EB58" i="6" s="1"/>
  <c r="EB14" i="6"/>
  <c r="EO17" i="6"/>
  <c r="EO16" i="6"/>
  <c r="EO18" i="6"/>
  <c r="EO13" i="6"/>
  <c r="EO58" i="6" s="1"/>
  <c r="EO14" i="6"/>
  <c r="CO15" i="6"/>
  <c r="CO19" i="6"/>
  <c r="AS24" i="7"/>
  <c r="AR18" i="7"/>
  <c r="CN24" i="6"/>
  <c r="CS17" i="6"/>
  <c r="CS16" i="6"/>
  <c r="CS18" i="6"/>
  <c r="CS14" i="6"/>
  <c r="AW6" i="7"/>
  <c r="CS13" i="6"/>
  <c r="AF6" i="10"/>
  <c r="FB54" i="6"/>
  <c r="AR6" i="10"/>
  <c r="CS54" i="6" l="1"/>
  <c r="CS58" i="6"/>
  <c r="AS6" i="10"/>
  <c r="EP17" i="6"/>
  <c r="EP16" i="6"/>
  <c r="EP18" i="6"/>
  <c r="EP14" i="6"/>
  <c r="EP13" i="6"/>
  <c r="EP58" i="6" s="1"/>
  <c r="AG6" i="10"/>
  <c r="EC17" i="6"/>
  <c r="EC16" i="6"/>
  <c r="EC18" i="6"/>
  <c r="EC14" i="6"/>
  <c r="EC13" i="6"/>
  <c r="EC58" i="6" s="1"/>
  <c r="AT24" i="7"/>
  <c r="CP19" i="6"/>
  <c r="CP15" i="6"/>
  <c r="CO24" i="6"/>
  <c r="AS18" i="7"/>
  <c r="CT18" i="6"/>
  <c r="CT17" i="6"/>
  <c r="CT16" i="6"/>
  <c r="CT14" i="6"/>
  <c r="AX6" i="7"/>
  <c r="CT13" i="6"/>
  <c r="FC54" i="6"/>
  <c r="W29" i="10"/>
  <c r="CT54" i="6" l="1"/>
  <c r="CT58" i="6"/>
  <c r="ED17" i="6"/>
  <c r="ED18" i="6"/>
  <c r="ED16" i="6"/>
  <c r="ED13" i="6"/>
  <c r="ED58" i="6" s="1"/>
  <c r="ED14" i="6"/>
  <c r="EQ16" i="6"/>
  <c r="EQ18" i="6"/>
  <c r="EQ17" i="6"/>
  <c r="EQ14" i="6"/>
  <c r="EQ13" i="6"/>
  <c r="EQ58" i="6" s="1"/>
  <c r="AU24" i="7"/>
  <c r="CQ15" i="6"/>
  <c r="CQ19" i="6"/>
  <c r="CP24" i="6"/>
  <c r="AT18" i="7"/>
  <c r="CU17" i="6"/>
  <c r="CU16" i="6"/>
  <c r="CU18" i="6"/>
  <c r="CU14" i="6"/>
  <c r="CU13" i="6"/>
  <c r="AY6" i="7"/>
  <c r="AT6" i="10"/>
  <c r="AH6" i="10"/>
  <c r="FD54" i="6"/>
  <c r="X29" i="10"/>
  <c r="CU54" i="6" l="1"/>
  <c r="CU58" i="6"/>
  <c r="EE16" i="6"/>
  <c r="EE18" i="6"/>
  <c r="EE17" i="6"/>
  <c r="EE13" i="6"/>
  <c r="EE58" i="6" s="1"/>
  <c r="EE14" i="6"/>
  <c r="ER18" i="6"/>
  <c r="ER17" i="6"/>
  <c r="ER16" i="6"/>
  <c r="ER14" i="6"/>
  <c r="ER13" i="6"/>
  <c r="ER58" i="6" s="1"/>
  <c r="AV24" i="7"/>
  <c r="CR19" i="6"/>
  <c r="CR15" i="6"/>
  <c r="CQ24" i="6"/>
  <c r="AU18" i="7"/>
  <c r="CV18" i="6"/>
  <c r="CV17" i="6"/>
  <c r="CV16" i="6"/>
  <c r="CV14" i="6"/>
  <c r="AZ6" i="7"/>
  <c r="CV13" i="6"/>
  <c r="AI6" i="10"/>
  <c r="FE54" i="6"/>
  <c r="AU6" i="10"/>
  <c r="Y29" i="10"/>
  <c r="CV54" i="6" l="1"/>
  <c r="CV58" i="6"/>
  <c r="ES16" i="6"/>
  <c r="ES18" i="6"/>
  <c r="ES17" i="6"/>
  <c r="ES14" i="6"/>
  <c r="ES13" i="6"/>
  <c r="ES58" i="6" s="1"/>
  <c r="EF17" i="6"/>
  <c r="EF16" i="6"/>
  <c r="EF18" i="6"/>
  <c r="EF14" i="6"/>
  <c r="EF13" i="6"/>
  <c r="EF58" i="6" s="1"/>
  <c r="AW24" i="7"/>
  <c r="CS19" i="6"/>
  <c r="CS15" i="6"/>
  <c r="CR24" i="6"/>
  <c r="AV18" i="7"/>
  <c r="CW18" i="6"/>
  <c r="CW17" i="6"/>
  <c r="CW16" i="6"/>
  <c r="CW14" i="6"/>
  <c r="BA6" i="7"/>
  <c r="CW13" i="6"/>
  <c r="AV6" i="10"/>
  <c r="AJ6" i="10"/>
  <c r="FF54" i="6"/>
  <c r="Z29" i="10"/>
  <c r="CW54" i="6" l="1"/>
  <c r="CW58" i="6"/>
  <c r="EG16" i="6"/>
  <c r="EG17" i="6"/>
  <c r="EG18" i="6"/>
  <c r="EG14" i="6"/>
  <c r="EG13" i="6"/>
  <c r="EG58" i="6" s="1"/>
  <c r="ET16" i="6"/>
  <c r="ET17" i="6"/>
  <c r="ET18" i="6"/>
  <c r="ET14" i="6"/>
  <c r="ET13" i="6"/>
  <c r="ET58" i="6" s="1"/>
  <c r="AX24" i="7"/>
  <c r="CT19" i="6"/>
  <c r="CT15" i="6"/>
  <c r="CS24" i="6"/>
  <c r="AW18" i="7"/>
  <c r="CX18" i="6"/>
  <c r="CX17" i="6"/>
  <c r="CX16" i="6"/>
  <c r="CX14" i="6"/>
  <c r="BB6" i="7"/>
  <c r="CX13" i="6"/>
  <c r="AK6" i="10"/>
  <c r="FG54" i="6"/>
  <c r="AW6" i="10"/>
  <c r="AA29" i="10"/>
  <c r="CX54" i="6" l="1"/>
  <c r="CX58" i="6"/>
  <c r="EU18" i="6"/>
  <c r="EU16" i="6"/>
  <c r="EU17" i="6"/>
  <c r="EU14" i="6"/>
  <c r="EU13" i="6"/>
  <c r="EU58" i="6" s="1"/>
  <c r="EH16" i="6"/>
  <c r="EH17" i="6"/>
  <c r="EH18" i="6"/>
  <c r="EH14" i="6"/>
  <c r="EH13" i="6"/>
  <c r="EH58" i="6" s="1"/>
  <c r="AY24" i="7"/>
  <c r="CU19" i="6"/>
  <c r="CU15" i="6"/>
  <c r="CT24" i="6"/>
  <c r="AX18" i="7"/>
  <c r="DB13" i="6"/>
  <c r="DB58" i="6" s="1"/>
  <c r="DI14" i="6"/>
  <c r="DC13" i="6"/>
  <c r="DC58" i="6" s="1"/>
  <c r="DJ17" i="6"/>
  <c r="DG17" i="6"/>
  <c r="DD13" i="6"/>
  <c r="DD58" i="6" s="1"/>
  <c r="DE14" i="6"/>
  <c r="DF13" i="6"/>
  <c r="DF58" i="6" s="1"/>
  <c r="DI17" i="6"/>
  <c r="DL16" i="6"/>
  <c r="DH18" i="6"/>
  <c r="DK17" i="6"/>
  <c r="DH14" i="6"/>
  <c r="DG14" i="6"/>
  <c r="DH17" i="6"/>
  <c r="DF14" i="6"/>
  <c r="DE17" i="6"/>
  <c r="DC17" i="6"/>
  <c r="DF17" i="6"/>
  <c r="DD17" i="6"/>
  <c r="DC14" i="6"/>
  <c r="DE16" i="6"/>
  <c r="DK18" i="6"/>
  <c r="DB17" i="6"/>
  <c r="DJ18" i="6"/>
  <c r="DH13" i="6"/>
  <c r="DH58" i="6" s="1"/>
  <c r="DL14" i="6"/>
  <c r="DC16" i="6"/>
  <c r="DG18" i="6"/>
  <c r="DL17" i="6"/>
  <c r="DD14" i="6"/>
  <c r="DD16" i="6"/>
  <c r="DK14" i="6"/>
  <c r="DK16" i="6"/>
  <c r="DK13" i="6"/>
  <c r="DK58" i="6" s="1"/>
  <c r="DI18" i="6"/>
  <c r="DJ14" i="6"/>
  <c r="DB14" i="6"/>
  <c r="DJ16" i="6"/>
  <c r="DI13" i="6"/>
  <c r="DI58" i="6" s="1"/>
  <c r="DF18" i="6"/>
  <c r="DD18" i="6"/>
  <c r="DH16" i="6"/>
  <c r="DL13" i="6"/>
  <c r="DL58" i="6" s="1"/>
  <c r="DB18" i="6"/>
  <c r="DB16" i="6"/>
  <c r="DG13" i="6"/>
  <c r="DG58" i="6" s="1"/>
  <c r="DG16" i="6"/>
  <c r="DE13" i="6"/>
  <c r="DE58" i="6" s="1"/>
  <c r="DL18" i="6"/>
  <c r="DI16" i="6"/>
  <c r="DJ13" i="6"/>
  <c r="DJ58" i="6" s="1"/>
  <c r="DE18" i="6"/>
  <c r="DC18" i="6"/>
  <c r="DF16" i="6"/>
  <c r="DA14" i="6"/>
  <c r="DA18" i="6"/>
  <c r="CY17" i="6"/>
  <c r="CY16" i="6"/>
  <c r="DA17" i="6"/>
  <c r="CY18" i="6"/>
  <c r="DA16" i="6"/>
  <c r="DA13" i="6"/>
  <c r="CY14" i="6"/>
  <c r="CY13" i="6"/>
  <c r="AX6" i="10"/>
  <c r="AL6" i="10"/>
  <c r="FH54" i="6"/>
  <c r="AB29" i="10"/>
  <c r="DA54" i="6" l="1"/>
  <c r="DA58" i="6"/>
  <c r="CY54" i="6"/>
  <c r="CY58" i="6"/>
  <c r="EI17" i="6"/>
  <c r="EI18" i="6"/>
  <c r="EI16" i="6"/>
  <c r="EI13" i="6"/>
  <c r="EI58" i="6" s="1"/>
  <c r="EI14" i="6"/>
  <c r="EV18" i="6"/>
  <c r="EV17" i="6"/>
  <c r="EV16" i="6"/>
  <c r="EV13" i="6"/>
  <c r="EV58" i="6" s="1"/>
  <c r="EV14" i="6"/>
  <c r="AZ24" i="7"/>
  <c r="CV15" i="6"/>
  <c r="CV19" i="6"/>
  <c r="CU24" i="6"/>
  <c r="AY18" i="7"/>
  <c r="AM6" i="10"/>
  <c r="FI54" i="6"/>
  <c r="AY6" i="10"/>
  <c r="AC29" i="10"/>
  <c r="AP29" i="10" s="1"/>
  <c r="AQ29" i="10" s="1"/>
  <c r="AR29" i="10" s="1"/>
  <c r="AS29" i="10" s="1"/>
  <c r="EJ16" i="6" l="1"/>
  <c r="EJ17" i="6"/>
  <c r="EJ18" i="6"/>
  <c r="EJ14" i="6"/>
  <c r="EJ13" i="6"/>
  <c r="EJ58" i="6" s="1"/>
  <c r="EW17" i="6"/>
  <c r="EW18" i="6"/>
  <c r="EW16" i="6"/>
  <c r="EW13" i="6"/>
  <c r="EW58" i="6" s="1"/>
  <c r="EW14" i="6"/>
  <c r="BA24" i="7"/>
  <c r="CW19" i="6"/>
  <c r="CW15" i="6"/>
  <c r="CV24" i="6"/>
  <c r="AZ18" i="7"/>
  <c r="AT29" i="10"/>
  <c r="AU29" i="10" s="1"/>
  <c r="AV29" i="10" s="1"/>
  <c r="AW29" i="10" s="1"/>
  <c r="AX29" i="10" s="1"/>
  <c r="AY29" i="10" s="1"/>
  <c r="AZ29" i="10" s="1"/>
  <c r="BA29" i="10" s="1"/>
  <c r="BB29" i="10" s="1"/>
  <c r="AZ6" i="10"/>
  <c r="AN6" i="10"/>
  <c r="FJ54" i="6"/>
  <c r="AD29" i="10"/>
  <c r="AE29" i="10" s="1"/>
  <c r="AF29" i="10" s="1"/>
  <c r="AG29" i="10" s="1"/>
  <c r="EK16" i="6" l="1"/>
  <c r="EK17" i="6"/>
  <c r="EK18" i="6"/>
  <c r="EK13" i="6"/>
  <c r="EK58" i="6" s="1"/>
  <c r="EK14" i="6"/>
  <c r="EX18" i="6"/>
  <c r="EX17" i="6"/>
  <c r="EX16" i="6"/>
  <c r="EX13" i="6"/>
  <c r="EX58" i="6" s="1"/>
  <c r="EX14" i="6"/>
  <c r="BB24" i="7"/>
  <c r="CX19" i="6"/>
  <c r="CX15" i="6"/>
  <c r="CW24" i="6"/>
  <c r="BA18" i="7"/>
  <c r="AH29" i="10"/>
  <c r="AI29" i="10" s="1"/>
  <c r="AJ29" i="10" s="1"/>
  <c r="AK29" i="10" s="1"/>
  <c r="AL29" i="10" s="1"/>
  <c r="AM29" i="10" s="1"/>
  <c r="AN29" i="10" s="1"/>
  <c r="AO29" i="10" s="1"/>
  <c r="AO6" i="10"/>
  <c r="FK54" i="6"/>
  <c r="BA6" i="10"/>
  <c r="EY17" i="6" l="1"/>
  <c r="EY18" i="6"/>
  <c r="EY16" i="6"/>
  <c r="EY14" i="6"/>
  <c r="EY13" i="6"/>
  <c r="EY58" i="6" s="1"/>
  <c r="FL54" i="6"/>
  <c r="EL16" i="6"/>
  <c r="EL18" i="6"/>
  <c r="EL17" i="6"/>
  <c r="EL13" i="6"/>
  <c r="EL58" i="6" s="1"/>
  <c r="EL14" i="6"/>
  <c r="DF19" i="6"/>
  <c r="DL15" i="6"/>
  <c r="DG19" i="6"/>
  <c r="DC19" i="6"/>
  <c r="DK15" i="6"/>
  <c r="DB19" i="6"/>
  <c r="DI15" i="6"/>
  <c r="DE15" i="6"/>
  <c r="DD15" i="6"/>
  <c r="DF15" i="6"/>
  <c r="DD19" i="6"/>
  <c r="DJ19" i="6"/>
  <c r="DC15" i="6"/>
  <c r="DE19" i="6"/>
  <c r="DI19" i="6"/>
  <c r="DB15" i="6"/>
  <c r="DL19" i="6"/>
  <c r="DJ15" i="6"/>
  <c r="DH19" i="6"/>
  <c r="DK19" i="6"/>
  <c r="DH15" i="6"/>
  <c r="DG15" i="6"/>
  <c r="CY19" i="6"/>
  <c r="CY15" i="6"/>
  <c r="DA19" i="6"/>
  <c r="DA15" i="6"/>
  <c r="CX24" i="6"/>
  <c r="BB18" i="7"/>
  <c r="BB6" i="10"/>
  <c r="FF14" i="6" l="1"/>
  <c r="FL14" i="6"/>
  <c r="FM18" i="6"/>
  <c r="FL16" i="6"/>
  <c r="FK17" i="6"/>
  <c r="FM17" i="6"/>
  <c r="FE18" i="6"/>
  <c r="FJ17" i="6"/>
  <c r="FI17" i="6"/>
  <c r="FB17" i="6"/>
  <c r="EZ18" i="6"/>
  <c r="FG13" i="6"/>
  <c r="FG58" i="6" s="1"/>
  <c r="FC13" i="6"/>
  <c r="FC58" i="6" s="1"/>
  <c r="FM13" i="6"/>
  <c r="FM58" i="6" s="1"/>
  <c r="FD13" i="6"/>
  <c r="FD58" i="6" s="1"/>
  <c r="FL13" i="6"/>
  <c r="FL58" i="6" s="1"/>
  <c r="FK16" i="6"/>
  <c r="FH16" i="6"/>
  <c r="FC17" i="6"/>
  <c r="FE14" i="6"/>
  <c r="FK13" i="6"/>
  <c r="FK58" i="6" s="1"/>
  <c r="FC14" i="6"/>
  <c r="FB18" i="6"/>
  <c r="FK18" i="6"/>
  <c r="FH13" i="6"/>
  <c r="FH58" i="6" s="1"/>
  <c r="FI16" i="6"/>
  <c r="FF17" i="6"/>
  <c r="FH18" i="6"/>
  <c r="FB16" i="6"/>
  <c r="FM16" i="6"/>
  <c r="FD17" i="6"/>
  <c r="FI13" i="6"/>
  <c r="FI58" i="6" s="1"/>
  <c r="FF18" i="6"/>
  <c r="FL18" i="6"/>
  <c r="FJ14" i="6"/>
  <c r="FE17" i="6"/>
  <c r="FG18" i="6"/>
  <c r="FJ16" i="6"/>
  <c r="FD16" i="6"/>
  <c r="FC18" i="6"/>
  <c r="FL17" i="6"/>
  <c r="FF13" i="6"/>
  <c r="FF58" i="6" s="1"/>
  <c r="FG16" i="6"/>
  <c r="FF16" i="6"/>
  <c r="FH17" i="6"/>
  <c r="FD18" i="6"/>
  <c r="FI18" i="6"/>
  <c r="FB13" i="6"/>
  <c r="FB58" i="6" s="1"/>
  <c r="FG17" i="6"/>
  <c r="EZ16" i="6"/>
  <c r="FH14" i="6"/>
  <c r="FE16" i="6"/>
  <c r="EZ17" i="6"/>
  <c r="FD14" i="6"/>
  <c r="FJ18" i="6"/>
  <c r="FC16" i="6"/>
  <c r="FG14" i="6"/>
  <c r="FK14" i="6"/>
  <c r="FE13" i="6"/>
  <c r="FE58" i="6" s="1"/>
  <c r="FI14" i="6"/>
  <c r="FM14" i="6"/>
  <c r="FB14" i="6"/>
  <c r="FJ13" i="6"/>
  <c r="FJ58" i="6" s="1"/>
  <c r="EZ13" i="6"/>
  <c r="EZ58" i="6" s="1"/>
  <c r="EZ14" i="6"/>
  <c r="DJ24" i="6"/>
  <c r="DE24" i="6"/>
  <c r="DC24" i="6"/>
  <c r="DK24" i="6"/>
  <c r="DD24" i="6"/>
  <c r="DL24" i="6"/>
  <c r="DH24" i="6"/>
  <c r="DG24" i="6"/>
  <c r="DI24" i="6"/>
  <c r="DF24" i="6"/>
  <c r="CY24" i="6"/>
  <c r="DA24" i="6"/>
  <c r="DB24" i="6"/>
  <c r="AN13" i="31"/>
  <c r="AO13" i="31"/>
  <c r="J5" i="7" l="1"/>
  <c r="AP13" i="31"/>
  <c r="K5" i="7" l="1"/>
  <c r="AQ13" i="31"/>
  <c r="L5" i="7" l="1"/>
  <c r="AR13" i="31"/>
  <c r="M5" i="7" l="1"/>
  <c r="AS13" i="31"/>
  <c r="N5" i="7" l="1"/>
  <c r="AT13" i="31"/>
  <c r="O5" i="7" l="1"/>
  <c r="AU13" i="31"/>
  <c r="P5" i="7" l="1"/>
  <c r="AV13" i="31"/>
  <c r="Q5" i="7" l="1"/>
  <c r="AW13" i="31"/>
  <c r="R5" i="7" l="1"/>
  <c r="AX13" i="31"/>
  <c r="AY13" i="31" l="1"/>
  <c r="AZ17" i="31"/>
  <c r="T5" i="7"/>
  <c r="U5" i="7" s="1"/>
  <c r="J30" i="7"/>
  <c r="J29" i="7"/>
  <c r="BB13" i="31" l="1"/>
  <c r="BA13" i="31"/>
  <c r="AZ13" i="31"/>
  <c r="K29" i="7"/>
  <c r="K30" i="7"/>
  <c r="BC13" i="31" l="1"/>
  <c r="L30" i="7"/>
  <c r="L29" i="7"/>
  <c r="W5" i="7" l="1"/>
  <c r="BD13" i="31"/>
  <c r="M29" i="7"/>
  <c r="M30" i="7"/>
  <c r="N30" i="7" s="1"/>
  <c r="X5" i="7" l="1"/>
  <c r="BE13" i="31"/>
  <c r="N29" i="7"/>
  <c r="Y5" i="7" l="1"/>
  <c r="BF13" i="31"/>
  <c r="O29" i="7"/>
  <c r="O30" i="7"/>
  <c r="Z5" i="7" l="1"/>
  <c r="BG13" i="31"/>
  <c r="P30" i="7"/>
  <c r="P29" i="7"/>
  <c r="AA5" i="7" l="1"/>
  <c r="BH13" i="31"/>
  <c r="Q29" i="7"/>
  <c r="Q30" i="7"/>
  <c r="AB5" i="7" l="1"/>
  <c r="BI13" i="31"/>
  <c r="R30" i="7"/>
  <c r="R29" i="7"/>
  <c r="AC5" i="7" l="1"/>
  <c r="BJ13" i="31"/>
  <c r="AD5" i="7" l="1"/>
  <c r="BK13" i="31"/>
  <c r="T30" i="7"/>
  <c r="T29" i="7"/>
  <c r="U29" i="7" s="1"/>
  <c r="U30" i="7" l="1"/>
  <c r="BP20" i="6" s="1"/>
  <c r="BO20" i="6"/>
  <c r="BL13" i="31"/>
  <c r="AE5" i="7"/>
  <c r="AF5" i="7" s="1"/>
  <c r="AG5" i="7" l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AW5" i="7" s="1"/>
  <c r="AX5" i="7" s="1"/>
  <c r="AY5" i="7" s="1"/>
  <c r="AZ5" i="7" s="1"/>
  <c r="BA5" i="7" s="1"/>
  <c r="BB5" i="7" s="1"/>
  <c r="BM17" i="31"/>
  <c r="I17" i="31" s="1"/>
  <c r="E8" i="31" s="1"/>
  <c r="G8" i="31" s="1"/>
  <c r="E2" i="31" s="1"/>
  <c r="BM13" i="31" l="1"/>
  <c r="I13" i="31"/>
  <c r="W29" i="7"/>
  <c r="W30" i="7"/>
  <c r="BR20" i="6" s="1"/>
  <c r="E5" i="31" l="1"/>
  <c r="G5" i="31" s="1"/>
  <c r="X30" i="7"/>
  <c r="BS20" i="6" s="1"/>
  <c r="X29" i="7"/>
  <c r="L32" i="24" l="1"/>
  <c r="J32" i="24" s="1"/>
  <c r="Y29" i="7"/>
  <c r="Y30" i="7"/>
  <c r="BT20" i="6" s="1"/>
  <c r="K32" i="24" l="1"/>
  <c r="I32" i="24"/>
  <c r="G32" i="24" s="1"/>
  <c r="C2" i="31"/>
  <c r="E28" i="31" s="1"/>
  <c r="Z30" i="7"/>
  <c r="BU20" i="6" s="1"/>
  <c r="Z29" i="7"/>
  <c r="AA29" i="7" l="1"/>
  <c r="AA30" i="7"/>
  <c r="BV20" i="6" s="1"/>
  <c r="D17" i="28" l="1"/>
  <c r="AB30" i="7"/>
  <c r="BW20" i="6" s="1"/>
  <c r="AB29" i="7"/>
  <c r="C17" i="28" l="1"/>
  <c r="H32" i="24"/>
  <c r="AC29" i="7"/>
  <c r="AC30" i="7"/>
  <c r="BX20" i="6" s="1"/>
  <c r="AD30" i="7" l="1"/>
  <c r="AD29" i="7"/>
  <c r="AE29" i="7" s="1"/>
  <c r="AF29" i="7" s="1"/>
  <c r="AE30" i="7" l="1"/>
  <c r="BY20" i="6"/>
  <c r="AG29" i="7"/>
  <c r="AH29" i="7" s="1"/>
  <c r="AI29" i="7" s="1"/>
  <c r="AJ29" i="7" s="1"/>
  <c r="AK29" i="7" s="1"/>
  <c r="AL29" i="7" s="1"/>
  <c r="AM29" i="7" s="1"/>
  <c r="AN29" i="7" s="1"/>
  <c r="AO29" i="7" s="1"/>
  <c r="AP29" i="7" s="1"/>
  <c r="AQ29" i="7" s="1"/>
  <c r="AR29" i="7" s="1"/>
  <c r="AS29" i="7" s="1"/>
  <c r="AT29" i="7" s="1"/>
  <c r="AU29" i="7" s="1"/>
  <c r="AV29" i="7" s="1"/>
  <c r="AW29" i="7" s="1"/>
  <c r="AX29" i="7" s="1"/>
  <c r="AY29" i="7" s="1"/>
  <c r="AZ29" i="7" s="1"/>
  <c r="BA29" i="7" s="1"/>
  <c r="BB29" i="7" s="1"/>
  <c r="AF30" i="7" l="1"/>
  <c r="CA20" i="6"/>
  <c r="DU55" i="6"/>
  <c r="DR55" i="6"/>
  <c r="DX55" i="6"/>
  <c r="EJ55" i="6"/>
  <c r="EL55" i="6"/>
  <c r="BP55" i="6"/>
  <c r="CE55" i="6"/>
  <c r="CH55" i="6"/>
  <c r="CR55" i="6"/>
  <c r="DB55" i="6"/>
  <c r="EE55" i="6"/>
  <c r="EY55" i="6"/>
  <c r="BV55" i="6"/>
  <c r="DE55" i="6"/>
  <c r="DZ55" i="6"/>
  <c r="EH55" i="6"/>
  <c r="ER55" i="6"/>
  <c r="BS55" i="6"/>
  <c r="BX55" i="6"/>
  <c r="CC55" i="6"/>
  <c r="CD55" i="6"/>
  <c r="CP55" i="6"/>
  <c r="CX55" i="6"/>
  <c r="DH55" i="6"/>
  <c r="DL55" i="6"/>
  <c r="EM55" i="6"/>
  <c r="BQ55" i="6"/>
  <c r="CI55" i="6"/>
  <c r="CS55" i="6"/>
  <c r="CF55" i="6"/>
  <c r="CV55" i="6"/>
  <c r="DF55" i="6"/>
  <c r="DQ55" i="6"/>
  <c r="ED55" i="6"/>
  <c r="EF55" i="6"/>
  <c r="EP55" i="6"/>
  <c r="EX55" i="6"/>
  <c r="EZ55" i="6"/>
  <c r="FF55" i="6"/>
  <c r="FJ55" i="6"/>
  <c r="EI55" i="6"/>
  <c r="ES55" i="6"/>
  <c r="FH55" i="6"/>
  <c r="BY55" i="6"/>
  <c r="CQ55" i="6"/>
  <c r="DI55" i="6"/>
  <c r="DK55" i="6"/>
  <c r="CY55" i="6"/>
  <c r="EA44" i="6"/>
  <c r="EQ55" i="6"/>
  <c r="FG55" i="6"/>
  <c r="CJ55" i="6"/>
  <c r="CL55" i="6"/>
  <c r="DG55" i="6"/>
  <c r="EV55" i="6"/>
  <c r="BU55" i="6"/>
  <c r="CB55" i="6"/>
  <c r="CO55" i="6"/>
  <c r="DJ55" i="6"/>
  <c r="FK55" i="6"/>
  <c r="EG55" i="6"/>
  <c r="FB55" i="6"/>
  <c r="FL55" i="6"/>
  <c r="DY55" i="6"/>
  <c r="BO55" i="6"/>
  <c r="CW55" i="6"/>
  <c r="CB20" i="6" l="1"/>
  <c r="AG30" i="7"/>
  <c r="EO55" i="6"/>
  <c r="DO55" i="6"/>
  <c r="DP55" i="6"/>
  <c r="DV55" i="6"/>
  <c r="FC55" i="6"/>
  <c r="DA55" i="6"/>
  <c r="DC55" i="6"/>
  <c r="ET55" i="6"/>
  <c r="DD55" i="6"/>
  <c r="FE55" i="6"/>
  <c r="EK55" i="6"/>
  <c r="EW55" i="6"/>
  <c r="FD55" i="6"/>
  <c r="FI55" i="6"/>
  <c r="CU55" i="6"/>
  <c r="CK55" i="6"/>
  <c r="CT55" i="6"/>
  <c r="EC55" i="6"/>
  <c r="BN55" i="6"/>
  <c r="CN55" i="6"/>
  <c r="BW55" i="6"/>
  <c r="DT55" i="6"/>
  <c r="DS55" i="6"/>
  <c r="BT55" i="6"/>
  <c r="BR55" i="6"/>
  <c r="DW55" i="6"/>
  <c r="CA55" i="6"/>
  <c r="EU55" i="6"/>
  <c r="CG55" i="6"/>
  <c r="EB55" i="6"/>
  <c r="FM57" i="6"/>
  <c r="FM55" i="6"/>
  <c r="FG56" i="6"/>
  <c r="FG57" i="6"/>
  <c r="BN56" i="6"/>
  <c r="BN57" i="6"/>
  <c r="FH56" i="6"/>
  <c r="FH57" i="6"/>
  <c r="EO56" i="6"/>
  <c r="EO57" i="6"/>
  <c r="BW56" i="6"/>
  <c r="BW57" i="6"/>
  <c r="EE56" i="6"/>
  <c r="EE57" i="6"/>
  <c r="DX56" i="6"/>
  <c r="DX57" i="6"/>
  <c r="EG56" i="6"/>
  <c r="EG57" i="6"/>
  <c r="EQ56" i="6"/>
  <c r="EQ57" i="6"/>
  <c r="FD56" i="6"/>
  <c r="FD57" i="6"/>
  <c r="EZ56" i="6"/>
  <c r="EZ57" i="6"/>
  <c r="CA56" i="6"/>
  <c r="CA57" i="6"/>
  <c r="BS56" i="6"/>
  <c r="BS57" i="6"/>
  <c r="DU56" i="6"/>
  <c r="DU57" i="6"/>
  <c r="BO56" i="6"/>
  <c r="BO57" i="6"/>
  <c r="ES56" i="6"/>
  <c r="ES57" i="6"/>
  <c r="EX56" i="6"/>
  <c r="EX57" i="6"/>
  <c r="DT56" i="6"/>
  <c r="DT57" i="6"/>
  <c r="FI56" i="6"/>
  <c r="FI57" i="6"/>
  <c r="FC56" i="6"/>
  <c r="FC57" i="6"/>
  <c r="BU56" i="6"/>
  <c r="BU57" i="6"/>
  <c r="EV56" i="6"/>
  <c r="EV57" i="6"/>
  <c r="EP56" i="6"/>
  <c r="EP57" i="6"/>
  <c r="DS56" i="6"/>
  <c r="DS57" i="6"/>
  <c r="BQ56" i="6"/>
  <c r="BQ57" i="6"/>
  <c r="ER56" i="6"/>
  <c r="ER57" i="6"/>
  <c r="BT56" i="6"/>
  <c r="BT57" i="6"/>
  <c r="FB56" i="6"/>
  <c r="FB57" i="6"/>
  <c r="EI56" i="6"/>
  <c r="EI57" i="6"/>
  <c r="EF56" i="6"/>
  <c r="EF57" i="6"/>
  <c r="DQ56" i="6"/>
  <c r="DQ57" i="6"/>
  <c r="EU56" i="6"/>
  <c r="EU57" i="6"/>
  <c r="EH56" i="6"/>
  <c r="EH57" i="6"/>
  <c r="BV56" i="6"/>
  <c r="BV57" i="6"/>
  <c r="BP56" i="6"/>
  <c r="BP57" i="6"/>
  <c r="DR56" i="6"/>
  <c r="DR57" i="6"/>
  <c r="DO56" i="6"/>
  <c r="DO57" i="6"/>
  <c r="DY56" i="6"/>
  <c r="DY57" i="6"/>
  <c r="ED56" i="6"/>
  <c r="ED57" i="6"/>
  <c r="EM56" i="6"/>
  <c r="EM57" i="6"/>
  <c r="DZ56" i="6"/>
  <c r="DZ57" i="6"/>
  <c r="BR56" i="6"/>
  <c r="BR57" i="6"/>
  <c r="DP56" i="6"/>
  <c r="DP57" i="6"/>
  <c r="ET56" i="6"/>
  <c r="ET57" i="6"/>
  <c r="DV56" i="6"/>
  <c r="DV57" i="6"/>
  <c r="FK56" i="6"/>
  <c r="FK57" i="6"/>
  <c r="DW56" i="6"/>
  <c r="DW57" i="6"/>
  <c r="FE56" i="6"/>
  <c r="FE57" i="6"/>
  <c r="BY56" i="6"/>
  <c r="BY57" i="6"/>
  <c r="FJ56" i="6"/>
  <c r="FJ57" i="6"/>
  <c r="EK56" i="6"/>
  <c r="EK57" i="6"/>
  <c r="EY56" i="6"/>
  <c r="EY57" i="6"/>
  <c r="EL56" i="6"/>
  <c r="EL57" i="6"/>
  <c r="FL56" i="6"/>
  <c r="FL57" i="6"/>
  <c r="CB56" i="6"/>
  <c r="CB57" i="6"/>
  <c r="EB56" i="6"/>
  <c r="EB57" i="6"/>
  <c r="FF56" i="6"/>
  <c r="FF57" i="6"/>
  <c r="EC56" i="6"/>
  <c r="EC57" i="6"/>
  <c r="BX56" i="6"/>
  <c r="BX57" i="6"/>
  <c r="EW56" i="6"/>
  <c r="EW57" i="6"/>
  <c r="EJ56" i="6"/>
  <c r="EJ57" i="6"/>
  <c r="EA40" i="6"/>
  <c r="DM51" i="6"/>
  <c r="CM41" i="6"/>
  <c r="EA47" i="6"/>
  <c r="EA28" i="6"/>
  <c r="EA31" i="6"/>
  <c r="FN28" i="6"/>
  <c r="EA41" i="6"/>
  <c r="EN29" i="6"/>
  <c r="FN38" i="6"/>
  <c r="FA52" i="6"/>
  <c r="EN51" i="6"/>
  <c r="EN44" i="6"/>
  <c r="FN29" i="6"/>
  <c r="FA43" i="6"/>
  <c r="FN37" i="6"/>
  <c r="FN39" i="6"/>
  <c r="FN27" i="6"/>
  <c r="FA49" i="6"/>
  <c r="EA23" i="6"/>
  <c r="FN40" i="6"/>
  <c r="EN31" i="6"/>
  <c r="EN35" i="6"/>
  <c r="FM12" i="6"/>
  <c r="FM56" i="6"/>
  <c r="ER12" i="6"/>
  <c r="BZ27" i="6"/>
  <c r="DM25" i="6"/>
  <c r="BZ50" i="6"/>
  <c r="CM32" i="6"/>
  <c r="CM51" i="6"/>
  <c r="CM26" i="6"/>
  <c r="CM46" i="6"/>
  <c r="BV12" i="6"/>
  <c r="CM19" i="6"/>
  <c r="BZ43" i="6"/>
  <c r="CZ47" i="6"/>
  <c r="DM27" i="6"/>
  <c r="CZ33" i="6"/>
  <c r="CM47" i="6"/>
  <c r="CM40" i="6"/>
  <c r="CZ30" i="6"/>
  <c r="DM28" i="6"/>
  <c r="DM37" i="6"/>
  <c r="CM33" i="6"/>
  <c r="BZ52" i="6"/>
  <c r="CZ34" i="6"/>
  <c r="DM45" i="6"/>
  <c r="CZ29" i="6"/>
  <c r="CM43" i="6"/>
  <c r="CM31" i="6"/>
  <c r="CM22" i="6"/>
  <c r="CM25" i="6"/>
  <c r="CM28" i="6"/>
  <c r="DM29" i="6"/>
  <c r="DM30" i="6"/>
  <c r="DM35" i="6"/>
  <c r="CM36" i="6"/>
  <c r="BS12" i="6"/>
  <c r="DM41" i="6"/>
  <c r="CM42" i="6"/>
  <c r="CM49" i="6"/>
  <c r="CM50" i="6"/>
  <c r="DM50" i="6"/>
  <c r="DM52" i="6"/>
  <c r="CM52" i="6"/>
  <c r="BT12" i="6"/>
  <c r="EN21" i="6"/>
  <c r="FN35" i="6"/>
  <c r="EN36" i="6"/>
  <c r="DP12" i="6"/>
  <c r="EG12" i="6"/>
  <c r="DW12" i="6"/>
  <c r="FF12" i="6"/>
  <c r="DZ12" i="6"/>
  <c r="ED12" i="6"/>
  <c r="EN17" i="6"/>
  <c r="FA18" i="6"/>
  <c r="EF12" i="6"/>
  <c r="DT12" i="6"/>
  <c r="FN22" i="6"/>
  <c r="EN22" i="6"/>
  <c r="FN26" i="6"/>
  <c r="EN27" i="6"/>
  <c r="FA27" i="6"/>
  <c r="FA35" i="6"/>
  <c r="FN36" i="6"/>
  <c r="EN37" i="6"/>
  <c r="FA39" i="6"/>
  <c r="EN41" i="6"/>
  <c r="FN41" i="6"/>
  <c r="EN43" i="6"/>
  <c r="FN45" i="6"/>
  <c r="EN46" i="6"/>
  <c r="FA48" i="6"/>
  <c r="EN49" i="6"/>
  <c r="FA51" i="6"/>
  <c r="FN52" i="6"/>
  <c r="EN52" i="6"/>
  <c r="EA36" i="6"/>
  <c r="EN23" i="6"/>
  <c r="FI12" i="6"/>
  <c r="FN49" i="6"/>
  <c r="FA34" i="6"/>
  <c r="EA32" i="6"/>
  <c r="FA37" i="6"/>
  <c r="FA14" i="6"/>
  <c r="EX12" i="6"/>
  <c r="FA26" i="6"/>
  <c r="FN31" i="6"/>
  <c r="FA38" i="6"/>
  <c r="EN48" i="6"/>
  <c r="FA22" i="6"/>
  <c r="EA33" i="6"/>
  <c r="FD12" i="6"/>
  <c r="FG12" i="6"/>
  <c r="FL12" i="6"/>
  <c r="FN18" i="6"/>
  <c r="FN25" i="6"/>
  <c r="EA20" i="6"/>
  <c r="EA24" i="6"/>
  <c r="EA27" i="6"/>
  <c r="EA38" i="6"/>
  <c r="EA45" i="6"/>
  <c r="EA52" i="6"/>
  <c r="DM42" i="6"/>
  <c r="DM44" i="6"/>
  <c r="DM24" i="6"/>
  <c r="CZ16" i="6"/>
  <c r="CZ21" i="6"/>
  <c r="CZ26" i="6"/>
  <c r="CZ32" i="6"/>
  <c r="CZ37" i="6"/>
  <c r="CZ38" i="6"/>
  <c r="CZ42" i="6"/>
  <c r="CZ45" i="6"/>
  <c r="CZ52" i="6"/>
  <c r="CZ19" i="6"/>
  <c r="CM35" i="6"/>
  <c r="BZ16" i="6"/>
  <c r="BZ18" i="6"/>
  <c r="BZ25" i="6"/>
  <c r="BZ28" i="6"/>
  <c r="BZ29" i="6"/>
  <c r="BZ38" i="6"/>
  <c r="BZ41" i="6"/>
  <c r="BZ45" i="6"/>
  <c r="BZ32" i="6"/>
  <c r="BZ24" i="6"/>
  <c r="BZ37" i="6"/>
  <c r="BZ19" i="6"/>
  <c r="BU12" i="6"/>
  <c r="BZ23" i="6"/>
  <c r="EN33" i="6"/>
  <c r="BZ35" i="6"/>
  <c r="BZ46" i="6"/>
  <c r="EA14" i="6"/>
  <c r="FH12" i="6"/>
  <c r="BZ51" i="6"/>
  <c r="EN45" i="6"/>
  <c r="FA44" i="6"/>
  <c r="DM22" i="6"/>
  <c r="CM15" i="6"/>
  <c r="FN33" i="6"/>
  <c r="BZ49" i="6"/>
  <c r="DY12" i="6"/>
  <c r="BZ30" i="6"/>
  <c r="CZ36" i="6"/>
  <c r="CZ51" i="6"/>
  <c r="CZ39" i="6"/>
  <c r="CZ46" i="6"/>
  <c r="CM48" i="6"/>
  <c r="FK12" i="6"/>
  <c r="EA42" i="6"/>
  <c r="FN24" i="6"/>
  <c r="CM39" i="6"/>
  <c r="DM47" i="6"/>
  <c r="BZ22" i="6"/>
  <c r="EN15" i="6"/>
  <c r="FA41" i="6"/>
  <c r="CZ48" i="6"/>
  <c r="FN51" i="6"/>
  <c r="EN50" i="6"/>
  <c r="FN21" i="6"/>
  <c r="FE12" i="6"/>
  <c r="FA30" i="6"/>
  <c r="FN32" i="6"/>
  <c r="EN34" i="6"/>
  <c r="EA35" i="6"/>
  <c r="DM39" i="6"/>
  <c r="EN40" i="6"/>
  <c r="BZ47" i="6"/>
  <c r="FN48" i="6"/>
  <c r="BZ48" i="6"/>
  <c r="FA15" i="6"/>
  <c r="FA32" i="6"/>
  <c r="EN26" i="6"/>
  <c r="EA13" i="6"/>
  <c r="EA58" i="6" s="1"/>
  <c r="FN13" i="6"/>
  <c r="FN58" i="6" s="1"/>
  <c r="EA39" i="6"/>
  <c r="BZ33" i="6"/>
  <c r="DQ12" i="6"/>
  <c r="FA21" i="6"/>
  <c r="EP12" i="6"/>
  <c r="EQ12" i="6"/>
  <c r="BO12" i="6"/>
  <c r="EN25" i="6"/>
  <c r="EA30" i="6"/>
  <c r="EV12" i="6"/>
  <c r="EN13" i="6"/>
  <c r="DM31" i="6"/>
  <c r="CM24" i="6"/>
  <c r="EM12" i="6"/>
  <c r="EI12" i="6"/>
  <c r="EA18" i="6"/>
  <c r="CZ24" i="6"/>
  <c r="CM16" i="6"/>
  <c r="FA31" i="6"/>
  <c r="DM15" i="6"/>
  <c r="BZ31" i="6"/>
  <c r="DM13" i="6"/>
  <c r="DM58" i="6" s="1"/>
  <c r="BZ44" i="6"/>
  <c r="DS12" i="6"/>
  <c r="FN42" i="6"/>
  <c r="EN16" i="6"/>
  <c r="EA37" i="6"/>
  <c r="CZ44" i="6"/>
  <c r="DM48" i="6"/>
  <c r="FA40" i="6"/>
  <c r="BZ36" i="6"/>
  <c r="CZ41" i="6"/>
  <c r="EN47" i="6"/>
  <c r="EA49" i="6"/>
  <c r="CB12" i="6"/>
  <c r="CM13" i="6"/>
  <c r="CM58" i="6" s="1"/>
  <c r="EA46" i="6"/>
  <c r="EN19" i="6"/>
  <c r="EB12" i="6"/>
  <c r="BX12" i="6"/>
  <c r="BZ21" i="6"/>
  <c r="DM26" i="6"/>
  <c r="FN47" i="6"/>
  <c r="CM38" i="6"/>
  <c r="DU12" i="6"/>
  <c r="FA25" i="6"/>
  <c r="EN30" i="6"/>
  <c r="CM34" i="6"/>
  <c r="BZ54" i="6"/>
  <c r="EU12" i="6"/>
  <c r="EA22" i="6"/>
  <c r="FN30" i="6"/>
  <c r="CM23" i="6"/>
  <c r="CA12" i="6"/>
  <c r="DM18" i="6"/>
  <c r="DM19" i="6"/>
  <c r="FA50" i="6"/>
  <c r="BZ17" i="6"/>
  <c r="EA25" i="6"/>
  <c r="EA26" i="6"/>
  <c r="CZ23" i="6"/>
  <c r="DM33" i="6"/>
  <c r="FA13" i="6"/>
  <c r="EA50" i="6"/>
  <c r="CZ28" i="6"/>
  <c r="BR12" i="6"/>
  <c r="BN12" i="6"/>
  <c r="EA15" i="6"/>
  <c r="EA19" i="6"/>
  <c r="FA29" i="6"/>
  <c r="DO12" i="6"/>
  <c r="BZ20" i="6"/>
  <c r="EZ12" i="6"/>
  <c r="BZ42" i="6"/>
  <c r="FA23" i="6"/>
  <c r="EN38" i="6"/>
  <c r="FA24" i="6"/>
  <c r="DM17" i="6"/>
  <c r="BZ34" i="6"/>
  <c r="FA45" i="6"/>
  <c r="CM29" i="6"/>
  <c r="FA36" i="6"/>
  <c r="BY12" i="6"/>
  <c r="ES12" i="6"/>
  <c r="EN42" i="6"/>
  <c r="FN23" i="6"/>
  <c r="CZ43" i="6"/>
  <c r="FN16" i="6"/>
  <c r="EN39" i="6"/>
  <c r="CZ49" i="6"/>
  <c r="DM32" i="6"/>
  <c r="FB12" i="6"/>
  <c r="FN15" i="6"/>
  <c r="CZ13" i="6"/>
  <c r="CM14" i="6"/>
  <c r="CZ14" i="6"/>
  <c r="FA16" i="6"/>
  <c r="BZ14" i="6"/>
  <c r="DX12" i="6"/>
  <c r="FN14" i="6"/>
  <c r="EC12" i="6"/>
  <c r="EN14" i="6"/>
  <c r="EK12" i="6"/>
  <c r="ET12" i="6"/>
  <c r="FC12" i="6"/>
  <c r="EA17" i="6"/>
  <c r="CZ17" i="6"/>
  <c r="DR12" i="6"/>
  <c r="FN19" i="6"/>
  <c r="FJ12" i="6"/>
  <c r="EN20" i="6"/>
  <c r="EJ12" i="6"/>
  <c r="BW12" i="6"/>
  <c r="FA28" i="6"/>
  <c r="EY12" i="6"/>
  <c r="EA29" i="6"/>
  <c r="BZ40" i="6"/>
  <c r="CM18" i="6"/>
  <c r="CM37" i="6"/>
  <c r="FA17" i="6"/>
  <c r="CZ40" i="6"/>
  <c r="DM43" i="6"/>
  <c r="EN28" i="6"/>
  <c r="EA21" i="6"/>
  <c r="EA34" i="6"/>
  <c r="EL12" i="6"/>
  <c r="FA46" i="6"/>
  <c r="CZ25" i="6"/>
  <c r="FA33" i="6"/>
  <c r="DM40" i="6"/>
  <c r="FN43" i="6"/>
  <c r="CZ18" i="6"/>
  <c r="FN46" i="6"/>
  <c r="DM16" i="6"/>
  <c r="CZ22" i="6"/>
  <c r="FN34" i="6"/>
  <c r="CM17" i="6"/>
  <c r="BQ12" i="6"/>
  <c r="EH12" i="6"/>
  <c r="EA48" i="6"/>
  <c r="CZ35" i="6"/>
  <c r="EW12" i="6"/>
  <c r="BZ26" i="6"/>
  <c r="CZ15" i="6"/>
  <c r="FA20" i="6"/>
  <c r="DM46" i="6"/>
  <c r="FA47" i="6"/>
  <c r="FN44" i="6"/>
  <c r="DM36" i="6"/>
  <c r="EO12" i="6"/>
  <c r="EA51" i="6"/>
  <c r="EE12" i="6"/>
  <c r="DM21" i="6"/>
  <c r="DV12" i="6"/>
  <c r="DM34" i="6"/>
  <c r="CZ27" i="6"/>
  <c r="CM45" i="6"/>
  <c r="CZ50" i="6"/>
  <c r="DM14" i="6"/>
  <c r="CM44" i="6"/>
  <c r="DM49" i="6"/>
  <c r="FA19" i="6"/>
  <c r="DM23" i="6"/>
  <c r="DM38" i="6"/>
  <c r="EA16" i="6"/>
  <c r="CM30" i="6"/>
  <c r="FA42" i="6"/>
  <c r="EN24" i="6"/>
  <c r="BZ39" i="6"/>
  <c r="BZ15" i="6"/>
  <c r="EN32" i="6"/>
  <c r="FN20" i="6"/>
  <c r="BP12" i="6"/>
  <c r="EA43" i="6"/>
  <c r="CM27" i="6"/>
  <c r="CZ31" i="6"/>
  <c r="EN18" i="6"/>
  <c r="FN17" i="6"/>
  <c r="FN50" i="6"/>
  <c r="CM21" i="6"/>
  <c r="EN54" i="6" l="1"/>
  <c r="EN58" i="6"/>
  <c r="FA54" i="6"/>
  <c r="FA58" i="6"/>
  <c r="CZ54" i="6"/>
  <c r="CZ58" i="6"/>
  <c r="J35" i="6"/>
  <c r="J38" i="6"/>
  <c r="J49" i="6"/>
  <c r="J52" i="6"/>
  <c r="J50" i="6"/>
  <c r="J48" i="6"/>
  <c r="AH30" i="7"/>
  <c r="CC20" i="6"/>
  <c r="CC57" i="6" s="1"/>
  <c r="I34" i="6"/>
  <c r="I32" i="6"/>
  <c r="I50" i="6"/>
  <c r="I52" i="6"/>
  <c r="I44" i="6"/>
  <c r="J51" i="6"/>
  <c r="J16" i="6"/>
  <c r="J44" i="6"/>
  <c r="J20" i="6"/>
  <c r="K92" i="18" s="1"/>
  <c r="J27" i="6"/>
  <c r="I27" i="6"/>
  <c r="I46" i="6"/>
  <c r="I29" i="6"/>
  <c r="J45" i="6"/>
  <c r="I38" i="6"/>
  <c r="I33" i="6"/>
  <c r="I40" i="6"/>
  <c r="I42" i="6"/>
  <c r="J25" i="6"/>
  <c r="I25" i="6"/>
  <c r="J29" i="6"/>
  <c r="I17" i="6"/>
  <c r="I22" i="12" s="1"/>
  <c r="J14" i="6"/>
  <c r="I18" i="6"/>
  <c r="J13" i="6"/>
  <c r="J58" i="6" s="1"/>
  <c r="I35" i="6"/>
  <c r="J36" i="6"/>
  <c r="J41" i="6"/>
  <c r="J24" i="6"/>
  <c r="J18" i="6"/>
  <c r="J37" i="6"/>
  <c r="J31" i="6"/>
  <c r="J40" i="6"/>
  <c r="I51" i="6"/>
  <c r="J43" i="6"/>
  <c r="I16" i="6"/>
  <c r="J19" i="6"/>
  <c r="J28" i="6"/>
  <c r="I39" i="6"/>
  <c r="J30" i="6"/>
  <c r="I48" i="6"/>
  <c r="I19" i="6"/>
  <c r="J23" i="6"/>
  <c r="AF21" i="27" s="1"/>
  <c r="J47" i="6"/>
  <c r="J17" i="6"/>
  <c r="J42" i="6"/>
  <c r="I36" i="6"/>
  <c r="J32" i="6"/>
  <c r="I21" i="6"/>
  <c r="I30" i="6"/>
  <c r="I43" i="6"/>
  <c r="I26" i="6"/>
  <c r="J15" i="6"/>
  <c r="J34" i="6"/>
  <c r="J46" i="6"/>
  <c r="I22" i="6"/>
  <c r="I49" i="6"/>
  <c r="I37" i="6"/>
  <c r="I45" i="6"/>
  <c r="I41" i="6"/>
  <c r="J26" i="6"/>
  <c r="J39" i="6"/>
  <c r="I28" i="6"/>
  <c r="I14" i="6"/>
  <c r="I23" i="6"/>
  <c r="AF20" i="27" s="1"/>
  <c r="J33" i="6"/>
  <c r="I15" i="6"/>
  <c r="J21" i="6"/>
  <c r="J22" i="6"/>
  <c r="I13" i="6"/>
  <c r="I58" i="6" s="1"/>
  <c r="I31" i="6"/>
  <c r="I47" i="6"/>
  <c r="I24" i="6"/>
  <c r="X20" i="27"/>
  <c r="EA54" i="6"/>
  <c r="FN54" i="6"/>
  <c r="DM54" i="6"/>
  <c r="CM54" i="6"/>
  <c r="EO59" i="6"/>
  <c r="EG59" i="6"/>
  <c r="FI59" i="6"/>
  <c r="DQ59" i="6"/>
  <c r="FC59" i="6"/>
  <c r="DS59" i="6"/>
  <c r="BN59" i="6"/>
  <c r="FH59" i="6"/>
  <c r="ES59" i="6"/>
  <c r="FD59" i="6"/>
  <c r="FG59" i="6"/>
  <c r="EZ59" i="6"/>
  <c r="EX59" i="6"/>
  <c r="BW59" i="6"/>
  <c r="EV59" i="6"/>
  <c r="DT59" i="6"/>
  <c r="BO59" i="6"/>
  <c r="ER59" i="6"/>
  <c r="EQ59" i="6"/>
  <c r="EE59" i="6"/>
  <c r="BY59" i="6"/>
  <c r="BX59" i="6"/>
  <c r="ET59" i="6"/>
  <c r="EI59" i="6"/>
  <c r="EJ59" i="6"/>
  <c r="CA59" i="6"/>
  <c r="FK59" i="6"/>
  <c r="BU59" i="6"/>
  <c r="EK59" i="6"/>
  <c r="FE59" i="6"/>
  <c r="EF59" i="6"/>
  <c r="CZ55" i="6"/>
  <c r="EM59" i="6"/>
  <c r="EC59" i="6"/>
  <c r="CB59" i="6"/>
  <c r="EH59" i="6"/>
  <c r="EU59" i="6"/>
  <c r="BP59" i="6"/>
  <c r="FB59" i="6"/>
  <c r="DO59" i="6"/>
  <c r="EP59" i="6"/>
  <c r="ED59" i="6"/>
  <c r="CM55" i="6"/>
  <c r="DZ59" i="6"/>
  <c r="FF59" i="6"/>
  <c r="BR59" i="6"/>
  <c r="BV59" i="6"/>
  <c r="BS59" i="6"/>
  <c r="DM55" i="6"/>
  <c r="FN55" i="6"/>
  <c r="EA57" i="6"/>
  <c r="EA55" i="6"/>
  <c r="FA55" i="6"/>
  <c r="BZ57" i="6"/>
  <c r="BZ55" i="6"/>
  <c r="EN55" i="6"/>
  <c r="DV59" i="6"/>
  <c r="EY59" i="6"/>
  <c r="FL59" i="6"/>
  <c r="DW59" i="6"/>
  <c r="EB59" i="6"/>
  <c r="EW59" i="6"/>
  <c r="EL59" i="6"/>
  <c r="FJ59" i="6"/>
  <c r="DY59" i="6"/>
  <c r="DR59" i="6"/>
  <c r="BQ59" i="6"/>
  <c r="DX59" i="6"/>
  <c r="BT59" i="6"/>
  <c r="DU59" i="6"/>
  <c r="DP59" i="6"/>
  <c r="FN56" i="6"/>
  <c r="FN57" i="6"/>
  <c r="FA56" i="6"/>
  <c r="FA57" i="6"/>
  <c r="EN56" i="6"/>
  <c r="EN57" i="6"/>
  <c r="BZ56" i="6"/>
  <c r="EA56" i="6"/>
  <c r="FM59" i="6"/>
  <c r="EN12" i="6"/>
  <c r="FN12" i="6"/>
  <c r="EA12" i="6"/>
  <c r="FA12" i="6"/>
  <c r="BZ12" i="6"/>
  <c r="H22" i="12" l="1"/>
  <c r="Q16" i="24"/>
  <c r="Z22" i="12"/>
  <c r="K78" i="18"/>
  <c r="K13" i="18" s="1"/>
  <c r="P16" i="24"/>
  <c r="Q17" i="24"/>
  <c r="Q24" i="24"/>
  <c r="K100" i="18"/>
  <c r="F91" i="18"/>
  <c r="P24" i="24"/>
  <c r="K90" i="18"/>
  <c r="K93" i="18"/>
  <c r="F102" i="18"/>
  <c r="F80" i="18"/>
  <c r="F15" i="18" s="1"/>
  <c r="H20" i="27"/>
  <c r="F73" i="18"/>
  <c r="F8" i="18" s="1"/>
  <c r="H21" i="27"/>
  <c r="F95" i="18"/>
  <c r="AE20" i="27"/>
  <c r="F85" i="18"/>
  <c r="F19" i="18" s="1"/>
  <c r="AE21" i="27"/>
  <c r="F107" i="18"/>
  <c r="CC56" i="6"/>
  <c r="CC12" i="6"/>
  <c r="AI30" i="7"/>
  <c r="CD20" i="6"/>
  <c r="CD57" i="6" s="1"/>
  <c r="F94" i="18"/>
  <c r="F101" i="18"/>
  <c r="F93" i="18"/>
  <c r="J73" i="18"/>
  <c r="K8" i="18"/>
  <c r="J95" i="18"/>
  <c r="U22" i="12"/>
  <c r="F75" i="18"/>
  <c r="F10" i="18" s="1"/>
  <c r="F97" i="18"/>
  <c r="AG21" i="27"/>
  <c r="F109" i="18"/>
  <c r="AH22" i="12"/>
  <c r="AG20" i="27"/>
  <c r="Y20" i="27"/>
  <c r="F79" i="18"/>
  <c r="F14" i="18" s="1"/>
  <c r="M22" i="12"/>
  <c r="F68" i="18"/>
  <c r="AC22" i="12"/>
  <c r="AB20" i="27"/>
  <c r="F81" i="18"/>
  <c r="F16" i="18" s="1"/>
  <c r="AB21" i="27"/>
  <c r="F103" i="18"/>
  <c r="F90" i="18"/>
  <c r="J72" i="18"/>
  <c r="S21" i="27"/>
  <c r="J94" i="18"/>
  <c r="J69" i="18"/>
  <c r="J92" i="18"/>
  <c r="J91" i="18"/>
  <c r="P18" i="24"/>
  <c r="J71" i="18"/>
  <c r="J93" i="18"/>
  <c r="AA22" i="12"/>
  <c r="Z20" i="27"/>
  <c r="P22" i="12"/>
  <c r="F4" i="6"/>
  <c r="V20" i="27"/>
  <c r="AB22" i="12"/>
  <c r="F21" i="27"/>
  <c r="V21" i="27"/>
  <c r="I54" i="6"/>
  <c r="AD20" i="27"/>
  <c r="AD21" i="27"/>
  <c r="F20" i="27"/>
  <c r="O21" i="27"/>
  <c r="AC21" i="27"/>
  <c r="P21" i="27"/>
  <c r="O20" i="27"/>
  <c r="AA21" i="27"/>
  <c r="AA20" i="27"/>
  <c r="U20" i="27"/>
  <c r="G20" i="27"/>
  <c r="G21" i="27"/>
  <c r="AC20" i="27"/>
  <c r="I21" i="27"/>
  <c r="I20" i="27"/>
  <c r="Y21" i="27"/>
  <c r="W21" i="27"/>
  <c r="W20" i="27"/>
  <c r="T20" i="27"/>
  <c r="T21" i="27"/>
  <c r="I55" i="6"/>
  <c r="U21" i="27"/>
  <c r="FA59" i="6"/>
  <c r="EN59" i="6"/>
  <c r="FN59" i="6"/>
  <c r="K21" i="27"/>
  <c r="BZ59" i="6"/>
  <c r="EA59" i="6"/>
  <c r="Q14" i="24" l="1"/>
  <c r="CC59" i="6"/>
  <c r="CD56" i="6"/>
  <c r="CD12" i="6"/>
  <c r="AJ30" i="7"/>
  <c r="CE20" i="6"/>
  <c r="CE57" i="6" s="1"/>
  <c r="J23" i="18"/>
  <c r="R14" i="24"/>
  <c r="L5" i="18"/>
  <c r="L26" i="18" s="1"/>
  <c r="F26" i="18" s="1"/>
  <c r="L89" i="18"/>
  <c r="F5" i="18"/>
  <c r="Q21" i="27"/>
  <c r="R21" i="27" s="1"/>
  <c r="CD59" i="6" l="1"/>
  <c r="CE12" i="6"/>
  <c r="CE56" i="6"/>
  <c r="CE59" i="6" s="1"/>
  <c r="AK30" i="7"/>
  <c r="CF20" i="6"/>
  <c r="CF57" i="6" s="1"/>
  <c r="P33" i="24"/>
  <c r="J87" i="18"/>
  <c r="F87" i="18"/>
  <c r="F21" i="18" s="1"/>
  <c r="CF12" i="6" l="1"/>
  <c r="CF56" i="6"/>
  <c r="CF59" i="6" s="1"/>
  <c r="AL30" i="7"/>
  <c r="CG20" i="6"/>
  <c r="CG57" i="6" s="1"/>
  <c r="AD28" i="27"/>
  <c r="CG56" i="6" l="1"/>
  <c r="CG12" i="6"/>
  <c r="AM30" i="7"/>
  <c r="CH20" i="6"/>
  <c r="CH57" i="6" s="1"/>
  <c r="CG59" i="6" l="1"/>
  <c r="AN30" i="7"/>
  <c r="CI20" i="6"/>
  <c r="CI57" i="6" s="1"/>
  <c r="CH56" i="6"/>
  <c r="CH12" i="6"/>
  <c r="CH59" i="6" l="1"/>
  <c r="CI56" i="6"/>
  <c r="CI12" i="6"/>
  <c r="AO30" i="7"/>
  <c r="CJ20" i="6"/>
  <c r="CJ57" i="6" s="1"/>
  <c r="J119" i="18"/>
  <c r="J57" i="6"/>
  <c r="Z21" i="27"/>
  <c r="J54" i="6"/>
  <c r="J55" i="6"/>
  <c r="E21" i="27"/>
  <c r="J21" i="27" s="1"/>
  <c r="X21" i="27"/>
  <c r="AP30" i="7" l="1"/>
  <c r="CK20" i="6"/>
  <c r="CK57" i="6" s="1"/>
  <c r="CJ56" i="6"/>
  <c r="CJ12" i="6"/>
  <c r="CI59" i="6"/>
  <c r="CJ59" i="6" l="1"/>
  <c r="CK12" i="6"/>
  <c r="CK56" i="6"/>
  <c r="CK59" i="6" s="1"/>
  <c r="AQ30" i="7"/>
  <c r="CL20" i="6"/>
  <c r="CL57" i="6" s="1"/>
  <c r="CL12" i="6" l="1"/>
  <c r="CL56" i="6"/>
  <c r="CM20" i="6"/>
  <c r="CM57" i="6" s="1"/>
  <c r="AR30" i="7"/>
  <c r="CN20" i="6"/>
  <c r="CN57" i="6" s="1"/>
  <c r="CL59" i="6" l="1"/>
  <c r="CN56" i="6"/>
  <c r="CN12" i="6"/>
  <c r="CO20" i="6"/>
  <c r="CO57" i="6" s="1"/>
  <c r="AS30" i="7"/>
  <c r="CM12" i="6"/>
  <c r="CM56" i="6"/>
  <c r="CM59" i="6" s="1"/>
  <c r="I28" i="27"/>
  <c r="G28" i="27"/>
  <c r="F28" i="27"/>
  <c r="CN59" i="6" l="1"/>
  <c r="AT30" i="7"/>
  <c r="CP20" i="6"/>
  <c r="CP57" i="6" s="1"/>
  <c r="CO56" i="6"/>
  <c r="CO12" i="6"/>
  <c r="N21" i="27"/>
  <c r="D21" i="27" s="1"/>
  <c r="J12" i="6"/>
  <c r="G24" i="24" s="1"/>
  <c r="F7" i="6"/>
  <c r="F3" i="6" s="1"/>
  <c r="J56" i="6"/>
  <c r="J59" i="6" s="1"/>
  <c r="T28" i="27"/>
  <c r="L28" i="27"/>
  <c r="X28" i="27"/>
  <c r="Q28" i="27"/>
  <c r="V28" i="27"/>
  <c r="Y28" i="27"/>
  <c r="Z28" i="27"/>
  <c r="AA28" i="27"/>
  <c r="W28" i="27"/>
  <c r="S28" i="27"/>
  <c r="CO59" i="6" l="1"/>
  <c r="CP12" i="6"/>
  <c r="CP56" i="6"/>
  <c r="CP59" i="6" s="1"/>
  <c r="AU30" i="7"/>
  <c r="CQ20" i="6"/>
  <c r="CQ57" i="6" s="1"/>
  <c r="D10" i="28"/>
  <c r="C10" i="28" s="1"/>
  <c r="H24" i="24"/>
  <c r="M21" i="27"/>
  <c r="P28" i="27"/>
  <c r="CQ56" i="6" l="1"/>
  <c r="CQ12" i="6"/>
  <c r="AV30" i="7"/>
  <c r="CR20" i="6"/>
  <c r="CR57" i="6" s="1"/>
  <c r="M28" i="27"/>
  <c r="CQ59" i="6" l="1"/>
  <c r="CR12" i="6"/>
  <c r="CR56" i="6"/>
  <c r="CR59" i="6" s="1"/>
  <c r="AW30" i="7"/>
  <c r="CS20" i="6"/>
  <c r="CS57" i="6" s="1"/>
  <c r="R28" i="27"/>
  <c r="CS12" i="6" l="1"/>
  <c r="CS56" i="6"/>
  <c r="AX30" i="7"/>
  <c r="CT20" i="6"/>
  <c r="CT57" i="6" s="1"/>
  <c r="K28" i="27"/>
  <c r="O28" i="27"/>
  <c r="E28" i="27"/>
  <c r="AB28" i="27"/>
  <c r="AC28" i="27"/>
  <c r="U28" i="27"/>
  <c r="CS59" i="6" l="1"/>
  <c r="CT12" i="6"/>
  <c r="CT56" i="6"/>
  <c r="CT59" i="6" s="1"/>
  <c r="AY30" i="7"/>
  <c r="CU20" i="6"/>
  <c r="CU57" i="6" s="1"/>
  <c r="D38" i="27"/>
  <c r="L12" i="24"/>
  <c r="L28" i="24" s="1"/>
  <c r="CU12" i="6" l="1"/>
  <c r="CU56" i="6"/>
  <c r="CU59" i="6" s="1"/>
  <c r="AZ30" i="7"/>
  <c r="CV20" i="6"/>
  <c r="CV57" i="6" s="1"/>
  <c r="F156" i="18"/>
  <c r="F3" i="18" s="1"/>
  <c r="P44" i="18"/>
  <c r="CV12" i="6" l="1"/>
  <c r="CV56" i="6"/>
  <c r="BA30" i="7"/>
  <c r="CW20" i="6"/>
  <c r="CW57" i="6" s="1"/>
  <c r="F177" i="18"/>
  <c r="CV59" i="6" l="1"/>
  <c r="CW56" i="6"/>
  <c r="CW12" i="6"/>
  <c r="BB30" i="7"/>
  <c r="CX20" i="6"/>
  <c r="CX57" i="6" s="1"/>
  <c r="J30" i="27"/>
  <c r="J32" i="27"/>
  <c r="D42" i="27"/>
  <c r="J10" i="27"/>
  <c r="J28" i="27" s="1"/>
  <c r="U44" i="18"/>
  <c r="J37" i="27"/>
  <c r="D10" i="27"/>
  <c r="Q12" i="24"/>
  <c r="Q28" i="24" s="1"/>
  <c r="J36" i="27"/>
  <c r="O12" i="24"/>
  <c r="O38" i="24" s="1"/>
  <c r="N12" i="24"/>
  <c r="N28" i="24" s="1"/>
  <c r="P12" i="24"/>
  <c r="Q44" i="18"/>
  <c r="S12" i="24"/>
  <c r="E5" i="28" s="1"/>
  <c r="J39" i="27" l="1"/>
  <c r="D39" i="27" s="1"/>
  <c r="J40" i="27"/>
  <c r="D40" i="27" s="1"/>
  <c r="CW59" i="6"/>
  <c r="CX12" i="6"/>
  <c r="CX56" i="6"/>
  <c r="CX59" i="6" s="1"/>
  <c r="DG20" i="6"/>
  <c r="DG57" i="6" s="1"/>
  <c r="DC20" i="6"/>
  <c r="DC57" i="6" s="1"/>
  <c r="DL20" i="6"/>
  <c r="DL57" i="6" s="1"/>
  <c r="DF20" i="6"/>
  <c r="DF57" i="6" s="1"/>
  <c r="DJ20" i="6"/>
  <c r="DJ57" i="6" s="1"/>
  <c r="DD20" i="6"/>
  <c r="DD57" i="6" s="1"/>
  <c r="DE20" i="6"/>
  <c r="DE57" i="6" s="1"/>
  <c r="DB20" i="6"/>
  <c r="DB57" i="6" s="1"/>
  <c r="DH20" i="6"/>
  <c r="DH57" i="6" s="1"/>
  <c r="DI20" i="6"/>
  <c r="DI57" i="6" s="1"/>
  <c r="DK20" i="6"/>
  <c r="DK57" i="6" s="1"/>
  <c r="CY20" i="6"/>
  <c r="CY57" i="6" s="1"/>
  <c r="DA20" i="6"/>
  <c r="DA57" i="6" s="1"/>
  <c r="G156" i="18"/>
  <c r="G3" i="18" s="1"/>
  <c r="G45" i="18" s="1"/>
  <c r="J12" i="24"/>
  <c r="G18" i="8" s="1"/>
  <c r="K156" i="18"/>
  <c r="M156" i="18"/>
  <c r="M177" i="18" s="1"/>
  <c r="G21" i="8"/>
  <c r="L111" i="18"/>
  <c r="G19" i="8"/>
  <c r="D28" i="27"/>
  <c r="N29" i="24"/>
  <c r="N30" i="24" s="1"/>
  <c r="J28" i="24"/>
  <c r="R12" i="24"/>
  <c r="R44" i="18"/>
  <c r="G17" i="8"/>
  <c r="G44" i="18"/>
  <c r="N34" i="24" s="1"/>
  <c r="O30" i="24"/>
  <c r="S28" i="24"/>
  <c r="J31" i="27"/>
  <c r="G20" i="8"/>
  <c r="D43" i="27" l="1"/>
  <c r="G177" i="18"/>
  <c r="CY56" i="6"/>
  <c r="CY12" i="6"/>
  <c r="CZ20" i="6"/>
  <c r="CZ57" i="6" s="1"/>
  <c r="DD12" i="6"/>
  <c r="DD56" i="6"/>
  <c r="DJ56" i="6"/>
  <c r="DJ12" i="6"/>
  <c r="DH56" i="6"/>
  <c r="DH12" i="6"/>
  <c r="DK12" i="6"/>
  <c r="DK56" i="6"/>
  <c r="DK59" i="6" s="1"/>
  <c r="DB12" i="6"/>
  <c r="DB56" i="6"/>
  <c r="DB59" i="6" s="1"/>
  <c r="DF12" i="6"/>
  <c r="DF56" i="6"/>
  <c r="DA56" i="6"/>
  <c r="DA12" i="6"/>
  <c r="DM20" i="6"/>
  <c r="DM57" i="6" s="1"/>
  <c r="DI12" i="6"/>
  <c r="DI56" i="6"/>
  <c r="DI59" i="6" s="1"/>
  <c r="DE12" i="6"/>
  <c r="DE56" i="6"/>
  <c r="DE59" i="6" s="1"/>
  <c r="DL56" i="6"/>
  <c r="DL12" i="6"/>
  <c r="DC12" i="6"/>
  <c r="DC56" i="6"/>
  <c r="DG56" i="6"/>
  <c r="DG12" i="6"/>
  <c r="R28" i="24"/>
  <c r="I28" i="24" s="1"/>
  <c r="G28" i="24" s="1"/>
  <c r="D28" i="24"/>
  <c r="O44" i="24"/>
  <c r="K177" i="18"/>
  <c r="N31" i="24"/>
  <c r="G22" i="8"/>
  <c r="G16" i="8" s="1"/>
  <c r="M45" i="18"/>
  <c r="M65" i="18" s="1"/>
  <c r="S37" i="24" s="1"/>
  <c r="M44" i="18"/>
  <c r="S34" i="24" s="1"/>
  <c r="G65" i="18"/>
  <c r="N37" i="24" s="1"/>
  <c r="G23" i="18"/>
  <c r="O31" i="24"/>
  <c r="N17" i="8"/>
  <c r="O35" i="24"/>
  <c r="I12" i="24"/>
  <c r="L23" i="18"/>
  <c r="R33" i="24" s="1"/>
  <c r="E12" i="28"/>
  <c r="E14" i="28" s="1"/>
  <c r="E15" i="28" s="1"/>
  <c r="D12" i="28"/>
  <c r="K28" i="24"/>
  <c r="O177" i="18" l="1"/>
  <c r="DA59" i="6"/>
  <c r="DF59" i="6"/>
  <c r="DC59" i="6"/>
  <c r="DD59" i="6"/>
  <c r="CY59" i="6"/>
  <c r="DJ59" i="6"/>
  <c r="DL59" i="6"/>
  <c r="DG59" i="6"/>
  <c r="DH59" i="6"/>
  <c r="CZ12" i="6"/>
  <c r="CZ56" i="6"/>
  <c r="CZ59" i="6" s="1"/>
  <c r="I20" i="6"/>
  <c r="DM56" i="6"/>
  <c r="DM12" i="6"/>
  <c r="P177" i="18"/>
  <c r="L44" i="18"/>
  <c r="R34" i="24" s="1"/>
  <c r="F44" i="18"/>
  <c r="L34" i="24" s="1"/>
  <c r="J34" i="24" s="1"/>
  <c r="E16" i="28"/>
  <c r="T17" i="8"/>
  <c r="S44" i="24"/>
  <c r="E18" i="28" s="1"/>
  <c r="E19" i="28" s="1"/>
  <c r="E20" i="28" s="1"/>
  <c r="M66" i="18"/>
  <c r="G12" i="24"/>
  <c r="V13" i="24"/>
  <c r="O36" i="24"/>
  <c r="O39" i="24"/>
  <c r="O41" i="24" s="1"/>
  <c r="C12" i="28"/>
  <c r="G66" i="18"/>
  <c r="N33" i="24"/>
  <c r="P17" i="24" l="1"/>
  <c r="P14" i="24" s="1"/>
  <c r="J70" i="18"/>
  <c r="K71" i="18"/>
  <c r="K6" i="18" s="1"/>
  <c r="K70" i="18"/>
  <c r="K5" i="18" s="1"/>
  <c r="N20" i="27"/>
  <c r="M20" i="27" s="1"/>
  <c r="N22" i="12"/>
  <c r="O22" i="12" s="1"/>
  <c r="K68" i="18"/>
  <c r="K3" i="18" s="1"/>
  <c r="F22" i="12"/>
  <c r="K22" i="12" s="1"/>
  <c r="E20" i="27"/>
  <c r="J20" i="27" s="1"/>
  <c r="Q22" i="12"/>
  <c r="R22" i="12" s="1"/>
  <c r="S22" i="12" s="1"/>
  <c r="F71" i="18"/>
  <c r="F6" i="18" s="1"/>
  <c r="P20" i="27"/>
  <c r="Q20" i="27" s="1"/>
  <c r="R20" i="27" s="1"/>
  <c r="F69" i="18"/>
  <c r="F4" i="18" s="1"/>
  <c r="L22" i="12"/>
  <c r="K20" i="27"/>
  <c r="E4" i="6"/>
  <c r="I57" i="6"/>
  <c r="DM59" i="6"/>
  <c r="E7" i="6"/>
  <c r="I12" i="6"/>
  <c r="I56" i="6"/>
  <c r="S20" i="27"/>
  <c r="F72" i="18"/>
  <c r="H28" i="24"/>
  <c r="K34" i="24"/>
  <c r="I34" i="24"/>
  <c r="N44" i="24"/>
  <c r="N35" i="24"/>
  <c r="O40" i="24"/>
  <c r="O42" i="24"/>
  <c r="D5" i="28"/>
  <c r="U13" i="24"/>
  <c r="D20" i="27" l="1"/>
  <c r="E22" i="12"/>
  <c r="L27" i="24" s="1"/>
  <c r="I59" i="6"/>
  <c r="E3" i="6"/>
  <c r="S22" i="24" s="1"/>
  <c r="L22" i="24" s="1"/>
  <c r="F7" i="18"/>
  <c r="M19" i="12"/>
  <c r="M25" i="12" s="1"/>
  <c r="S16" i="24"/>
  <c r="I16" i="24" s="1"/>
  <c r="S18" i="24"/>
  <c r="I18" i="24" s="1"/>
  <c r="S23" i="24"/>
  <c r="L23" i="24" s="1"/>
  <c r="S24" i="24"/>
  <c r="G34" i="24"/>
  <c r="H34" i="24" s="1"/>
  <c r="C5" i="28"/>
  <c r="N36" i="24"/>
  <c r="N39" i="24"/>
  <c r="F88" i="18" l="1"/>
  <c r="J88" i="18"/>
  <c r="F104" i="18"/>
  <c r="F111" i="18" s="1"/>
  <c r="F82" i="18"/>
  <c r="F23" i="18" s="1"/>
  <c r="L33" i="24" s="1"/>
  <c r="J33" i="24" s="1"/>
  <c r="K33" i="24" s="1"/>
  <c r="K82" i="18"/>
  <c r="J104" i="18"/>
  <c r="J111" i="18" s="1"/>
  <c r="S15" i="24"/>
  <c r="I15" i="24" s="1"/>
  <c r="K88" i="18"/>
  <c r="J82" i="18"/>
  <c r="S20" i="24"/>
  <c r="L20" i="24" s="1"/>
  <c r="K104" i="18"/>
  <c r="K111" i="18" s="1"/>
  <c r="S17" i="24"/>
  <c r="I17" i="24" s="1"/>
  <c r="L17" i="24" s="1"/>
  <c r="J17" i="24" s="1"/>
  <c r="K17" i="24" s="1"/>
  <c r="S21" i="24"/>
  <c r="L21" i="24" s="1"/>
  <c r="J22" i="24"/>
  <c r="I24" i="24"/>
  <c r="L24" i="24" s="1"/>
  <c r="J24" i="24" s="1"/>
  <c r="K24" i="24" s="1"/>
  <c r="J23" i="24"/>
  <c r="L16" i="24"/>
  <c r="G16" i="24"/>
  <c r="H16" i="24" s="1"/>
  <c r="G18" i="24"/>
  <c r="H18" i="24" s="1"/>
  <c r="L18" i="24"/>
  <c r="J18" i="24" s="1"/>
  <c r="K18" i="24" s="1"/>
  <c r="N19" i="12"/>
  <c r="O19" i="12" s="1"/>
  <c r="M18" i="12"/>
  <c r="M20" i="12" s="1"/>
  <c r="M24" i="12"/>
  <c r="N40" i="24"/>
  <c r="N41" i="24"/>
  <c r="N42" i="24" s="1"/>
  <c r="J89" i="18" l="1"/>
  <c r="K22" i="24"/>
  <c r="I22" i="24"/>
  <c r="G22" i="24" s="1"/>
  <c r="H22" i="24" s="1"/>
  <c r="K23" i="24"/>
  <c r="I23" i="24"/>
  <c r="G23" i="24" s="1"/>
  <c r="H23" i="24" s="1"/>
  <c r="O111" i="18"/>
  <c r="F89" i="18"/>
  <c r="K89" i="18"/>
  <c r="S14" i="24"/>
  <c r="S29" i="24" s="1"/>
  <c r="S30" i="24" s="1"/>
  <c r="S35" i="24" s="1"/>
  <c r="G17" i="24"/>
  <c r="H17" i="24" s="1"/>
  <c r="J21" i="24"/>
  <c r="S19" i="24"/>
  <c r="K23" i="18"/>
  <c r="Q33" i="24" s="1"/>
  <c r="I33" i="24" s="1"/>
  <c r="G33" i="24" s="1"/>
  <c r="H33" i="24" s="1"/>
  <c r="J16" i="24"/>
  <c r="K16" i="24" s="1"/>
  <c r="E19" i="12"/>
  <c r="L15" i="24"/>
  <c r="I14" i="24"/>
  <c r="G15" i="24"/>
  <c r="H15" i="24" s="1"/>
  <c r="N24" i="12"/>
  <c r="O24" i="12" s="1"/>
  <c r="N18" i="12"/>
  <c r="N20" i="12" s="1"/>
  <c r="K20" i="12"/>
  <c r="O89" i="18" l="1"/>
  <c r="K21" i="24"/>
  <c r="I21" i="24"/>
  <c r="G21" i="24" s="1"/>
  <c r="H21" i="24" s="1"/>
  <c r="N21" i="8"/>
  <c r="T21" i="8" s="1"/>
  <c r="S31" i="24"/>
  <c r="G14" i="24"/>
  <c r="H14" i="24" s="1"/>
  <c r="P25" i="12"/>
  <c r="R25" i="12"/>
  <c r="L25" i="12"/>
  <c r="F25" i="12"/>
  <c r="AA25" i="12"/>
  <c r="AG25" i="12"/>
  <c r="AG21" i="12" s="1"/>
  <c r="AF25" i="12"/>
  <c r="Q25" i="12"/>
  <c r="S25" i="12" s="1"/>
  <c r="U25" i="12"/>
  <c r="J25" i="12"/>
  <c r="H25" i="12"/>
  <c r="T25" i="12"/>
  <c r="I21" i="12"/>
  <c r="H23" i="27" s="1"/>
  <c r="W21" i="12"/>
  <c r="K119" i="18" s="1"/>
  <c r="K52" i="18" s="1"/>
  <c r="O18" i="12"/>
  <c r="J15" i="24"/>
  <c r="K15" i="24" s="1"/>
  <c r="L14" i="24"/>
  <c r="J14" i="24" s="1"/>
  <c r="K14" i="24" s="1"/>
  <c r="S36" i="24"/>
  <c r="S39" i="24"/>
  <c r="AF23" i="27" l="1"/>
  <c r="K130" i="18"/>
  <c r="D7" i="28"/>
  <c r="C7" i="28" s="1"/>
  <c r="K25" i="12"/>
  <c r="S40" i="24"/>
  <c r="S41" i="24"/>
  <c r="S42" i="24" s="1"/>
  <c r="E18" i="12"/>
  <c r="E20" i="12" s="1"/>
  <c r="O20" i="12"/>
  <c r="J27" i="24"/>
  <c r="I27" i="24" s="1"/>
  <c r="G27" i="24" s="1"/>
  <c r="H27" i="24" s="1"/>
  <c r="E42" i="12"/>
  <c r="E35" i="12"/>
  <c r="E29" i="12"/>
  <c r="E36" i="12"/>
  <c r="E41" i="12"/>
  <c r="E40" i="12"/>
  <c r="E34" i="12"/>
  <c r="E39" i="12"/>
  <c r="E26" i="12"/>
  <c r="E37" i="12"/>
  <c r="E30" i="12"/>
  <c r="E31" i="12"/>
  <c r="E24" i="12"/>
  <c r="E33" i="12"/>
  <c r="E28" i="12"/>
  <c r="E58" i="12"/>
  <c r="E51" i="12"/>
  <c r="E64" i="12"/>
  <c r="E63" i="12"/>
  <c r="E60" i="12"/>
  <c r="E56" i="12"/>
  <c r="E48" i="12"/>
  <c r="E46" i="12"/>
  <c r="E57" i="12"/>
  <c r="E50" i="12"/>
  <c r="E55" i="12"/>
  <c r="E62" i="12"/>
  <c r="E54" i="12"/>
  <c r="E59" i="12"/>
  <c r="E53" i="12"/>
  <c r="E61" i="12"/>
  <c r="E44" i="12"/>
  <c r="E47" i="12"/>
  <c r="E43" i="12"/>
  <c r="E38" i="12" l="1"/>
  <c r="E52" i="12"/>
  <c r="E27" i="12"/>
  <c r="K27" i="24"/>
  <c r="E32" i="12"/>
  <c r="E49" i="12"/>
  <c r="E45" i="12" s="1"/>
  <c r="M29" i="24" l="1"/>
  <c r="M30" i="24" s="1"/>
  <c r="E21" i="12"/>
  <c r="Z21" i="12"/>
  <c r="K122" i="18" s="1"/>
  <c r="V21" i="12"/>
  <c r="K118" i="18" s="1"/>
  <c r="H21" i="12"/>
  <c r="AC21" i="12"/>
  <c r="K125" i="18" s="1"/>
  <c r="F119" i="18"/>
  <c r="J21" i="12"/>
  <c r="T21" i="12"/>
  <c r="K116" i="18" s="1"/>
  <c r="X21" i="12"/>
  <c r="K120" i="18" s="1"/>
  <c r="AH21" i="12"/>
  <c r="K131" i="18" s="1"/>
  <c r="AA21" i="12"/>
  <c r="K123" i="18" s="1"/>
  <c r="G21" i="12"/>
  <c r="F23" i="27" s="1"/>
  <c r="R21" i="12"/>
  <c r="Q23" i="27" s="1"/>
  <c r="Q18" i="27" s="1"/>
  <c r="Q25" i="27" s="1"/>
  <c r="Q26" i="27" s="1"/>
  <c r="U21" i="12"/>
  <c r="K117" i="18" s="1"/>
  <c r="AE21" i="12"/>
  <c r="K128" i="18" s="1"/>
  <c r="AB21" i="12"/>
  <c r="K124" i="18" s="1"/>
  <c r="K21" i="12"/>
  <c r="K112" i="18" s="1"/>
  <c r="Y21" i="12"/>
  <c r="K121" i="18" s="1"/>
  <c r="AF21" i="12"/>
  <c r="K129" i="18" s="1"/>
  <c r="K61" i="18" s="1"/>
  <c r="P21" i="12"/>
  <c r="O23" i="27" s="1"/>
  <c r="O18" i="27" s="1"/>
  <c r="O25" i="27" s="1"/>
  <c r="O26" i="27" s="1"/>
  <c r="O25" i="12"/>
  <c r="O21" i="12" s="1"/>
  <c r="AD21" i="12"/>
  <c r="K127" i="18" s="1"/>
  <c r="F21" i="12"/>
  <c r="E23" i="27" s="1"/>
  <c r="E18" i="27" s="1"/>
  <c r="E25" i="27" s="1"/>
  <c r="E26" i="27" s="1"/>
  <c r="N21" i="12"/>
  <c r="Q26" i="24" s="1"/>
  <c r="L21" i="12"/>
  <c r="K113" i="18" s="1"/>
  <c r="K12" i="24" l="1"/>
  <c r="AE23" i="27"/>
  <c r="AE18" i="27" s="1"/>
  <c r="AE25" i="27" s="1"/>
  <c r="AE26" i="27" s="1"/>
  <c r="F129" i="18"/>
  <c r="F61" i="18" s="1"/>
  <c r="H12" i="24"/>
  <c r="R26" i="24"/>
  <c r="R38" i="24" s="1"/>
  <c r="M31" i="24"/>
  <c r="M35" i="24"/>
  <c r="M39" i="24" s="1"/>
  <c r="L114" i="18"/>
  <c r="K46" i="18"/>
  <c r="K49" i="18"/>
  <c r="K59" i="18"/>
  <c r="K58" i="18"/>
  <c r="K55" i="18"/>
  <c r="K57" i="18"/>
  <c r="K60" i="18"/>
  <c r="K50" i="18"/>
  <c r="K56" i="18"/>
  <c r="K63" i="18"/>
  <c r="K53" i="18"/>
  <c r="K51" i="18"/>
  <c r="K54" i="18"/>
  <c r="K45" i="18"/>
  <c r="J114" i="18"/>
  <c r="K114" i="18"/>
  <c r="K47" i="18" s="1"/>
  <c r="AG23" i="27"/>
  <c r="AG18" i="27" s="1"/>
  <c r="AG25" i="27" s="1"/>
  <c r="AG26" i="27" s="1"/>
  <c r="J131" i="18"/>
  <c r="K62" i="18"/>
  <c r="I23" i="27"/>
  <c r="I18" i="27" s="1"/>
  <c r="I25" i="27" s="1"/>
  <c r="I26" i="27" s="1"/>
  <c r="H18" i="27"/>
  <c r="H25" i="27" s="1"/>
  <c r="H26" i="27" s="1"/>
  <c r="Q21" i="12"/>
  <c r="P23" i="27" s="1"/>
  <c r="P18" i="27" s="1"/>
  <c r="P25" i="27" s="1"/>
  <c r="P26" i="27" s="1"/>
  <c r="J128" i="18"/>
  <c r="J123" i="18"/>
  <c r="J130" i="18"/>
  <c r="J127" i="18"/>
  <c r="J120" i="18"/>
  <c r="J122" i="18"/>
  <c r="J125" i="18"/>
  <c r="J121" i="18"/>
  <c r="J124" i="18"/>
  <c r="J118" i="18"/>
  <c r="J117" i="18"/>
  <c r="J113" i="18"/>
  <c r="J116" i="18"/>
  <c r="J112" i="18"/>
  <c r="X23" i="27"/>
  <c r="X18" i="27" s="1"/>
  <c r="X25" i="27" s="1"/>
  <c r="X26" i="27" s="1"/>
  <c r="G23" i="27"/>
  <c r="G18" i="27" s="1"/>
  <c r="G25" i="27" s="1"/>
  <c r="G26" i="27" s="1"/>
  <c r="AF18" i="27"/>
  <c r="AF25" i="27" s="1"/>
  <c r="AF26" i="27" s="1"/>
  <c r="AA23" i="27"/>
  <c r="AA18" i="27" s="1"/>
  <c r="AA25" i="27" s="1"/>
  <c r="AA26" i="27" s="1"/>
  <c r="S21" i="12"/>
  <c r="K115" i="18" s="1"/>
  <c r="F52" i="18"/>
  <c r="V23" i="27"/>
  <c r="V18" i="27" s="1"/>
  <c r="V25" i="27" s="1"/>
  <c r="V26" i="27" s="1"/>
  <c r="AB23" i="27"/>
  <c r="AB18" i="27" s="1"/>
  <c r="AB25" i="27" s="1"/>
  <c r="AB26" i="27" s="1"/>
  <c r="T23" i="27"/>
  <c r="T18" i="27" s="1"/>
  <c r="T25" i="27" s="1"/>
  <c r="T26" i="27" s="1"/>
  <c r="Y23" i="27"/>
  <c r="Y18" i="27" s="1"/>
  <c r="Y25" i="27" s="1"/>
  <c r="Y26" i="27" s="1"/>
  <c r="M21" i="12"/>
  <c r="L23" i="27" s="1"/>
  <c r="L18" i="27" s="1"/>
  <c r="L25" i="27" s="1"/>
  <c r="L26" i="27" s="1"/>
  <c r="AD23" i="27"/>
  <c r="AD18" i="27" s="1"/>
  <c r="AD25" i="27" s="1"/>
  <c r="AD26" i="27" s="1"/>
  <c r="N23" i="27"/>
  <c r="N18" i="27" s="1"/>
  <c r="N25" i="27" s="1"/>
  <c r="N26" i="27" s="1"/>
  <c r="U23" i="27"/>
  <c r="U18" i="27" s="1"/>
  <c r="U25" i="27" s="1"/>
  <c r="U26" i="27" s="1"/>
  <c r="AC23" i="27"/>
  <c r="AC18" i="27" s="1"/>
  <c r="AC25" i="27" s="1"/>
  <c r="AC26" i="27" s="1"/>
  <c r="Z23" i="27"/>
  <c r="Z18" i="27" s="1"/>
  <c r="Z25" i="27" s="1"/>
  <c r="Z26" i="27" s="1"/>
  <c r="F18" i="27"/>
  <c r="F25" i="27" s="1"/>
  <c r="F26" i="27" s="1"/>
  <c r="K23" i="27"/>
  <c r="K18" i="27" s="1"/>
  <c r="K25" i="27" s="1"/>
  <c r="K26" i="27" s="1"/>
  <c r="S23" i="27"/>
  <c r="S18" i="27" s="1"/>
  <c r="S25" i="27" s="1"/>
  <c r="S26" i="27" s="1"/>
  <c r="W23" i="27"/>
  <c r="W18" i="27" s="1"/>
  <c r="W25" i="27" s="1"/>
  <c r="W26" i="27" s="1"/>
  <c r="L26" i="24" l="1"/>
  <c r="M36" i="24"/>
  <c r="F127" i="18"/>
  <c r="F59" i="18" s="1"/>
  <c r="M40" i="24"/>
  <c r="M41" i="24"/>
  <c r="M42" i="24" s="1"/>
  <c r="I38" i="24"/>
  <c r="F123" i="18"/>
  <c r="F56" i="18" s="1"/>
  <c r="F131" i="18"/>
  <c r="F63" i="18" s="1"/>
  <c r="F112" i="18"/>
  <c r="F128" i="18"/>
  <c r="F60" i="18" s="1"/>
  <c r="F121" i="18"/>
  <c r="F54" i="18" s="1"/>
  <c r="F122" i="18"/>
  <c r="F55" i="18" s="1"/>
  <c r="J115" i="18"/>
  <c r="Q29" i="24"/>
  <c r="Q30" i="24" s="1"/>
  <c r="P29" i="24"/>
  <c r="P30" i="24" s="1"/>
  <c r="F124" i="18"/>
  <c r="F125" i="18"/>
  <c r="F120" i="18"/>
  <c r="F118" i="18"/>
  <c r="F51" i="18" s="1"/>
  <c r="F130" i="18"/>
  <c r="F116" i="18"/>
  <c r="F113" i="18"/>
  <c r="F117" i="18"/>
  <c r="F47" i="18"/>
  <c r="J23" i="27"/>
  <c r="R23" i="27"/>
  <c r="R18" i="27" s="1"/>
  <c r="R25" i="27" s="1"/>
  <c r="R26" i="27" s="1"/>
  <c r="R29" i="24"/>
  <c r="R30" i="24" s="1"/>
  <c r="M23" i="27"/>
  <c r="M18" i="27" s="1"/>
  <c r="M25" i="27" s="1"/>
  <c r="M26" i="27" s="1"/>
  <c r="L133" i="18"/>
  <c r="L47" i="18"/>
  <c r="L65" i="18" s="1"/>
  <c r="G38" i="24" l="1"/>
  <c r="H38" i="24" s="1"/>
  <c r="J18" i="27"/>
  <c r="J25" i="27" s="1"/>
  <c r="J26" i="27" s="1"/>
  <c r="D23" i="27"/>
  <c r="D18" i="27" s="1"/>
  <c r="D25" i="27" s="1"/>
  <c r="D26" i="27" s="1"/>
  <c r="N19" i="8"/>
  <c r="T19" i="8" s="1"/>
  <c r="P35" i="24"/>
  <c r="P36" i="24" s="1"/>
  <c r="P31" i="24"/>
  <c r="Q35" i="24"/>
  <c r="Q36" i="24" s="1"/>
  <c r="Q31" i="24"/>
  <c r="N20" i="8"/>
  <c r="T20" i="8" s="1"/>
  <c r="K133" i="18"/>
  <c r="K48" i="18"/>
  <c r="J26" i="24"/>
  <c r="I26" i="24" s="1"/>
  <c r="F115" i="18"/>
  <c r="F48" i="18" s="1"/>
  <c r="F57" i="18"/>
  <c r="J65" i="18"/>
  <c r="P37" i="24" s="1"/>
  <c r="P44" i="24" s="1"/>
  <c r="F58" i="18"/>
  <c r="F53" i="18"/>
  <c r="F62" i="18"/>
  <c r="F49" i="18"/>
  <c r="F46" i="18"/>
  <c r="J133" i="18"/>
  <c r="F50" i="18"/>
  <c r="F45" i="18"/>
  <c r="R31" i="24"/>
  <c r="R35" i="24"/>
  <c r="N22" i="8"/>
  <c r="T22" i="8" s="1"/>
  <c r="L66" i="18"/>
  <c r="R37" i="24"/>
  <c r="R44" i="24" s="1"/>
  <c r="L29" i="24" l="1"/>
  <c r="L30" i="24" s="1"/>
  <c r="L31" i="24" s="1"/>
  <c r="F133" i="18"/>
  <c r="P39" i="24"/>
  <c r="J66" i="18"/>
  <c r="F65" i="18"/>
  <c r="F66" i="18" s="1"/>
  <c r="K65" i="18"/>
  <c r="Q37" i="24" s="1"/>
  <c r="Q44" i="24" s="1"/>
  <c r="J29" i="24"/>
  <c r="J30" i="24" s="1"/>
  <c r="K26" i="24"/>
  <c r="K29" i="24" s="1"/>
  <c r="K30" i="24" s="1"/>
  <c r="R36" i="24"/>
  <c r="R39" i="24"/>
  <c r="P40" i="24" l="1"/>
  <c r="P41" i="24"/>
  <c r="P42" i="24" s="1"/>
  <c r="O133" i="18"/>
  <c r="P133" i="18"/>
  <c r="L35" i="24"/>
  <c r="L36" i="24" s="1"/>
  <c r="Q39" i="24"/>
  <c r="K66" i="18"/>
  <c r="L37" i="24"/>
  <c r="K35" i="24"/>
  <c r="K36" i="24" s="1"/>
  <c r="K31" i="24"/>
  <c r="J35" i="24"/>
  <c r="J36" i="24" s="1"/>
  <c r="J31" i="24"/>
  <c r="N18" i="8"/>
  <c r="R40" i="24"/>
  <c r="R41" i="24"/>
  <c r="R42" i="24" s="1"/>
  <c r="G26" i="24"/>
  <c r="G29" i="24" s="1"/>
  <c r="G30" i="24" s="1"/>
  <c r="I29" i="24"/>
  <c r="I30" i="24" s="1"/>
  <c r="Q40" i="24" l="1"/>
  <c r="Q41" i="24"/>
  <c r="Q42" i="24" s="1"/>
  <c r="G35" i="24"/>
  <c r="G31" i="24"/>
  <c r="L39" i="24"/>
  <c r="J37" i="24"/>
  <c r="L44" i="24"/>
  <c r="I35" i="24"/>
  <c r="I36" i="24" s="1"/>
  <c r="I31" i="24"/>
  <c r="H26" i="24"/>
  <c r="D11" i="28"/>
  <c r="T18" i="8"/>
  <c r="N16" i="8"/>
  <c r="T16" i="8" s="1"/>
  <c r="J44" i="24" l="1"/>
  <c r="D18" i="28" s="1"/>
  <c r="C18" i="28" s="1"/>
  <c r="J39" i="24"/>
  <c r="I37" i="24"/>
  <c r="K37" i="24"/>
  <c r="L40" i="24"/>
  <c r="L41" i="24"/>
  <c r="L42" i="24" s="1"/>
  <c r="D9" i="28"/>
  <c r="C11" i="28"/>
  <c r="H29" i="24"/>
  <c r="H30" i="24" s="1"/>
  <c r="I39" i="24" l="1"/>
  <c r="I41" i="24" s="1"/>
  <c r="I42" i="24" s="1"/>
  <c r="G37" i="24"/>
  <c r="G39" i="24" s="1"/>
  <c r="K44" i="24"/>
  <c r="K39" i="24"/>
  <c r="I44" i="24"/>
  <c r="J40" i="24"/>
  <c r="J41" i="24"/>
  <c r="J42" i="24" s="1"/>
  <c r="H31" i="24"/>
  <c r="H35" i="24"/>
  <c r="H36" i="24" s="1"/>
  <c r="D14" i="28"/>
  <c r="C9" i="28"/>
  <c r="I40" i="24" l="1"/>
  <c r="H37" i="24"/>
  <c r="G44" i="24"/>
  <c r="K41" i="24"/>
  <c r="K42" i="24" s="1"/>
  <c r="K40" i="24"/>
  <c r="G36" i="24"/>
  <c r="D15" i="28"/>
  <c r="C14" i="28"/>
  <c r="H44" i="24" l="1"/>
  <c r="H39" i="24"/>
  <c r="D19" i="28"/>
  <c r="D16" i="28"/>
  <c r="C15" i="28"/>
  <c r="C16" i="28" s="1"/>
  <c r="G40" i="24"/>
  <c r="G41" i="24"/>
  <c r="G42" i="24" s="1"/>
  <c r="H41" i="24" l="1"/>
  <c r="H42" i="24" s="1"/>
  <c r="H40" i="24"/>
  <c r="D20" i="28"/>
  <c r="C19" i="28"/>
  <c r="C20" i="28" s="1"/>
  <c r="J20" i="24"/>
  <c r="L19" i="24"/>
  <c r="J19" i="24" s="1"/>
  <c r="K20" i="24" l="1"/>
  <c r="K19" i="24" s="1"/>
  <c r="I20" i="24"/>
  <c r="I19" i="24" s="1"/>
  <c r="G19" i="24" s="1"/>
  <c r="H19" i="24" s="1"/>
  <c r="G20" i="24" l="1"/>
  <c r="H20" i="24" s="1"/>
</calcChain>
</file>

<file path=xl/comments1.xml><?xml version="1.0" encoding="utf-8"?>
<comments xmlns="http://schemas.openxmlformats.org/spreadsheetml/2006/main">
  <authors>
    <author>MIRACOM</author>
  </authors>
  <commentList>
    <comment ref="R7" authorId="0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CE 구독료 일경우 
AWS, eXbuilder 비용은 
[경비-지급수수료] 계정에 
반영 必</t>
        </r>
      </text>
    </comment>
    <comment ref="S7" authorId="0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한계이익률 
5% ~ 15% 준수</t>
        </r>
      </text>
    </comment>
    <comment ref="R38" authorId="0" shapeId="0">
      <text>
        <r>
          <rPr>
            <b/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돋움"/>
            <family val="3"/>
            <charset val="129"/>
          </rPr>
          <t>에서는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반영안됨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구독료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운영비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경비</t>
        </r>
        <r>
          <rPr>
            <b/>
            <sz val="9"/>
            <color indexed="81"/>
            <rFont val="Tahoma"/>
            <family val="2"/>
          </rPr>
          <t xml:space="preserve">*36.6% </t>
        </r>
        <r>
          <rPr>
            <b/>
            <sz val="9"/>
            <color indexed="81"/>
            <rFont val="돋움"/>
            <family val="3"/>
            <charset val="129"/>
          </rPr>
          <t xml:space="preserve">로직을
</t>
        </r>
        <r>
          <rPr>
            <b/>
            <sz val="9"/>
            <color indexed="81"/>
            <rFont val="Tahoma"/>
            <family val="2"/>
          </rPr>
          <t xml:space="preserve">    </t>
        </r>
        <r>
          <rPr>
            <b/>
            <sz val="9"/>
            <color indexed="81"/>
            <rFont val="돋움"/>
            <family val="3"/>
            <charset val="129"/>
          </rPr>
          <t>반영하기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어려움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서미경</author>
  </authors>
  <commentList>
    <comment ref="N25" authorId="0" shapeId="0">
      <text>
        <r>
          <rPr>
            <sz val="9"/>
            <color indexed="81"/>
            <rFont val="굴림"/>
            <family val="3"/>
            <charset val="129"/>
          </rPr>
          <t>수금전 결제시 비고란에 그 내용을 명시</t>
        </r>
      </text>
    </comment>
  </commentList>
</comments>
</file>

<file path=xl/comments3.xml><?xml version="1.0" encoding="utf-8"?>
<comments xmlns="http://schemas.openxmlformats.org/spreadsheetml/2006/main">
  <authors>
    <author>BONG</author>
  </authors>
  <commentList>
    <comment ref="G4" authorId="0" shapeId="0">
      <text>
        <r>
          <rPr>
            <sz val="9"/>
            <color indexed="81"/>
            <rFont val="Tahoma"/>
            <family val="2"/>
          </rPr>
          <t xml:space="preserve">Maintenance : HW/SW </t>
        </r>
        <r>
          <rPr>
            <sz val="9"/>
            <color indexed="81"/>
            <rFont val="돋움"/>
            <family val="3"/>
            <charset val="129"/>
          </rPr>
          <t>유지보수일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
Service : ERP MA </t>
        </r>
        <r>
          <rPr>
            <sz val="9"/>
            <color indexed="81"/>
            <rFont val="돋움"/>
            <family val="3"/>
            <charset val="129"/>
          </rPr>
          <t>외주비일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Development : </t>
        </r>
        <r>
          <rPr>
            <sz val="9"/>
            <color indexed="81"/>
            <rFont val="돋움"/>
            <family val="3"/>
            <charset val="129"/>
          </rPr>
          <t>상기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</text>
    </comment>
  </commentList>
</comments>
</file>

<file path=xl/comments4.xml><?xml version="1.0" encoding="utf-8"?>
<comments xmlns="http://schemas.openxmlformats.org/spreadsheetml/2006/main">
  <authors>
    <author>Yeonhee</author>
    <author>admin</author>
    <author>MIRACOM</author>
    <author>BONG</author>
    <author>prof</author>
  </authors>
  <commentList>
    <comment ref="H2" authorId="0" shapeId="0">
      <text>
        <r>
          <rPr>
            <sz val="9"/>
            <color indexed="81"/>
            <rFont val="맑은 고딕"/>
            <family val="3"/>
            <charset val="129"/>
            <scheme val="minor"/>
          </rPr>
          <t>- PJT 행사비는 고객동반 행사限 비용
- PJT 기간별 별도 적용(총 3회 限, 킥오프 / 중간보고 / 종료보고)
  · 3개월 이내 : 1회 限 / 6개월 이내 : 2회 / 6개월 초과 : 3회
- 금액 기준
  · 당사 및 협력사 : 20,000원 / 人 / 1日
  · 고객사 : 30,000원 / 人 / 1日
- 주의사항
  · 숙박 時 별도 품의 진행
  · 선물, 기념품 제작은 원칙적으로 불허
     단, 고객 요구 時 별도 품의를 통해 집행(경영지원팀장 합의)
  · 룸싸롱, 단라주점 等 유흥업소와 상품권 구입 等 접대성 비용은 행사비 집행 불허
  · 행사비 中 요식성 경비는 행사 당일 사용분만 인정, 잔여예산 회식 等 사용 불허</t>
        </r>
      </text>
    </comment>
    <comment ref="D3" authorId="1" shapeId="0">
      <text>
        <r>
          <rPr>
            <sz val="8"/>
            <color indexed="39"/>
            <rFont val="맑은 고딕"/>
            <family val="3"/>
            <charset val="129"/>
          </rPr>
          <t>1MM당(1명 1개월 full 근무기준) 숙박일수 임의 세팅 
국내출장 16박/1MM,  해외출장 30박/1MM
* 해당 기준과 실제 산정시 1~2일 차이 날 수 있음 → 변경 필요시 사업지원 연락</t>
        </r>
      </text>
    </comment>
    <comment ref="E3" authorId="2" shapeId="0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환율
변경</t>
        </r>
        <r>
          <rPr>
            <b/>
            <sz val="9"/>
            <color indexed="81"/>
            <rFont val="Tahoma"/>
            <family val="2"/>
          </rPr>
          <t xml:space="preserve"> : (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환율</t>
        </r>
        <r>
          <rPr>
            <b/>
            <sz val="9"/>
            <color indexed="81"/>
            <rFont val="Tahoma"/>
            <family val="2"/>
          </rPr>
          <t xml:space="preserve"> +(</t>
        </r>
        <r>
          <rPr>
            <b/>
            <sz val="9"/>
            <color indexed="81"/>
            <rFont val="돋움"/>
            <family val="3"/>
            <charset val="129"/>
          </rPr>
          <t>추가수주액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환율</t>
        </r>
        <r>
          <rPr>
            <b/>
            <sz val="9"/>
            <color indexed="81"/>
            <rFont val="Tahoma"/>
            <family val="2"/>
          </rPr>
          <t xml:space="preserve">))/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F3" authorId="0" shapeId="0">
      <text>
        <r>
          <rPr>
            <b/>
            <sz val="9"/>
            <color indexed="81"/>
            <rFont val="돋움"/>
            <family val="3"/>
            <charset val="129"/>
          </rPr>
          <t>네이버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길찾기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최적거리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본사에서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수행프로젝트간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거리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2" authorId="2" shapeId="0">
      <text>
        <r>
          <rPr>
            <b/>
            <sz val="9"/>
            <color indexed="81"/>
            <rFont val="돋움"/>
            <family val="3"/>
            <charset val="129"/>
          </rPr>
          <t>운영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유지보수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경비는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운영손익에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2" authorId="3" shapeId="0">
      <text>
        <r>
          <rPr>
            <sz val="9"/>
            <color indexed="81"/>
            <rFont val="Tahoma"/>
            <family val="2"/>
          </rPr>
          <t>H101, EAI</t>
        </r>
      </text>
    </comment>
    <comment ref="D22" authorId="0" shapeId="0">
      <text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x 3.0%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그룹外사업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용역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솔루션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수주액의</t>
        </r>
        <r>
          <rPr>
            <b/>
            <sz val="9"/>
            <color indexed="81"/>
            <rFont val="Tahoma"/>
            <family val="2"/>
          </rPr>
          <t xml:space="preserve"> 0.5% (H/W, S/W </t>
        </r>
        <r>
          <rPr>
            <b/>
            <sz val="9"/>
            <color indexed="81"/>
            <rFont val="돋움"/>
            <family val="3"/>
            <charset val="129"/>
          </rPr>
          <t>수주액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 xml:space="preserve">)
- </t>
        </r>
        <r>
          <rPr>
            <b/>
            <sz val="9"/>
            <color indexed="81"/>
            <rFont val="돋움"/>
            <family val="3"/>
            <charset val="129"/>
          </rPr>
          <t>그룹內사업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용역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솔루션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수주액의</t>
        </r>
        <r>
          <rPr>
            <b/>
            <sz val="9"/>
            <color indexed="81"/>
            <rFont val="Tahoma"/>
            <family val="2"/>
          </rPr>
          <t xml:space="preserve"> 0.3% (H/W, S/W </t>
        </r>
        <r>
          <rPr>
            <b/>
            <sz val="9"/>
            <color indexed="81"/>
            <rFont val="돋움"/>
            <family val="3"/>
            <charset val="129"/>
          </rPr>
          <t>수주액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</rPr>
          <t>1M/M 35,000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('25.7.1 ~)
</t>
        </r>
      </text>
    </comment>
    <comment ref="B25" authorId="0" shapeId="0">
      <text>
        <r>
          <rPr>
            <sz val="9"/>
            <color indexed="81"/>
            <rFont val="Tahoma"/>
            <family val="2"/>
          </rPr>
          <t xml:space="preserve">- PJT </t>
        </r>
        <r>
          <rPr>
            <sz val="9"/>
            <color indexed="81"/>
            <rFont val="돋움"/>
            <family val="3"/>
            <charset val="129"/>
          </rPr>
          <t>행사비는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고객동반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행사限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비용
</t>
        </r>
        <r>
          <rPr>
            <sz val="9"/>
            <color indexed="81"/>
            <rFont val="Tahoma"/>
            <family val="2"/>
          </rPr>
          <t xml:space="preserve">- PJT </t>
        </r>
        <r>
          <rPr>
            <sz val="9"/>
            <color indexed="81"/>
            <rFont val="돋움"/>
            <family val="3"/>
            <charset val="129"/>
          </rPr>
          <t>기간별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킥오프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중간보고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종료보고</t>
        </r>
        <r>
          <rPr>
            <sz val="9"/>
            <color indexed="81"/>
            <rFont val="Tahoma"/>
            <family val="2"/>
          </rPr>
          <t>)
  · 3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: 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限</t>
        </r>
        <r>
          <rPr>
            <sz val="9"/>
            <color indexed="81"/>
            <rFont val="Tahoma"/>
            <family val="2"/>
          </rPr>
          <t xml:space="preserve"> /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: 2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/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초과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 xml:space="preserve">회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기준
</t>
        </r>
        <r>
          <rPr>
            <sz val="9"/>
            <color indexed="81"/>
            <rFont val="Tahoma"/>
            <family val="2"/>
          </rPr>
          <t xml:space="preserve">  · </t>
        </r>
        <r>
          <rPr>
            <sz val="9"/>
            <color indexed="81"/>
            <rFont val="돋움"/>
            <family val="3"/>
            <charset val="129"/>
          </rPr>
          <t>당사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협력사</t>
        </r>
        <r>
          <rPr>
            <sz val="9"/>
            <color indexed="81"/>
            <rFont val="Tahoma"/>
            <family val="2"/>
          </rPr>
          <t xml:space="preserve"> : 20,000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人</t>
        </r>
        <r>
          <rPr>
            <sz val="9"/>
            <color indexed="81"/>
            <rFont val="Tahoma"/>
            <family val="2"/>
          </rPr>
          <t xml:space="preserve"> / 1</t>
        </r>
        <r>
          <rPr>
            <sz val="9"/>
            <color indexed="81"/>
            <rFont val="돋움"/>
            <family val="3"/>
            <charset val="129"/>
          </rPr>
          <t xml:space="preserve">日
</t>
        </r>
        <r>
          <rPr>
            <sz val="9"/>
            <color indexed="81"/>
            <rFont val="Tahoma"/>
            <family val="2"/>
          </rPr>
          <t xml:space="preserve">  · </t>
        </r>
        <r>
          <rPr>
            <sz val="9"/>
            <color indexed="81"/>
            <rFont val="돋움"/>
            <family val="3"/>
            <charset val="129"/>
          </rPr>
          <t>고객사</t>
        </r>
        <r>
          <rPr>
            <sz val="9"/>
            <color indexed="81"/>
            <rFont val="Tahoma"/>
            <family val="2"/>
          </rPr>
          <t xml:space="preserve"> : 30,000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人</t>
        </r>
        <r>
          <rPr>
            <sz val="9"/>
            <color indexed="81"/>
            <rFont val="Tahoma"/>
            <family val="2"/>
          </rPr>
          <t xml:space="preserve"> / 1</t>
        </r>
        <r>
          <rPr>
            <sz val="9"/>
            <color indexed="81"/>
            <rFont val="돋움"/>
            <family val="3"/>
            <charset val="129"/>
          </rPr>
          <t xml:space="preserve">日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 xml:space="preserve">주의사항
</t>
        </r>
        <r>
          <rPr>
            <sz val="9"/>
            <color indexed="81"/>
            <rFont val="Tahoma"/>
            <family val="2"/>
          </rPr>
          <t xml:space="preserve">  · </t>
        </r>
        <r>
          <rPr>
            <sz val="9"/>
            <color indexed="81"/>
            <rFont val="돋움"/>
            <family val="3"/>
            <charset val="129"/>
          </rPr>
          <t>숙박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  <r>
          <rPr>
            <sz val="9"/>
            <color indexed="81"/>
            <rFont val="Tahoma"/>
            <family val="2"/>
          </rPr>
          <t xml:space="preserve">  · </t>
        </r>
        <r>
          <rPr>
            <sz val="9"/>
            <color indexed="81"/>
            <rFont val="돋움"/>
            <family val="3"/>
            <charset val="129"/>
          </rPr>
          <t>선물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기념품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원칙적으로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불허
</t>
        </r>
        <r>
          <rPr>
            <sz val="9"/>
            <color indexed="81"/>
            <rFont val="Tahoma"/>
            <family val="2"/>
          </rPr>
          <t xml:space="preserve">     </t>
        </r>
        <r>
          <rPr>
            <sz val="9"/>
            <color indexed="81"/>
            <rFont val="돋움"/>
            <family val="3"/>
            <charset val="129"/>
          </rPr>
          <t>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고객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경영지원팀장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합의</t>
        </r>
        <r>
          <rPr>
            <sz val="9"/>
            <color indexed="81"/>
            <rFont val="Tahoma"/>
            <family val="2"/>
          </rPr>
          <t xml:space="preserve">)
  · </t>
        </r>
        <r>
          <rPr>
            <sz val="9"/>
            <color indexed="81"/>
            <rFont val="돋움"/>
            <family val="3"/>
            <charset val="129"/>
          </rPr>
          <t>룸싸롱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단란주점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유흥업소와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상품권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접대성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 xml:space="preserve">불허
</t>
        </r>
        <r>
          <rPr>
            <sz val="9"/>
            <color indexed="81"/>
            <rFont val="Tahoma"/>
            <family val="2"/>
          </rPr>
          <t xml:space="preserve">  · </t>
        </r>
        <r>
          <rPr>
            <sz val="9"/>
            <color indexed="81"/>
            <rFont val="돋움"/>
            <family val="3"/>
            <charset val="129"/>
          </rPr>
          <t>행사비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요식성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사용분만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잔여예산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사용불허</t>
        </r>
      </text>
    </comment>
    <comment ref="D28" authorId="4" shapeId="0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
30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주말</t>
        </r>
        <r>
          <rPr>
            <sz val="9"/>
            <color indexed="81"/>
            <rFont val="Tahoma"/>
            <family val="2"/>
          </rPr>
          <t xml:space="preserve"> 8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</text>
    </comment>
    <comment ref="D29" authorId="0" shapeId="0">
      <text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횟수
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달동안</t>
        </r>
        <r>
          <rPr>
            <sz val="9"/>
            <color indexed="81"/>
            <rFont val="Tahoma"/>
            <family val="2"/>
          </rPr>
          <t xml:space="preserve"> PJT</t>
        </r>
        <r>
          <rPr>
            <sz val="9"/>
            <color indexed="81"/>
            <rFont val="돋움"/>
            <family val="3"/>
            <charset val="129"/>
          </rPr>
          <t>사이트에서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숙박시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D30" authorId="0" shapeId="0">
      <text>
        <r>
          <rPr>
            <b/>
            <sz val="9"/>
            <color indexed="81"/>
            <rFont val="돋움"/>
            <family val="3"/>
            <charset val="129"/>
          </rPr>
          <t>예상통행료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편도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31" authorId="4" shapeId="0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
주말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박</t>
        </r>
        <r>
          <rPr>
            <sz val="9"/>
            <color indexed="81"/>
            <rFont val="Tahoma"/>
            <family val="2"/>
          </rPr>
          <t xml:space="preserve"> * 4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D33" authorId="0" shapeId="0">
      <text>
        <r>
          <rPr>
            <sz val="9"/>
            <color indexed="81"/>
            <rFont val="돋움"/>
            <family val="3"/>
            <charset val="129"/>
          </rPr>
          <t>경비 기준 sheet참조
국가별 해외출장비
일당 기준 참고</t>
        </r>
      </text>
    </comment>
    <comment ref="D34" authorId="0" shapeId="0">
      <text>
        <r>
          <rPr>
            <sz val="9"/>
            <color indexed="81"/>
            <rFont val="돋움"/>
            <family val="3"/>
            <charset val="129"/>
          </rPr>
          <t>기준금액</t>
        </r>
      </text>
    </comment>
    <comment ref="D35" authorId="0" shapeId="0">
      <text>
        <r>
          <rPr>
            <sz val="9"/>
            <color indexed="81"/>
            <rFont val="돋움"/>
            <family val="3"/>
            <charset val="129"/>
          </rPr>
          <t>예상 1회(왕복)
항공료(KRW)</t>
        </r>
      </text>
    </comment>
    <comment ref="D36" authorId="0" shapeId="0">
      <text>
        <r>
          <rPr>
            <sz val="9"/>
            <color indexed="81"/>
            <rFont val="돋움"/>
            <family val="3"/>
            <charset val="129"/>
          </rPr>
          <t>경비 기준 sheet참조
국가별 해외숙박비
기준 참고</t>
        </r>
      </text>
    </comment>
    <comment ref="D37" authorId="2" shapeId="0">
      <text>
        <r>
          <rPr>
            <sz val="9"/>
            <color indexed="81"/>
            <rFont val="돋움"/>
            <family val="3"/>
            <charset val="129"/>
          </rPr>
          <t>※ 해외출장 비자발급 수수료 Sheet 참고</t>
        </r>
      </text>
    </comment>
    <comment ref="D42" authorId="0" shapeId="0">
      <text>
        <r>
          <rPr>
            <b/>
            <sz val="9"/>
            <color indexed="81"/>
            <rFont val="돋움"/>
            <family val="3"/>
            <charset val="129"/>
          </rPr>
          <t>예상통행료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편도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F43" authorId="0" shapeId="0">
      <text>
        <r>
          <rPr>
            <b/>
            <sz val="9"/>
            <color indexed="81"/>
            <rFont val="돋움"/>
            <family val="3"/>
            <charset val="129"/>
          </rPr>
          <t>왕복</t>
        </r>
        <r>
          <rPr>
            <b/>
            <sz val="9"/>
            <color indexed="81"/>
            <rFont val="Tahoma"/>
            <family val="2"/>
          </rPr>
          <t xml:space="preserve"> 70,000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  <r>
          <rPr>
            <b/>
            <sz val="9"/>
            <color indexed="81"/>
            <rFont val="Tahoma"/>
            <family val="2"/>
          </rPr>
          <t>70,000*</t>
        </r>
        <r>
          <rPr>
            <b/>
            <sz val="9"/>
            <color indexed="81"/>
            <rFont val="돋움"/>
            <family val="3"/>
            <charset val="129"/>
          </rPr>
          <t>예상</t>
        </r>
        <r>
          <rPr>
            <b/>
            <sz val="9"/>
            <color indexed="81"/>
            <rFont val="Tahoma"/>
            <family val="2"/>
          </rPr>
          <t>M/M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F46" authorId="0" shapeId="0">
      <text>
        <r>
          <rPr>
            <b/>
            <sz val="9"/>
            <color indexed="81"/>
            <rFont val="돋움"/>
            <family val="3"/>
            <charset val="129"/>
          </rPr>
          <t>대내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외주</t>
        </r>
        <r>
          <rPr>
            <b/>
            <sz val="9"/>
            <color indexed="81"/>
            <rFont val="Tahoma"/>
            <family val="2"/>
          </rPr>
          <t xml:space="preserve"> M/M</t>
        </r>
      </text>
    </comment>
    <comment ref="D50" authorId="2" shapeId="0">
      <text>
        <r>
          <rPr>
            <b/>
            <sz val="9"/>
            <color indexed="81"/>
            <rFont val="Tahoma"/>
            <family val="2"/>
          </rPr>
          <t xml:space="preserve">AWS, eXBuilder 
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1" authorId="2" shapeId="0">
      <text>
        <r>
          <rPr>
            <sz val="9"/>
            <color indexed="81"/>
            <rFont val="돋움"/>
            <family val="3"/>
            <charset val="129"/>
          </rPr>
          <t>□</t>
        </r>
        <r>
          <rPr>
            <sz val="9"/>
            <color indexed="81"/>
            <rFont val="Tahoma"/>
            <family val="2"/>
          </rPr>
          <t xml:space="preserve"> MES Lic 7.x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eXBuilder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반영
</t>
        </r>
        <r>
          <rPr>
            <sz val="9"/>
            <color indexed="81"/>
            <rFont val="Tahoma"/>
            <family val="2"/>
          </rPr>
          <t xml:space="preserve"> - License </t>
        </r>
        <r>
          <rPr>
            <sz val="9"/>
            <color indexed="81"/>
            <rFont val="돋움"/>
            <family val="3"/>
            <charset val="129"/>
          </rPr>
          <t>금액의</t>
        </r>
        <r>
          <rPr>
            <sz val="9"/>
            <color indexed="81"/>
            <rFont val="Tahoma"/>
            <family val="2"/>
          </rPr>
          <t xml:space="preserve"> 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3" authorId="0" shapeId="0">
      <text>
        <r>
          <rPr>
            <sz val="9"/>
            <color indexed="81"/>
            <rFont val="돋움"/>
            <family val="3"/>
            <charset val="129"/>
          </rPr>
          <t>임차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개월수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3" authorId="0" shapeId="0">
      <text>
        <r>
          <rPr>
            <b/>
            <sz val="9"/>
            <color indexed="81"/>
            <rFont val="돋움"/>
            <family val="3"/>
            <charset val="129"/>
          </rPr>
          <t>임차건수</t>
        </r>
      </text>
    </comment>
    <comment ref="D54" authorId="0" shapeId="0">
      <text>
        <r>
          <rPr>
            <b/>
            <sz val="9"/>
            <color indexed="81"/>
            <rFont val="돋움"/>
            <family val="3"/>
            <charset val="129"/>
          </rPr>
          <t>월세+관리비</t>
        </r>
      </text>
    </comment>
    <comment ref="D62" authorId="3" shapeId="0">
      <text>
        <r>
          <rPr>
            <sz val="9"/>
            <color indexed="81"/>
            <rFont val="돋움"/>
            <family val="3"/>
            <charset val="129"/>
          </rPr>
          <t>보증보험료</t>
        </r>
        <r>
          <rPr>
            <sz val="9"/>
            <color indexed="81"/>
            <rFont val="Tahoma"/>
            <family val="2"/>
          </rPr>
          <t>Sheet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보증보험료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부서별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BONG</author>
    <author>MIRACOM</author>
  </authors>
  <commentList>
    <comment ref="H3" authorId="0" shapeId="0">
      <text>
        <r>
          <rPr>
            <b/>
            <sz val="11"/>
            <color indexed="81"/>
            <rFont val="돋움"/>
            <family val="3"/>
            <charset val="129"/>
          </rPr>
          <t>※위험비용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반영을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위한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비율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
 · SER :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1%, </t>
        </r>
        <r>
          <rPr>
            <sz val="9"/>
            <color indexed="81"/>
            <rFont val="돋움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 xml:space="preserve"> 2%
 · H/W : AX/RX 5%,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0.5%, </t>
        </r>
        <r>
          <rPr>
            <sz val="9"/>
            <color indexed="81"/>
            <rFont val="돋움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 xml:space="preserve"> 1%</t>
        </r>
      </text>
    </comment>
    <comment ref="P9" authorId="1" shapeId="0">
      <text>
        <r>
          <rPr>
            <sz val="9"/>
            <color indexed="81"/>
            <rFont val="Tahoma"/>
            <family val="2"/>
          </rPr>
          <t>H101, EAI</t>
        </r>
      </text>
    </comment>
    <comment ref="C13" authorId="2" shapeId="0">
      <text>
        <r>
          <rPr>
            <sz val="9"/>
            <color indexed="81"/>
            <rFont val="Tahoma"/>
            <family val="2"/>
          </rPr>
          <t xml:space="preserve">LIC SE v7.0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>eXBuilder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반영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: Lic * 5%
 - </t>
        </r>
        <r>
          <rPr>
            <sz val="9"/>
            <color indexed="81"/>
            <rFont val="돋움"/>
            <family val="3"/>
            <charset val="129"/>
          </rPr>
          <t>계정</t>
        </r>
        <r>
          <rPr>
            <sz val="9"/>
            <color indexed="81"/>
            <rFont val="Tahoma"/>
            <family val="2"/>
          </rPr>
          <t xml:space="preserve"> : 4. </t>
        </r>
        <r>
          <rPr>
            <sz val="9"/>
            <color indexed="81"/>
            <rFont val="돋움"/>
            <family val="3"/>
            <charset val="129"/>
          </rPr>
          <t>경비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지급수수료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자동반영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>
  <authors>
    <author>MIRACOM</author>
  </authors>
  <commentList>
    <comment ref="D1" authorId="0" shapeId="0">
      <text>
        <r>
          <rPr>
            <sz val="9"/>
            <color indexed="81"/>
            <rFont val="Tahoma"/>
            <family val="2"/>
          </rPr>
          <t>- SF</t>
        </r>
        <r>
          <rPr>
            <sz val="9"/>
            <color indexed="81"/>
            <rFont val="돋움"/>
            <family val="3"/>
            <charset val="129"/>
          </rPr>
          <t>사업만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변경함</t>
        </r>
        <r>
          <rPr>
            <sz val="9"/>
            <color indexed="81"/>
            <rFont val="Tahoma"/>
            <family val="2"/>
          </rPr>
          <t>(5/11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<sst xmlns="http://schemas.openxmlformats.org/spreadsheetml/2006/main" count="4161" uniqueCount="1172">
  <si>
    <t>Duty Code</t>
  </si>
  <si>
    <t>Duty</t>
  </si>
  <si>
    <t>Level Code</t>
  </si>
  <si>
    <t>Level</t>
  </si>
  <si>
    <t>Wages</t>
  </si>
  <si>
    <t>Wel Exp-Pension Fund</t>
  </si>
  <si>
    <t>Wel Exp-Pers Pension</t>
  </si>
  <si>
    <t>Wel Exp-Medi Insur</t>
  </si>
  <si>
    <t>Wel Exp-Acci Insur</t>
  </si>
  <si>
    <t>Wel Exp-Owner Drive</t>
  </si>
  <si>
    <t>M42118</t>
  </si>
  <si>
    <t>WCHB0Q</t>
  </si>
  <si>
    <t>이사</t>
  </si>
  <si>
    <t>WCHB1E</t>
  </si>
  <si>
    <t>부장</t>
  </si>
  <si>
    <t>WCHB1G</t>
  </si>
  <si>
    <t>수석</t>
  </si>
  <si>
    <t>WCHB1H</t>
  </si>
  <si>
    <t>수석보</t>
  </si>
  <si>
    <t>WCHB2E</t>
  </si>
  <si>
    <t>차장</t>
  </si>
  <si>
    <t>WCHB2F</t>
  </si>
  <si>
    <t>과장</t>
  </si>
  <si>
    <t>WCHB2H</t>
  </si>
  <si>
    <t>책임</t>
  </si>
  <si>
    <t>WCHB3E</t>
  </si>
  <si>
    <t>대리</t>
  </si>
  <si>
    <t>WCHB3G</t>
  </si>
  <si>
    <t>선임</t>
  </si>
  <si>
    <t>WCHB4E</t>
  </si>
  <si>
    <t>사원</t>
  </si>
  <si>
    <t>M42131</t>
  </si>
  <si>
    <t/>
  </si>
  <si>
    <t>M72132</t>
  </si>
  <si>
    <t>M72135</t>
  </si>
  <si>
    <t>전자SET팀</t>
  </si>
  <si>
    <t>M72136</t>
  </si>
  <si>
    <t>부품그룹</t>
  </si>
  <si>
    <t>M72138</t>
  </si>
  <si>
    <t>금융/서비스팀</t>
  </si>
  <si>
    <t>M72139</t>
  </si>
  <si>
    <t>무선서비스운영그룹</t>
  </si>
  <si>
    <t>M72194</t>
  </si>
  <si>
    <t>전자솔루션그룹</t>
  </si>
  <si>
    <t>M72195</t>
  </si>
  <si>
    <t>전자DS그룹</t>
  </si>
  <si>
    <t>M72197</t>
  </si>
  <si>
    <t>제조그룹</t>
  </si>
  <si>
    <t>M72198</t>
  </si>
  <si>
    <t>서비스그룹</t>
  </si>
  <si>
    <t>M72213</t>
  </si>
  <si>
    <t>전자고객그룹</t>
  </si>
  <si>
    <t>M72214</t>
  </si>
  <si>
    <t>M72223</t>
  </si>
  <si>
    <t>스마트팩토리운영팀</t>
  </si>
  <si>
    <t>M72225</t>
  </si>
  <si>
    <t>생명/증권그룹</t>
  </si>
  <si>
    <t>M72226</t>
  </si>
  <si>
    <t>화재/카드그룹</t>
  </si>
  <si>
    <t>M72239</t>
  </si>
  <si>
    <t>부품/제조팀</t>
  </si>
  <si>
    <t>M72273</t>
  </si>
  <si>
    <t>M72274</t>
  </si>
  <si>
    <t>클라우드기술그룹</t>
  </si>
  <si>
    <t>M72308</t>
  </si>
  <si>
    <t>G-ERP운영그룹</t>
  </si>
  <si>
    <t>M84000</t>
  </si>
  <si>
    <t>스마트팩토리실행팀</t>
  </si>
  <si>
    <t>M84001</t>
  </si>
  <si>
    <t>대외실행그룹</t>
  </si>
  <si>
    <t>M84002</t>
  </si>
  <si>
    <t>PLM그룹</t>
  </si>
  <si>
    <t>M84010</t>
  </si>
  <si>
    <t>스마트팩토리실행그룹</t>
  </si>
  <si>
    <t>M84016</t>
  </si>
  <si>
    <t>설비/지능화실행팀</t>
  </si>
  <si>
    <t>M84018</t>
  </si>
  <si>
    <t>설비/물류그룹</t>
  </si>
  <si>
    <t>M84019</t>
  </si>
  <si>
    <t>제조지능화그룹</t>
  </si>
  <si>
    <t>M91502</t>
  </si>
  <si>
    <t>물류자동화컨설팅/실행</t>
  </si>
  <si>
    <t>특급II</t>
  </si>
  <si>
    <t>등급</t>
    <phoneticPr fontId="1" type="noConversion"/>
  </si>
  <si>
    <t>직급</t>
    <phoneticPr fontId="1" type="noConversion"/>
  </si>
  <si>
    <t>조직</t>
    <phoneticPr fontId="1" type="noConversion"/>
  </si>
  <si>
    <t>조직</t>
    <phoneticPr fontId="1" type="noConversion"/>
  </si>
  <si>
    <t>1월</t>
    <phoneticPr fontId="1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</si>
  <si>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</si>
  <si>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</si>
  <si>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</si>
  <si>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</si>
  <si>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</si>
  <si>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</si>
  <si>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</si>
  <si>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</si>
  <si>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</si>
  <si>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</si>
  <si>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</si>
  <si>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비고</t>
    <phoneticPr fontId="1" type="noConversion"/>
  </si>
  <si>
    <t>솔루션</t>
    <phoneticPr fontId="1" type="noConversion"/>
  </si>
  <si>
    <t>No</t>
    <phoneticPr fontId="1" type="noConversion"/>
  </si>
  <si>
    <t>고급II~특급II</t>
    <phoneticPr fontId="1" type="noConversion"/>
  </si>
  <si>
    <t>중급~고급I</t>
    <phoneticPr fontId="1" type="noConversion"/>
  </si>
  <si>
    <t>초급I~초급II</t>
    <phoneticPr fontId="1" type="noConversion"/>
  </si>
  <si>
    <t>특급II</t>
    <phoneticPr fontId="1" type="noConversion"/>
  </si>
  <si>
    <t>솔루션</t>
    <phoneticPr fontId="1" type="noConversion"/>
  </si>
  <si>
    <t>M/M
합계</t>
    <phoneticPr fontId="1" type="noConversion"/>
  </si>
  <si>
    <t>계</t>
    <phoneticPr fontId="1" type="noConversion"/>
  </si>
  <si>
    <t>Labor Cost</t>
    <phoneticPr fontId="1" type="noConversion"/>
  </si>
  <si>
    <t>특급II</t>
    <phoneticPr fontId="1" type="noConversion"/>
  </si>
  <si>
    <t>고급II~특급II</t>
    <phoneticPr fontId="1" type="noConversion"/>
  </si>
  <si>
    <t>중급~고급I</t>
    <phoneticPr fontId="1" type="noConversion"/>
  </si>
  <si>
    <t>조직</t>
  </si>
  <si>
    <t>직급</t>
  </si>
  <si>
    <t>등급</t>
  </si>
  <si>
    <t>인건비</t>
    <phoneticPr fontId="1" type="noConversion"/>
  </si>
  <si>
    <t>M/M</t>
    <phoneticPr fontId="1" type="noConversion"/>
  </si>
  <si>
    <t>구분</t>
    <phoneticPr fontId="1" type="noConversion"/>
  </si>
  <si>
    <t>input only yellow cells</t>
    <phoneticPr fontId="1" type="noConversion"/>
  </si>
  <si>
    <t>비고</t>
    <phoneticPr fontId="1" type="noConversion"/>
  </si>
  <si>
    <t>계약종료일</t>
    <phoneticPr fontId="1" type="noConversion"/>
  </si>
  <si>
    <t>M/M</t>
    <phoneticPr fontId="1" type="noConversion"/>
  </si>
  <si>
    <t>업체명</t>
    <phoneticPr fontId="1" type="noConversion"/>
  </si>
  <si>
    <t>계약시작일</t>
    <phoneticPr fontId="1" type="noConversion"/>
  </si>
  <si>
    <t>Wel Exp-Insur for Aged</t>
    <phoneticPr fontId="1" type="noConversion"/>
  </si>
  <si>
    <t>Wel Exp-Empl Insur</t>
    <phoneticPr fontId="1" type="noConversion"/>
  </si>
  <si>
    <t>일당</t>
  </si>
  <si>
    <t>교통비(통행료)</t>
  </si>
  <si>
    <t>숙박비</t>
  </si>
  <si>
    <t>교통비(리무진, 출퇴근)</t>
  </si>
  <si>
    <t>교통비(항공료)</t>
  </si>
  <si>
    <t>항목</t>
    <phoneticPr fontId="1" type="noConversion"/>
  </si>
  <si>
    <t>국내출장</t>
    <phoneticPr fontId="1" type="noConversion"/>
  </si>
  <si>
    <t>해외출장</t>
    <phoneticPr fontId="1" type="noConversion"/>
  </si>
  <si>
    <t>2개월↓(출장)</t>
    <phoneticPr fontId="1" type="noConversion"/>
  </si>
  <si>
    <t>2개월↑(파견)</t>
    <phoneticPr fontId="1" type="noConversion"/>
  </si>
  <si>
    <t>구분</t>
    <phoneticPr fontId="1" type="noConversion"/>
  </si>
  <si>
    <r>
      <t>국내출장비</t>
    </r>
    <r>
      <rPr>
        <sz val="8"/>
        <color theme="1"/>
        <rFont val="맑은 고딕"/>
        <family val="3"/>
        <charset val="129"/>
        <scheme val="minor"/>
      </rPr>
      <t>(Travel Exp-Domestic)</t>
    </r>
    <phoneticPr fontId="1" type="noConversion"/>
  </si>
  <si>
    <r>
      <t>해외출장비</t>
    </r>
    <r>
      <rPr>
        <sz val="8"/>
        <color theme="1"/>
        <rFont val="맑은 고딕"/>
        <family val="3"/>
        <charset val="129"/>
        <scheme val="minor"/>
      </rPr>
      <t>(Travel Exp-Overseas)</t>
    </r>
    <phoneticPr fontId="1" type="noConversion"/>
  </si>
  <si>
    <t>경비 계</t>
    <phoneticPr fontId="1" type="noConversion"/>
  </si>
  <si>
    <r>
      <t>복리단합대회비</t>
    </r>
    <r>
      <rPr>
        <b/>
        <sz val="8"/>
        <color theme="1"/>
        <rFont val="맑은 고딕"/>
        <family val="3"/>
        <charset val="129"/>
        <scheme val="minor"/>
      </rPr>
      <t>(Employee Benefits-Bonding Events)</t>
    </r>
    <phoneticPr fontId="1" type="noConversion"/>
  </si>
  <si>
    <r>
      <t>PJT행사비</t>
    </r>
    <r>
      <rPr>
        <b/>
        <sz val="8"/>
        <color theme="1"/>
        <rFont val="맑은 고딕"/>
        <family val="3"/>
        <charset val="129"/>
        <scheme val="minor"/>
      </rPr>
      <t>(Event Expense)</t>
    </r>
    <phoneticPr fontId="1" type="noConversion"/>
  </si>
  <si>
    <r>
      <t>출장비</t>
    </r>
    <r>
      <rPr>
        <b/>
        <sz val="8"/>
        <color theme="1"/>
        <rFont val="맑은 고딕"/>
        <family val="3"/>
        <charset val="129"/>
        <scheme val="minor"/>
      </rPr>
      <t>(Travel Expense)</t>
    </r>
    <phoneticPr fontId="1" type="noConversion"/>
  </si>
  <si>
    <r>
      <t>시내교통비</t>
    </r>
    <r>
      <rPr>
        <b/>
        <sz val="8"/>
        <color theme="1"/>
        <rFont val="맑은 고딕"/>
        <family val="3"/>
        <charset val="129"/>
        <scheme val="minor"/>
      </rPr>
      <t>(Trans Exp - Local Transportation)</t>
    </r>
    <phoneticPr fontId="1" type="noConversion"/>
  </si>
  <si>
    <r>
      <t>고객연관성경비</t>
    </r>
    <r>
      <rPr>
        <b/>
        <sz val="8"/>
        <color theme="1"/>
        <rFont val="맑은 고딕"/>
        <family val="3"/>
        <charset val="129"/>
        <scheme val="minor"/>
      </rPr>
      <t>(Customer Related Expense)</t>
    </r>
    <phoneticPr fontId="1" type="noConversion"/>
  </si>
  <si>
    <r>
      <t>운영비성 경비</t>
    </r>
    <r>
      <rPr>
        <b/>
        <sz val="8"/>
        <color theme="1"/>
        <rFont val="맑은 고딕"/>
        <family val="3"/>
        <charset val="129"/>
        <scheme val="minor"/>
      </rPr>
      <t>(Operating Expense)</t>
    </r>
    <phoneticPr fontId="1" type="noConversion"/>
  </si>
  <si>
    <r>
      <t>파견비</t>
    </r>
    <r>
      <rPr>
        <b/>
        <sz val="8"/>
        <color theme="1"/>
        <rFont val="맑은 고딕"/>
        <family val="3"/>
        <charset val="129"/>
        <scheme val="minor"/>
      </rPr>
      <t>(Trans Exp-PJT Dispatch)</t>
    </r>
    <phoneticPr fontId="1" type="noConversion"/>
  </si>
  <si>
    <t>◆ 외주비 내역</t>
    <phoneticPr fontId="1" type="noConversion"/>
  </si>
  <si>
    <t>◆ 경비 내역</t>
    <phoneticPr fontId="1" type="noConversion"/>
  </si>
  <si>
    <t>복리후생비</t>
    <phoneticPr fontId="1" type="noConversion"/>
  </si>
  <si>
    <t>판매(계약)품의서</t>
  </si>
  <si>
    <t>1. 사업정보</t>
    <phoneticPr fontId="16" type="noConversion"/>
  </si>
  <si>
    <t>수주부서</t>
    <phoneticPr fontId="16" type="noConversion"/>
  </si>
  <si>
    <t>PROJECT 명</t>
    <phoneticPr fontId="16" type="noConversion"/>
  </si>
  <si>
    <t>PROJECT CODE</t>
    <phoneticPr fontId="16" type="noConversion"/>
  </si>
  <si>
    <t>계약기간</t>
    <phoneticPr fontId="16" type="noConversion"/>
  </si>
  <si>
    <t>~</t>
    <phoneticPr fontId="16" type="noConversion"/>
  </si>
  <si>
    <t>BO CODE</t>
    <phoneticPr fontId="16" type="noConversion"/>
  </si>
  <si>
    <t xml:space="preserve"> </t>
    <phoneticPr fontId="16" type="noConversion"/>
  </si>
  <si>
    <t>회사이름</t>
    <phoneticPr fontId="16" type="noConversion"/>
  </si>
  <si>
    <t>사업자번호</t>
    <phoneticPr fontId="16" type="noConversion"/>
  </si>
  <si>
    <t>회사 주소지</t>
    <phoneticPr fontId="16" type="noConversion"/>
  </si>
  <si>
    <t xml:space="preserve">고객사 </t>
    <phoneticPr fontId="16" type="noConversion"/>
  </si>
  <si>
    <t xml:space="preserve">원청사 </t>
    <phoneticPr fontId="16" type="noConversion"/>
  </si>
  <si>
    <t>2. 수주정보</t>
    <phoneticPr fontId="16" type="noConversion"/>
  </si>
  <si>
    <t>총계</t>
    <phoneticPr fontId="16" type="noConversion"/>
  </si>
  <si>
    <t>계약금액</t>
    <phoneticPr fontId="16" type="noConversion"/>
  </si>
  <si>
    <t>한계이익</t>
    <phoneticPr fontId="16" type="noConversion"/>
  </si>
  <si>
    <t>비고</t>
    <phoneticPr fontId="16" type="noConversion"/>
  </si>
  <si>
    <t>자체솔루션</t>
    <phoneticPr fontId="16" type="noConversion"/>
  </si>
  <si>
    <t>자체 / 외주 용역</t>
    <phoneticPr fontId="16" type="noConversion"/>
  </si>
  <si>
    <t>H/W 및 S/W</t>
    <phoneticPr fontId="16" type="noConversion"/>
  </si>
  <si>
    <t>3. 대금조건</t>
    <phoneticPr fontId="16" type="noConversion"/>
  </si>
  <si>
    <t>수금조건</t>
    <phoneticPr fontId="16" type="noConversion"/>
  </si>
  <si>
    <t>현금화예정일</t>
    <phoneticPr fontId="16" type="noConversion"/>
  </si>
  <si>
    <t>지급조건</t>
    <phoneticPr fontId="16" type="noConversion"/>
  </si>
  <si>
    <t>비고</t>
    <phoneticPr fontId="16" type="noConversion"/>
  </si>
  <si>
    <t>day</t>
    <phoneticPr fontId="16" type="noConversion"/>
  </si>
  <si>
    <t>4. 무상유지보수조건</t>
    <phoneticPr fontId="16" type="noConversion"/>
  </si>
  <si>
    <t xml:space="preserve">Warranty - In  </t>
    <phoneticPr fontId="16" type="noConversion"/>
  </si>
  <si>
    <t>H/W</t>
    <phoneticPr fontId="16" type="noConversion"/>
  </si>
  <si>
    <t>용역(기타)</t>
    <phoneticPr fontId="16" type="noConversion"/>
  </si>
  <si>
    <t>기간</t>
    <phoneticPr fontId="16" type="noConversion"/>
  </si>
  <si>
    <t>요율</t>
    <phoneticPr fontId="16" type="noConversion"/>
  </si>
  <si>
    <t>5. 수행인원</t>
    <phoneticPr fontId="16" type="noConversion"/>
  </si>
  <si>
    <t xml:space="preserve"> </t>
    <phoneticPr fontId="16" type="noConversion"/>
  </si>
  <si>
    <t>성명</t>
    <phoneticPr fontId="16" type="noConversion"/>
  </si>
  <si>
    <t>총투입MM</t>
    <phoneticPr fontId="16" type="noConversion"/>
  </si>
  <si>
    <t>PM</t>
    <phoneticPr fontId="16" type="noConversion"/>
  </si>
  <si>
    <t>6. 프로젝트 수행지역</t>
    <phoneticPr fontId="16" type="noConversion"/>
  </si>
  <si>
    <t>영업대표</t>
    <phoneticPr fontId="16" type="noConversion"/>
  </si>
  <si>
    <t>PJT유형</t>
    <phoneticPr fontId="16" type="noConversion"/>
  </si>
  <si>
    <t>HW</t>
    <phoneticPr fontId="1" type="noConversion"/>
  </si>
  <si>
    <t>대내외</t>
    <phoneticPr fontId="16" type="noConversion"/>
  </si>
  <si>
    <t>대외</t>
    <phoneticPr fontId="1" type="noConversion"/>
  </si>
  <si>
    <t>대내</t>
    <phoneticPr fontId="1" type="noConversion"/>
  </si>
  <si>
    <t>어음</t>
    <phoneticPr fontId="1" type="noConversion"/>
  </si>
  <si>
    <t>현금</t>
    <phoneticPr fontId="1" type="noConversion"/>
  </si>
  <si>
    <t>*인건비성 복리후생비 (4대보험 및 국민연금)</t>
    <phoneticPr fontId="1" type="noConversion"/>
  </si>
  <si>
    <t>구분</t>
    <phoneticPr fontId="16" type="noConversion"/>
  </si>
  <si>
    <t>계약금액</t>
    <phoneticPr fontId="1" type="noConversion"/>
  </si>
  <si>
    <t>납기예정일</t>
    <phoneticPr fontId="1" type="noConversion"/>
  </si>
  <si>
    <t>항목(spec 등)</t>
    <phoneticPr fontId="1" type="noConversion"/>
  </si>
  <si>
    <t xml:space="preserve">  · 3개월 이내 : 1회 限 / 6개월 이내 : 2회 / 6개월 초과 : 3회</t>
  </si>
  <si>
    <t xml:space="preserve">  · 당사 및 협력사 : 20,000원 / 人 / 1日</t>
  </si>
  <si>
    <t xml:space="preserve">  · 고객사 : 30,000원 / 人 / 1日</t>
  </si>
  <si>
    <t xml:space="preserve">  · 숙박 時 별도 품의 진행</t>
  </si>
  <si>
    <t xml:space="preserve">  · 선물, 기념품 제작은 원칙적으로 불허</t>
  </si>
  <si>
    <t xml:space="preserve">     단, 고객 요구 時 별도 품의를 통하여 집행(경영지원팀장 합의)</t>
  </si>
  <si>
    <t xml:space="preserve">  · 행사비 中 요식성 경비는 행사 당일 사용분만 인정, 잔여예산 회식 等 사용불허</t>
  </si>
  <si>
    <t>- PJT 행사비는 고객동반 행사限 비용</t>
    <phoneticPr fontId="1" type="noConversion"/>
  </si>
  <si>
    <t>- 금액 기준</t>
    <phoneticPr fontId="1" type="noConversion"/>
  </si>
  <si>
    <t>- 주의사항</t>
    <phoneticPr fontId="1" type="noConversion"/>
  </si>
  <si>
    <t>구분</t>
  </si>
  <si>
    <t>출장
(당일출장 포함)</t>
  </si>
  <si>
    <t>전일숙박</t>
  </si>
  <si>
    <t>임원</t>
  </si>
  <si>
    <t>실비</t>
  </si>
  <si>
    <t>70,000限 실비</t>
  </si>
  <si>
    <t>A지역(USD)</t>
  </si>
  <si>
    <t>B지역(USD)</t>
  </si>
  <si>
    <t>C지역(USD)</t>
  </si>
  <si>
    <t>D지역(JPY)</t>
  </si>
  <si>
    <t>숙박비
한도</t>
  </si>
  <si>
    <t>임원
(상무이상)</t>
  </si>
  <si>
    <t>미주</t>
  </si>
  <si>
    <t>뉴욕, 뉴저지,
보스턴, 산호세,
워싱턴 DC</t>
    <phoneticPr fontId="16" type="noConversion"/>
  </si>
  <si>
    <t>미국 A지역 도시외,
멕시코, 브라질,
칠레, 아르헨티나,
콜롬비아, 페루,
에콰도르, 베네수엘라</t>
    <phoneticPr fontId="16" type="noConversion"/>
  </si>
  <si>
    <t>캐나다,
기타 중남미지역</t>
    <phoneticPr fontId="16" type="noConversion"/>
  </si>
  <si>
    <t>유럽</t>
  </si>
  <si>
    <t>모스크바
동구지역</t>
    <phoneticPr fontId="16" type="noConversion"/>
  </si>
  <si>
    <t>서유럽
기타 CIS지역</t>
    <phoneticPr fontId="16" type="noConversion"/>
  </si>
  <si>
    <t>아시아,
대양주</t>
  </si>
  <si>
    <t>인도, 방글라데시</t>
    <phoneticPr fontId="16" type="noConversion"/>
  </si>
  <si>
    <t>싱가폴, 중국, 대만,
홍콩, 베트남, 인니,
뉴질랜드, 캄보디아,
라오스, 네팔, 
파키스탄</t>
    <phoneticPr fontId="16" type="noConversion"/>
  </si>
  <si>
    <t>호주, 필리핀,
스리랑카, 기타아시아
대양주지역</t>
    <phoneticPr fontId="16" type="noConversion"/>
  </si>
  <si>
    <t>일본</t>
    <phoneticPr fontId="16" type="noConversion"/>
  </si>
  <si>
    <t>아프리카,
중동</t>
  </si>
  <si>
    <t>기타 아프리카
지역</t>
    <phoneticPr fontId="16" type="noConversion"/>
  </si>
  <si>
    <t>중동지역, 남아공,
모로코, 카타르,
세네갈, 케냐</t>
    <phoneticPr fontId="16" type="noConversion"/>
  </si>
  <si>
    <t>■ 프로젝트 파견비</t>
  </si>
  <si>
    <t>■ PJT 행사비</t>
    <phoneticPr fontId="1" type="noConversion"/>
  </si>
  <si>
    <t>■ 홈커밍비</t>
    <phoneticPr fontId="1" type="noConversion"/>
  </si>
  <si>
    <t>교통비(유류대)</t>
    <phoneticPr fontId="1" type="noConversion"/>
  </si>
  <si>
    <t>■ 교통비</t>
    <phoneticPr fontId="1" type="noConversion"/>
  </si>
  <si>
    <t>수석(CL4)</t>
  </si>
  <si>
    <t>수석보(CL3)</t>
  </si>
  <si>
    <t>책임(CL3)</t>
  </si>
  <si>
    <t>선임(CL2)</t>
  </si>
  <si>
    <t>사원(CL1-CL2)</t>
    <phoneticPr fontId="1" type="noConversion"/>
  </si>
  <si>
    <t>외주비</t>
    <phoneticPr fontId="1" type="noConversion"/>
  </si>
  <si>
    <t>인건비성 복리후생비</t>
    <phoneticPr fontId="1" type="noConversion"/>
  </si>
  <si>
    <t>경비</t>
    <phoneticPr fontId="1" type="noConversion"/>
  </si>
  <si>
    <t>한계이익</t>
    <phoneticPr fontId="1" type="noConversion"/>
  </si>
  <si>
    <t>(%)</t>
    <phoneticPr fontId="1" type="noConversion"/>
  </si>
  <si>
    <t>사전영업비</t>
    <phoneticPr fontId="1" type="noConversion"/>
  </si>
  <si>
    <t>총간접원가</t>
    <phoneticPr fontId="1" type="noConversion"/>
  </si>
  <si>
    <t>영업이익</t>
    <phoneticPr fontId="1" type="noConversion"/>
  </si>
  <si>
    <r>
      <t>요식성경비/접대비</t>
    </r>
    <r>
      <rPr>
        <b/>
        <sz val="8"/>
        <color theme="1"/>
        <rFont val="맑은 고딕"/>
        <family val="3"/>
        <charset val="129"/>
        <scheme val="minor"/>
      </rPr>
      <t>(Entertainment Expense)</t>
    </r>
    <r>
      <rPr>
        <b/>
        <vertAlign val="superscript"/>
        <sz val="8"/>
        <color rgb="FFFF0000"/>
        <rFont val="맑은 고딕"/>
        <family val="3"/>
        <charset val="129"/>
        <scheme val="minor"/>
      </rPr>
      <t>주1)</t>
    </r>
    <phoneticPr fontId="1" type="noConversion"/>
  </si>
  <si>
    <t>주1) 유지보수 PJT는 예산 편성 불가</t>
    <phoneticPr fontId="1" type="noConversion"/>
  </si>
  <si>
    <t>주2) 단, 숙소를 제공하거나, 파견지에서 체제하지 않고 출퇴근 하는 경우 지급하지 않음</t>
    <phoneticPr fontId="1" type="noConversion"/>
  </si>
  <si>
    <t>직접
원가</t>
    <phoneticPr fontId="1" type="noConversion"/>
  </si>
  <si>
    <t>기타비용 (비고란에 내용 기재)</t>
    <phoneticPr fontId="1" type="noConversion"/>
  </si>
  <si>
    <t>수주금액</t>
    <phoneticPr fontId="1" type="noConversion"/>
  </si>
  <si>
    <t>재료비</t>
    <phoneticPr fontId="1" type="noConversion"/>
  </si>
  <si>
    <t>(단위 : 원)</t>
    <phoneticPr fontId="1" type="noConversion"/>
  </si>
  <si>
    <t>&lt;경비 기준&gt;</t>
    <phoneticPr fontId="1" type="noConversion"/>
  </si>
  <si>
    <t>경비 작성시트로 돌아가기</t>
    <phoneticPr fontId="1" type="noConversion"/>
  </si>
  <si>
    <t>On-Site 정규</t>
    <phoneticPr fontId="1" type="noConversion"/>
  </si>
  <si>
    <t>수금전 결제</t>
    <phoneticPr fontId="1" type="noConversion"/>
  </si>
  <si>
    <t>수금후 결제</t>
    <phoneticPr fontId="1" type="noConversion"/>
  </si>
  <si>
    <t>보통 현금 60일 결제조건</t>
    <phoneticPr fontId="16" type="noConversion"/>
  </si>
  <si>
    <t>◆ 인건비 내역</t>
    <phoneticPr fontId="1" type="noConversion"/>
  </si>
  <si>
    <t xml:space="preserve"> 1. 판매품의서</t>
    <phoneticPr fontId="1" type="noConversion"/>
  </si>
  <si>
    <t>음영이 있는 칸만 차례대로 입력합니다.</t>
    <phoneticPr fontId="1" type="noConversion"/>
  </si>
  <si>
    <t xml:space="preserve"> 2. 인건비</t>
    <phoneticPr fontId="1" type="noConversion"/>
  </si>
  <si>
    <t>② 조직 : 드롭다운 목록에서 조직 선택</t>
    <phoneticPr fontId="1" type="noConversion"/>
  </si>
  <si>
    <t>음영이 있는 칸만 아래와 같이 차례대로 입력합니다.</t>
    <phoneticPr fontId="1" type="noConversion"/>
  </si>
  <si>
    <t xml:space="preserve"> 3. 외주비&amp;재료비</t>
    <phoneticPr fontId="1" type="noConversion"/>
  </si>
  <si>
    <t xml:space="preserve"> 4. 경비</t>
    <phoneticPr fontId="1" type="noConversion"/>
  </si>
  <si>
    <t>음영이 있는 칸만 차례대로 입력합니다.</t>
    <phoneticPr fontId="1" type="noConversion"/>
  </si>
  <si>
    <t>이사/CL4↓</t>
    <phoneticPr fontId="1" type="noConversion"/>
  </si>
  <si>
    <t>이사/CL4↓</t>
    <phoneticPr fontId="1" type="noConversion"/>
  </si>
  <si>
    <t>자사솔루션</t>
    <phoneticPr fontId="1" type="noConversion"/>
  </si>
  <si>
    <t xml:space="preserve"> - 프로젝트명 : </t>
    <phoneticPr fontId="1" type="noConversion"/>
  </si>
  <si>
    <t>◆ 손익 시뮬레이션</t>
    <phoneticPr fontId="1" type="noConversion"/>
  </si>
  <si>
    <t>On-Site 정규</t>
    <phoneticPr fontId="1" type="noConversion"/>
  </si>
  <si>
    <t>자사솔루션</t>
    <phoneticPr fontId="1" type="noConversion"/>
  </si>
  <si>
    <t>HW/도입솔루션</t>
    <phoneticPr fontId="1" type="noConversion"/>
  </si>
  <si>
    <t>간접비</t>
    <phoneticPr fontId="1" type="noConversion"/>
  </si>
  <si>
    <t>판매비</t>
    <phoneticPr fontId="1" type="noConversion"/>
  </si>
  <si>
    <t>일반비</t>
    <phoneticPr fontId="1" type="noConversion"/>
  </si>
  <si>
    <t>서비스</t>
    <phoneticPr fontId="1" type="noConversion"/>
  </si>
  <si>
    <t>HW</t>
    <phoneticPr fontId="1" type="noConversion"/>
  </si>
  <si>
    <t>구분</t>
    <phoneticPr fontId="1" type="noConversion"/>
  </si>
  <si>
    <t>합계</t>
    <phoneticPr fontId="1" type="noConversion"/>
  </si>
  <si>
    <t>인건비</t>
    <phoneticPr fontId="1" type="noConversion"/>
  </si>
  <si>
    <t>인건비성 복후비</t>
    <phoneticPr fontId="1" type="noConversion"/>
  </si>
  <si>
    <t>경비</t>
    <phoneticPr fontId="1" type="noConversion"/>
  </si>
  <si>
    <t>총간접원가</t>
    <phoneticPr fontId="1" type="noConversion"/>
  </si>
  <si>
    <t>&lt;작성방법&gt;</t>
    <phoneticPr fontId="1" type="noConversion"/>
  </si>
  <si>
    <t>0. input=&gt; 뒤의 노란색 5개 시트를 차례대로 입력합니다.</t>
    <phoneticPr fontId="1" type="noConversion"/>
  </si>
  <si>
    <t>&lt;참고사항&gt;</t>
    <phoneticPr fontId="1" type="noConversion"/>
  </si>
  <si>
    <t>위험비용</t>
    <phoneticPr fontId="1" type="noConversion"/>
  </si>
  <si>
    <t>HW/
도입솔루션</t>
    <phoneticPr fontId="1" type="noConversion"/>
  </si>
  <si>
    <t>표준원가 제외 한계이익</t>
  </si>
  <si>
    <t>(%)</t>
  </si>
  <si>
    <t>PJT유형 :</t>
    <phoneticPr fontId="1" type="noConversion"/>
  </si>
  <si>
    <t>수금조건</t>
    <phoneticPr fontId="16" type="noConversion"/>
  </si>
  <si>
    <t>차수</t>
    <phoneticPr fontId="16" type="noConversion"/>
  </si>
  <si>
    <t>내용</t>
    <phoneticPr fontId="16" type="noConversion"/>
  </si>
  <si>
    <t>공급가액</t>
    <phoneticPr fontId="16" type="noConversion"/>
  </si>
  <si>
    <t>VAT</t>
    <phoneticPr fontId="16" type="noConversion"/>
  </si>
  <si>
    <t>총금액</t>
    <phoneticPr fontId="16" type="noConversion"/>
  </si>
  <si>
    <t>현금화       예정일</t>
    <phoneticPr fontId="16" type="noConversion"/>
  </si>
  <si>
    <t>비고</t>
    <phoneticPr fontId="16" type="noConversion"/>
  </si>
  <si>
    <t>선급금(계약금)</t>
  </si>
  <si>
    <t>청구계획</t>
    <phoneticPr fontId="16" type="noConversion"/>
  </si>
  <si>
    <t>선급금(계약금)</t>
    <phoneticPr fontId="1" type="noConversion"/>
  </si>
  <si>
    <t>중도금</t>
    <phoneticPr fontId="1" type="noConversion"/>
  </si>
  <si>
    <t>중도금1차</t>
    <phoneticPr fontId="1" type="noConversion"/>
  </si>
  <si>
    <t>중도금2차</t>
  </si>
  <si>
    <t>중도금3차</t>
  </si>
  <si>
    <t>중도금4차</t>
  </si>
  <si>
    <t>중도금5차</t>
  </si>
  <si>
    <t>중도금6차</t>
  </si>
  <si>
    <t>중도금7차</t>
  </si>
  <si>
    <t>중도금8차</t>
  </si>
  <si>
    <t>중도금9차</t>
  </si>
  <si>
    <t>중도금10차</t>
  </si>
  <si>
    <t>중도금11차</t>
  </si>
  <si>
    <t>중도금12차</t>
  </si>
  <si>
    <t>중도금13차</t>
  </si>
  <si>
    <t>중도금14차</t>
  </si>
  <si>
    <t>중도금15차</t>
  </si>
  <si>
    <t>중도금16차</t>
  </si>
  <si>
    <t>중도금17차</t>
  </si>
  <si>
    <t>중도금18차</t>
  </si>
  <si>
    <t>중도금19차</t>
  </si>
  <si>
    <t>중도금20차</t>
  </si>
  <si>
    <t>중도금21차</t>
  </si>
  <si>
    <t>잔금</t>
    <phoneticPr fontId="1" type="noConversion"/>
  </si>
  <si>
    <t>대내외</t>
    <phoneticPr fontId="1" type="noConversion"/>
  </si>
  <si>
    <t>출장/파견 제외(M/M)</t>
    <phoneticPr fontId="1" type="noConversion"/>
  </si>
  <si>
    <t>M/M 계</t>
    <phoneticPr fontId="1" type="noConversion"/>
  </si>
  <si>
    <t>횟수</t>
    <phoneticPr fontId="1" type="noConversion"/>
  </si>
  <si>
    <t>환율
(USD)</t>
    <phoneticPr fontId="1" type="noConversion"/>
  </si>
  <si>
    <t>파견비</t>
    <phoneticPr fontId="1" type="noConversion"/>
  </si>
  <si>
    <r>
      <t>파견 숙박비</t>
    </r>
    <r>
      <rPr>
        <vertAlign val="superscript"/>
        <sz val="9"/>
        <color rgb="FFFF0000"/>
        <rFont val="맑은 고딕"/>
        <family val="3"/>
        <charset val="129"/>
        <scheme val="minor"/>
      </rPr>
      <t>주2)</t>
    </r>
    <phoneticPr fontId="1" type="noConversion"/>
  </si>
  <si>
    <t>일당</t>
    <phoneticPr fontId="1" type="noConversion"/>
  </si>
  <si>
    <t>홈커밍비(유류대)</t>
    <phoneticPr fontId="1" type="noConversion"/>
  </si>
  <si>
    <t>홈커밍비(통행료)</t>
    <phoneticPr fontId="1" type="noConversion"/>
  </si>
  <si>
    <t>소모품비 (Consumable Supplies Exp)</t>
  </si>
  <si>
    <t>도서/인쇄비 (Book/Printing Exp)</t>
  </si>
  <si>
    <t xml:space="preserve"> *대내 외주 KNOX Portal이용료</t>
    <phoneticPr fontId="1" type="noConversion"/>
  </si>
  <si>
    <t>수수료기타(Commis-Other)</t>
    <phoneticPr fontId="1" type="noConversion"/>
  </si>
  <si>
    <r>
      <t>지급임차료</t>
    </r>
    <r>
      <rPr>
        <sz val="6"/>
        <color theme="1"/>
        <rFont val="맑은 고딕"/>
        <family val="3"/>
        <charset val="129"/>
        <scheme val="minor"/>
      </rPr>
      <t xml:space="preserve"> (Rental Exp-Buildings)</t>
    </r>
    <phoneticPr fontId="1" type="noConversion"/>
  </si>
  <si>
    <r>
      <t xml:space="preserve">통신비-PM </t>
    </r>
    <r>
      <rPr>
        <sz val="6"/>
        <color theme="1"/>
        <rFont val="맑은 고딕"/>
        <family val="3"/>
        <charset val="129"/>
        <scheme val="minor"/>
      </rPr>
      <t>(Telecom Exp)</t>
    </r>
    <phoneticPr fontId="1" type="noConversion"/>
  </si>
  <si>
    <t>행사비 관련</t>
    <phoneticPr fontId="1" type="noConversion"/>
  </si>
  <si>
    <t>당사인원</t>
    <phoneticPr fontId="1" type="noConversion"/>
  </si>
  <si>
    <t>고객사인원</t>
    <phoneticPr fontId="1" type="noConversion"/>
  </si>
  <si>
    <t>협력사인원</t>
    <phoneticPr fontId="1" type="noConversion"/>
  </si>
  <si>
    <t>외주비</t>
    <phoneticPr fontId="1" type="noConversion"/>
  </si>
  <si>
    <t>PJT 수주금액</t>
    <phoneticPr fontId="1" type="noConversion"/>
  </si>
  <si>
    <t>서비스(정규)</t>
    <phoneticPr fontId="1" type="noConversion"/>
  </si>
  <si>
    <t>서비스(외주)</t>
    <phoneticPr fontId="1" type="noConversion"/>
  </si>
  <si>
    <t>자사솔루션</t>
    <phoneticPr fontId="1" type="noConversion"/>
  </si>
  <si>
    <t>H/W, 도입솔루션</t>
    <phoneticPr fontId="1" type="noConversion"/>
  </si>
  <si>
    <t>매출원가</t>
    <phoneticPr fontId="1" type="noConversion"/>
  </si>
  <si>
    <t>재료비</t>
    <phoneticPr fontId="1" type="noConversion"/>
  </si>
  <si>
    <t>인건비</t>
    <phoneticPr fontId="1" type="noConversion"/>
  </si>
  <si>
    <t>외주비</t>
    <phoneticPr fontId="1" type="noConversion"/>
  </si>
  <si>
    <t>경비</t>
    <phoneticPr fontId="1" type="noConversion"/>
  </si>
  <si>
    <t>인건비성 복리후생비</t>
    <phoneticPr fontId="1" type="noConversion"/>
  </si>
  <si>
    <t>PJT 한계이익</t>
    <phoneticPr fontId="1" type="noConversion"/>
  </si>
  <si>
    <t>합계</t>
    <phoneticPr fontId="1" type="noConversion"/>
  </si>
  <si>
    <t>◆ 수주액 상세</t>
    <phoneticPr fontId="1" type="noConversion"/>
  </si>
  <si>
    <t>(%)</t>
    <phoneticPr fontId="1" type="noConversion"/>
  </si>
  <si>
    <t>서비스 합계</t>
    <phoneticPr fontId="1" type="noConversion"/>
  </si>
  <si>
    <t>서비스(정규)합계</t>
    <phoneticPr fontId="1" type="noConversion"/>
  </si>
  <si>
    <t>서비스(정규)수주액</t>
    <phoneticPr fontId="1" type="noConversion"/>
  </si>
  <si>
    <t>외주 수주액</t>
    <phoneticPr fontId="1" type="noConversion"/>
  </si>
  <si>
    <t>서비스(외주)합계</t>
    <phoneticPr fontId="1" type="noConversion"/>
  </si>
  <si>
    <t>위험비용 계산용</t>
    <phoneticPr fontId="1" type="noConversion"/>
  </si>
  <si>
    <t>서비스(정규)</t>
    <phoneticPr fontId="1" type="noConversion"/>
  </si>
  <si>
    <t>서비스(외주)</t>
    <phoneticPr fontId="1" type="noConversion"/>
  </si>
  <si>
    <t>정규 위험비용</t>
    <phoneticPr fontId="1" type="noConversion"/>
  </si>
  <si>
    <t>외주 위험비용</t>
    <phoneticPr fontId="1" type="noConversion"/>
  </si>
  <si>
    <t>합계</t>
    <phoneticPr fontId="1" type="noConversion"/>
  </si>
  <si>
    <t xml:space="preserve"> 5. 수주액 상세</t>
    <phoneticPr fontId="1" type="noConversion"/>
  </si>
  <si>
    <t>PJT 전체
손익</t>
    <phoneticPr fontId="1" type="noConversion"/>
  </si>
  <si>
    <t>- 손익 시뮬레이션(Report) 시트로 보고합니다.</t>
    <phoneticPr fontId="1" type="noConversion"/>
  </si>
  <si>
    <t>※ 각 항목별 편성 기준 및 한도를 참고하여 편성</t>
    <phoneticPr fontId="1" type="noConversion"/>
  </si>
  <si>
    <t>합계</t>
    <phoneticPr fontId="1" type="noConversion"/>
  </si>
  <si>
    <t>(단위 : 원)</t>
    <phoneticPr fontId="1" type="noConversion"/>
  </si>
  <si>
    <t>일당</t>
    <phoneticPr fontId="1" type="noConversion"/>
  </si>
  <si>
    <t>■ 국내출장 : 일당 및 숙박비 지급기준</t>
    <phoneticPr fontId="1" type="noConversion"/>
  </si>
  <si>
    <t>- PJT 기간별 별도 적용(총 3회限 : 킥 오프 / 중간 보고 / 종료 보고)</t>
    <phoneticPr fontId="1" type="noConversion"/>
  </si>
  <si>
    <t>- 주요 내용만 발췌했으며, 상세 내용은 회사생활가이드 참조</t>
    <phoneticPr fontId="1" type="noConversion"/>
  </si>
  <si>
    <t>■ 해외출장 : 해외출장 교통비 등 상세 규정은 회사생활가이드 참조</t>
    <phoneticPr fontId="1" type="noConversion"/>
  </si>
  <si>
    <t>1) 항공기 탑승등급 및 항공권 관련</t>
    <phoneticPr fontId="1" type="noConversion"/>
  </si>
  <si>
    <t xml:space="preserve">   - 임원 : Business Class, 사원 : Economy Class</t>
    <phoneticPr fontId="1" type="noConversion"/>
  </si>
  <si>
    <t xml:space="preserve">   - 좌석등급 상향 기준(비행시간)</t>
    <phoneticPr fontId="1" type="noConversion"/>
  </si>
  <si>
    <t xml:space="preserve">      · CL4 이상 : 10시간 이상</t>
    <phoneticPr fontId="1" type="noConversion"/>
  </si>
  <si>
    <t xml:space="preserve">      · CL3 이하 : 20시간 이상</t>
    <phoneticPr fontId="1" type="noConversion"/>
  </si>
  <si>
    <t>2) 일별 여비 지급표</t>
    <phoneticPr fontId="1" type="noConversion"/>
  </si>
  <si>
    <t>1) 대상 : 국내에서 회사의 업무수행을 위해 소속부서 사업장(재근지)으로부터 50km 이상 떨어져
            출퇴근이 불가한 장소에서 2개월(61일) 이상 근무하도록 프로젝트 파견발령을 받아 장기체재하는 사원에게 적용</t>
    <phoneticPr fontId="16" type="noConversion"/>
  </si>
  <si>
    <t>1) 대상 : ① 프로젝트 파견자</t>
    <phoneticPr fontId="1" type="noConversion"/>
  </si>
  <si>
    <t xml:space="preserve">           ② 충남이남 근무자 중 실거주지와 원적지가 동일한 인원을 제외하고 재근지↔원적지(미혼자 : 부모/ 기혼자 : 배우자) 50km 이상 인원</t>
    <phoneticPr fontId="1" type="noConversion"/>
  </si>
  <si>
    <t>2) 지급기준</t>
    <phoneticPr fontId="1" type="noConversion"/>
  </si>
  <si>
    <t>비고
(세부 산출근거)</t>
    <phoneticPr fontId="1" type="noConversion"/>
  </si>
  <si>
    <t>합계</t>
    <phoneticPr fontId="16" type="noConversion"/>
  </si>
  <si>
    <t>한계이익률</t>
    <phoneticPr fontId="16" type="noConversion"/>
  </si>
  <si>
    <r>
      <rPr>
        <sz val="11"/>
        <color indexed="10"/>
        <rFont val="맑은 고딕"/>
        <family val="3"/>
        <charset val="129"/>
      </rPr>
      <t xml:space="preserve">KM </t>
    </r>
    <r>
      <rPr>
        <sz val="11"/>
        <rFont val="맑은 고딕"/>
        <family val="3"/>
        <charset val="129"/>
      </rPr>
      <t>의 프로젝트 입니다.</t>
    </r>
    <phoneticPr fontId="16" type="noConversion"/>
  </si>
  <si>
    <t xml:space="preserve"> 해당 프로젝트는 본사 기준 </t>
    <phoneticPr fontId="16" type="noConversion"/>
  </si>
  <si>
    <t>비고
(세부 산출근거)</t>
    <phoneticPr fontId="1" type="noConversion"/>
  </si>
  <si>
    <t>MES</t>
    <phoneticPr fontId="1" type="noConversion"/>
  </si>
  <si>
    <t>PJT거리</t>
    <phoneticPr fontId="1" type="noConversion"/>
  </si>
  <si>
    <t>추가 위험비용</t>
    <phoneticPr fontId="1" type="noConversion"/>
  </si>
  <si>
    <t>HW/도입솔루션 위험비용</t>
    <phoneticPr fontId="1" type="noConversion"/>
  </si>
  <si>
    <t>위험비용</t>
    <phoneticPr fontId="1" type="noConversion"/>
  </si>
  <si>
    <t>반영</t>
    <phoneticPr fontId="1" type="noConversion"/>
  </si>
  <si>
    <t>미반영</t>
    <phoneticPr fontId="1" type="noConversion"/>
  </si>
  <si>
    <t>Income Statement</t>
    <phoneticPr fontId="1" type="noConversion"/>
  </si>
  <si>
    <t>Contract Amt</t>
  </si>
  <si>
    <t>Material Cost</t>
  </si>
  <si>
    <t>Labor Cost</t>
  </si>
  <si>
    <t>Outsourcing Cost</t>
  </si>
  <si>
    <t>Expenses</t>
  </si>
  <si>
    <t>Risk Cost</t>
  </si>
  <si>
    <t>Standard Cost(Direct)</t>
  </si>
  <si>
    <t>Direct Cost</t>
  </si>
  <si>
    <t>Marginal Profit</t>
  </si>
  <si>
    <t>Marginal Profit(%)</t>
  </si>
  <si>
    <t>Pre Sales Cost</t>
  </si>
  <si>
    <t>Operating Profit</t>
  </si>
  <si>
    <t>Operating Profit(%)</t>
  </si>
  <si>
    <t>Type</t>
    <phoneticPr fontId="1" type="noConversion"/>
  </si>
  <si>
    <t>Total</t>
    <phoneticPr fontId="1" type="noConversion"/>
  </si>
  <si>
    <t>Service</t>
    <phoneticPr fontId="1" type="noConversion"/>
  </si>
  <si>
    <t>H/W &amp; S/W</t>
    <phoneticPr fontId="1" type="noConversion"/>
  </si>
  <si>
    <t>Acquired Solution</t>
    <phoneticPr fontId="1" type="noConversion"/>
  </si>
  <si>
    <t>Developed Solution</t>
    <phoneticPr fontId="1" type="noConversion"/>
  </si>
  <si>
    <t>총간접원가</t>
    <phoneticPr fontId="1" type="noConversion"/>
  </si>
  <si>
    <t>CL4(수석)</t>
  </si>
  <si>
    <t>특급II</t>
    <phoneticPr fontId="1" type="noConversion"/>
  </si>
  <si>
    <t>(구)직급</t>
    <phoneticPr fontId="1" type="noConversion"/>
  </si>
  <si>
    <t>(구)등급</t>
    <phoneticPr fontId="1" type="noConversion"/>
  </si>
  <si>
    <t>직급</t>
    <phoneticPr fontId="1" type="noConversion"/>
  </si>
  <si>
    <t>'20.5.28~</t>
    <phoneticPr fontId="1" type="noConversion"/>
  </si>
  <si>
    <t xml:space="preserve">  </t>
    <phoneticPr fontId="1" type="noConversion"/>
  </si>
  <si>
    <t xml:space="preserve">  </t>
    <phoneticPr fontId="1" type="noConversion"/>
  </si>
  <si>
    <t>이사</t>
    <phoneticPr fontId="1" type="noConversion"/>
  </si>
  <si>
    <t>CL4(수석)</t>
    <phoneticPr fontId="1" type="noConversion"/>
  </si>
  <si>
    <t>CL3(책임-수석보)</t>
  </si>
  <si>
    <t>CL3(책임-수석보)</t>
    <phoneticPr fontId="1" type="noConversion"/>
  </si>
  <si>
    <t>CL2(사원-선임)</t>
  </si>
  <si>
    <t>CL2(사원-선임)</t>
    <phoneticPr fontId="1" type="noConversion"/>
  </si>
  <si>
    <t>고급II-특급II</t>
  </si>
  <si>
    <t>고급II-특급II</t>
    <phoneticPr fontId="1" type="noConversion"/>
  </si>
  <si>
    <t>초급II-고급I</t>
  </si>
  <si>
    <t>초급II-고급I</t>
    <phoneticPr fontId="1" type="noConversion"/>
  </si>
  <si>
    <r>
      <t>舊직급</t>
    </r>
    <r>
      <rPr>
        <sz val="8"/>
        <color theme="1"/>
        <rFont val="맑은 고딕"/>
        <family val="3"/>
        <charset val="129"/>
        <scheme val="minor"/>
      </rPr>
      <t xml:space="preserve">
('20.6월 이전)</t>
    </r>
    <phoneticPr fontId="1" type="noConversion"/>
  </si>
  <si>
    <r>
      <t>新직급</t>
    </r>
    <r>
      <rPr>
        <sz val="8"/>
        <color theme="1"/>
        <rFont val="맑은 고딕"/>
        <family val="3"/>
        <charset val="129"/>
        <scheme val="minor"/>
      </rPr>
      <t xml:space="preserve">
('20.6월~)</t>
    </r>
    <phoneticPr fontId="1" type="noConversion"/>
  </si>
  <si>
    <t>해외출장 M/M</t>
    <phoneticPr fontId="1" type="noConversion"/>
  </si>
  <si>
    <t>2개월↑M/M</t>
    <phoneticPr fontId="1" type="noConversion"/>
  </si>
  <si>
    <t>출장인원</t>
    <phoneticPr fontId="1" type="noConversion"/>
  </si>
  <si>
    <t>출장인원</t>
    <phoneticPr fontId="1" type="noConversion"/>
  </si>
  <si>
    <t>2개월↓M/M</t>
    <phoneticPr fontId="1" type="noConversion"/>
  </si>
  <si>
    <t>국내파견</t>
    <phoneticPr fontId="1" type="noConversion"/>
  </si>
  <si>
    <t>국내출장</t>
    <phoneticPr fontId="1" type="noConversion"/>
  </si>
  <si>
    <t>해외출장</t>
    <phoneticPr fontId="1" type="noConversion"/>
  </si>
  <si>
    <t>합계</t>
    <phoneticPr fontId="1" type="noConversion"/>
  </si>
  <si>
    <t>인건비</t>
    <phoneticPr fontId="1" type="noConversion"/>
  </si>
  <si>
    <r>
      <t>복리후생비</t>
    </r>
    <r>
      <rPr>
        <sz val="9"/>
        <color rgb="FF0000FF"/>
        <rFont val="맑은 고딕"/>
        <family val="3"/>
        <charset val="129"/>
        <scheme val="minor"/>
      </rPr>
      <t>*</t>
    </r>
    <phoneticPr fontId="1" type="noConversion"/>
  </si>
  <si>
    <t>추가 시간외수당(Other Exp)</t>
    <phoneticPr fontId="1" type="noConversion"/>
  </si>
  <si>
    <t>추가 시간외수당</t>
    <phoneticPr fontId="1" type="noConversion"/>
  </si>
  <si>
    <t>투입공수(M/M)</t>
  </si>
  <si>
    <t>◆ 사전영업 인건비 내역(Labor Cost Budget, M/M)</t>
    <phoneticPr fontId="1" type="noConversion"/>
  </si>
  <si>
    <t>◆ 기타 사전영업 비용</t>
    <phoneticPr fontId="1" type="noConversion"/>
  </si>
  <si>
    <t>인건비 총계</t>
    <phoneticPr fontId="1" type="noConversion"/>
  </si>
  <si>
    <t>Outsourcing - Other</t>
    <phoneticPr fontId="1" type="noConversion"/>
  </si>
  <si>
    <t>Travel Exp</t>
    <phoneticPr fontId="1" type="noConversion"/>
  </si>
  <si>
    <t>Exp - Other</t>
    <phoneticPr fontId="1" type="noConversion"/>
  </si>
  <si>
    <t>출장비</t>
    <phoneticPr fontId="1" type="noConversion"/>
  </si>
  <si>
    <t>기타경비</t>
    <phoneticPr fontId="1" type="noConversion"/>
  </si>
  <si>
    <t>계정</t>
    <phoneticPr fontId="1" type="noConversion"/>
  </si>
  <si>
    <t>Exp- Other</t>
    <phoneticPr fontId="1" type="noConversion"/>
  </si>
  <si>
    <t>금액</t>
    <phoneticPr fontId="1" type="noConversion"/>
  </si>
  <si>
    <t>◆ 사전영업비 총계</t>
    <phoneticPr fontId="1" type="noConversion"/>
  </si>
  <si>
    <t>On-Site 정규</t>
    <phoneticPr fontId="1" type="noConversion"/>
  </si>
  <si>
    <t>검증</t>
    <phoneticPr fontId="1" type="noConversion"/>
  </si>
  <si>
    <t>총계</t>
    <phoneticPr fontId="1" type="noConversion"/>
  </si>
  <si>
    <t>CL2(사원-선임)</t>
    <phoneticPr fontId="1" type="noConversion"/>
  </si>
  <si>
    <t>CL3(책임-수석보)</t>
    <phoneticPr fontId="1" type="noConversion"/>
  </si>
  <si>
    <t>CL4(수석)</t>
    <phoneticPr fontId="1" type="noConversion"/>
  </si>
  <si>
    <t>CL1</t>
    <phoneticPr fontId="1" type="noConversion"/>
  </si>
  <si>
    <t>초급I</t>
    <phoneticPr fontId="1" type="noConversion"/>
  </si>
  <si>
    <t>초급I</t>
    <phoneticPr fontId="1" type="noConversion"/>
  </si>
  <si>
    <t>20년</t>
    <phoneticPr fontId="1" type="noConversion"/>
  </si>
  <si>
    <t>21년</t>
    <phoneticPr fontId="1" type="noConversion"/>
  </si>
  <si>
    <t>증감분</t>
    <phoneticPr fontId="1" type="noConversion"/>
  </si>
  <si>
    <t>시간당 
통상임금</t>
    <phoneticPr fontId="1" type="noConversion"/>
  </si>
  <si>
    <t>시간외수당, 퇴충,연차, 상여 제외</t>
    <phoneticPr fontId="1" type="noConversion"/>
  </si>
  <si>
    <r>
      <t xml:space="preserve">시간외수당
</t>
    </r>
    <r>
      <rPr>
        <sz val="7"/>
        <color theme="1"/>
        <rFont val="맑은 고딕"/>
        <family val="3"/>
        <charset val="129"/>
        <scheme val="minor"/>
      </rPr>
      <t>(연장,심야,휴일)</t>
    </r>
    <phoneticPr fontId="1" type="noConversion"/>
  </si>
  <si>
    <t>시간외수당 
제외</t>
    <phoneticPr fontId="1" type="noConversion"/>
  </si>
  <si>
    <t>위험비용 비율</t>
    <phoneticPr fontId="1" type="noConversion"/>
  </si>
  <si>
    <t>[직급별 합계]</t>
    <phoneticPr fontId="1" type="noConversion"/>
  </si>
  <si>
    <t>합계</t>
  </si>
  <si>
    <r>
      <t xml:space="preserve">2) 파견비 : </t>
    </r>
    <r>
      <rPr>
        <sz val="10"/>
        <color rgb="FF0000FF"/>
        <rFont val="맑은 고딕"/>
        <family val="3"/>
        <charset val="129"/>
        <scheme val="minor"/>
      </rPr>
      <t>210만원/월</t>
    </r>
    <phoneticPr fontId="1" type="noConversion"/>
  </si>
  <si>
    <r>
      <t xml:space="preserve">   - 단, 파견비에는 숙박비 및 일당이 포함됨
     (숙소를 제공하거나, 파견지에서 체제하지 않고 출퇴근하는 경우에는</t>
    </r>
    <r>
      <rPr>
        <sz val="10"/>
        <color rgb="FF0000FF"/>
        <rFont val="맑은 고딕"/>
        <family val="3"/>
        <charset val="129"/>
        <scheme val="minor"/>
      </rPr>
      <t xml:space="preserve"> 110만원/月</t>
    </r>
    <r>
      <rPr>
        <sz val="10"/>
        <rFont val="맑은 고딕"/>
        <family val="3"/>
        <charset val="129"/>
        <scheme val="minor"/>
      </rPr>
      <t xml:space="preserve"> 지급)
     (현재 체제여부를 확인할 수 있는 숙박비 증빙 제출 필수)</t>
    </r>
    <phoneticPr fontId="16" type="noConversion"/>
  </si>
  <si>
    <t>ERP</t>
  </si>
  <si>
    <t>솔루션판매 비중</t>
    <phoneticPr fontId="1" type="noConversion"/>
  </si>
  <si>
    <t>2) 판매비 : 매출*판매배부비율</t>
    <phoneticPr fontId="1" type="noConversion"/>
  </si>
  <si>
    <t xml:space="preserve"> · 도입 솔루션은 인건비와 재료비를 구분해서 분리 기표진행</t>
    <phoneticPr fontId="1" type="noConversion"/>
  </si>
  <si>
    <t xml:space="preserve">  · 룸싸롱, 단란주점 等 유흥업소와 상품권 구입 等 접대성 비용은 행사비 집행  불허</t>
    <phoneticPr fontId="1" type="noConversion"/>
  </si>
  <si>
    <t>CL4(수석)</t>
    <phoneticPr fontId="1" type="noConversion"/>
  </si>
  <si>
    <t>22년</t>
    <phoneticPr fontId="1" type="noConversion"/>
  </si>
  <si>
    <t>실비 정산성 경비</t>
    <phoneticPr fontId="1" type="noConversion"/>
  </si>
  <si>
    <t>Nexplant MESplus QMS</t>
    <phoneticPr fontId="1" type="noConversion"/>
  </si>
  <si>
    <t>Nexplant MESplus SR</t>
    <phoneticPr fontId="1" type="noConversion"/>
  </si>
  <si>
    <t>Nexplant MESplus MES</t>
  </si>
  <si>
    <t>Nexplant MESplus FMB</t>
    <phoneticPr fontId="1" type="noConversion"/>
  </si>
  <si>
    <t>간접비</t>
    <phoneticPr fontId="1" type="noConversion"/>
  </si>
  <si>
    <t>판매비</t>
    <phoneticPr fontId="1" type="noConversion"/>
  </si>
  <si>
    <t>일반비</t>
    <phoneticPr fontId="1" type="noConversion"/>
  </si>
  <si>
    <t>- 손익시뮬레이션 간접원가 세분화 표시</t>
    <phoneticPr fontId="1" type="noConversion"/>
  </si>
  <si>
    <t xml:space="preserve">- 솔루션명 신규 버전으로 업데이트 </t>
    <phoneticPr fontId="1" type="noConversion"/>
  </si>
  <si>
    <t>- 6/27 버전)손익시뮬레이션 sheet 1개로 통일, 실비정산성 경비 포함</t>
    <phoneticPr fontId="1" type="noConversion"/>
  </si>
  <si>
    <t>- 6/27 버전)경비 sheet에 실비 정산성 경비 포함</t>
    <phoneticPr fontId="1" type="noConversion"/>
  </si>
  <si>
    <t>Nexplant MESplus MES</t>
    <phoneticPr fontId="1" type="noConversion"/>
  </si>
  <si>
    <t>Nexplant MESplus MC</t>
    <phoneticPr fontId="1" type="noConversion"/>
  </si>
  <si>
    <t>Nexplant MESplus H101</t>
    <phoneticPr fontId="1" type="noConversion"/>
  </si>
  <si>
    <t>- 인건비 sheet 솔루션명 오류 수정</t>
    <phoneticPr fontId="1" type="noConversion"/>
  </si>
  <si>
    <t>- 경비 sheet 설비자동화그룹 요식성 경비 수식 오류 수정</t>
    <phoneticPr fontId="1" type="noConversion"/>
  </si>
  <si>
    <t>30박/1MM</t>
    <phoneticPr fontId="1" type="noConversion"/>
  </si>
  <si>
    <t>16박/1MM</t>
    <phoneticPr fontId="1" type="noConversion"/>
  </si>
  <si>
    <t xml:space="preserve"> · 국내출장 숙박비 :  [기존]숙박일수*인원수 → [변경]16박*MM (각 그룹별 출장 숙박일수가 다를 수 있음을 감안하여 1MM당 숙박일수 4주기준 16박으로 세팅)  </t>
    <phoneticPr fontId="1" type="noConversion"/>
  </si>
  <si>
    <t>예상숙박일수
고정 (박)</t>
    <phoneticPr fontId="1" type="noConversion"/>
  </si>
  <si>
    <t>16박/1MM</t>
    <phoneticPr fontId="1" type="noConversion"/>
  </si>
  <si>
    <t>22일/1MM</t>
    <phoneticPr fontId="1" type="noConversion"/>
  </si>
  <si>
    <t>- 경비 sheet 국내출장 숙박비, 해외출장 일당, 해외출장 숙박비 수식 보완</t>
    <phoneticPr fontId="1" type="noConversion"/>
  </si>
  <si>
    <t xml:space="preserve"> · 해외출장 숙박비 :  [기존]숙박일수*인원수 → [변경]30박*MM (각 그룹별 출장 숙박일수가 다를 수 있음을 감안하여 1MM당 숙박일수 30박으로 세팅)  </t>
    <phoneticPr fontId="1" type="noConversion"/>
  </si>
  <si>
    <t xml:space="preserve"> · 국내출장 숙박비 :  국내출장은 1주일 단위로 출장 신청/정산(주말 미포함)  </t>
    <phoneticPr fontId="1" type="noConversion"/>
  </si>
  <si>
    <t xml:space="preserve"> · 해외출장 일당비 :  [기존]22일*일당*환율*MM → [변경]31일*일당*환율*MM (해외출장은 주말 포함 일당 일수 1MM당 31일로 세팅)  </t>
    <phoneticPr fontId="1" type="noConversion"/>
  </si>
  <si>
    <t>* Last Update Version : 2022-11-11</t>
    <phoneticPr fontId="1" type="noConversion"/>
  </si>
  <si>
    <t>- 요약손익장표 양식 변경</t>
    <phoneticPr fontId="1" type="noConversion"/>
  </si>
  <si>
    <t xml:space="preserve"> · 라이선스 비중 표시 변경 : 라이선스/HW 제외한 전체 수주금액(%) → 라이선스/서비스(%)</t>
    <phoneticPr fontId="1" type="noConversion"/>
  </si>
  <si>
    <t xml:space="preserve"> · 실비정산경비 별도 표시</t>
    <phoneticPr fontId="1" type="noConversion"/>
  </si>
  <si>
    <t>전체비중比</t>
    <phoneticPr fontId="1" type="noConversion"/>
  </si>
  <si>
    <t>서비스비중比</t>
    <phoneticPr fontId="1" type="noConversion"/>
  </si>
  <si>
    <t>(실비정산제외)</t>
    <phoneticPr fontId="1" type="noConversion"/>
  </si>
  <si>
    <t>(실비정산경비)</t>
    <phoneticPr fontId="1" type="noConversion"/>
  </si>
  <si>
    <t>산출인건비</t>
  </si>
  <si>
    <t>복리후생비</t>
  </si>
  <si>
    <t>- Benefit_Master Sheet 법정보험 인상율 0% 변경(시스템과 일치)</t>
    <phoneticPr fontId="1" type="noConversion"/>
  </si>
  <si>
    <t>- 23년 1월 조직개편 반영</t>
    <phoneticPr fontId="1" type="noConversion"/>
  </si>
  <si>
    <t>솔루션IT서비스팀</t>
  </si>
  <si>
    <t>IT서비스2팀</t>
  </si>
  <si>
    <t>전자IT서비스2팀</t>
  </si>
  <si>
    <t>IT서비스1팀</t>
  </si>
  <si>
    <t>클라우드SRE팀</t>
  </si>
  <si>
    <t>실행3그룹</t>
  </si>
  <si>
    <t xml:space="preserve"> · 명칭 변경</t>
    <phoneticPr fontId="1" type="noConversion"/>
  </si>
  <si>
    <t>- 사전원가지표 변경</t>
    <phoneticPr fontId="1" type="noConversion"/>
  </si>
  <si>
    <t xml:space="preserve"> · 소수점 조정 및 Outsourcing Service 간접원가 제외(시스템과 일치)</t>
    <phoneticPr fontId="1" type="noConversion"/>
  </si>
  <si>
    <t>* Last Update Version : 2023-02-15</t>
    <phoneticPr fontId="1" type="noConversion"/>
  </si>
  <si>
    <t xml:space="preserve"> · 고객지원그룹, 원격서비스그룹 매출부서 추가</t>
    <phoneticPr fontId="1" type="noConversion"/>
  </si>
  <si>
    <t>* Last Update Version : 2023-04-04</t>
    <phoneticPr fontId="1" type="noConversion"/>
  </si>
  <si>
    <t>- '23.03 기준 사전원가지표 반영</t>
    <phoneticPr fontId="1" type="noConversion"/>
  </si>
  <si>
    <t>- '23.05 기준 인건비단가 반영</t>
    <phoneticPr fontId="1" type="noConversion"/>
  </si>
  <si>
    <t>* Last Update Version : 2023-06-14</t>
    <phoneticPr fontId="1" type="noConversion"/>
  </si>
  <si>
    <t>* Last Update Version : 2023-10-24</t>
    <phoneticPr fontId="1" type="noConversion"/>
  </si>
  <si>
    <t>- 금융팀 → 생명/증권그룹, 화재/카드그룹으로 부서단위 조정</t>
    <phoneticPr fontId="1" type="noConversion"/>
  </si>
  <si>
    <t>보증보험료 (Insurance Exp)</t>
    <phoneticPr fontId="1" type="noConversion"/>
  </si>
  <si>
    <t>보증종류</t>
    <phoneticPr fontId="1" type="noConversion"/>
  </si>
  <si>
    <t>보증시작일</t>
    <phoneticPr fontId="1" type="noConversion"/>
  </si>
  <si>
    <t>보증종료일</t>
    <phoneticPr fontId="1" type="noConversion"/>
  </si>
  <si>
    <t>기준(계약)일자</t>
    <phoneticPr fontId="1" type="noConversion"/>
  </si>
  <si>
    <t>보증일수</t>
    <phoneticPr fontId="1" type="noConversion"/>
  </si>
  <si>
    <t>보증금액</t>
    <phoneticPr fontId="1" type="noConversion"/>
  </si>
  <si>
    <t>보증요율</t>
    <phoneticPr fontId="1" type="noConversion"/>
  </si>
  <si>
    <t>수수료금액</t>
    <phoneticPr fontId="1" type="noConversion"/>
  </si>
  <si>
    <t>셀프보증 가능여부</t>
    <phoneticPr fontId="1" type="noConversion"/>
  </si>
  <si>
    <t>입찰보증</t>
  </si>
  <si>
    <t>계약보증</t>
  </si>
  <si>
    <t>하자보증</t>
  </si>
  <si>
    <t>선급금보증</t>
  </si>
  <si>
    <t>지급(이행)보증</t>
  </si>
  <si>
    <t>정부보조금보증</t>
  </si>
  <si>
    <t>※ 실제 금액은 변경될 수 있으므로, http://www.ksfc.or.kr/index.do 에서 범용인증서 로그인 후 계산기를 이용해 금액 산출</t>
    <phoneticPr fontId="1" type="noConversion"/>
  </si>
  <si>
    <t>보증보험종류</t>
    <phoneticPr fontId="1" type="noConversion"/>
  </si>
  <si>
    <t>요율</t>
    <phoneticPr fontId="1" type="noConversion"/>
  </si>
  <si>
    <t>입찰보증</t>
    <phoneticPr fontId="1" type="noConversion"/>
  </si>
  <si>
    <t>N</t>
    <phoneticPr fontId="1" type="noConversion"/>
  </si>
  <si>
    <t>계약보증</t>
    <phoneticPr fontId="1" type="noConversion"/>
  </si>
  <si>
    <t>Y</t>
    <phoneticPr fontId="1" type="noConversion"/>
  </si>
  <si>
    <t>하자보증</t>
    <phoneticPr fontId="1" type="noConversion"/>
  </si>
  <si>
    <t>선급금보증</t>
    <phoneticPr fontId="1" type="noConversion"/>
  </si>
  <si>
    <t>지급(이행)보증</t>
    <phoneticPr fontId="1" type="noConversion"/>
  </si>
  <si>
    <t>정부보조금보증</t>
    <phoneticPr fontId="1" type="noConversion"/>
  </si>
  <si>
    <t xml:space="preserve"> - 아래 노란색 셀 내용 입력시 수수료금액 자동 계산</t>
    <phoneticPr fontId="1" type="noConversion"/>
  </si>
  <si>
    <t xml:space="preserve"> -&gt; 해당금액을 4. 경비 시트의 "보증보험료 (Insurance Exp)" 행에 부서별로 나눠 기입</t>
    <phoneticPr fontId="1" type="noConversion"/>
  </si>
  <si>
    <t>※ 선금보증 발급시 보증금액이 20억 이상일 경우에는 상기 공식이 적용되지 않으므로, 경영관리그룹 박예진프로에게 수수료금액 문의 후 반영</t>
    <phoneticPr fontId="1" type="noConversion"/>
  </si>
  <si>
    <t>- 보증보험료 계산시트 추가</t>
    <phoneticPr fontId="1" type="noConversion"/>
  </si>
  <si>
    <t>※ 보증보험 발급 대상 PJT에 한해 활용</t>
    <phoneticPr fontId="1" type="noConversion"/>
  </si>
  <si>
    <t>- 외주비&amp;재료비 시트의 조직선택 드롭다운목록에서 개발혁신그룹 삭제</t>
    <phoneticPr fontId="1" type="noConversion"/>
  </si>
  <si>
    <t>* Last Update Version : 2023-12-01 (V1.6)</t>
    <phoneticPr fontId="1" type="noConversion"/>
  </si>
  <si>
    <t>산출인건비</t>
    <phoneticPr fontId="1" type="noConversion"/>
  </si>
  <si>
    <t>실행그룹(AMHS)</t>
  </si>
  <si>
    <t>IT서비스3팀</t>
  </si>
  <si>
    <t>생명/증권그룹(금융)</t>
  </si>
  <si>
    <t>화재/카드그룹(금융)</t>
  </si>
  <si>
    <t>외주비구분</t>
    <phoneticPr fontId="1" type="noConversion"/>
  </si>
  <si>
    <t>Service</t>
    <phoneticPr fontId="1" type="noConversion"/>
  </si>
  <si>
    <t>Development</t>
    <phoneticPr fontId="1" type="noConversion"/>
  </si>
  <si>
    <t>계</t>
  </si>
  <si>
    <t>MES Imp.</t>
  </si>
  <si>
    <t>Nexplant MESplus H101</t>
  </si>
  <si>
    <t xml:space="preserve">- 24년 조직개편 반영 </t>
    <phoneticPr fontId="1" type="noConversion"/>
  </si>
  <si>
    <t xml:space="preserve"> - HW/도입솔루션의 위험비용 간접원가 계산에서 제외(SAP 시스템 동일)</t>
  </si>
  <si>
    <t>외주-Development</t>
    <phoneticPr fontId="1" type="noConversion"/>
  </si>
  <si>
    <t>외주-Service</t>
    <phoneticPr fontId="1" type="noConversion"/>
  </si>
  <si>
    <t>☎ 문의 : 구매/사업지원그룹 봉서리, 임현정, 안새리프로</t>
    <phoneticPr fontId="1" type="noConversion"/>
  </si>
  <si>
    <t>※ 정규 On-Site 개발 인력에 대한 M/M 입력</t>
    <phoneticPr fontId="1" type="noConversion"/>
  </si>
  <si>
    <t>안전관리비 (Safety Management Exp)</t>
    <phoneticPr fontId="1" type="noConversion"/>
  </si>
  <si>
    <t>차량유지비(Repairs-Vehicles Exp)</t>
    <phoneticPr fontId="1" type="noConversion"/>
  </si>
  <si>
    <t>교육훈련비(Educatiion&amp;Training Exp)</t>
    <phoneticPr fontId="1" type="noConversion"/>
  </si>
  <si>
    <t>지급수수료(Commmission)</t>
    <phoneticPr fontId="1" type="noConversion"/>
  </si>
  <si>
    <t>운반비(Logistics Exp)</t>
    <phoneticPr fontId="1" type="noConversion"/>
  </si>
  <si>
    <t>세금과공과(국내) (Taxes&amp;Bills-Domestic)</t>
    <phoneticPr fontId="1" type="noConversion"/>
  </si>
  <si>
    <t>세금과공과(해외) (Taxes&amp;Bills-Overseas)</t>
    <phoneticPr fontId="1" type="noConversion"/>
  </si>
  <si>
    <t>- 경비Sheet 일부 계정 추가</t>
    <phoneticPr fontId="1" type="noConversion"/>
  </si>
  <si>
    <t>자사솔루션</t>
    <phoneticPr fontId="1" type="noConversion"/>
  </si>
  <si>
    <t>* Last Update Version : 2024-05-20 (V1.2)</t>
    <phoneticPr fontId="1" type="noConversion"/>
  </si>
  <si>
    <t>IT실행그룹</t>
  </si>
  <si>
    <t>버전</t>
    <phoneticPr fontId="1" type="noConversion"/>
  </si>
  <si>
    <t>내역</t>
    <phoneticPr fontId="1" type="noConversion"/>
  </si>
  <si>
    <t>변경자</t>
    <phoneticPr fontId="1" type="noConversion"/>
  </si>
  <si>
    <t>손익 시뮬레이션_2024_v2.1_202406</t>
    <phoneticPr fontId="1" type="noConversion"/>
  </si>
  <si>
    <t>- 간접비 계산 수식오류
- '24년 사전원가지표 업데이트</t>
    <phoneticPr fontId="1" type="noConversion"/>
  </si>
  <si>
    <t>봉서리
임현정</t>
    <phoneticPr fontId="1" type="noConversion"/>
  </si>
  <si>
    <t>손익 시뮬레이션_2024_v2.2_202406</t>
    <phoneticPr fontId="1" type="noConversion"/>
  </si>
  <si>
    <t>임현정</t>
    <phoneticPr fontId="1" type="noConversion"/>
  </si>
  <si>
    <t>합계</t>
    <phoneticPr fontId="1" type="noConversion"/>
  </si>
  <si>
    <t>- IT서비스실행팀/그룹 신설 반영</t>
    <phoneticPr fontId="1" type="noConversion"/>
  </si>
  <si>
    <t>손익 시뮬레이션_2024_v2.4_202408</t>
    <phoneticPr fontId="1" type="noConversion"/>
  </si>
  <si>
    <t>손익 시뮬레이션_2024_v2.5_202407</t>
    <phoneticPr fontId="1" type="noConversion"/>
  </si>
  <si>
    <t>- 손익시뮬레이션Sheet 경비 수식 오류 수정</t>
    <phoneticPr fontId="1" type="noConversion"/>
  </si>
  <si>
    <t>손익 시뮬레이션_2024_v3.0_202408</t>
    <phoneticPr fontId="1" type="noConversion"/>
  </si>
  <si>
    <t>- 솔루션실행그룹 이사 인건비/경비 수정
- 라이선스 솔루션 표준원가 시스템과 동일반영 (직접비 -&gt; 간접비)</t>
    <phoneticPr fontId="1" type="noConversion"/>
  </si>
  <si>
    <t>- 솔루션 표준원가 변경(간접비 → 직접비)
- 실행2그룹 간접비계산 추가</t>
    <phoneticPr fontId="1" type="noConversion"/>
  </si>
  <si>
    <t>손익 시뮬레이션_2024_v3.1_202408</t>
    <phoneticPr fontId="1" type="noConversion"/>
  </si>
  <si>
    <t>- 자사솔루션 경비 수식ㅈ ㅔ거</t>
    <phoneticPr fontId="1" type="noConversion"/>
  </si>
  <si>
    <t>2025_1.0_202501</t>
    <phoneticPr fontId="1" type="noConversion"/>
  </si>
  <si>
    <t>- 조직개편 부서 반영</t>
    <phoneticPr fontId="1" type="noConversion"/>
  </si>
  <si>
    <t>Nexplant MESplus CE</t>
    <phoneticPr fontId="1" type="noConversion"/>
  </si>
  <si>
    <t>연계솔루션그룹</t>
  </si>
  <si>
    <t>실행1그룹</t>
  </si>
  <si>
    <t>ERP실행그룹</t>
  </si>
  <si>
    <t>ERP실행그룹</t>
    <phoneticPr fontId="1" type="noConversion"/>
  </si>
  <si>
    <t>아키텍처그룹</t>
  </si>
  <si>
    <t>아키텍처그룹</t>
    <phoneticPr fontId="1" type="noConversion"/>
  </si>
  <si>
    <t>고객서비스그룹</t>
  </si>
  <si>
    <t>고객서비스그룹</t>
    <phoneticPr fontId="1" type="noConversion"/>
  </si>
  <si>
    <t>실행2그룹</t>
  </si>
  <si>
    <t>스마트팩토리혁신그룹</t>
  </si>
  <si>
    <t>고객서비스그룹</t>
    <phoneticPr fontId="1" type="noConversion"/>
  </si>
  <si>
    <t>아키텍처그룹</t>
    <phoneticPr fontId="1" type="noConversion"/>
  </si>
  <si>
    <t>ERP실행그룹</t>
    <phoneticPr fontId="1" type="noConversion"/>
  </si>
  <si>
    <t>출장인력 비중(%)</t>
    <phoneticPr fontId="1" type="noConversion"/>
  </si>
  <si>
    <t>25.04</t>
    <phoneticPr fontId="1" type="noConversion"/>
  </si>
  <si>
    <t>디지털솔루션운영그룹</t>
    <phoneticPr fontId="1" type="noConversion"/>
  </si>
  <si>
    <t>DS IT서비스그룹(IT서비스2)</t>
    <phoneticPr fontId="1" type="noConversion"/>
  </si>
  <si>
    <t>DS MES그룹(IT서비스2)</t>
    <phoneticPr fontId="1" type="noConversion"/>
  </si>
  <si>
    <t>정규인력</t>
    <phoneticPr fontId="16" type="noConversion"/>
  </si>
  <si>
    <t>외주인력</t>
    <phoneticPr fontId="16" type="noConversion"/>
  </si>
  <si>
    <t>Nexplant MESplus SR</t>
  </si>
  <si>
    <t>Nexplant MESplus MC</t>
  </si>
  <si>
    <t>Nexplant MESplus QMS</t>
  </si>
  <si>
    <t>Nexplant MESplus FMB</t>
  </si>
  <si>
    <t>Nexplant MESplus CE</t>
  </si>
  <si>
    <t>금융실행그룹(IT실행)</t>
    <phoneticPr fontId="1" type="noConversion"/>
  </si>
  <si>
    <t>IT운영그룹(IT운영)</t>
    <phoneticPr fontId="1" type="noConversion"/>
  </si>
  <si>
    <t>- 라이선스 MA(Technical Support)는 간/판/일 미배부</t>
    <phoneticPr fontId="1" type="noConversion"/>
  </si>
  <si>
    <t>- 구독료는 Operation/Maintenance로 지정하여 간/판/일 배부</t>
    <phoneticPr fontId="1" type="noConversion"/>
  </si>
  <si>
    <t>- 원격운영은 Operation/Maintenance로 지정하여 간/판/일 배부</t>
    <phoneticPr fontId="1" type="noConversion"/>
  </si>
  <si>
    <t xml:space="preserve"> </t>
    <phoneticPr fontId="1" type="noConversion"/>
  </si>
  <si>
    <t>-조직개편 / 사전원가 지표 변동 반영</t>
    <phoneticPr fontId="1" type="noConversion"/>
  </si>
  <si>
    <t>v6.0 , v6.1</t>
    <phoneticPr fontId="1" type="noConversion"/>
  </si>
  <si>
    <t>v7.0</t>
    <phoneticPr fontId="1" type="noConversion"/>
  </si>
  <si>
    <t>도란도란비 금액 인상 반영 ('25.07.01 ~, 30,000 → 35,000)</t>
    <phoneticPr fontId="1" type="noConversion"/>
  </si>
  <si>
    <t>V7.1</t>
    <phoneticPr fontId="1" type="noConversion"/>
  </si>
  <si>
    <t>- 간접비계산_수주액 수식 변동, 조직개편 인건비 변동(IT운영그룹)</t>
    <phoneticPr fontId="1" type="noConversion"/>
  </si>
  <si>
    <t>자사공급
계</t>
    <phoneticPr fontId="1" type="noConversion"/>
  </si>
  <si>
    <t>공헌이익</t>
    <phoneticPr fontId="1" type="noConversion"/>
  </si>
  <si>
    <t>표준원가 제외 영업이익</t>
    <phoneticPr fontId="1" type="noConversion"/>
  </si>
  <si>
    <t>SER</t>
    <phoneticPr fontId="1" type="noConversion"/>
  </si>
  <si>
    <t>국내/외</t>
    <phoneticPr fontId="1" type="noConversion"/>
  </si>
  <si>
    <t>국내</t>
    <phoneticPr fontId="1" type="noConversion"/>
  </si>
  <si>
    <t>해외</t>
    <phoneticPr fontId="1" type="noConversion"/>
  </si>
  <si>
    <t>HW</t>
    <phoneticPr fontId="1" type="noConversion"/>
  </si>
  <si>
    <t>v7.2</t>
    <phoneticPr fontId="1" type="noConversion"/>
  </si>
  <si>
    <t>MES</t>
  </si>
  <si>
    <t>- 비자발급비용, exbuilder 비용 포함</t>
    <phoneticPr fontId="1" type="noConversion"/>
  </si>
  <si>
    <t>- 솔루션표준원가 → 일반비로 이동
- 시간외수당 비율 변경 : 6% → 3%
- 위험비율 변경
- 공헌이익률 추가</t>
    <phoneticPr fontId="1" type="noConversion"/>
  </si>
  <si>
    <t>v7.3</t>
    <phoneticPr fontId="1" type="noConversion"/>
  </si>
  <si>
    <t>기준</t>
  </si>
  <si>
    <t>해외 파견비</t>
  </si>
  <si>
    <t>(기반영분)</t>
  </si>
  <si>
    <t>원가 추가 반영분</t>
  </si>
  <si>
    <t>최초 비용</t>
  </si>
  <si>
    <t>/인당</t>
  </si>
  <si>
    <t xml:space="preserve">L1비자 </t>
  </si>
  <si>
    <t>변호사 수수료</t>
  </si>
  <si>
    <t>인터뷰 신청료</t>
  </si>
  <si>
    <t>인터뷰 진행료</t>
  </si>
  <si>
    <t>$80/일</t>
  </si>
  <si>
    <t>Mark-up</t>
  </si>
  <si>
    <t>총 비용의 5%</t>
  </si>
  <si>
    <t xml:space="preserve">              Smart Edition</t>
    <phoneticPr fontId="1" type="noConversion"/>
  </si>
  <si>
    <t>업데이트</t>
    <phoneticPr fontId="1" type="noConversion"/>
  </si>
  <si>
    <t>상품 구성</t>
    <phoneticPr fontId="1" type="noConversion"/>
  </si>
  <si>
    <t>단위</t>
    <phoneticPr fontId="1" type="noConversion"/>
  </si>
  <si>
    <t>최소 수량</t>
    <phoneticPr fontId="1" type="noConversion"/>
  </si>
  <si>
    <t>적용범위</t>
    <phoneticPr fontId="1" type="noConversion"/>
  </si>
  <si>
    <t>필수구분</t>
    <phoneticPr fontId="1" type="noConversion"/>
  </si>
  <si>
    <t>MESplus Product License</t>
  </si>
  <si>
    <t xml:space="preserve"> Miracom Digital Platform</t>
    <phoneticPr fontId="1" type="noConversion"/>
  </si>
  <si>
    <t>User</t>
    <phoneticPr fontId="1" type="noConversion"/>
  </si>
  <si>
    <t>구간+단일</t>
    <phoneticPr fontId="1" type="noConversion"/>
  </si>
  <si>
    <t>Site</t>
    <phoneticPr fontId="1" type="noConversion"/>
  </si>
  <si>
    <t>필수</t>
    <phoneticPr fontId="1" type="noConversion"/>
  </si>
  <si>
    <t>기준정보, 시스템관리(GCM/MSG/SEC/ALM/SSO)</t>
    <phoneticPr fontId="1" type="noConversion"/>
  </si>
  <si>
    <t>제조실행</t>
    <phoneticPr fontId="1" type="noConversion"/>
  </si>
  <si>
    <t>MES(생산관리, 품질검사관리, 자재관리, 설비관리)</t>
    <phoneticPr fontId="1" type="noConversion"/>
  </si>
  <si>
    <t>System/Equipment</t>
    <phoneticPr fontId="1" type="noConversion"/>
  </si>
  <si>
    <t>옵션</t>
    <phoneticPr fontId="1" type="noConversion"/>
  </si>
  <si>
    <t>WIP/BOM/ORD/INV/QCM/EDC/RAS/LBL/RTD</t>
  </si>
  <si>
    <t>*MES Equipment는 타사 솔루션 도입시 산정</t>
    <phoneticPr fontId="1" type="noConversion"/>
  </si>
  <si>
    <t>MMS(Measurement Management System, 측정/계측기관리)</t>
    <phoneticPr fontId="1" type="noConversion"/>
  </si>
  <si>
    <t>System</t>
    <phoneticPr fontId="1" type="noConversion"/>
  </si>
  <si>
    <t>단일</t>
  </si>
  <si>
    <t>Site</t>
  </si>
  <si>
    <t xml:space="preserve">FMS(Facility Maintenance System, 설비보전) </t>
    <phoneticPr fontId="1" type="noConversion"/>
  </si>
  <si>
    <t>System</t>
  </si>
  <si>
    <r>
      <t xml:space="preserve">PMS(Productivity Management System, 생산성 관리) </t>
    </r>
    <r>
      <rPr>
        <b/>
        <sz val="10"/>
        <color rgb="FFFF0000"/>
        <rFont val="맑은 고딕"/>
        <family val="3"/>
        <charset val="129"/>
      </rPr>
      <t>*추가</t>
    </r>
    <phoneticPr fontId="1" type="noConversion"/>
  </si>
  <si>
    <t>옵션</t>
  </si>
  <si>
    <t>데이터시각화</t>
    <phoneticPr fontId="1" type="noConversion"/>
  </si>
  <si>
    <t xml:space="preserve">SR(Smart Report, 리포트) </t>
    <phoneticPr fontId="1" type="noConversion"/>
  </si>
  <si>
    <t>Designer 포함</t>
    <phoneticPr fontId="1" type="noConversion"/>
  </si>
  <si>
    <t xml:space="preserve">FMB(Flexible Monitoring Board, 대시보드) </t>
    <phoneticPr fontId="1" type="noConversion"/>
  </si>
  <si>
    <t>단일</t>
    <phoneticPr fontId="1" type="noConversion"/>
  </si>
  <si>
    <r>
      <t xml:space="preserve">BDA(Big Data Analysis, 데이터 분석엔진) </t>
    </r>
    <r>
      <rPr>
        <b/>
        <sz val="10"/>
        <color rgb="FF0A0AFE"/>
        <rFont val="맑은 고딕"/>
        <family val="3"/>
        <charset val="129"/>
      </rPr>
      <t>*추가</t>
    </r>
    <phoneticPr fontId="1" type="noConversion"/>
  </si>
  <si>
    <t>품질/수율관리</t>
    <phoneticPr fontId="1" type="noConversion"/>
  </si>
  <si>
    <t>SPC(Statistical Process Control, 통계적 공정관리)</t>
    <phoneticPr fontId="1" type="noConversion"/>
  </si>
  <si>
    <t>YMS(Yield Management System, 수율관리)</t>
    <phoneticPr fontId="1" type="noConversion"/>
  </si>
  <si>
    <t>설비엔지니어링</t>
    <phoneticPr fontId="1" type="noConversion"/>
  </si>
  <si>
    <t xml:space="preserve">RMS(Recipe Management System, 레시피관리) </t>
    <phoneticPr fontId="1" type="noConversion"/>
  </si>
  <si>
    <t>*RMS Equipment는 MES 또는 MC 연계판매시 산정X</t>
    <phoneticPr fontId="1" type="noConversion"/>
  </si>
  <si>
    <t>TAMS(Test-program Autoload Management System, 테스트 공정 자동화)</t>
    <phoneticPr fontId="1" type="noConversion"/>
  </si>
  <si>
    <t xml:space="preserve">FDC(Fault Detection &amp; Classificationn, 이상감지) </t>
    <phoneticPr fontId="1" type="noConversion"/>
  </si>
  <si>
    <t>System/Equipment</t>
  </si>
  <si>
    <t>구간+단일</t>
  </si>
  <si>
    <t>*Oracle DB만 가능, StationX 필수</t>
    <phoneticPr fontId="1" type="noConversion"/>
  </si>
  <si>
    <t>EPT(Equipment Performance Tracking, 설비효율 )</t>
    <phoneticPr fontId="1" type="noConversion"/>
  </si>
  <si>
    <t>창고관리/물류관제</t>
    <phoneticPr fontId="1" type="noConversion"/>
  </si>
  <si>
    <t xml:space="preserve">M_WMS(Manufacturing_ Warehouse Management System, 창고관리) </t>
    <phoneticPr fontId="1" type="noConversion"/>
  </si>
  <si>
    <t>FMB DT(FMB Digital Twin, 3D 물류 모니터링)</t>
    <phoneticPr fontId="1" type="noConversion"/>
  </si>
  <si>
    <t>딜리버리 생산성</t>
    <phoneticPr fontId="1" type="noConversion"/>
  </si>
  <si>
    <r>
      <t xml:space="preserve">업종 Asset(수주산업, 하이테크) </t>
    </r>
    <r>
      <rPr>
        <b/>
        <sz val="10"/>
        <color rgb="FF0A0AFE"/>
        <rFont val="맑은 고딕"/>
        <family val="3"/>
        <charset val="129"/>
      </rPr>
      <t>*추가</t>
    </r>
    <phoneticPr fontId="1" type="noConversion"/>
  </si>
  <si>
    <t>Set</t>
    <phoneticPr fontId="1" type="noConversion"/>
  </si>
  <si>
    <r>
      <t xml:space="preserve">Workflow Modeler </t>
    </r>
    <r>
      <rPr>
        <b/>
        <sz val="10"/>
        <color rgb="FF0A0AFE"/>
        <rFont val="맑은 고딕"/>
        <family val="3"/>
        <charset val="129"/>
      </rPr>
      <t>*추가</t>
    </r>
    <phoneticPr fontId="1" type="noConversion"/>
  </si>
  <si>
    <t>사용자기반 라이선스 가격</t>
    <phoneticPr fontId="1" type="noConversion"/>
  </si>
  <si>
    <t>최소구간</t>
    <phoneticPr fontId="1" type="noConversion"/>
  </si>
  <si>
    <t>Unit Price</t>
    <phoneticPr fontId="1" type="noConversion"/>
  </si>
  <si>
    <t>~10</t>
    <phoneticPr fontId="1" type="noConversion"/>
  </si>
  <si>
    <t>~25</t>
    <phoneticPr fontId="1" type="noConversion"/>
  </si>
  <si>
    <t>26~50</t>
    <phoneticPr fontId="1" type="noConversion"/>
  </si>
  <si>
    <t>51~100</t>
  </si>
  <si>
    <t>101~150</t>
  </si>
  <si>
    <t>151~200</t>
  </si>
  <si>
    <t>201 ~</t>
  </si>
  <si>
    <t>Equipment</t>
    <phoneticPr fontId="1" type="noConversion"/>
  </si>
  <si>
    <t xml:space="preserve">YMS(Yield Management System, 수율관리) </t>
    <phoneticPr fontId="1" type="noConversion"/>
  </si>
  <si>
    <t>~50</t>
    <phoneticPr fontId="1" type="noConversion"/>
  </si>
  <si>
    <t>51~150</t>
    <phoneticPr fontId="1" type="noConversion"/>
  </si>
  <si>
    <t>151~</t>
    <phoneticPr fontId="1" type="noConversion"/>
  </si>
  <si>
    <t xml:space="preserve">FDC(Fault Detection &amp; Classification, 이상감지) </t>
    <phoneticPr fontId="1" type="noConversion"/>
  </si>
  <si>
    <t xml:space="preserve">EPT(Equipment Performance Tracking, 설비효율 ) </t>
    <phoneticPr fontId="1" type="noConversion"/>
  </si>
  <si>
    <t xml:space="preserve">FMB DT(FMB Digital Twin, 3D 물류 모니터링) </t>
    <phoneticPr fontId="1" type="noConversion"/>
  </si>
  <si>
    <t>HA(High-Availability) 가격</t>
    <phoneticPr fontId="1" type="noConversion"/>
  </si>
  <si>
    <t>List Price</t>
    <phoneticPr fontId="1" type="noConversion"/>
  </si>
  <si>
    <t>Miracom Digital Platform HA 산정 제외</t>
    <phoneticPr fontId="1" type="noConversion"/>
  </si>
  <si>
    <t>MES HA(High-Availability)</t>
    <phoneticPr fontId="1" type="noConversion"/>
  </si>
  <si>
    <t>MES_Equipment HA 산정 제외</t>
    <phoneticPr fontId="1" type="noConversion"/>
  </si>
  <si>
    <t>MMS HA(High-Availability)</t>
    <phoneticPr fontId="1" type="noConversion"/>
  </si>
  <si>
    <t>FMS HA(High-Availability)</t>
    <phoneticPr fontId="1" type="noConversion"/>
  </si>
  <si>
    <t>PMS HA(High-Availability)</t>
    <phoneticPr fontId="1" type="noConversion"/>
  </si>
  <si>
    <t>SR HA(High-Availability)</t>
    <phoneticPr fontId="1" type="noConversion"/>
  </si>
  <si>
    <t>FMB HA(High-Availability)</t>
    <phoneticPr fontId="1" type="noConversion"/>
  </si>
  <si>
    <t>품질관리</t>
    <phoneticPr fontId="1" type="noConversion"/>
  </si>
  <si>
    <t>SPC HA(High-Availability)</t>
    <phoneticPr fontId="1" type="noConversion"/>
  </si>
  <si>
    <t>YMS HA(High-Availability)</t>
    <phoneticPr fontId="1" type="noConversion"/>
  </si>
  <si>
    <t>RMS HA(High-Availability)</t>
    <phoneticPr fontId="1" type="noConversion"/>
  </si>
  <si>
    <t>RMS_Equipment HA 산정 제외</t>
    <phoneticPr fontId="1" type="noConversion"/>
  </si>
  <si>
    <t>TAMS HA(High-Availability)</t>
    <phoneticPr fontId="1" type="noConversion"/>
  </si>
  <si>
    <t>TAMS_Equipment HA 산정 제외</t>
    <phoneticPr fontId="1" type="noConversion"/>
  </si>
  <si>
    <t>FDC HA(High-Availability)</t>
    <phoneticPr fontId="1" type="noConversion"/>
  </si>
  <si>
    <t>EPT HA(High-Availability)</t>
    <phoneticPr fontId="1" type="noConversion"/>
  </si>
  <si>
    <t>물류관리</t>
    <phoneticPr fontId="1" type="noConversion"/>
  </si>
  <si>
    <t>M_WMS HA(High-Availability)</t>
    <phoneticPr fontId="1" type="noConversion"/>
  </si>
  <si>
    <t>FMB DT HA(High-Availability)</t>
    <phoneticPr fontId="1" type="noConversion"/>
  </si>
  <si>
    <t>(참고)</t>
    <phoneticPr fontId="1" type="noConversion"/>
  </si>
  <si>
    <t>- UX 개발 프레임워크(eXBuilder6) 포함</t>
    <phoneticPr fontId="1" type="noConversion"/>
  </si>
  <si>
    <t>(견적서에 포함할 문구로 상기 Price Table 기준 노란색 영역) ※ MA 계약도 동일적용</t>
    <phoneticPr fontId="1" type="noConversion"/>
  </si>
  <si>
    <t>I</t>
    <phoneticPr fontId="1" type="noConversion"/>
  </si>
  <si>
    <t>- 국내 할인구간: Market Price(~40%할인), Cost Price(~80%할인)</t>
    <phoneticPr fontId="1" type="noConversion"/>
  </si>
  <si>
    <t>- 보증기간(Warranty) : 시스템 구축 및 검수 완료 후, 1년(12개월)</t>
    <phoneticPr fontId="1" type="noConversion"/>
  </si>
  <si>
    <t>- 유지보수 율(Maintenance Rate) : 유지보수 서비스 정책서 기준</t>
    <phoneticPr fontId="1" type="noConversion"/>
  </si>
  <si>
    <t>판매 기준</t>
    <phoneticPr fontId="1" type="noConversion"/>
  </si>
  <si>
    <t>MESplus Product License</t>
    <phoneticPr fontId="1" type="noConversion"/>
  </si>
  <si>
    <t>구간+구간단가</t>
    <phoneticPr fontId="1" type="noConversion"/>
  </si>
  <si>
    <t>단일+구간+구간단가</t>
    <phoneticPr fontId="1" type="noConversion"/>
  </si>
  <si>
    <t>FMS(Facility Maintenance System, 설비보전)</t>
    <phoneticPr fontId="1" type="noConversion"/>
  </si>
  <si>
    <t>RMS(Recipe Management System, 레시피관리)</t>
    <phoneticPr fontId="1" type="noConversion"/>
  </si>
  <si>
    <t>단일+구간단가</t>
    <phoneticPr fontId="1" type="noConversion"/>
  </si>
  <si>
    <t>7.0</t>
    <phoneticPr fontId="1" type="noConversion"/>
  </si>
  <si>
    <t xml:space="preserve"> Digital Platform</t>
    <phoneticPr fontId="1" type="noConversion"/>
  </si>
  <si>
    <t>MESplus Modules</t>
    <phoneticPr fontId="1" type="noConversion"/>
  </si>
  <si>
    <t>MES Core(생산관리, 품질관리, 자재관리, 설비관리)</t>
    <phoneticPr fontId="1" type="noConversion"/>
  </si>
  <si>
    <t>MES 필수</t>
    <phoneticPr fontId="1" type="noConversion"/>
  </si>
  <si>
    <t>WIP/BOM/ORD/INV/QCM/EDC/RAS/LBL/RTD</t>
    <phoneticPr fontId="1" type="noConversion"/>
  </si>
  <si>
    <t>MES 옵션</t>
  </si>
  <si>
    <t>설비 연동시(MC 도입시 산정X)</t>
    <phoneticPr fontId="1" type="noConversion"/>
  </si>
  <si>
    <t>단일+단가</t>
    <phoneticPr fontId="1" type="noConversion"/>
  </si>
  <si>
    <t xml:space="preserve">SR(Smart Report) </t>
    <phoneticPr fontId="1" type="noConversion"/>
  </si>
  <si>
    <t>SR(Smart Report, 리포트) Core</t>
    <phoneticPr fontId="1" type="noConversion"/>
  </si>
  <si>
    <t>SR 필수</t>
    <phoneticPr fontId="1" type="noConversion"/>
  </si>
  <si>
    <t>Designer 포함,
단일 판매 가능(250만원/User)</t>
    <phoneticPr fontId="1" type="noConversion"/>
  </si>
  <si>
    <t>FMB</t>
    <phoneticPr fontId="1" type="noConversion"/>
  </si>
  <si>
    <t>FMB(Flexible Monitoring Board, 대시보드) Core</t>
    <phoneticPr fontId="1" type="noConversion"/>
  </si>
  <si>
    <t>FMB 필수</t>
    <phoneticPr fontId="1" type="noConversion"/>
  </si>
  <si>
    <t>단일 판매 가능(250만원/User)</t>
    <phoneticPr fontId="1" type="noConversion"/>
  </si>
  <si>
    <t>FMB Designer</t>
    <phoneticPr fontId="1" type="noConversion"/>
  </si>
  <si>
    <t>FMB 옵션</t>
    <phoneticPr fontId="1" type="noConversion"/>
  </si>
  <si>
    <t>System:￦30,000,000, Equipment:￦500,000</t>
    <phoneticPr fontId="1" type="noConversion"/>
  </si>
  <si>
    <t>SR(Smart Report)</t>
    <phoneticPr fontId="1" type="noConversion"/>
  </si>
  <si>
    <t>- 이중화 구성시 Core 공급가 기준으로 적용</t>
    <phoneticPr fontId="1" type="noConversion"/>
  </si>
  <si>
    <t xml:space="preserve"> - 2-1. 사전영업비, 4-1 경비_보증보험료, 4-2. 해외출장 비자발급 수수료 시트는 필요 시 입력</t>
    <phoneticPr fontId="1" type="noConversion"/>
  </si>
  <si>
    <t>- '25년 인건비 반영 완료, '26.03 이후 인건비는 인상률 5.0% 반영</t>
    <phoneticPr fontId="1" type="noConversion"/>
  </si>
  <si>
    <t>- 경비 항목에 연장근무수당 반영여부 선택 가능 ('반영'선택 시 최대 연장근무수당 3% 자동 반영됨)</t>
    <phoneticPr fontId="1" type="noConversion"/>
  </si>
  <si>
    <t xml:space="preserve">  * 인건비단가 버전 : 2025.08, 관리그룹 반영 기준</t>
    <phoneticPr fontId="1" type="noConversion"/>
  </si>
  <si>
    <t xml:space="preserve"> 2-1. 사전영업비</t>
    <phoneticPr fontId="1" type="noConversion"/>
  </si>
  <si>
    <t xml:space="preserve">- 재료비는 외주비와 3'rd Party(H/W, S/W)로 구분해서 반드시 작성해야 합니다. </t>
    <phoneticPr fontId="1" type="noConversion"/>
  </si>
  <si>
    <t xml:space="preserve"> · 제안을 수반한 SI사업만 가능(사전영업, SMC사업 불가)</t>
    <phoneticPr fontId="1" type="noConversion"/>
  </si>
  <si>
    <t>- 요식성경비/접대비는 대내 0.3% / 대외 0.5%</t>
    <phoneticPr fontId="1" type="noConversion"/>
  </si>
  <si>
    <t>- 파견비 2,100,000원(파견비1,100,000+숙박비1,000,000)</t>
    <phoneticPr fontId="1" type="noConversion"/>
  </si>
  <si>
    <t>- 국내 출장비 일당 50,000원</t>
    <phoneticPr fontId="1" type="noConversion"/>
  </si>
  <si>
    <t>- 4-1. 경비_보증보험료 Sheet에서 산출한 수수료금액을 보증보험료 계정에 입력</t>
    <phoneticPr fontId="1" type="noConversion"/>
  </si>
  <si>
    <t>- 4-2. 해외출장 비자발급 수수료 Sheet에서 산출한 비용을 '해외출장비-기타비용' 계정에 입력</t>
    <phoneticPr fontId="1" type="noConversion"/>
  </si>
  <si>
    <t xml:space="preserve">    · 미국 L1비자 기준 비용 산출</t>
    <phoneticPr fontId="1" type="noConversion"/>
  </si>
  <si>
    <t xml:space="preserve">- 위험비용 비율 입력 필수 </t>
    <phoneticPr fontId="1" type="noConversion"/>
  </si>
  <si>
    <t xml:space="preserve"> · SER : 국내 1%, 해외 2%</t>
    <phoneticPr fontId="1" type="noConversion"/>
  </si>
  <si>
    <t>※ 위험비율을 선택하지 않을경우 기준율 반영</t>
    <phoneticPr fontId="1" type="noConversion"/>
  </si>
  <si>
    <t>- 실비 정산성 경비가 있을경우 'E69'에 입력</t>
    <phoneticPr fontId="1" type="noConversion"/>
  </si>
  <si>
    <t>6. 손익 시뮬레이션 검토/보고</t>
    <phoneticPr fontId="1" type="noConversion"/>
  </si>
  <si>
    <t>- 간접비율 '25년 사전원가 비율 반영</t>
    <phoneticPr fontId="1" type="noConversion"/>
  </si>
  <si>
    <t xml:space="preserve"> 7. 간접비 계산 (자동계산)</t>
    <phoneticPr fontId="1" type="noConversion"/>
  </si>
  <si>
    <t>- 공헌이익률 의사결정 추가</t>
    <phoneticPr fontId="1" type="noConversion"/>
  </si>
  <si>
    <t>- CE사업일 경우 AWS, eXBuilder비용 별도 계산하여 반영 필수</t>
    <phoneticPr fontId="1" type="noConversion"/>
  </si>
  <si>
    <t xml:space="preserve"> · 라이선스 수주액 * 3%</t>
    <phoneticPr fontId="1" type="noConversion"/>
  </si>
  <si>
    <t xml:space="preserve">     CE사업, AWS, eXBuilder</t>
    <phoneticPr fontId="1" type="noConversion"/>
  </si>
  <si>
    <t>- SE 라이선스 버전에 따른 eXBuilder비용 반영여부 선택 (v7.x일 경우 반영 선택)</t>
    <phoneticPr fontId="1" type="noConversion"/>
  </si>
  <si>
    <t>HW이익률이 고정 10% 이익률로 자동 수주계산되게?</t>
    <phoneticPr fontId="1" type="noConversion"/>
  </si>
  <si>
    <t>수주환율은 시스템 환율로 반영할 수 있게?</t>
    <phoneticPr fontId="1" type="noConversion"/>
  </si>
  <si>
    <t>CE사업 수수료 비용도 자동 계산되게 해달라</t>
    <phoneticPr fontId="1" type="noConversion"/>
  </si>
  <si>
    <t>실비정산성경비 항목을 지정하여 자동 계산되게 해달라</t>
    <phoneticPr fontId="1" type="noConversion"/>
  </si>
  <si>
    <t xml:space="preserve">환율조회 TCODE : </t>
    <phoneticPr fontId="1" type="noConversion"/>
  </si>
  <si>
    <t>최종 분기말 환율</t>
    <phoneticPr fontId="1" type="noConversion"/>
  </si>
  <si>
    <t xml:space="preserve">신규 : </t>
    <phoneticPr fontId="1" type="noConversion"/>
  </si>
  <si>
    <t xml:space="preserve">변경 : </t>
    <phoneticPr fontId="1" type="noConversion"/>
  </si>
  <si>
    <t xml:space="preserve">(전 차수 환율 +(추가수주액 * 현재 분기말 환율))/ 총 금액 </t>
    <phoneticPr fontId="1" type="noConversion"/>
  </si>
  <si>
    <t>total foreign amount</t>
  </si>
  <si>
    <t>200 USD</t>
  </si>
  <si>
    <t>actual foreign amount</t>
  </si>
  <si>
    <t>100 USD</t>
  </si>
  <si>
    <t>actual local amount</t>
  </si>
  <si>
    <t>100 USD * ( 2025.10.10 USD-&gt;KRW rate 1401.90 ) = 140,190 KRW</t>
  </si>
  <si>
    <t>latest quarter-end exchange rate</t>
  </si>
  <si>
    <t>2025.09.30 USD-&gt;KRW rate 1402.20</t>
  </si>
  <si>
    <t>adjust exchange rate</t>
  </si>
  <si>
    <t>(140,190 + ( 100 * 1402.20 ) ) / 200 = 1402.05</t>
  </si>
  <si>
    <t>MMS</t>
    <phoneticPr fontId="1" type="noConversion"/>
  </si>
  <si>
    <t>FMS</t>
    <phoneticPr fontId="1" type="noConversion"/>
  </si>
  <si>
    <t>SPC</t>
    <phoneticPr fontId="1" type="noConversion"/>
  </si>
  <si>
    <t>YMS</t>
    <phoneticPr fontId="1" type="noConversion"/>
  </si>
  <si>
    <t>RMS</t>
    <phoneticPr fontId="1" type="noConversion"/>
  </si>
  <si>
    <t>FDC</t>
    <phoneticPr fontId="1" type="noConversion"/>
  </si>
  <si>
    <t>EPT</t>
    <phoneticPr fontId="1" type="noConversion"/>
  </si>
  <si>
    <t>M_WMS</t>
    <phoneticPr fontId="1" type="noConversion"/>
  </si>
  <si>
    <t>QMS</t>
    <phoneticPr fontId="1" type="noConversion"/>
  </si>
  <si>
    <t>ZRA0ECM1206 - Display Exchange Rate</t>
    <phoneticPr fontId="1" type="noConversion"/>
  </si>
  <si>
    <t>T-CODE : /n ZRA0ECM1206</t>
    <phoneticPr fontId="1" type="noConversion"/>
  </si>
  <si>
    <t>v8.0</t>
    <phoneticPr fontId="1" type="noConversion"/>
  </si>
  <si>
    <t xml:space="preserve">- 환율조회 T코드 수정, SE버전 수수료비용 업데이트 </t>
    <phoneticPr fontId="1" type="noConversion"/>
  </si>
  <si>
    <t xml:space="preserve"> LIC SE v7.0이상, eXbuilder</t>
    <phoneticPr fontId="1" type="noConversion"/>
  </si>
  <si>
    <t>인상률</t>
    <phoneticPr fontId="1" type="noConversion"/>
  </si>
  <si>
    <t>자사솔루션</t>
    <phoneticPr fontId="16" type="noConversion"/>
  </si>
  <si>
    <t>서비스</t>
    <phoneticPr fontId="16" type="noConversion"/>
  </si>
  <si>
    <t>HW/도입솔루션</t>
    <phoneticPr fontId="16" type="noConversion"/>
  </si>
  <si>
    <t>* 기타사항</t>
    <phoneticPr fontId="16" type="noConversion"/>
  </si>
  <si>
    <t>MES실행그룹</t>
    <phoneticPr fontId="1" type="noConversion"/>
  </si>
  <si>
    <t>Remote Development Center</t>
    <phoneticPr fontId="1" type="noConversion"/>
  </si>
  <si>
    <t>설비자동화그룹</t>
    <phoneticPr fontId="1" type="noConversion"/>
  </si>
  <si>
    <t>제조로보틱스그룹</t>
    <phoneticPr fontId="1" type="noConversion"/>
  </si>
  <si>
    <t>DS MES그룹</t>
    <phoneticPr fontId="1" type="noConversion"/>
  </si>
  <si>
    <t>DX/부품 MES그룹</t>
    <phoneticPr fontId="1" type="noConversion"/>
  </si>
  <si>
    <t>대외 MES PM/PL 및 분석/설계, PMO, 제안</t>
    <phoneticPr fontId="1" type="noConversion"/>
  </si>
  <si>
    <t>대외 MES실행 및 원격/Shared개발, 자산화</t>
    <phoneticPr fontId="1" type="noConversion"/>
  </si>
  <si>
    <t>대외 스마트팩토리 고객지원 및 MA</t>
    <phoneticPr fontId="1" type="noConversion"/>
  </si>
  <si>
    <t>H101, MC, FEMS개발 및 설비개조</t>
    <phoneticPr fontId="1" type="noConversion"/>
  </si>
  <si>
    <t>물류 자동화 구축 및 AMMR 사업 추진</t>
    <phoneticPr fontId="1" type="noConversion"/>
  </si>
  <si>
    <t>인프라 관련 대외 사업</t>
    <phoneticPr fontId="1" type="noConversion"/>
  </si>
  <si>
    <t>전자 DS/디스플레이 MES운영</t>
    <phoneticPr fontId="1" type="noConversion"/>
  </si>
  <si>
    <t>전자DX/전기/SDI/바이오 MES 실행/운영</t>
    <phoneticPr fontId="1" type="noConversion"/>
  </si>
  <si>
    <t>DS IT그룹</t>
    <phoneticPr fontId="1" type="noConversion"/>
  </si>
  <si>
    <t>제조 IT그룹</t>
    <phoneticPr fontId="1" type="noConversion"/>
  </si>
  <si>
    <t>서비스/EPC IT그룹</t>
    <phoneticPr fontId="1" type="noConversion"/>
  </si>
  <si>
    <t>MSP실행그룹</t>
    <phoneticPr fontId="1" type="noConversion"/>
  </si>
  <si>
    <t>디지털솔루션그룹</t>
    <phoneticPr fontId="1" type="noConversion"/>
  </si>
  <si>
    <t>ERP운영그룹</t>
    <phoneticPr fontId="1" type="noConversion"/>
  </si>
  <si>
    <t>생명/증권IT그룹</t>
    <phoneticPr fontId="1" type="noConversion"/>
  </si>
  <si>
    <t>화재/카드IT그룹</t>
    <phoneticPr fontId="1" type="noConversion"/>
  </si>
  <si>
    <t>금융실행그룹</t>
    <phoneticPr fontId="1" type="noConversion"/>
  </si>
  <si>
    <t>클라우드운영</t>
    <phoneticPr fontId="1" type="noConversion"/>
  </si>
  <si>
    <t>전자DS, 디스플레이 MIS운영</t>
    <phoneticPr fontId="1" type="noConversion"/>
  </si>
  <si>
    <t>전자DX 및 제조관계사 MIS운영</t>
    <phoneticPr fontId="1" type="noConversion"/>
  </si>
  <si>
    <t>서비스/EPC 관계사 MIS 운영</t>
    <phoneticPr fontId="1" type="noConversion"/>
  </si>
  <si>
    <t>전자/제조/EPC/서비스사 SI 실행</t>
    <phoneticPr fontId="1" type="noConversion"/>
  </si>
  <si>
    <t>전자/SDS, SCM, DRM, CRM, HCM, RPA 시스템 운영</t>
    <phoneticPr fontId="1" type="noConversion"/>
  </si>
  <si>
    <t>전자/SDI/전기 ERP 운영</t>
    <phoneticPr fontId="1" type="noConversion"/>
  </si>
  <si>
    <t>대외 ERP SI 실행</t>
    <phoneticPr fontId="1" type="noConversion"/>
  </si>
  <si>
    <t>생명, 증권 MIS 운영</t>
    <phoneticPr fontId="1" type="noConversion"/>
  </si>
  <si>
    <t>화재, 카드 MIS 운영</t>
    <phoneticPr fontId="1" type="noConversion"/>
  </si>
  <si>
    <t>생명, 화재, 카드, 증권 SI실행</t>
    <phoneticPr fontId="1" type="noConversion"/>
  </si>
  <si>
    <t>금융, SDS 인프라 운영</t>
    <phoneticPr fontId="1" type="noConversion"/>
  </si>
  <si>
    <t>26년 조직</t>
    <phoneticPr fontId="1" type="noConversion"/>
  </si>
  <si>
    <t>유지보수</t>
    <phoneticPr fontId="1" type="noConversion"/>
  </si>
  <si>
    <t>컨설팅</t>
    <phoneticPr fontId="1" type="noConversion"/>
  </si>
  <si>
    <t>기타</t>
    <phoneticPr fontId="1" type="noConversion"/>
  </si>
  <si>
    <t>MES실행그룹</t>
    <phoneticPr fontId="1" type="noConversion"/>
  </si>
  <si>
    <t>Remote Development Center</t>
    <phoneticPr fontId="1" type="noConversion"/>
  </si>
  <si>
    <t>tobe 조직</t>
    <phoneticPr fontId="1" type="noConversion"/>
  </si>
  <si>
    <t>고객서비스그룹</t>
    <phoneticPr fontId="1" type="noConversion"/>
  </si>
  <si>
    <t>설비자동화그룹</t>
    <phoneticPr fontId="1" type="noConversion"/>
  </si>
  <si>
    <t>제조로보틱스그룹</t>
    <phoneticPr fontId="1" type="noConversion"/>
  </si>
  <si>
    <t>아키텍처그룹</t>
    <phoneticPr fontId="1" type="noConversion"/>
  </si>
  <si>
    <t>DS MES그룹</t>
    <phoneticPr fontId="1" type="noConversion"/>
  </si>
  <si>
    <t>DS IT그룹</t>
    <phoneticPr fontId="1" type="noConversion"/>
  </si>
  <si>
    <t>제조 IT그룹</t>
    <phoneticPr fontId="1" type="noConversion"/>
  </si>
  <si>
    <t>서비스/EPC IT그룹</t>
    <phoneticPr fontId="1" type="noConversion"/>
  </si>
  <si>
    <t>MSP실행그룹</t>
    <phoneticPr fontId="1" type="noConversion"/>
  </si>
  <si>
    <t>디지털솔루션그룹</t>
    <phoneticPr fontId="1" type="noConversion"/>
  </si>
  <si>
    <t>생명/증권 IT그룹</t>
    <phoneticPr fontId="1" type="noConversion"/>
  </si>
  <si>
    <t>화재/카드 IT그룹</t>
    <phoneticPr fontId="1" type="noConversion"/>
  </si>
  <si>
    <t>Remote Development Center</t>
  </si>
  <si>
    <t>Remote Development Center</t>
    <phoneticPr fontId="1" type="noConversion"/>
  </si>
  <si>
    <t>사업구분(상세)</t>
  </si>
  <si>
    <t>사업유형</t>
  </si>
  <si>
    <t>SF</t>
  </si>
  <si>
    <t>운영</t>
  </si>
  <si>
    <t>구축</t>
  </si>
  <si>
    <t>Cloud</t>
  </si>
  <si>
    <t>MSP</t>
  </si>
  <si>
    <t>MIS</t>
  </si>
  <si>
    <t>교육</t>
  </si>
  <si>
    <t>PLM</t>
  </si>
  <si>
    <t>CRM</t>
  </si>
  <si>
    <t>금융</t>
  </si>
  <si>
    <t>SCM</t>
  </si>
  <si>
    <t>HCM</t>
  </si>
  <si>
    <t>SRM</t>
  </si>
  <si>
    <t>사업구분</t>
    <phoneticPr fontId="1" type="noConversion"/>
  </si>
  <si>
    <t>사업구분</t>
    <phoneticPr fontId="1" type="noConversion"/>
  </si>
  <si>
    <t>사업유형</t>
    <phoneticPr fontId="1" type="noConversion"/>
  </si>
  <si>
    <t>ERP</t>
    <phoneticPr fontId="1" type="noConversion"/>
  </si>
  <si>
    <t>인프라</t>
    <phoneticPr fontId="1" type="noConversion"/>
  </si>
  <si>
    <t>AMMR</t>
    <phoneticPr fontId="1" type="noConversion"/>
  </si>
  <si>
    <t>AMMR</t>
    <phoneticPr fontId="1" type="noConversion"/>
  </si>
  <si>
    <t>제조로보틱스그룹</t>
    <phoneticPr fontId="1" type="noConversion"/>
  </si>
  <si>
    <t>물류자동화,
AMMR</t>
    <phoneticPr fontId="1" type="noConversion"/>
  </si>
  <si>
    <t>기타
(FEMS개발 
및  설비개조)</t>
    <phoneticPr fontId="1" type="noConversion"/>
  </si>
  <si>
    <t>인프라 사업
(TA, SI, NW, HW, MA)</t>
    <phoneticPr fontId="1" type="noConversion"/>
  </si>
  <si>
    <t>서비스(운영)</t>
    <phoneticPr fontId="1" type="noConversion"/>
  </si>
  <si>
    <t>운영 위험비용</t>
    <phoneticPr fontId="1" type="noConversion"/>
  </si>
  <si>
    <t>유지보수</t>
    <phoneticPr fontId="16" type="noConversion"/>
  </si>
  <si>
    <t>운영</t>
    <phoneticPr fontId="16" type="noConversion"/>
  </si>
  <si>
    <t>대내독자</t>
    <phoneticPr fontId="1" type="noConversion"/>
  </si>
  <si>
    <t>DS MES그룹</t>
    <phoneticPr fontId="1" type="noConversion"/>
  </si>
  <si>
    <t>DX/부품MES그룹</t>
    <phoneticPr fontId="1" type="noConversion"/>
  </si>
  <si>
    <t>DX/부품MES그룹</t>
    <phoneticPr fontId="1" type="noConversion"/>
  </si>
  <si>
    <t>DS IT그룹</t>
    <phoneticPr fontId="1" type="noConversion"/>
  </si>
  <si>
    <t>제조 IT그룹</t>
    <phoneticPr fontId="1" type="noConversion"/>
  </si>
  <si>
    <t>서비스/EPC IT그룹</t>
    <phoneticPr fontId="1" type="noConversion"/>
  </si>
  <si>
    <t>MSP실행그룹</t>
    <phoneticPr fontId="1" type="noConversion"/>
  </si>
  <si>
    <t>디지털솔루션그룹</t>
    <phoneticPr fontId="1" type="noConversion"/>
  </si>
  <si>
    <t>생명/증권 IT그룹</t>
    <phoneticPr fontId="1" type="noConversion"/>
  </si>
  <si>
    <t>화재/카드 IT그룹</t>
    <phoneticPr fontId="1" type="noConversion"/>
  </si>
  <si>
    <t>On-Site</t>
    <phoneticPr fontId="1" type="noConversion"/>
  </si>
  <si>
    <t>사업유형</t>
    <phoneticPr fontId="1" type="noConversion"/>
  </si>
  <si>
    <t>투입유형</t>
    <phoneticPr fontId="1" type="noConversion"/>
  </si>
  <si>
    <r>
      <t xml:space="preserve">서비스
</t>
    </r>
    <r>
      <rPr>
        <sz val="9"/>
        <color theme="1"/>
        <rFont val="맑은 고딕"/>
        <family val="3"/>
        <charset val="129"/>
        <scheme val="minor"/>
      </rPr>
      <t>(정규+외주)</t>
    </r>
    <phoneticPr fontId="1" type="noConversion"/>
  </si>
  <si>
    <r>
      <t xml:space="preserve">서비스
</t>
    </r>
    <r>
      <rPr>
        <sz val="9"/>
        <color theme="1"/>
        <rFont val="맑은 고딕"/>
        <family val="3"/>
        <charset val="129"/>
        <scheme val="minor"/>
      </rPr>
      <t>(정규)</t>
    </r>
    <phoneticPr fontId="1" type="noConversion"/>
  </si>
  <si>
    <r>
      <t xml:space="preserve">서비스
</t>
    </r>
    <r>
      <rPr>
        <sz val="9"/>
        <color theme="1"/>
        <rFont val="맑은 고딕"/>
        <family val="3"/>
        <charset val="129"/>
        <scheme val="minor"/>
      </rPr>
      <t>(외주)</t>
    </r>
    <phoneticPr fontId="1" type="noConversion"/>
  </si>
  <si>
    <t>투입유형</t>
    <phoneticPr fontId="1" type="noConversion"/>
  </si>
  <si>
    <t>MES_CE</t>
    <phoneticPr fontId="1" type="noConversion"/>
  </si>
  <si>
    <t>AX/RX</t>
    <phoneticPr fontId="1" type="noConversion"/>
  </si>
  <si>
    <t>기타</t>
    <phoneticPr fontId="1" type="noConversion"/>
  </si>
  <si>
    <t>MSP</t>
    <phoneticPr fontId="1" type="noConversion"/>
  </si>
  <si>
    <t>유지보수(MA)</t>
    <phoneticPr fontId="16" type="noConversion"/>
  </si>
  <si>
    <t>ITO / 원격운영</t>
    <phoneticPr fontId="16" type="noConversion"/>
  </si>
  <si>
    <t>MES CE 구독료</t>
    <phoneticPr fontId="16" type="noConversion"/>
  </si>
  <si>
    <t>MES CE 구독료</t>
    <phoneticPr fontId="1" type="noConversion"/>
  </si>
  <si>
    <t>MES실행그룹</t>
  </si>
  <si>
    <t>설비자동화그룹</t>
  </si>
  <si>
    <t>제조로보틱스그룹</t>
  </si>
  <si>
    <t>DS MES그룹</t>
  </si>
  <si>
    <t>DX/부품 MES그룹</t>
  </si>
  <si>
    <t>DS IT그룹</t>
  </si>
  <si>
    <t>제조 IT그룹</t>
  </si>
  <si>
    <t>서비스/EPC IT그룹</t>
  </si>
  <si>
    <t>MSP실행그룹</t>
  </si>
  <si>
    <t>디지털솔루션그룹</t>
  </si>
  <si>
    <t>생명/증권 IT그룹</t>
  </si>
  <si>
    <t>화재/카드 IT그룹</t>
  </si>
  <si>
    <t>금융실행그룹</t>
  </si>
  <si>
    <t>MSP실행그룹</t>
    <phoneticPr fontId="1" type="noConversion"/>
  </si>
  <si>
    <t>T140-84001</t>
  </si>
  <si>
    <t>Remote Development Center</t>
    <phoneticPr fontId="1" type="noConversion"/>
  </si>
  <si>
    <t>T140-84003</t>
  </si>
  <si>
    <t>T140-86310</t>
  </si>
  <si>
    <t>T140-84038</t>
  </si>
  <si>
    <t>T140-82128</t>
  </si>
  <si>
    <t>T140-84110</t>
  </si>
  <si>
    <t>서비스/EPC IT그룹</t>
    <phoneticPr fontId="1" type="noConversion"/>
  </si>
  <si>
    <t>T140-72198</t>
  </si>
  <si>
    <t>T140-72213</t>
  </si>
  <si>
    <t>T140-72195</t>
  </si>
  <si>
    <t>T140-72304</t>
  </si>
  <si>
    <t>T140-72194</t>
  </si>
  <si>
    <t>T140-72225</t>
  </si>
  <si>
    <t>T140-72226</t>
  </si>
  <si>
    <t>T140-72000</t>
  </si>
  <si>
    <t>T140-72197</t>
  </si>
  <si>
    <t>T140-72520</t>
  </si>
  <si>
    <t>T140-72305</t>
  </si>
  <si>
    <t>운영</t>
    <phoneticPr fontId="1" type="noConversion"/>
  </si>
  <si>
    <t>유지보수</t>
    <phoneticPr fontId="1" type="noConversion"/>
  </si>
  <si>
    <t>□ 미국 L1비자 발급 비용 기준</t>
    <phoneticPr fontId="1" type="noConversion"/>
  </si>
  <si>
    <t>클라우드운영팀</t>
    <phoneticPr fontId="1" type="noConversion"/>
  </si>
  <si>
    <t>클라우드운영팀</t>
    <phoneticPr fontId="1" type="noConversion"/>
  </si>
  <si>
    <t xml:space="preserve"> </t>
    <phoneticPr fontId="1" type="noConversion"/>
  </si>
  <si>
    <t>유지보수, 운영,
구독료</t>
    <phoneticPr fontId="1" type="noConversion"/>
  </si>
  <si>
    <t>MES</t>
    <phoneticPr fontId="16" type="noConversion"/>
  </si>
  <si>
    <t>MSP</t>
    <phoneticPr fontId="16" type="noConversion"/>
  </si>
  <si>
    <t>ERP</t>
    <phoneticPr fontId="16" type="noConversion"/>
  </si>
  <si>
    <t>기타</t>
    <phoneticPr fontId="16" type="noConversion"/>
  </si>
  <si>
    <t>SR</t>
    <phoneticPr fontId="16" type="noConversion"/>
  </si>
  <si>
    <t>MC</t>
    <phoneticPr fontId="16" type="noConversion"/>
  </si>
  <si>
    <t>QMS</t>
    <phoneticPr fontId="16" type="noConversion"/>
  </si>
  <si>
    <t>CE</t>
    <phoneticPr fontId="16" type="noConversion"/>
  </si>
  <si>
    <t>FMB</t>
    <phoneticPr fontId="16" type="noConversion"/>
  </si>
  <si>
    <t>H101</t>
    <phoneticPr fontId="16" type="noConversion"/>
  </si>
  <si>
    <t>ERP</t>
    <phoneticPr fontId="1" type="noConversion"/>
  </si>
  <si>
    <t>클라우드운영팀</t>
    <phoneticPr fontId="1" type="noConversion"/>
  </si>
  <si>
    <t>① 사업구분 : 드롭다운 목록에서 솔루션 선택</t>
    <phoneticPr fontId="1" type="noConversion"/>
  </si>
  <si>
    <t>③ 투입유형 : 드롭다운 목록에서 유형 선택</t>
    <phoneticPr fontId="1" type="noConversion"/>
  </si>
  <si>
    <t>④ 직급 : 드롭다운 목록에서 직급 선택</t>
    <phoneticPr fontId="1" type="noConversion"/>
  </si>
  <si>
    <t>⑤ 비고 : 참고사항 입력</t>
    <phoneticPr fontId="1" type="noConversion"/>
  </si>
  <si>
    <t>⑥ 투입공수(M/M) : 각 월별 투입공수를 입력</t>
    <phoneticPr fontId="1" type="noConversion"/>
  </si>
  <si>
    <t>- 복리단합대회비는 전 그룹에 반영되어, 필요시 제거 가능</t>
    <phoneticPr fontId="1" type="noConversion"/>
  </si>
  <si>
    <t>※ 반드시 &lt;사업구분, 사업유형, 국내/외&gt;를 먼저 선택하고 수주금액을 입력합니다.</t>
    <phoneticPr fontId="1" type="noConversion"/>
  </si>
  <si>
    <t xml:space="preserve">- 수주액 상세는 서비스(정규,외주), 자사솔루션, 유지보수, 원격운영, HW/SW, CE 구독료 별로 구분해 작성 필요 </t>
    <phoneticPr fontId="1" type="noConversion"/>
  </si>
  <si>
    <t xml:space="preserve"> · H/W : AMMR 5%, 국내 0.5%, 해외 1%</t>
    <phoneticPr fontId="1" type="noConversion"/>
  </si>
  <si>
    <t>손익 시뮬레이션_2026_v1.0_260106</t>
    <phoneticPr fontId="1" type="noConversion"/>
  </si>
  <si>
    <t>- '26년 조직개편 부서 반영(인건비단가, 경비 등), 수주구분 세분화 등</t>
    <phoneticPr fontId="1" type="noConversion"/>
  </si>
  <si>
    <t>손익 시뮬레이션_2026_v1.1_2601</t>
  </si>
  <si>
    <t>- 유지보수 수주시,, 경비 입력하면 시뮬레이션 운영부분에 금액 반영됨 → 수식변경</t>
    <phoneticPr fontId="1" type="noConversion"/>
  </si>
  <si>
    <t>◆ 재료비(HW/도입솔루션) 내역</t>
    <phoneticPr fontId="1" type="noConversion"/>
  </si>
  <si>
    <t>Maintenance</t>
    <phoneticPr fontId="1" type="noConversion"/>
  </si>
  <si>
    <t>MSP</t>
    <phoneticPr fontId="1" type="noConversion"/>
  </si>
  <si>
    <t>DX/부품MES그룹</t>
    <phoneticPr fontId="1" type="noConversion"/>
  </si>
  <si>
    <t xml:space="preserve"> - 재료비는 외주비와 HW솔루션으로 반드시 구분해서 작성 (단, HW/솔루션에 기술지원 4M/M까지 반영 가능)</t>
    <phoneticPr fontId="1" type="noConversion"/>
  </si>
  <si>
    <t xml:space="preserve"> - 고객에게 실비 기준으로 청구/회수 되는 비용</t>
    <phoneticPr fontId="1" type="noConversion"/>
  </si>
  <si>
    <t xml:space="preserve"> - 수주 견적서에 포함되는 실비성 경비</t>
    <phoneticPr fontId="1" type="noConversion"/>
  </si>
  <si>
    <t xml:space="preserve">   (출장비, 시내교통비, 수수료 등)</t>
    <phoneticPr fontId="1" type="noConversion"/>
  </si>
  <si>
    <t xml:space="preserve"> - 매출/비용이 동일하여 손익에는 영향 없음</t>
    <phoneticPr fontId="1" type="noConversion"/>
  </si>
  <si>
    <t>ITO/원격운영</t>
    <phoneticPr fontId="1" type="noConversion"/>
  </si>
  <si>
    <t>유지보수, ITO,
원격운영, 구독료</t>
    <phoneticPr fontId="1" type="noConversion"/>
  </si>
  <si>
    <t>해외출장일당</t>
    <phoneticPr fontId="1" type="noConversion"/>
  </si>
  <si>
    <t>* SDSA에서 지급, PJT코드로 정산</t>
    <phoneticPr fontId="1" type="noConversion"/>
  </si>
  <si>
    <t>환율</t>
    <phoneticPr fontId="1" type="noConversion"/>
  </si>
  <si>
    <t>V2.3</t>
    <phoneticPr fontId="1" type="noConversion"/>
  </si>
  <si>
    <t>AX/RX</t>
    <phoneticPr fontId="16" type="noConversion"/>
  </si>
  <si>
    <t>AX/RX</t>
    <phoneticPr fontId="16" type="noConversion"/>
  </si>
  <si>
    <t>SDSA 비용 및
수수료
(30일기준)</t>
    <phoneticPr fontId="1" type="noConversion"/>
  </si>
  <si>
    <t xml:space="preserve">3) 일반비: (인건비+복리후생비+외주비+경비+ 간접비+ 판매비+위험비용)*일반비배부비율 </t>
    <phoneticPr fontId="1" type="noConversion"/>
  </si>
  <si>
    <t>솔루션MSP그룹</t>
    <phoneticPr fontId="1" type="noConversion"/>
  </si>
  <si>
    <t>솔루션MSP그룹</t>
    <phoneticPr fontId="1" type="noConversion"/>
  </si>
  <si>
    <t xml:space="preserve">1) 간접비 : (외주비+정규인건비+위험비용)*간접비배부비율  </t>
    <phoneticPr fontId="1" type="noConversion"/>
  </si>
  <si>
    <t>구축</t>
    <phoneticPr fontId="1" type="noConversion"/>
  </si>
  <si>
    <t>운영/유지보수</t>
    <phoneticPr fontId="1" type="noConversion"/>
  </si>
  <si>
    <t>라이선스</t>
    <phoneticPr fontId="1" type="noConversion"/>
  </si>
  <si>
    <t>SW/HW</t>
    <phoneticPr fontId="1" type="noConversion"/>
  </si>
  <si>
    <t>기타</t>
    <phoneticPr fontId="16" type="noConversion"/>
  </si>
  <si>
    <t>비고</t>
    <phoneticPr fontId="16" type="noConversion"/>
  </si>
  <si>
    <t>ITO/원격운영</t>
  </si>
  <si>
    <t>웅</t>
    <phoneticPr fontId="1" type="noConversion"/>
  </si>
  <si>
    <t>인프라운영그룹</t>
  </si>
  <si>
    <t>인프라운영그룹</t>
    <phoneticPr fontId="1" type="noConversion"/>
  </si>
  <si>
    <t>인프라운영그룹</t>
    <phoneticPr fontId="1" type="noConversion"/>
  </si>
  <si>
    <t>사전원가지표('26년기준)</t>
    <phoneticPr fontId="1" type="noConversion"/>
  </si>
  <si>
    <t>- 미국비자발급비용 변경
 - 실비정산경비 자동수식
 - 조직개편 반영
- 인건비단가 반영('26.04)
- 사전원가지표 반영
- 라이선스 수수료(eXBuilder) 비율 변경 3% → 5%, 
- 솔루션표준원가 변경 36.6% → 28%</t>
    <phoneticPr fontId="1" type="noConversion"/>
  </si>
  <si>
    <t>수수료</t>
    <phoneticPr fontId="1" type="noConversion"/>
  </si>
  <si>
    <t>미국 내 TAX
(ER, Health 등)</t>
    <phoneticPr fontId="1" type="noConversion"/>
  </si>
  <si>
    <t>솔루션표준원가(28%)</t>
    <phoneticPr fontId="1" type="noConversion"/>
  </si>
  <si>
    <t>항목</t>
    <phoneticPr fontId="1" type="noConversion"/>
  </si>
  <si>
    <t>기준</t>
    <phoneticPr fontId="1" type="noConversion"/>
  </si>
  <si>
    <t>비자발급비용</t>
    <phoneticPr fontId="1" type="noConversion"/>
  </si>
  <si>
    <t>Mark-up</t>
    <phoneticPr fontId="1" type="noConversion"/>
  </si>
  <si>
    <t>합계</t>
    <phoneticPr fontId="1" type="noConversion"/>
  </si>
  <si>
    <t>금액(원)</t>
    <phoneticPr fontId="1" type="noConversion"/>
  </si>
  <si>
    <t>← [4. 경비(실비정산경비) - 대표 매출부서 해외출장비 - 기타비용]에 직접 반영</t>
  </si>
  <si>
    <t>신규 비자 발급 인원(명)</t>
    <phoneticPr fontId="1" type="noConversion"/>
  </si>
  <si>
    <t xml:space="preserve"> - Outsourcing Service Cost 간접비 제외,(판매/일반비는 배부)</t>
    <phoneticPr fontId="1" type="noConversion"/>
  </si>
  <si>
    <t>유지보수 계약 , 외주비(service) 있는경우에는 판매/일반비 배부해야됨</t>
    <phoneticPr fontId="1" type="noConversion"/>
  </si>
  <si>
    <t xml:space="preserve"> ※ (해외출장_일당 + TAX) * 5%</t>
    <phoneticPr fontId="1" type="noConversion"/>
  </si>
  <si>
    <t>해외출장일당의 8.3%</t>
    <phoneticPr fontId="1" type="noConversion"/>
  </si>
  <si>
    <t xml:space="preserve"> ※ 해외출장_일당 * 건강보험(개인), 연방세, 조지아주세</t>
    <phoneticPr fontId="1" type="noConversion"/>
  </si>
  <si>
    <t>개인_미국 TAX</t>
    <phoneticPr fontId="1" type="noConversion"/>
  </si>
  <si>
    <t>고용주 TAX</t>
    <phoneticPr fontId="1" type="noConversion"/>
  </si>
  <si>
    <t xml:space="preserve"> ※ 해외출장일당+개인_미국TAX * 고용주분 고용보험, 건강보험</t>
    <phoneticPr fontId="1" type="noConversion"/>
  </si>
  <si>
    <t>계산서  
발행일</t>
    <phoneticPr fontId="16" type="noConversion"/>
  </si>
  <si>
    <t>미반영</t>
  </si>
  <si>
    <t>V2.4</t>
    <phoneticPr fontId="1" type="noConversion"/>
  </si>
  <si>
    <t>- MSP사업부 간접비율 반영 
- 미국비자발급 비용 추가 반영</t>
    <phoneticPr fontId="1" type="noConversion"/>
  </si>
  <si>
    <t xml:space="preserve">□ 비자수수료 및 SDSA비용 계산 </t>
    <phoneticPr fontId="1" type="noConversion"/>
  </si>
  <si>
    <t>T140-72308</t>
    <phoneticPr fontId="1" type="noConversion"/>
  </si>
  <si>
    <t>V2.6</t>
    <phoneticPr fontId="1" type="noConversion"/>
  </si>
  <si>
    <t>- 인건비 등급 오류 수정</t>
    <phoneticPr fontId="1" type="noConversion"/>
  </si>
  <si>
    <t>V2.7</t>
    <phoneticPr fontId="1" type="noConversion"/>
  </si>
  <si>
    <t>- 국내출장 숙박비 한도 변경 ('26.07.01 ~)</t>
    <phoneticPr fontId="1" type="noConversion"/>
  </si>
  <si>
    <t>임현정</t>
    <phoneticPr fontId="1" type="noConversion"/>
  </si>
  <si>
    <t>기타비용(비자수수료 등)</t>
    <phoneticPr fontId="1" type="noConversion"/>
  </si>
  <si>
    <t>서비스</t>
  </si>
  <si>
    <t>대외</t>
  </si>
  <si>
    <t>솔루션사업3파트</t>
    <phoneticPr fontId="16" type="noConversion"/>
  </si>
  <si>
    <t>장세훈</t>
    <phoneticPr fontId="16" type="noConversion"/>
  </si>
  <si>
    <t>[스태츠칩팩코리아] 인천공장 Defect E-Test 자동 분석 시스템 구축 POC</t>
    <phoneticPr fontId="16" type="noConversion"/>
  </si>
  <si>
    <t>SDS-26159710</t>
    <phoneticPr fontId="16" type="noConversion"/>
  </si>
  <si>
    <t>SIC-26159711-A5</t>
    <phoneticPr fontId="16" type="noConversion"/>
  </si>
  <si>
    <t>2026.10.01</t>
    <phoneticPr fontId="16" type="noConversion"/>
  </si>
  <si>
    <t>2026.10.31</t>
    <phoneticPr fontId="16" type="noConversion"/>
  </si>
  <si>
    <t>스태츠칩팩코리아</t>
  </si>
  <si>
    <t>스태츠칩팩코리아</t>
    <phoneticPr fontId="16" type="noConversion"/>
  </si>
  <si>
    <t>인천 영종도</t>
    <phoneticPr fontId="16" type="noConversion"/>
  </si>
  <si>
    <t>현금</t>
  </si>
  <si>
    <t>수금후 결제</t>
  </si>
  <si>
    <t>정병주</t>
    <phoneticPr fontId="16" type="noConversion"/>
  </si>
  <si>
    <t>국내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</si>
</sst>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3">
    <numFmt numFmtId="6" formatCode="&quot;₩&quot;#,##0;[Red]\-&quot;₩&quot;#,##0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_);[Red]\(#,##0\)"/>
    <numFmt numFmtId="177" formatCode="_-* #,##0.0_-;\-* #,##0.0_-;_-* &quot;-&quot;_-;_-@_-"/>
    <numFmt numFmtId="178" formatCode="0.0"/>
    <numFmt numFmtId="179" formatCode="0.0&quot; days&quot;\ "/>
    <numFmt numFmtId="180" formatCode="#,##0\ "/>
    <numFmt numFmtId="181" formatCode="General&quot;차&quot;"/>
    <numFmt numFmtId="182" formatCode="0.0%"/>
    <numFmt numFmtId="183" formatCode="0.0%\ ;[Red]\-0.0%\ \ "/>
    <numFmt numFmtId="184" formatCode="0.0&quot; M/M&quot;"/>
    <numFmt numFmtId="185" formatCode="0.0&quot; km&quot;\ "/>
    <numFmt numFmtId="186" formatCode="\$#,##0.00"/>
    <numFmt numFmtId="187" formatCode="0.0&quot; 개월&quot;"/>
    <numFmt numFmtId="188" formatCode="0&quot; 건&quot;"/>
    <numFmt numFmtId="189" formatCode="0.0&quot; 명&quot;\ "/>
    <numFmt numFmtId="190" formatCode="0.0&quot; 회&quot;\ "/>
    <numFmt numFmtId="191" formatCode="0.0&quot; 박&quot;\ "/>
    <numFmt numFmtId="192" formatCode="#,##0.0;[Red]\-#,##0.0"/>
    <numFmt numFmtId="193" formatCode="0&quot; 회&quot;"/>
    <numFmt numFmtId="194" formatCode="0&quot; 명&quot;"/>
    <numFmt numFmtId="195" formatCode="\+0.0%\ ;[Red]\-0.0%\ \ "/>
    <numFmt numFmtId="196" formatCode="_-* #,##0.0_-;\-* #,##0.0_-;_-* &quot;-&quot;?_-;_-@_-"/>
    <numFmt numFmtId="197" formatCode="#,###\ &quot;원&quot;"/>
    <numFmt numFmtId="198" formatCode="###0&quot;일간&quot;"/>
    <numFmt numFmtId="199" formatCode="0.000%"/>
    <numFmt numFmtId="200" formatCode="0.0_ "/>
    <numFmt numFmtId="201" formatCode="0.0%\ ;[Red]\-0.0%\ "/>
    <numFmt numFmtId="202" formatCode="&quot;₩&quot;#,##0"/>
    <numFmt numFmtId="203" formatCode="&quot;₩&quot;#,##0_);[Red]\(&quot;₩&quot;#,##0\)"/>
    <numFmt numFmtId="204" formatCode="General&quot;명&quot;"/>
  </numFmts>
  <fonts count="10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rgb="FFC00000"/>
      <name val="Arial"/>
      <family val="2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3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9"/>
      <color indexed="81"/>
      <name val="굴림"/>
      <family val="3"/>
      <charset val="129"/>
    </font>
    <font>
      <sz val="8"/>
      <color rgb="FF0000FF"/>
      <name val="맑은 고딕"/>
      <family val="2"/>
      <charset val="129"/>
      <scheme val="minor"/>
    </font>
    <font>
      <sz val="9"/>
      <color rgb="FF0000FF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9"/>
      <color rgb="FF0000FF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vertAlign val="superscript"/>
      <sz val="8"/>
      <color rgb="FFFF0000"/>
      <name val="맑은 고딕"/>
      <family val="3"/>
      <charset val="129"/>
      <scheme val="minor"/>
    </font>
    <font>
      <vertAlign val="superscript"/>
      <sz val="9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32"/>
      <color theme="0"/>
      <name val="맑은 고딕"/>
      <family val="3"/>
      <charset val="129"/>
    </font>
    <font>
      <b/>
      <sz val="15"/>
      <color indexed="10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u/>
      <sz val="9"/>
      <color rgb="FF00B050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6"/>
      <color rgb="FF0000FF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9"/>
      <color indexed="81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2"/>
      <color theme="0"/>
      <name val="맑은 고딕"/>
      <family val="3"/>
      <charset val="129"/>
    </font>
    <font>
      <b/>
      <sz val="22"/>
      <name val="맑은 고딕"/>
      <family val="3"/>
      <charset val="129"/>
    </font>
    <font>
      <b/>
      <sz val="1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70C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8"/>
      <color indexed="39"/>
      <name val="맑은 고딕"/>
      <family val="3"/>
      <charset val="129"/>
    </font>
    <font>
      <sz val="12"/>
      <color rgb="FF0000FF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rgb="FF0000FF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6"/>
      <color rgb="FF0000FF"/>
      <name val="맑은 고딕"/>
      <family val="3"/>
      <charset val="129"/>
      <scheme val="minor"/>
    </font>
    <font>
      <b/>
      <sz val="10"/>
      <color indexed="8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0"/>
      <color rgb="FF0A0AFE"/>
      <name val="맑은 고딕"/>
      <family val="3"/>
      <charset val="129"/>
    </font>
    <font>
      <b/>
      <sz val="10"/>
      <color rgb="FF0A0AFE"/>
      <name val="맑은 고딕"/>
      <family val="3"/>
      <charset val="129"/>
    </font>
    <font>
      <b/>
      <sz val="10"/>
      <name val="맑은 고딕"/>
      <family val="3"/>
      <charset val="129"/>
    </font>
    <font>
      <sz val="12"/>
      <color theme="0" tint="-0.34998626667073579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F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</fills>
  <borders count="3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indexed="64"/>
      </top>
      <bottom style="hair">
        <color theme="0" tint="-0.499984740745262"/>
      </bottom>
      <diagonal/>
    </border>
    <border>
      <left/>
      <right/>
      <top style="hair">
        <color indexed="64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indexed="64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2" tint="-9.9948118533890809E-2"/>
      </bottom>
      <diagonal/>
    </border>
    <border>
      <left/>
      <right/>
      <top style="hair">
        <color theme="0" tint="-0.499984740745262"/>
      </top>
      <bottom style="hair">
        <color theme="2" tint="-9.9948118533890809E-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2" tint="-9.9948118533890809E-2"/>
      </bottom>
      <diagonal/>
    </border>
    <border>
      <left style="thin">
        <color indexed="64"/>
      </left>
      <right/>
      <top style="hair">
        <color theme="2" tint="-9.9948118533890809E-2"/>
      </top>
      <bottom style="hair">
        <color theme="2" tint="-9.9948118533890809E-2"/>
      </bottom>
      <diagonal/>
    </border>
    <border>
      <left/>
      <right/>
      <top style="hair">
        <color theme="2" tint="-9.9948118533890809E-2"/>
      </top>
      <bottom style="hair">
        <color theme="2" tint="-9.9948118533890809E-2"/>
      </bottom>
      <diagonal/>
    </border>
    <border>
      <left/>
      <right style="thin">
        <color indexed="64"/>
      </right>
      <top style="hair">
        <color theme="2" tint="-9.9948118533890809E-2"/>
      </top>
      <bottom style="hair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hair">
        <color theme="2" tint="-9.9948118533890809E-2"/>
      </top>
      <bottom style="hair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hair">
        <color theme="2" tint="-9.9948118533890809E-2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2" tint="-9.9948118533890809E-2"/>
      </top>
      <bottom style="hair">
        <color theme="0" tint="-0.499984740745262"/>
      </bottom>
      <diagonal/>
    </border>
    <border>
      <left/>
      <right/>
      <top style="hair">
        <color theme="2" tint="-9.9948118533890809E-2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2" tint="-9.9948118533890809E-2"/>
      </top>
      <bottom style="hair">
        <color indexed="64"/>
      </bottom>
      <diagonal/>
    </border>
    <border>
      <left/>
      <right/>
      <top style="hair">
        <color theme="2" tint="-9.9948118533890809E-2"/>
      </top>
      <bottom style="hair">
        <color indexed="64"/>
      </bottom>
      <diagonal/>
    </border>
    <border>
      <left/>
      <right style="thin">
        <color indexed="64"/>
      </right>
      <top style="hair">
        <color theme="2" tint="-9.9948118533890809E-2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2" tint="-9.9948118533890809E-2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theme="2" tint="-9.9948118533890809E-2"/>
      </bottom>
      <diagonal/>
    </border>
    <border>
      <left/>
      <right/>
      <top style="hair">
        <color indexed="64"/>
      </top>
      <bottom style="hair">
        <color theme="2" tint="-9.9948118533890809E-2"/>
      </bottom>
      <diagonal/>
    </border>
    <border>
      <left/>
      <right style="thin">
        <color indexed="64"/>
      </right>
      <top style="hair">
        <color indexed="64"/>
      </top>
      <bottom style="hair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theme="2" tint="-9.9948118533890809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/>
      <top style="thick">
        <color rgb="FFFF0000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hair">
        <color theme="2" tint="-9.9948118533890809E-2"/>
      </top>
      <bottom/>
      <diagonal/>
    </border>
    <border>
      <left/>
      <right/>
      <top style="hair">
        <color theme="2" tint="-9.9948118533890809E-2"/>
      </top>
      <bottom/>
      <diagonal/>
    </border>
    <border>
      <left/>
      <right style="thin">
        <color indexed="64"/>
      </right>
      <top style="hair">
        <color theme="2" tint="-9.9948118533890809E-2"/>
      </top>
      <bottom/>
      <diagonal/>
    </border>
    <border>
      <left style="thin">
        <color indexed="64"/>
      </left>
      <right style="thin">
        <color indexed="64"/>
      </right>
      <top style="hair">
        <color theme="2" tint="-9.9948118533890809E-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 style="hair">
        <color theme="1"/>
      </left>
      <right style="thin">
        <color indexed="64"/>
      </right>
      <top style="hair">
        <color theme="0" tint="-0.499984740745262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0" tint="-0.499984740745262"/>
      </bottom>
      <diagonal/>
    </border>
    <border>
      <left style="thick">
        <color rgb="FF0000FF"/>
      </left>
      <right/>
      <top/>
      <bottom/>
      <diagonal/>
    </border>
    <border>
      <left style="thick">
        <color rgb="FF0000FF"/>
      </left>
      <right/>
      <top/>
      <bottom style="thin">
        <color indexed="64"/>
      </bottom>
      <diagonal/>
    </border>
    <border>
      <left style="thick">
        <color rgb="FF0000FF"/>
      </left>
      <right/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/>
      <bottom style="hair">
        <color indexed="64"/>
      </bottom>
      <diagonal/>
    </border>
    <border>
      <left style="thick">
        <color rgb="FF0000FF"/>
      </left>
      <right/>
      <top style="hair">
        <color indexed="64"/>
      </top>
      <bottom style="hair">
        <color indexed="64"/>
      </bottom>
      <diagonal/>
    </border>
    <border>
      <left style="thick">
        <color rgb="FF0000FF"/>
      </left>
      <right/>
      <top style="hair">
        <color auto="1"/>
      </top>
      <bottom/>
      <diagonal/>
    </border>
    <border>
      <left style="thick">
        <color rgb="FF0000FF"/>
      </left>
      <right/>
      <top style="thin">
        <color indexed="64"/>
      </top>
      <bottom/>
      <diagonal/>
    </border>
    <border>
      <left style="thick">
        <color rgb="FF0000FF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thick">
        <color rgb="FF0000FF"/>
      </right>
      <top style="hair">
        <color auto="1"/>
      </top>
      <bottom/>
      <diagonal/>
    </border>
    <border>
      <left style="hair">
        <color auto="1"/>
      </left>
      <right style="thick">
        <color rgb="FF0000FF"/>
      </right>
      <top/>
      <bottom/>
      <diagonal/>
    </border>
    <border>
      <left style="hair">
        <color auto="1"/>
      </left>
      <right style="thick">
        <color rgb="FF0000FF"/>
      </right>
      <top/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 style="hair">
        <color theme="1"/>
      </right>
      <top style="thin">
        <color indexed="64"/>
      </top>
      <bottom style="hair">
        <color indexed="64"/>
      </bottom>
      <diagonal/>
    </border>
    <border>
      <left/>
      <right style="hair">
        <color theme="1"/>
      </right>
      <top style="hair">
        <color theme="0" tint="-0.499984740745262"/>
      </top>
      <bottom/>
      <diagonal/>
    </border>
    <border>
      <left/>
      <right style="hair">
        <color theme="1"/>
      </right>
      <top/>
      <bottom style="hair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hair">
        <color indexed="64"/>
      </left>
      <right style="thick">
        <color rgb="FF0000FF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ck">
        <color rgb="FF0000FF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0000FF"/>
      </right>
      <top style="thin">
        <color indexed="64"/>
      </top>
      <bottom/>
      <diagonal/>
    </border>
    <border>
      <left style="hair">
        <color indexed="64"/>
      </left>
      <right style="thick">
        <color rgb="FF0000FF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0000FF"/>
      </right>
      <top/>
      <bottom style="thick">
        <color rgb="FF0000F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FF"/>
      </left>
      <right/>
      <top style="thin">
        <color indexed="64"/>
      </top>
      <bottom style="medium">
        <color rgb="FF0000FF"/>
      </bottom>
      <diagonal/>
    </border>
    <border>
      <left style="hair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/>
      <right style="thick">
        <color rgb="FF0000FF"/>
      </right>
      <top style="hair">
        <color auto="1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medium">
        <color rgb="FF0000FF"/>
      </right>
      <top style="hair">
        <color theme="1"/>
      </top>
      <bottom style="thin">
        <color indexed="64"/>
      </bottom>
      <diagonal/>
    </border>
    <border>
      <left style="medium">
        <color rgb="FFFF0000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hair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thick">
        <color rgb="FF0000FF"/>
      </right>
      <top/>
      <bottom/>
      <diagonal/>
    </border>
    <border>
      <left/>
      <right style="thick">
        <color rgb="FF0000FF"/>
      </right>
      <top/>
      <bottom style="hair">
        <color indexed="64"/>
      </bottom>
      <diagonal/>
    </border>
    <border>
      <left style="hair">
        <color indexed="64"/>
      </left>
      <right style="thick">
        <color rgb="FF0000FF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/>
      <diagonal/>
    </border>
    <border>
      <left style="thick">
        <color rgb="FF0000FF"/>
      </left>
      <right/>
      <top style="medium">
        <color auto="1"/>
      </top>
      <bottom/>
      <diagonal/>
    </border>
    <border>
      <left style="thick">
        <color rgb="FF0000FF"/>
      </left>
      <right/>
      <top/>
      <bottom style="medium">
        <color auto="1"/>
      </bottom>
      <diagonal/>
    </border>
    <border>
      <left style="thick">
        <color rgb="FF0000FF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 style="thick">
        <color rgb="FF0000FF"/>
      </right>
      <top/>
      <bottom style="medium">
        <color auto="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hair">
        <color theme="2" tint="-9.9917600024414813E-2"/>
      </left>
      <right style="thin">
        <color indexed="64"/>
      </right>
      <top style="hair">
        <color theme="2" tint="-9.9917600024414813E-2"/>
      </top>
      <bottom style="hair">
        <color theme="2" tint="-9.9917600024414813E-2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auto="1"/>
      </bottom>
      <diagonal/>
    </border>
    <border>
      <left/>
      <right/>
      <top style="thin">
        <color indexed="64"/>
      </top>
      <bottom style="dashed">
        <color auto="1"/>
      </bottom>
      <diagonal/>
    </border>
    <border>
      <left style="dashed">
        <color indexed="64"/>
      </left>
      <right/>
      <top style="thin">
        <color indexed="64"/>
      </top>
      <bottom style="dashed">
        <color auto="1"/>
      </bottom>
      <diagonal/>
    </border>
    <border>
      <left/>
      <right style="dashed">
        <color auto="1"/>
      </right>
      <top style="thin">
        <color indexed="64"/>
      </top>
      <bottom style="dashed">
        <color auto="1"/>
      </bottom>
      <diagonal/>
    </border>
    <border>
      <left style="dotted">
        <color indexed="64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dashed">
        <color indexed="64"/>
      </left>
      <right/>
      <top style="dashed">
        <color auto="1"/>
      </top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/>
      <right style="hair">
        <color theme="2" tint="-9.9917600024414813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ck">
        <color rgb="FF0000FF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rgb="FF0000FF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8" fillId="0" borderId="0"/>
    <xf numFmtId="0" fontId="37" fillId="0" borderId="0">
      <alignment vertical="center"/>
    </xf>
  </cellStyleXfs>
  <cellXfs count="1753">
    <xf numFmtId="0" fontId="0" fillId="0" borderId="0" xfId="0">
      <alignment vertical="center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6" fillId="0" borderId="0" xfId="0" applyNumberFormat="1" applyFont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top"/>
    </xf>
    <xf numFmtId="0" fontId="5" fillId="0" borderId="26" xfId="0" applyFont="1" applyBorder="1" applyAlignment="1">
      <alignment horizontal="center" vertical="top"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6" fillId="0" borderId="22" xfId="0" applyNumberFormat="1" applyFont="1" applyBorder="1" applyAlignment="1">
      <alignment horizontal="center" vertical="center"/>
    </xf>
    <xf numFmtId="0" fontId="6" fillId="0" borderId="23" xfId="0" applyNumberFormat="1" applyFont="1" applyBorder="1" applyAlignment="1">
      <alignment horizontal="center" vertical="center"/>
    </xf>
    <xf numFmtId="0" fontId="6" fillId="6" borderId="23" xfId="0" applyNumberFormat="1" applyFont="1" applyFill="1" applyBorder="1" applyAlignment="1">
      <alignment horizontal="center" vertical="center"/>
    </xf>
    <xf numFmtId="0" fontId="6" fillId="0" borderId="24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right" vertical="center"/>
    </xf>
    <xf numFmtId="176" fontId="6" fillId="0" borderId="23" xfId="0" applyNumberFormat="1" applyFont="1" applyBorder="1" applyAlignment="1">
      <alignment horizontal="right" vertical="center"/>
    </xf>
    <xf numFmtId="176" fontId="6" fillId="6" borderId="23" xfId="0" applyNumberFormat="1" applyFont="1" applyFill="1" applyBorder="1" applyAlignment="1">
      <alignment horizontal="right" vertical="center"/>
    </xf>
    <xf numFmtId="176" fontId="6" fillId="0" borderId="24" xfId="0" applyNumberFormat="1" applyFont="1" applyBorder="1" applyAlignment="1">
      <alignment horizontal="right" vertical="center"/>
    </xf>
    <xf numFmtId="176" fontId="6" fillId="0" borderId="25" xfId="0" applyNumberFormat="1" applyFont="1" applyBorder="1" applyAlignment="1">
      <alignment horizontal="right" vertical="center"/>
    </xf>
    <xf numFmtId="176" fontId="6" fillId="0" borderId="26" xfId="0" applyNumberFormat="1" applyFont="1" applyBorder="1" applyAlignment="1">
      <alignment horizontal="right" vertical="center"/>
    </xf>
    <xf numFmtId="176" fontId="6" fillId="6" borderId="26" xfId="0" applyNumberFormat="1" applyFont="1" applyFill="1" applyBorder="1" applyAlignment="1">
      <alignment horizontal="right" vertical="center"/>
    </xf>
    <xf numFmtId="176" fontId="5" fillId="0" borderId="26" xfId="0" applyNumberFormat="1" applyFont="1" applyBorder="1" applyAlignment="1">
      <alignment horizontal="right" vertical="center"/>
    </xf>
    <xf numFmtId="176" fontId="6" fillId="0" borderId="27" xfId="0" applyNumberFormat="1" applyFont="1" applyBorder="1" applyAlignment="1">
      <alignment horizontal="right" vertical="center"/>
    </xf>
    <xf numFmtId="176" fontId="5" fillId="0" borderId="26" xfId="0" applyNumberFormat="1" applyFont="1" applyBorder="1" applyAlignment="1">
      <alignment horizontal="right" vertical="top"/>
    </xf>
    <xf numFmtId="176" fontId="6" fillId="0" borderId="28" xfId="0" applyNumberFormat="1" applyFont="1" applyBorder="1" applyAlignment="1">
      <alignment horizontal="right" vertical="center"/>
    </xf>
    <xf numFmtId="176" fontId="6" fillId="0" borderId="29" xfId="0" applyNumberFormat="1" applyFont="1" applyBorder="1" applyAlignment="1">
      <alignment horizontal="right" vertical="center"/>
    </xf>
    <xf numFmtId="176" fontId="6" fillId="6" borderId="29" xfId="0" applyNumberFormat="1" applyFont="1" applyFill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top"/>
    </xf>
    <xf numFmtId="176" fontId="5" fillId="0" borderId="29" xfId="0" applyNumberFormat="1" applyFont="1" applyBorder="1" applyAlignment="1">
      <alignment horizontal="right" vertical="center"/>
    </xf>
    <xf numFmtId="176" fontId="6" fillId="0" borderId="30" xfId="0" applyNumberFormat="1" applyFont="1" applyBorder="1" applyAlignment="1">
      <alignment horizontal="right" vertical="center"/>
    </xf>
    <xf numFmtId="176" fontId="6" fillId="0" borderId="22" xfId="0" applyNumberFormat="1" applyFont="1" applyBorder="1">
      <alignment vertical="center"/>
    </xf>
    <xf numFmtId="176" fontId="6" fillId="0" borderId="23" xfId="0" applyNumberFormat="1" applyFont="1" applyBorder="1">
      <alignment vertical="center"/>
    </xf>
    <xf numFmtId="176" fontId="6" fillId="6" borderId="23" xfId="0" applyNumberFormat="1" applyFont="1" applyFill="1" applyBorder="1">
      <alignment vertical="center"/>
    </xf>
    <xf numFmtId="176" fontId="6" fillId="0" borderId="24" xfId="0" applyNumberFormat="1" applyFont="1" applyBorder="1">
      <alignment vertical="center"/>
    </xf>
    <xf numFmtId="176" fontId="6" fillId="0" borderId="25" xfId="0" applyNumberFormat="1" applyFont="1" applyBorder="1">
      <alignment vertical="center"/>
    </xf>
    <xf numFmtId="176" fontId="6" fillId="0" borderId="26" xfId="0" applyNumberFormat="1" applyFont="1" applyBorder="1">
      <alignment vertical="center"/>
    </xf>
    <xf numFmtId="176" fontId="6" fillId="6" borderId="26" xfId="0" applyNumberFormat="1" applyFont="1" applyFill="1" applyBorder="1">
      <alignment vertical="center"/>
    </xf>
    <xf numFmtId="176" fontId="6" fillId="0" borderId="27" xfId="0" applyNumberFormat="1" applyFont="1" applyBorder="1">
      <alignment vertical="center"/>
    </xf>
    <xf numFmtId="176" fontId="6" fillId="0" borderId="28" xfId="0" applyNumberFormat="1" applyFont="1" applyBorder="1">
      <alignment vertical="center"/>
    </xf>
    <xf numFmtId="176" fontId="6" fillId="0" borderId="29" xfId="0" applyNumberFormat="1" applyFont="1" applyBorder="1">
      <alignment vertical="center"/>
    </xf>
    <xf numFmtId="176" fontId="6" fillId="6" borderId="29" xfId="0" applyNumberFormat="1" applyFont="1" applyFill="1" applyBorder="1">
      <alignment vertical="center"/>
    </xf>
    <xf numFmtId="176" fontId="6" fillId="0" borderId="30" xfId="0" applyNumberFormat="1" applyFont="1" applyBorder="1">
      <alignment vertical="center"/>
    </xf>
    <xf numFmtId="3" fontId="0" fillId="0" borderId="0" xfId="0" applyNumberFormat="1" applyAlignment="1">
      <alignment vertical="top"/>
    </xf>
    <xf numFmtId="0" fontId="2" fillId="0" borderId="0" xfId="0" applyFont="1" applyAlignment="1">
      <alignment horizontal="center" vertical="center"/>
    </xf>
    <xf numFmtId="177" fontId="5" fillId="5" borderId="14" xfId="1" applyNumberFormat="1" applyFont="1" applyFill="1" applyBorder="1" applyAlignment="1">
      <alignment vertical="center"/>
    </xf>
    <xf numFmtId="177" fontId="5" fillId="5" borderId="15" xfId="1" applyNumberFormat="1" applyFont="1" applyFill="1" applyBorder="1" applyAlignment="1">
      <alignment vertical="center"/>
    </xf>
    <xf numFmtId="177" fontId="5" fillId="0" borderId="16" xfId="1" applyNumberFormat="1" applyFont="1" applyBorder="1" applyAlignment="1">
      <alignment vertical="center"/>
    </xf>
    <xf numFmtId="177" fontId="5" fillId="5" borderId="10" xfId="1" applyNumberFormat="1" applyFont="1" applyFill="1" applyBorder="1" applyAlignment="1">
      <alignment vertical="center"/>
    </xf>
    <xf numFmtId="177" fontId="5" fillId="5" borderId="11" xfId="1" applyNumberFormat="1" applyFont="1" applyFill="1" applyBorder="1" applyAlignment="1">
      <alignment vertical="center"/>
    </xf>
    <xf numFmtId="177" fontId="5" fillId="0" borderId="12" xfId="1" applyNumberFormat="1" applyFont="1" applyBorder="1" applyAlignment="1">
      <alignment vertical="center"/>
    </xf>
    <xf numFmtId="177" fontId="5" fillId="5" borderId="5" xfId="1" applyNumberFormat="1" applyFont="1" applyFill="1" applyBorder="1" applyAlignment="1">
      <alignment vertical="center"/>
    </xf>
    <xf numFmtId="177" fontId="5" fillId="5" borderId="6" xfId="1" applyNumberFormat="1" applyFont="1" applyFill="1" applyBorder="1" applyAlignment="1">
      <alignment vertical="center"/>
    </xf>
    <xf numFmtId="177" fontId="5" fillId="0" borderId="7" xfId="1" applyNumberFormat="1" applyFont="1" applyBorder="1" applyAlignment="1">
      <alignment vertical="center"/>
    </xf>
    <xf numFmtId="41" fontId="5" fillId="0" borderId="15" xfId="1" applyNumberFormat="1" applyFont="1" applyFill="1" applyBorder="1" applyAlignment="1">
      <alignment vertical="center"/>
    </xf>
    <xf numFmtId="41" fontId="5" fillId="0" borderId="16" xfId="1" applyFont="1" applyFill="1" applyBorder="1" applyAlignment="1">
      <alignment vertical="center"/>
    </xf>
    <xf numFmtId="41" fontId="5" fillId="0" borderId="12" xfId="1" applyFont="1" applyFill="1" applyBorder="1" applyAlignment="1">
      <alignment vertical="center"/>
    </xf>
    <xf numFmtId="41" fontId="5" fillId="0" borderId="7" xfId="1" applyFont="1" applyFill="1" applyBorder="1" applyAlignment="1">
      <alignment vertical="center"/>
    </xf>
    <xf numFmtId="0" fontId="8" fillId="0" borderId="0" xfId="0" applyFont="1">
      <alignment vertical="center"/>
    </xf>
    <xf numFmtId="0" fontId="9" fillId="0" borderId="0" xfId="0" applyFont="1" applyFill="1" applyBorder="1" applyAlignment="1">
      <alignment horizontal="center" vertical="center"/>
    </xf>
    <xf numFmtId="178" fontId="9" fillId="0" borderId="0" xfId="0" applyNumberFormat="1" applyFont="1" applyFill="1" applyBorder="1">
      <alignment vertical="center"/>
    </xf>
    <xf numFmtId="41" fontId="9" fillId="0" borderId="0" xfId="1" applyFont="1" applyFill="1" applyBorder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14" fontId="6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3" fillId="4" borderId="46" xfId="0" applyFont="1" applyFill="1" applyBorder="1" applyAlignment="1">
      <alignment horizontal="center" vertical="center"/>
    </xf>
    <xf numFmtId="0" fontId="13" fillId="4" borderId="4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7" fontId="3" fillId="0" borderId="14" xfId="1" applyNumberFormat="1" applyFont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38" xfId="0" applyFont="1" applyFill="1" applyBorder="1" applyAlignment="1">
      <alignment horizontal="center" vertical="center"/>
    </xf>
    <xf numFmtId="177" fontId="3" fillId="3" borderId="14" xfId="1" applyNumberFormat="1" applyFont="1" applyFill="1" applyBorder="1" applyAlignment="1">
      <alignment vertical="center"/>
    </xf>
    <xf numFmtId="41" fontId="3" fillId="3" borderId="16" xfId="0" applyNumberFormat="1" applyFont="1" applyFill="1" applyBorder="1" applyAlignment="1">
      <alignment vertical="center"/>
    </xf>
    <xf numFmtId="14" fontId="3" fillId="5" borderId="13" xfId="0" applyNumberFormat="1" applyFont="1" applyFill="1" applyBorder="1" applyAlignment="1">
      <alignment vertical="center"/>
    </xf>
    <xf numFmtId="177" fontId="3" fillId="3" borderId="10" xfId="0" applyNumberFormat="1" applyFont="1" applyFill="1" applyBorder="1" applyAlignment="1">
      <alignment vertical="center"/>
    </xf>
    <xf numFmtId="41" fontId="3" fillId="3" borderId="12" xfId="0" applyNumberFormat="1" applyFont="1" applyFill="1" applyBorder="1" applyAlignment="1">
      <alignment vertical="center"/>
    </xf>
    <xf numFmtId="14" fontId="3" fillId="5" borderId="3" xfId="0" applyNumberFormat="1" applyFont="1" applyFill="1" applyBorder="1" applyAlignment="1">
      <alignment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177" fontId="3" fillId="3" borderId="5" xfId="0" applyNumberFormat="1" applyFont="1" applyFill="1" applyBorder="1" applyAlignment="1">
      <alignment vertical="center"/>
    </xf>
    <xf numFmtId="41" fontId="3" fillId="3" borderId="7" xfId="0" applyNumberFormat="1" applyFont="1" applyFill="1" applyBorder="1" applyAlignment="1">
      <alignment vertical="center"/>
    </xf>
    <xf numFmtId="14" fontId="3" fillId="5" borderId="4" xfId="0" applyNumberFormat="1" applyFont="1" applyFill="1" applyBorder="1" applyAlignment="1">
      <alignment vertical="center"/>
    </xf>
    <xf numFmtId="178" fontId="11" fillId="0" borderId="0" xfId="0" applyNumberFormat="1" applyFont="1">
      <alignment vertical="center"/>
    </xf>
    <xf numFmtId="41" fontId="11" fillId="0" borderId="0" xfId="1" applyFont="1">
      <alignment vertical="center"/>
    </xf>
    <xf numFmtId="0" fontId="11" fillId="7" borderId="62" xfId="0" applyFont="1" applyFill="1" applyBorder="1" applyAlignment="1">
      <alignment vertical="center"/>
    </xf>
    <xf numFmtId="0" fontId="11" fillId="7" borderId="63" xfId="0" applyFont="1" applyFill="1" applyBorder="1" applyAlignment="1">
      <alignment vertical="center"/>
    </xf>
    <xf numFmtId="0" fontId="11" fillId="7" borderId="64" xfId="0" applyFont="1" applyFill="1" applyBorder="1" applyAlignment="1">
      <alignment vertical="center"/>
    </xf>
    <xf numFmtId="0" fontId="3" fillId="0" borderId="65" xfId="0" applyFont="1" applyBorder="1" applyAlignment="1">
      <alignment horizontal="left" vertical="center" indent="1"/>
    </xf>
    <xf numFmtId="0" fontId="3" fillId="0" borderId="66" xfId="0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0" fontId="3" fillId="0" borderId="69" xfId="0" applyFont="1" applyBorder="1" applyAlignment="1">
      <alignment horizontal="left" vertical="center" indent="3"/>
    </xf>
    <xf numFmtId="0" fontId="3" fillId="0" borderId="70" xfId="0" applyFont="1" applyBorder="1" applyAlignment="1">
      <alignment vertical="center"/>
    </xf>
    <xf numFmtId="0" fontId="3" fillId="0" borderId="71" xfId="0" applyFont="1" applyBorder="1" applyAlignment="1">
      <alignment vertical="center"/>
    </xf>
    <xf numFmtId="0" fontId="3" fillId="0" borderId="76" xfId="0" applyFont="1" applyBorder="1" applyAlignment="1">
      <alignment horizontal="left" vertical="center" indent="3"/>
    </xf>
    <xf numFmtId="0" fontId="3" fillId="0" borderId="77" xfId="0" applyFont="1" applyBorder="1" applyAlignment="1">
      <alignment vertical="center"/>
    </xf>
    <xf numFmtId="0" fontId="3" fillId="0" borderId="78" xfId="0" applyFont="1" applyBorder="1" applyAlignment="1">
      <alignment vertical="center"/>
    </xf>
    <xf numFmtId="0" fontId="3" fillId="0" borderId="81" xfId="0" applyFont="1" applyBorder="1" applyAlignment="1">
      <alignment vertical="center"/>
    </xf>
    <xf numFmtId="0" fontId="3" fillId="0" borderId="82" xfId="0" applyFont="1" applyBorder="1" applyAlignment="1">
      <alignment vertical="center"/>
    </xf>
    <xf numFmtId="0" fontId="3" fillId="0" borderId="76" xfId="0" applyFont="1" applyBorder="1" applyAlignment="1">
      <alignment horizontal="left" vertical="center" indent="1"/>
    </xf>
    <xf numFmtId="0" fontId="11" fillId="0" borderId="80" xfId="0" applyFont="1" applyBorder="1" applyAlignment="1">
      <alignment horizontal="left" vertical="center"/>
    </xf>
    <xf numFmtId="180" fontId="11" fillId="5" borderId="53" xfId="0" applyNumberFormat="1" applyFont="1" applyFill="1" applyBorder="1" applyAlignment="1">
      <alignment vertical="center"/>
    </xf>
    <xf numFmtId="180" fontId="11" fillId="7" borderId="61" xfId="0" applyNumberFormat="1" applyFont="1" applyFill="1" applyBorder="1" applyAlignment="1">
      <alignment vertical="center"/>
    </xf>
    <xf numFmtId="180" fontId="3" fillId="0" borderId="68" xfId="0" applyNumberFormat="1" applyFont="1" applyBorder="1" applyAlignment="1">
      <alignment vertical="center"/>
    </xf>
    <xf numFmtId="180" fontId="3" fillId="5" borderId="79" xfId="0" applyNumberFormat="1" applyFont="1" applyFill="1" applyBorder="1" applyAlignment="1">
      <alignment vertical="center"/>
    </xf>
    <xf numFmtId="41" fontId="3" fillId="0" borderId="15" xfId="0" applyNumberFormat="1" applyFont="1" applyBorder="1" applyAlignment="1">
      <alignment vertical="center"/>
    </xf>
    <xf numFmtId="41" fontId="3" fillId="0" borderId="11" xfId="0" applyNumberFormat="1" applyFont="1" applyBorder="1" applyAlignment="1">
      <alignment vertical="center"/>
    </xf>
    <xf numFmtId="41" fontId="3" fillId="0" borderId="6" xfId="0" applyNumberFormat="1" applyFont="1" applyBorder="1" applyAlignment="1">
      <alignment vertical="center"/>
    </xf>
    <xf numFmtId="0" fontId="3" fillId="8" borderId="18" xfId="0" applyFont="1" applyFill="1" applyBorder="1" applyAlignment="1">
      <alignment vertical="center"/>
    </xf>
    <xf numFmtId="0" fontId="3" fillId="8" borderId="17" xfId="0" applyFont="1" applyFill="1" applyBorder="1" applyAlignment="1">
      <alignment vertical="center"/>
    </xf>
    <xf numFmtId="0" fontId="3" fillId="8" borderId="19" xfId="0" applyFont="1" applyFill="1" applyBorder="1" applyAlignment="1">
      <alignment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15" fillId="0" borderId="0" xfId="0" applyFont="1" applyProtection="1">
      <alignment vertical="center"/>
    </xf>
    <xf numFmtId="0" fontId="17" fillId="0" borderId="0" xfId="0" applyFont="1" applyProtection="1">
      <alignment vertical="center"/>
    </xf>
    <xf numFmtId="0" fontId="20" fillId="0" borderId="107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right" vertical="center"/>
    </xf>
    <xf numFmtId="0" fontId="17" fillId="0" borderId="0" xfId="0" applyFont="1" applyBorder="1" applyAlignment="1" applyProtection="1">
      <alignment vertical="center"/>
    </xf>
    <xf numFmtId="41" fontId="20" fillId="0" borderId="0" xfId="0" applyNumberFormat="1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41" fontId="18" fillId="0" borderId="0" xfId="0" applyNumberFormat="1" applyFont="1" applyBorder="1" applyAlignment="1" applyProtection="1">
      <alignment horizontal="center" vertical="center"/>
    </xf>
    <xf numFmtId="0" fontId="17" fillId="3" borderId="102" xfId="0" applyFont="1" applyFill="1" applyBorder="1" applyProtection="1">
      <alignment vertical="center"/>
    </xf>
    <xf numFmtId="0" fontId="17" fillId="3" borderId="103" xfId="0" applyFont="1" applyFill="1" applyBorder="1" applyProtection="1">
      <alignment vertical="center"/>
    </xf>
    <xf numFmtId="0" fontId="21" fillId="3" borderId="103" xfId="0" applyFont="1" applyFill="1" applyBorder="1" applyProtection="1">
      <alignment vertical="center"/>
    </xf>
    <xf numFmtId="0" fontId="17" fillId="3" borderId="106" xfId="0" applyFont="1" applyFill="1" applyBorder="1" applyProtection="1">
      <alignment vertical="center"/>
    </xf>
    <xf numFmtId="0" fontId="18" fillId="3" borderId="107" xfId="0" quotePrefix="1" applyFont="1" applyFill="1" applyBorder="1" applyProtection="1">
      <alignment vertical="center"/>
    </xf>
    <xf numFmtId="0" fontId="18" fillId="3" borderId="0" xfId="0" applyFont="1" applyFill="1" applyBorder="1" applyProtection="1">
      <alignment vertical="center"/>
    </xf>
    <xf numFmtId="0" fontId="18" fillId="3" borderId="124" xfId="0" applyFont="1" applyFill="1" applyBorder="1" applyProtection="1">
      <alignment vertical="center"/>
    </xf>
    <xf numFmtId="0" fontId="24" fillId="0" borderId="0" xfId="0" applyFont="1">
      <alignment vertical="center"/>
    </xf>
    <xf numFmtId="180" fontId="3" fillId="0" borderId="72" xfId="0" applyNumberFormat="1" applyFont="1" applyFill="1" applyBorder="1" applyAlignment="1">
      <alignment vertical="center"/>
    </xf>
    <xf numFmtId="0" fontId="29" fillId="0" borderId="0" xfId="0" applyFont="1">
      <alignment vertical="center"/>
    </xf>
    <xf numFmtId="0" fontId="3" fillId="0" borderId="129" xfId="0" applyFont="1" applyBorder="1" applyAlignment="1">
      <alignment vertical="center"/>
    </xf>
    <xf numFmtId="0" fontId="3" fillId="0" borderId="130" xfId="0" applyFont="1" applyBorder="1" applyAlignment="1">
      <alignment vertical="center"/>
    </xf>
    <xf numFmtId="180" fontId="3" fillId="0" borderId="131" xfId="0" applyNumberFormat="1" applyFont="1" applyFill="1" applyBorder="1" applyAlignment="1">
      <alignment vertical="center"/>
    </xf>
    <xf numFmtId="180" fontId="11" fillId="0" borderId="83" xfId="0" applyNumberFormat="1" applyFont="1" applyBorder="1" applyAlignment="1">
      <alignment vertical="center"/>
    </xf>
    <xf numFmtId="0" fontId="3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180" fontId="2" fillId="0" borderId="0" xfId="0" applyNumberFormat="1" applyFont="1" applyAlignment="1">
      <alignment vertical="center"/>
    </xf>
    <xf numFmtId="41" fontId="2" fillId="0" borderId="0" xfId="1" applyFont="1">
      <alignment vertical="center"/>
    </xf>
    <xf numFmtId="0" fontId="40" fillId="0" borderId="0" xfId="0" applyFont="1" applyProtection="1">
      <alignment vertical="center"/>
    </xf>
    <xf numFmtId="0" fontId="30" fillId="0" borderId="0" xfId="0" applyFont="1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41" fontId="41" fillId="0" borderId="0" xfId="1" applyFont="1">
      <alignment vertical="center"/>
    </xf>
    <xf numFmtId="0" fontId="13" fillId="4" borderId="1" xfId="0" applyFont="1" applyFill="1" applyBorder="1" applyAlignment="1">
      <alignment horizontal="center" vertical="center" wrapText="1"/>
    </xf>
    <xf numFmtId="182" fontId="30" fillId="0" borderId="0" xfId="2" applyNumberFormat="1" applyFont="1">
      <alignment vertical="center"/>
    </xf>
    <xf numFmtId="41" fontId="30" fillId="0" borderId="0" xfId="1" applyFont="1">
      <alignment vertical="center"/>
    </xf>
    <xf numFmtId="180" fontId="29" fillId="10" borderId="143" xfId="0" applyNumberFormat="1" applyFont="1" applyFill="1" applyBorder="1" applyAlignment="1">
      <alignment horizontal="left" vertical="center"/>
    </xf>
    <xf numFmtId="180" fontId="29" fillId="10" borderId="55" xfId="0" applyNumberFormat="1" applyFont="1" applyFill="1" applyBorder="1" applyAlignment="1">
      <alignment horizontal="left" vertical="center"/>
    </xf>
    <xf numFmtId="0" fontId="0" fillId="7" borderId="138" xfId="0" applyFill="1" applyBorder="1">
      <alignment vertical="center"/>
    </xf>
    <xf numFmtId="0" fontId="37" fillId="7" borderId="138" xfId="0" applyFont="1" applyFill="1" applyBorder="1">
      <alignment vertical="center"/>
    </xf>
    <xf numFmtId="41" fontId="2" fillId="5" borderId="0" xfId="1" applyFont="1" applyFill="1">
      <alignment vertical="center"/>
    </xf>
    <xf numFmtId="41" fontId="2" fillId="0" borderId="0" xfId="1" applyFont="1" applyAlignment="1">
      <alignment horizontal="center" vertical="center"/>
    </xf>
    <xf numFmtId="0" fontId="45" fillId="0" borderId="0" xfId="0" applyFont="1">
      <alignment vertical="center"/>
    </xf>
    <xf numFmtId="180" fontId="0" fillId="7" borderId="152" xfId="0" applyNumberFormat="1" applyFill="1" applyBorder="1" applyAlignment="1">
      <alignment vertical="center"/>
    </xf>
    <xf numFmtId="0" fontId="17" fillId="0" borderId="0" xfId="0" applyFont="1">
      <alignment vertical="center"/>
    </xf>
    <xf numFmtId="0" fontId="48" fillId="0" borderId="0" xfId="0" applyFont="1" applyAlignment="1">
      <alignment horizontal="center" vertical="center"/>
    </xf>
    <xf numFmtId="0" fontId="40" fillId="0" borderId="0" xfId="0" applyFont="1">
      <alignment vertical="center"/>
    </xf>
    <xf numFmtId="0" fontId="20" fillId="0" borderId="0" xfId="0" applyFont="1">
      <alignment vertical="center"/>
    </xf>
    <xf numFmtId="0" fontId="17" fillId="0" borderId="1" xfId="0" applyFont="1" applyBorder="1" applyAlignment="1">
      <alignment horizontal="center" vertical="center"/>
    </xf>
    <xf numFmtId="0" fontId="0" fillId="7" borderId="121" xfId="0" applyFont="1" applyFill="1" applyBorder="1" applyAlignment="1">
      <alignment horizontal="center" vertical="center"/>
    </xf>
    <xf numFmtId="180" fontId="11" fillId="7" borderId="53" xfId="0" applyNumberFormat="1" applyFont="1" applyFill="1" applyBorder="1" applyAlignment="1">
      <alignment vertical="center"/>
    </xf>
    <xf numFmtId="180" fontId="3" fillId="7" borderId="68" xfId="0" applyNumberFormat="1" applyFont="1" applyFill="1" applyBorder="1" applyAlignment="1">
      <alignment vertical="center"/>
    </xf>
    <xf numFmtId="180" fontId="3" fillId="7" borderId="72" xfId="0" applyNumberFormat="1" applyFont="1" applyFill="1" applyBorder="1" applyAlignment="1">
      <alignment vertical="center"/>
    </xf>
    <xf numFmtId="180" fontId="3" fillId="7" borderId="73" xfId="0" applyNumberFormat="1" applyFont="1" applyFill="1" applyBorder="1" applyAlignment="1">
      <alignment vertical="center"/>
    </xf>
    <xf numFmtId="180" fontId="3" fillId="7" borderId="79" xfId="0" applyNumberFormat="1" applyFont="1" applyFill="1" applyBorder="1" applyAlignment="1">
      <alignment vertical="center"/>
    </xf>
    <xf numFmtId="180" fontId="11" fillId="7" borderId="83" xfId="0" applyNumberFormat="1" applyFont="1" applyFill="1" applyBorder="1" applyAlignment="1">
      <alignment vertical="center"/>
    </xf>
    <xf numFmtId="180" fontId="3" fillId="7" borderId="131" xfId="0" applyNumberFormat="1" applyFont="1" applyFill="1" applyBorder="1" applyAlignment="1">
      <alignment vertical="center"/>
    </xf>
    <xf numFmtId="184" fontId="3" fillId="5" borderId="46" xfId="0" applyNumberFormat="1" applyFont="1" applyFill="1" applyBorder="1" applyAlignment="1">
      <alignment horizontal="center" vertical="center"/>
    </xf>
    <xf numFmtId="184" fontId="3" fillId="7" borderId="46" xfId="0" applyNumberFormat="1" applyFont="1" applyFill="1" applyBorder="1" applyAlignment="1">
      <alignment horizontal="center" vertical="center"/>
    </xf>
    <xf numFmtId="184" fontId="3" fillId="0" borderId="1" xfId="0" applyNumberFormat="1" applyFont="1" applyFill="1" applyBorder="1" applyAlignment="1">
      <alignment horizontal="center" vertical="center"/>
    </xf>
    <xf numFmtId="184" fontId="3" fillId="0" borderId="37" xfId="0" applyNumberFormat="1" applyFont="1" applyFill="1" applyBorder="1" applyAlignment="1">
      <alignment horizontal="center" vertical="center"/>
    </xf>
    <xf numFmtId="184" fontId="3" fillId="0" borderId="46" xfId="0" applyNumberFormat="1" applyFont="1" applyFill="1" applyBorder="1" applyAlignment="1">
      <alignment horizontal="center" vertical="center"/>
    </xf>
    <xf numFmtId="180" fontId="11" fillId="0" borderId="60" xfId="0" applyNumberFormat="1" applyFont="1" applyFill="1" applyBorder="1" applyAlignment="1">
      <alignment vertical="center"/>
    </xf>
    <xf numFmtId="180" fontId="11" fillId="0" borderId="53" xfId="0" applyNumberFormat="1" applyFont="1" applyFill="1" applyBorder="1" applyAlignment="1">
      <alignment vertical="center"/>
    </xf>
    <xf numFmtId="180" fontId="11" fillId="0" borderId="61" xfId="0" applyNumberFormat="1" applyFont="1" applyFill="1" applyBorder="1" applyAlignment="1">
      <alignment vertical="center"/>
    </xf>
    <xf numFmtId="180" fontId="3" fillId="0" borderId="68" xfId="0" applyNumberFormat="1" applyFont="1" applyFill="1" applyBorder="1" applyAlignment="1">
      <alignment vertical="center"/>
    </xf>
    <xf numFmtId="180" fontId="3" fillId="0" borderId="73" xfId="0" applyNumberFormat="1" applyFont="1" applyFill="1" applyBorder="1" applyAlignment="1">
      <alignment vertical="center"/>
    </xf>
    <xf numFmtId="180" fontId="3" fillId="0" borderId="79" xfId="0" applyNumberFormat="1" applyFont="1" applyFill="1" applyBorder="1" applyAlignment="1">
      <alignment vertical="center"/>
    </xf>
    <xf numFmtId="180" fontId="11" fillId="0" borderId="83" xfId="0" applyNumberFormat="1" applyFont="1" applyFill="1" applyBorder="1" applyAlignment="1">
      <alignment vertical="center"/>
    </xf>
    <xf numFmtId="186" fontId="3" fillId="5" borderId="163" xfId="0" applyNumberFormat="1" applyFont="1" applyFill="1" applyBorder="1" applyAlignment="1">
      <alignment vertical="center"/>
    </xf>
    <xf numFmtId="0" fontId="3" fillId="0" borderId="165" xfId="0" applyFont="1" applyBorder="1" applyAlignment="1">
      <alignment vertical="center"/>
    </xf>
    <xf numFmtId="0" fontId="3" fillId="0" borderId="166" xfId="0" applyFont="1" applyBorder="1" applyAlignment="1">
      <alignment vertical="center"/>
    </xf>
    <xf numFmtId="180" fontId="3" fillId="0" borderId="135" xfId="0" applyNumberFormat="1" applyFont="1" applyBorder="1" applyAlignment="1">
      <alignment vertical="center"/>
    </xf>
    <xf numFmtId="0" fontId="11" fillId="0" borderId="167" xfId="0" applyFont="1" applyBorder="1" applyAlignment="1">
      <alignment vertical="center"/>
    </xf>
    <xf numFmtId="0" fontId="54" fillId="0" borderId="132" xfId="0" applyFont="1" applyBorder="1" applyAlignment="1">
      <alignment horizontal="left" vertical="top" indent="1"/>
    </xf>
    <xf numFmtId="180" fontId="11" fillId="5" borderId="135" xfId="0" applyNumberFormat="1" applyFont="1" applyFill="1" applyBorder="1" applyAlignment="1">
      <alignment vertical="center"/>
    </xf>
    <xf numFmtId="187" fontId="3" fillId="0" borderId="165" xfId="0" applyNumberFormat="1" applyFont="1" applyFill="1" applyBorder="1" applyAlignment="1">
      <alignment vertical="center"/>
    </xf>
    <xf numFmtId="0" fontId="11" fillId="13" borderId="42" xfId="0" applyFont="1" applyFill="1" applyBorder="1" applyAlignment="1">
      <alignment vertical="center"/>
    </xf>
    <xf numFmtId="0" fontId="3" fillId="13" borderId="43" xfId="0" applyFont="1" applyFill="1" applyBorder="1" applyAlignment="1">
      <alignment vertical="center"/>
    </xf>
    <xf numFmtId="0" fontId="3" fillId="13" borderId="44" xfId="0" applyFont="1" applyFill="1" applyBorder="1" applyAlignment="1">
      <alignment vertical="center"/>
    </xf>
    <xf numFmtId="180" fontId="11" fillId="13" borderId="1" xfId="0" applyNumberFormat="1" applyFont="1" applyFill="1" applyBorder="1" applyAlignment="1">
      <alignment vertical="center"/>
    </xf>
    <xf numFmtId="0" fontId="52" fillId="0" borderId="0" xfId="3" applyFont="1" applyFill="1" applyBorder="1" applyAlignment="1" applyProtection="1">
      <alignment vertical="center"/>
    </xf>
    <xf numFmtId="0" fontId="3" fillId="0" borderId="128" xfId="0" applyFont="1" applyBorder="1" applyAlignment="1">
      <alignment horizontal="left" vertical="center" indent="3"/>
    </xf>
    <xf numFmtId="180" fontId="3" fillId="7" borderId="135" xfId="0" applyNumberFormat="1" applyFont="1" applyFill="1" applyBorder="1" applyAlignment="1">
      <alignment vertical="center"/>
    </xf>
    <xf numFmtId="180" fontId="3" fillId="0" borderId="135" xfId="0" applyNumberFormat="1" applyFont="1" applyFill="1" applyBorder="1" applyAlignment="1">
      <alignment vertical="center"/>
    </xf>
    <xf numFmtId="184" fontId="55" fillId="7" borderId="135" xfId="0" applyNumberFormat="1" applyFont="1" applyFill="1" applyBorder="1" applyAlignment="1">
      <alignment vertical="center"/>
    </xf>
    <xf numFmtId="184" fontId="55" fillId="5" borderId="135" xfId="0" applyNumberFormat="1" applyFont="1" applyFill="1" applyBorder="1" applyAlignment="1">
      <alignment vertical="center"/>
    </xf>
    <xf numFmtId="184" fontId="55" fillId="0" borderId="135" xfId="0" applyNumberFormat="1" applyFont="1" applyFill="1" applyBorder="1" applyAlignment="1">
      <alignment vertical="center"/>
    </xf>
    <xf numFmtId="187" fontId="55" fillId="5" borderId="163" xfId="0" applyNumberFormat="1" applyFont="1" applyFill="1" applyBorder="1" applyAlignment="1">
      <alignment vertical="center"/>
    </xf>
    <xf numFmtId="187" fontId="55" fillId="5" borderId="135" xfId="0" applyNumberFormat="1" applyFont="1" applyFill="1" applyBorder="1" applyAlignment="1">
      <alignment vertical="center"/>
    </xf>
    <xf numFmtId="187" fontId="55" fillId="0" borderId="135" xfId="0" applyNumberFormat="1" applyFont="1" applyFill="1" applyBorder="1" applyAlignment="1">
      <alignment vertical="center"/>
    </xf>
    <xf numFmtId="187" fontId="3" fillId="7" borderId="135" xfId="0" applyNumberFormat="1" applyFont="1" applyFill="1" applyBorder="1" applyAlignment="1">
      <alignment vertical="center"/>
    </xf>
    <xf numFmtId="0" fontId="3" fillId="0" borderId="136" xfId="0" applyFont="1" applyBorder="1" applyAlignment="1">
      <alignment vertical="center"/>
    </xf>
    <xf numFmtId="180" fontId="11" fillId="7" borderId="145" xfId="0" applyNumberFormat="1" applyFont="1" applyFill="1" applyBorder="1" applyAlignment="1">
      <alignment vertical="center"/>
    </xf>
    <xf numFmtId="180" fontId="11" fillId="0" borderId="145" xfId="0" applyNumberFormat="1" applyFont="1" applyBorder="1" applyAlignment="1">
      <alignment vertical="center"/>
    </xf>
    <xf numFmtId="180" fontId="11" fillId="0" borderId="145" xfId="0" applyNumberFormat="1" applyFont="1" applyFill="1" applyBorder="1" applyAlignment="1">
      <alignment vertical="center"/>
    </xf>
    <xf numFmtId="180" fontId="3" fillId="7" borderId="169" xfId="0" applyNumberFormat="1" applyFont="1" applyFill="1" applyBorder="1" applyAlignment="1">
      <alignment vertical="center"/>
    </xf>
    <xf numFmtId="180" fontId="3" fillId="0" borderId="169" xfId="0" applyNumberFormat="1" applyFont="1" applyBorder="1" applyAlignment="1">
      <alignment vertical="center"/>
    </xf>
    <xf numFmtId="180" fontId="3" fillId="0" borderId="169" xfId="0" applyNumberFormat="1" applyFont="1" applyFill="1" applyBorder="1" applyAlignment="1">
      <alignment vertical="center"/>
    </xf>
    <xf numFmtId="187" fontId="55" fillId="5" borderId="172" xfId="0" applyNumberFormat="1" applyFont="1" applyFill="1" applyBorder="1" applyAlignment="1">
      <alignment vertical="center"/>
    </xf>
    <xf numFmtId="188" fontId="55" fillId="7" borderId="173" xfId="0" applyNumberFormat="1" applyFont="1" applyFill="1" applyBorder="1" applyAlignment="1">
      <alignment vertical="center"/>
    </xf>
    <xf numFmtId="188" fontId="55" fillId="5" borderId="173" xfId="0" applyNumberFormat="1" applyFont="1" applyFill="1" applyBorder="1" applyAlignment="1">
      <alignment horizontal="right" vertical="center"/>
    </xf>
    <xf numFmtId="188" fontId="55" fillId="5" borderId="173" xfId="0" applyNumberFormat="1" applyFont="1" applyFill="1" applyBorder="1" applyAlignment="1">
      <alignment vertical="center"/>
    </xf>
    <xf numFmtId="188" fontId="55" fillId="0" borderId="173" xfId="0" applyNumberFormat="1" applyFont="1" applyFill="1" applyBorder="1" applyAlignment="1">
      <alignment vertical="center"/>
    </xf>
    <xf numFmtId="41" fontId="3" fillId="5" borderId="174" xfId="1" applyFont="1" applyFill="1" applyBorder="1" applyAlignment="1">
      <alignment vertical="center"/>
    </xf>
    <xf numFmtId="180" fontId="3" fillId="5" borderId="60" xfId="0" applyNumberFormat="1" applyFont="1" applyFill="1" applyBorder="1" applyAlignment="1">
      <alignment vertical="center"/>
    </xf>
    <xf numFmtId="0" fontId="2" fillId="0" borderId="48" xfId="0" applyFont="1" applyBorder="1">
      <alignment vertical="center"/>
    </xf>
    <xf numFmtId="41" fontId="2" fillId="0" borderId="45" xfId="1" applyFont="1" applyBorder="1">
      <alignment vertical="center"/>
    </xf>
    <xf numFmtId="41" fontId="2" fillId="0" borderId="49" xfId="1" applyFont="1" applyBorder="1">
      <alignment vertical="center"/>
    </xf>
    <xf numFmtId="0" fontId="2" fillId="0" borderId="132" xfId="0" applyFont="1" applyBorder="1">
      <alignment vertical="center"/>
    </xf>
    <xf numFmtId="41" fontId="2" fillId="0" borderId="0" xfId="1" applyFont="1" applyBorder="1">
      <alignment vertical="center"/>
    </xf>
    <xf numFmtId="41" fontId="2" fillId="0" borderId="165" xfId="1" applyFont="1" applyBorder="1">
      <alignment vertical="center"/>
    </xf>
    <xf numFmtId="0" fontId="2" fillId="0" borderId="50" xfId="0" applyFont="1" applyBorder="1">
      <alignment vertical="center"/>
    </xf>
    <xf numFmtId="41" fontId="2" fillId="0" borderId="51" xfId="1" applyFont="1" applyBorder="1">
      <alignment vertical="center"/>
    </xf>
    <xf numFmtId="41" fontId="2" fillId="0" borderId="52" xfId="1" applyFont="1" applyBorder="1">
      <alignment vertical="center"/>
    </xf>
    <xf numFmtId="0" fontId="29" fillId="0" borderId="46" xfId="0" applyFont="1" applyBorder="1">
      <alignment vertical="center"/>
    </xf>
    <xf numFmtId="0" fontId="29" fillId="0" borderId="145" xfId="0" applyFont="1" applyBorder="1">
      <alignment vertical="center"/>
    </xf>
    <xf numFmtId="0" fontId="29" fillId="0" borderId="135" xfId="0" applyFont="1" applyBorder="1">
      <alignment vertical="center"/>
    </xf>
    <xf numFmtId="0" fontId="29" fillId="0" borderId="41" xfId="0" applyFont="1" applyBorder="1">
      <alignment vertical="center"/>
    </xf>
    <xf numFmtId="0" fontId="29" fillId="0" borderId="37" xfId="0" applyFont="1" applyBorder="1">
      <alignment vertical="center"/>
    </xf>
    <xf numFmtId="0" fontId="29" fillId="0" borderId="132" xfId="0" applyFont="1" applyBorder="1">
      <alignment vertical="center"/>
    </xf>
    <xf numFmtId="0" fontId="29" fillId="0" borderId="142" xfId="0" applyFont="1" applyBorder="1">
      <alignment vertical="center"/>
    </xf>
    <xf numFmtId="0" fontId="29" fillId="0" borderId="27" xfId="0" applyFont="1" applyBorder="1">
      <alignment vertical="center"/>
    </xf>
    <xf numFmtId="0" fontId="29" fillId="0" borderId="50" xfId="0" applyFont="1" applyBorder="1">
      <alignment vertical="center"/>
    </xf>
    <xf numFmtId="0" fontId="29" fillId="0" borderId="30" xfId="0" applyFont="1" applyBorder="1">
      <alignment vertical="center"/>
    </xf>
    <xf numFmtId="0" fontId="29" fillId="0" borderId="132" xfId="0" applyFont="1" applyBorder="1" applyAlignment="1">
      <alignment vertical="center"/>
    </xf>
    <xf numFmtId="182" fontId="29" fillId="0" borderId="37" xfId="2" applyNumberFormat="1" applyFont="1" applyBorder="1">
      <alignment vertical="center"/>
    </xf>
    <xf numFmtId="0" fontId="29" fillId="0" borderId="30" xfId="0" applyFont="1" applyBorder="1" applyAlignment="1">
      <alignment horizontal="center" vertical="center"/>
    </xf>
    <xf numFmtId="41" fontId="3" fillId="0" borderId="0" xfId="1" applyFont="1" applyAlignment="1">
      <alignment vertical="center"/>
    </xf>
    <xf numFmtId="41" fontId="29" fillId="0" borderId="0" xfId="1" applyFont="1">
      <alignment vertical="center"/>
    </xf>
    <xf numFmtId="0" fontId="56" fillId="0" borderId="0" xfId="0" applyFont="1" applyAlignment="1">
      <alignment vertical="center"/>
    </xf>
    <xf numFmtId="0" fontId="56" fillId="0" borderId="0" xfId="0" applyFont="1" applyBorder="1" applyAlignment="1">
      <alignment vertical="center"/>
    </xf>
    <xf numFmtId="43" fontId="0" fillId="0" borderId="0" xfId="0" applyNumberFormat="1">
      <alignment vertical="center"/>
    </xf>
    <xf numFmtId="41" fontId="37" fillId="0" borderId="123" xfId="1" applyFont="1" applyFill="1" applyBorder="1" applyAlignment="1">
      <alignment horizontal="left" vertical="center"/>
    </xf>
    <xf numFmtId="14" fontId="18" fillId="3" borderId="43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0" fillId="6" borderId="0" xfId="0" applyFill="1">
      <alignment vertical="center"/>
    </xf>
    <xf numFmtId="0" fontId="39" fillId="6" borderId="0" xfId="0" applyFont="1" applyFill="1" applyAlignment="1"/>
    <xf numFmtId="41" fontId="0" fillId="6" borderId="0" xfId="0" applyNumberFormat="1" applyFill="1">
      <alignment vertical="center"/>
    </xf>
    <xf numFmtId="0" fontId="39" fillId="6" borderId="0" xfId="0" applyFont="1" applyFill="1">
      <alignment vertical="center"/>
    </xf>
    <xf numFmtId="41" fontId="0" fillId="6" borderId="0" xfId="1" applyFont="1" applyFill="1">
      <alignment vertical="center"/>
    </xf>
    <xf numFmtId="0" fontId="0" fillId="0" borderId="0" xfId="0" applyFill="1">
      <alignment vertical="center"/>
    </xf>
    <xf numFmtId="0" fontId="33" fillId="6" borderId="0" xfId="0" applyFont="1" applyFill="1" applyAlignment="1">
      <alignment horizontal="right"/>
    </xf>
    <xf numFmtId="0" fontId="37" fillId="0" borderId="0" xfId="0" applyFont="1">
      <alignment vertical="center"/>
    </xf>
    <xf numFmtId="0" fontId="57" fillId="0" borderId="0" xfId="0" applyFont="1">
      <alignment vertical="center"/>
    </xf>
    <xf numFmtId="0" fontId="59" fillId="0" borderId="0" xfId="0" applyFont="1">
      <alignment vertical="center"/>
    </xf>
    <xf numFmtId="0" fontId="58" fillId="5" borderId="0" xfId="0" applyFont="1" applyFill="1">
      <alignment vertical="center"/>
    </xf>
    <xf numFmtId="0" fontId="58" fillId="0" borderId="0" xfId="0" quotePrefix="1" applyFont="1">
      <alignment vertical="center"/>
    </xf>
    <xf numFmtId="0" fontId="57" fillId="0" borderId="0" xfId="0" applyFont="1" applyFill="1">
      <alignment vertical="center"/>
    </xf>
    <xf numFmtId="178" fontId="3" fillId="4" borderId="113" xfId="0" applyNumberFormat="1" applyFont="1" applyFill="1" applyBorder="1" applyAlignment="1">
      <alignment horizontal="center" vertical="center"/>
    </xf>
    <xf numFmtId="178" fontId="3" fillId="0" borderId="113" xfId="0" applyNumberFormat="1" applyFont="1" applyFill="1" applyBorder="1">
      <alignment vertical="center"/>
    </xf>
    <xf numFmtId="178" fontId="3" fillId="0" borderId="0" xfId="0" applyNumberFormat="1" applyFont="1" applyFill="1" applyBorder="1">
      <alignment vertical="center"/>
    </xf>
    <xf numFmtId="178" fontId="3" fillId="0" borderId="162" xfId="0" applyNumberFormat="1" applyFont="1" applyFill="1" applyBorder="1">
      <alignment vertical="center"/>
    </xf>
    <xf numFmtId="178" fontId="11" fillId="0" borderId="43" xfId="0" applyNumberFormat="1" applyFont="1" applyFill="1" applyBorder="1">
      <alignment vertical="center"/>
    </xf>
    <xf numFmtId="41" fontId="3" fillId="4" borderId="114" xfId="1" applyFont="1" applyFill="1" applyBorder="1" applyAlignment="1">
      <alignment horizontal="center" vertical="center"/>
    </xf>
    <xf numFmtId="41" fontId="3" fillId="0" borderId="114" xfId="1" applyFont="1" applyFill="1" applyBorder="1">
      <alignment vertical="center"/>
    </xf>
    <xf numFmtId="41" fontId="3" fillId="0" borderId="165" xfId="1" applyFont="1" applyFill="1" applyBorder="1">
      <alignment vertical="center"/>
    </xf>
    <xf numFmtId="41" fontId="3" fillId="0" borderId="134" xfId="1" applyFont="1" applyFill="1" applyBorder="1">
      <alignment vertical="center"/>
    </xf>
    <xf numFmtId="41" fontId="11" fillId="0" borderId="44" xfId="1" applyFont="1" applyFill="1" applyBorder="1">
      <alignment vertical="center"/>
    </xf>
    <xf numFmtId="41" fontId="3" fillId="4" borderId="46" xfId="1" applyFont="1" applyFill="1" applyBorder="1" applyAlignment="1">
      <alignment horizontal="center" vertical="center"/>
    </xf>
    <xf numFmtId="41" fontId="3" fillId="0" borderId="46" xfId="1" applyFont="1" applyFill="1" applyBorder="1">
      <alignment vertical="center"/>
    </xf>
    <xf numFmtId="41" fontId="3" fillId="0" borderId="135" xfId="1" applyFont="1" applyFill="1" applyBorder="1">
      <alignment vertical="center"/>
    </xf>
    <xf numFmtId="41" fontId="3" fillId="0" borderId="47" xfId="1" applyFont="1" applyFill="1" applyBorder="1">
      <alignment vertical="center"/>
    </xf>
    <xf numFmtId="41" fontId="11" fillId="0" borderId="1" xfId="1" applyFont="1" applyFill="1" applyBorder="1">
      <alignment vertical="center"/>
    </xf>
    <xf numFmtId="0" fontId="13" fillId="4" borderId="34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61" fillId="0" borderId="0" xfId="0" applyFont="1">
      <alignment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8" fillId="0" borderId="0" xfId="0" applyFont="1">
      <alignment vertical="center"/>
    </xf>
    <xf numFmtId="0" fontId="29" fillId="0" borderId="0" xfId="0" applyNumberFormat="1" applyFont="1">
      <alignment vertical="center"/>
    </xf>
    <xf numFmtId="0" fontId="27" fillId="0" borderId="0" xfId="1" applyNumberFormat="1" applyFont="1">
      <alignment vertical="center"/>
    </xf>
    <xf numFmtId="0" fontId="4" fillId="4" borderId="0" xfId="0" applyNumberFormat="1" applyFont="1" applyFill="1">
      <alignment vertical="center"/>
    </xf>
    <xf numFmtId="0" fontId="29" fillId="4" borderId="0" xfId="0" applyNumberFormat="1" applyFont="1" applyFill="1">
      <alignment vertical="center"/>
    </xf>
    <xf numFmtId="0" fontId="29" fillId="4" borderId="0" xfId="0" quotePrefix="1" applyNumberFormat="1" applyFont="1" applyFill="1">
      <alignment vertical="center"/>
    </xf>
    <xf numFmtId="0" fontId="31" fillId="4" borderId="0" xfId="3" applyNumberFormat="1" applyFont="1" applyFill="1">
      <alignment vertical="center"/>
    </xf>
    <xf numFmtId="0" fontId="28" fillId="0" borderId="0" xfId="0" applyNumberFormat="1" applyFont="1">
      <alignment vertical="center"/>
    </xf>
    <xf numFmtId="0" fontId="29" fillId="0" borderId="0" xfId="0" quotePrefix="1" applyNumberFormat="1" applyFont="1">
      <alignment vertical="center"/>
    </xf>
    <xf numFmtId="0" fontId="27" fillId="15" borderId="1" xfId="1" applyNumberFormat="1" applyFont="1" applyFill="1" applyBorder="1" applyAlignment="1">
      <alignment horizontal="center" vertical="center"/>
    </xf>
    <xf numFmtId="0" fontId="27" fillId="0" borderId="1" xfId="1" applyNumberFormat="1" applyFont="1" applyBorder="1" applyAlignment="1">
      <alignment horizontal="center" vertical="center"/>
    </xf>
    <xf numFmtId="0" fontId="65" fillId="0" borderId="0" xfId="1" applyNumberFormat="1" applyFont="1">
      <alignment vertical="center"/>
    </xf>
    <xf numFmtId="0" fontId="27" fillId="0" borderId="0" xfId="1" quotePrefix="1" applyNumberFormat="1" applyFont="1">
      <alignment vertical="center"/>
    </xf>
    <xf numFmtId="0" fontId="66" fillId="0" borderId="0" xfId="1" quotePrefix="1" applyNumberFormat="1" applyFont="1" applyAlignment="1">
      <alignment horizontal="right"/>
    </xf>
    <xf numFmtId="38" fontId="0" fillId="0" borderId="0" xfId="0" applyNumberFormat="1">
      <alignment vertical="center"/>
    </xf>
    <xf numFmtId="38" fontId="0" fillId="7" borderId="143" xfId="0" applyNumberFormat="1" applyFill="1" applyBorder="1">
      <alignment vertical="center"/>
    </xf>
    <xf numFmtId="38" fontId="36" fillId="7" borderId="138" xfId="0" applyNumberFormat="1" applyFont="1" applyFill="1" applyBorder="1">
      <alignment vertical="center"/>
    </xf>
    <xf numFmtId="192" fontId="3" fillId="10" borderId="138" xfId="0" applyNumberFormat="1" applyFont="1" applyFill="1" applyBorder="1">
      <alignment vertical="center"/>
    </xf>
    <xf numFmtId="192" fontId="29" fillId="10" borderId="143" xfId="0" applyNumberFormat="1" applyFont="1" applyFill="1" applyBorder="1">
      <alignment vertical="center"/>
    </xf>
    <xf numFmtId="38" fontId="0" fillId="7" borderId="185" xfId="0" applyNumberFormat="1" applyFill="1" applyBorder="1">
      <alignment vertical="center"/>
    </xf>
    <xf numFmtId="38" fontId="0" fillId="7" borderId="136" xfId="0" applyNumberFormat="1" applyFill="1" applyBorder="1">
      <alignment vertical="center"/>
    </xf>
    <xf numFmtId="0" fontId="33" fillId="6" borderId="0" xfId="0" applyFont="1" applyFill="1" applyAlignment="1"/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6" borderId="0" xfId="0" applyFill="1" applyBorder="1">
      <alignment vertical="center"/>
    </xf>
    <xf numFmtId="38" fontId="0" fillId="6" borderId="0" xfId="0" applyNumberFormat="1" applyFill="1" applyBorder="1">
      <alignment vertical="center"/>
    </xf>
    <xf numFmtId="192" fontId="0" fillId="6" borderId="0" xfId="0" applyNumberFormat="1" applyFill="1" applyBorder="1">
      <alignment vertical="center"/>
    </xf>
    <xf numFmtId="38" fontId="29" fillId="0" borderId="46" xfId="1" applyNumberFormat="1" applyFont="1" applyBorder="1">
      <alignment vertical="center"/>
    </xf>
    <xf numFmtId="38" fontId="29" fillId="0" borderId="145" xfId="1" applyNumberFormat="1" applyFont="1" applyBorder="1">
      <alignment vertical="center"/>
    </xf>
    <xf numFmtId="38" fontId="29" fillId="0" borderId="145" xfId="1" applyNumberFormat="1" applyFont="1" applyFill="1" applyBorder="1">
      <alignment vertical="center"/>
    </xf>
    <xf numFmtId="38" fontId="29" fillId="0" borderId="135" xfId="1" applyNumberFormat="1" applyFont="1" applyBorder="1">
      <alignment vertical="center"/>
    </xf>
    <xf numFmtId="38" fontId="29" fillId="0" borderId="135" xfId="1" applyNumberFormat="1" applyFont="1" applyFill="1" applyBorder="1">
      <alignment vertical="center"/>
    </xf>
    <xf numFmtId="38" fontId="29" fillId="0" borderId="41" xfId="1" applyNumberFormat="1" applyFont="1" applyBorder="1">
      <alignment vertical="center"/>
    </xf>
    <xf numFmtId="38" fontId="29" fillId="0" borderId="37" xfId="1" applyNumberFormat="1" applyFont="1" applyBorder="1">
      <alignment vertical="center"/>
    </xf>
    <xf numFmtId="38" fontId="29" fillId="0" borderId="0" xfId="0" applyNumberFormat="1" applyFont="1">
      <alignment vertical="center"/>
    </xf>
    <xf numFmtId="41" fontId="29" fillId="0" borderId="147" xfId="1" applyFont="1" applyBorder="1">
      <alignment vertical="center"/>
    </xf>
    <xf numFmtId="41" fontId="29" fillId="0" borderId="148" xfId="1" applyFont="1" applyBorder="1">
      <alignment vertical="center"/>
    </xf>
    <xf numFmtId="41" fontId="29" fillId="0" borderId="150" xfId="1" applyFont="1" applyBorder="1">
      <alignment vertical="center"/>
    </xf>
    <xf numFmtId="38" fontId="0" fillId="7" borderId="179" xfId="0" applyNumberFormat="1" applyFill="1" applyBorder="1">
      <alignment vertical="center"/>
    </xf>
    <xf numFmtId="38" fontId="3" fillId="10" borderId="180" xfId="0" applyNumberFormat="1" applyFont="1" applyFill="1" applyBorder="1">
      <alignment vertical="center"/>
    </xf>
    <xf numFmtId="38" fontId="3" fillId="10" borderId="175" xfId="0" applyNumberFormat="1" applyFont="1" applyFill="1" applyBorder="1">
      <alignment vertical="center"/>
    </xf>
    <xf numFmtId="192" fontId="29" fillId="10" borderId="179" xfId="0" applyNumberFormat="1" applyFont="1" applyFill="1" applyBorder="1">
      <alignment vertical="center"/>
    </xf>
    <xf numFmtId="192" fontId="3" fillId="10" borderId="175" xfId="0" applyNumberFormat="1" applyFont="1" applyFill="1" applyBorder="1">
      <alignment vertical="center"/>
    </xf>
    <xf numFmtId="0" fontId="20" fillId="0" borderId="96" xfId="0" applyFont="1" applyBorder="1" applyAlignment="1" applyProtection="1">
      <alignment horizontal="center" vertical="center"/>
    </xf>
    <xf numFmtId="0" fontId="3" fillId="5" borderId="4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11" fillId="5" borderId="53" xfId="0" applyFont="1" applyFill="1" applyBorder="1" applyAlignment="1">
      <alignment horizontal="left" vertical="center"/>
    </xf>
    <xf numFmtId="0" fontId="11" fillId="5" borderId="61" xfId="0" applyFont="1" applyFill="1" applyBorder="1" applyAlignment="1">
      <alignment horizontal="left" vertical="center"/>
    </xf>
    <xf numFmtId="0" fontId="3" fillId="5" borderId="68" xfId="0" applyFont="1" applyFill="1" applyBorder="1" applyAlignment="1">
      <alignment horizontal="left" vertical="center"/>
    </xf>
    <xf numFmtId="0" fontId="3" fillId="5" borderId="72" xfId="0" applyFont="1" applyFill="1" applyBorder="1" applyAlignment="1">
      <alignment horizontal="left" vertical="center"/>
    </xf>
    <xf numFmtId="0" fontId="3" fillId="5" borderId="73" xfId="0" applyFont="1" applyFill="1" applyBorder="1" applyAlignment="1">
      <alignment horizontal="left" vertical="center"/>
    </xf>
    <xf numFmtId="0" fontId="3" fillId="5" borderId="79" xfId="0" applyFont="1" applyFill="1" applyBorder="1" applyAlignment="1">
      <alignment horizontal="left" vertical="center"/>
    </xf>
    <xf numFmtId="0" fontId="3" fillId="5" borderId="83" xfId="0" applyFont="1" applyFill="1" applyBorder="1" applyAlignment="1">
      <alignment horizontal="left" vertical="center"/>
    </xf>
    <xf numFmtId="0" fontId="3" fillId="5" borderId="131" xfId="0" applyFont="1" applyFill="1" applyBorder="1" applyAlignment="1">
      <alignment horizontal="left" vertical="center"/>
    </xf>
    <xf numFmtId="0" fontId="3" fillId="5" borderId="135" xfId="0" applyFont="1" applyFill="1" applyBorder="1" applyAlignment="1">
      <alignment horizontal="left" vertical="center"/>
    </xf>
    <xf numFmtId="38" fontId="2" fillId="0" borderId="116" xfId="1" applyNumberFormat="1" applyFont="1" applyBorder="1">
      <alignment vertical="center"/>
    </xf>
    <xf numFmtId="38" fontId="2" fillId="0" borderId="120" xfId="1" applyNumberFormat="1" applyFont="1" applyBorder="1">
      <alignment vertical="center"/>
    </xf>
    <xf numFmtId="38" fontId="2" fillId="0" borderId="135" xfId="1" applyNumberFormat="1" applyFont="1" applyBorder="1">
      <alignment vertical="center"/>
    </xf>
    <xf numFmtId="38" fontId="2" fillId="0" borderId="187" xfId="1" applyNumberFormat="1" applyFont="1" applyBorder="1">
      <alignment vertical="center"/>
    </xf>
    <xf numFmtId="38" fontId="2" fillId="0" borderId="117" xfId="1" applyNumberFormat="1" applyFont="1" applyBorder="1">
      <alignment vertical="center"/>
    </xf>
    <xf numFmtId="38" fontId="2" fillId="0" borderId="188" xfId="1" applyNumberFormat="1" applyFont="1" applyBorder="1">
      <alignment vertical="center"/>
    </xf>
    <xf numFmtId="0" fontId="2" fillId="0" borderId="0" xfId="0" applyFont="1" applyFill="1" applyAlignment="1">
      <alignment vertical="center"/>
    </xf>
    <xf numFmtId="180" fontId="2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1" fillId="5" borderId="60" xfId="0" applyFont="1" applyFill="1" applyBorder="1" applyAlignment="1">
      <alignment horizontal="left" vertical="center"/>
    </xf>
    <xf numFmtId="180" fontId="11" fillId="0" borderId="46" xfId="0" applyNumberFormat="1" applyFont="1" applyFill="1" applyBorder="1" applyAlignment="1">
      <alignment vertical="center"/>
    </xf>
    <xf numFmtId="0" fontId="3" fillId="5" borderId="46" xfId="0" applyFont="1" applyFill="1" applyBorder="1" applyAlignment="1">
      <alignment horizontal="left" vertical="center"/>
    </xf>
    <xf numFmtId="193" fontId="3" fillId="5" borderId="163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10" fontId="0" fillId="0" borderId="1" xfId="2" applyNumberFormat="1" applyFont="1" applyBorder="1">
      <alignment vertical="center"/>
    </xf>
    <xf numFmtId="0" fontId="0" fillId="16" borderId="1" xfId="0" applyFont="1" applyFill="1" applyBorder="1" applyAlignment="1">
      <alignment horizontal="center" vertical="center"/>
    </xf>
    <xf numFmtId="0" fontId="37" fillId="16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36" fillId="17" borderId="1" xfId="0" applyFont="1" applyFill="1" applyBorder="1">
      <alignment vertical="center"/>
    </xf>
    <xf numFmtId="3" fontId="36" fillId="17" borderId="1" xfId="0" applyNumberFormat="1" applyFont="1" applyFill="1" applyBorder="1">
      <alignment vertical="center"/>
    </xf>
    <xf numFmtId="0" fontId="0" fillId="3" borderId="1" xfId="0" applyFill="1" applyBorder="1">
      <alignment vertical="center"/>
    </xf>
    <xf numFmtId="3" fontId="0" fillId="3" borderId="1" xfId="0" applyNumberFormat="1" applyFill="1" applyBorder="1">
      <alignment vertical="center"/>
    </xf>
    <xf numFmtId="10" fontId="0" fillId="3" borderId="1" xfId="0" applyNumberFormat="1" applyFill="1" applyBorder="1">
      <alignment vertical="center"/>
    </xf>
    <xf numFmtId="0" fontId="68" fillId="0" borderId="0" xfId="0" applyFont="1">
      <alignment vertical="center"/>
    </xf>
    <xf numFmtId="3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37" fillId="16" borderId="42" xfId="0" applyFont="1" applyFill="1" applyBorder="1" applyAlignment="1">
      <alignment horizontal="center" vertical="center"/>
    </xf>
    <xf numFmtId="0" fontId="36" fillId="17" borderId="42" xfId="0" applyFont="1" applyFill="1" applyBorder="1">
      <alignment vertical="center"/>
    </xf>
    <xf numFmtId="0" fontId="0" fillId="0" borderId="42" xfId="0" applyBorder="1">
      <alignment vertical="center"/>
    </xf>
    <xf numFmtId="0" fontId="0" fillId="4" borderId="42" xfId="0" applyFill="1" applyBorder="1">
      <alignment vertical="center"/>
    </xf>
    <xf numFmtId="0" fontId="0" fillId="3" borderId="42" xfId="0" applyFill="1" applyBorder="1">
      <alignment vertical="center"/>
    </xf>
    <xf numFmtId="10" fontId="0" fillId="3" borderId="42" xfId="0" applyNumberFormat="1" applyFill="1" applyBorder="1">
      <alignment vertical="center"/>
    </xf>
    <xf numFmtId="10" fontId="0" fillId="0" borderId="42" xfId="2" applyNumberFormat="1" applyFont="1" applyBorder="1">
      <alignment vertical="center"/>
    </xf>
    <xf numFmtId="0" fontId="37" fillId="0" borderId="0" xfId="0" applyFont="1" applyFill="1" applyBorder="1" applyAlignment="1">
      <alignment horizontal="center" vertical="center"/>
    </xf>
    <xf numFmtId="3" fontId="36" fillId="0" borderId="0" xfId="0" applyNumberFormat="1" applyFont="1" applyFill="1" applyBorder="1">
      <alignment vertical="center"/>
    </xf>
    <xf numFmtId="3" fontId="0" fillId="0" borderId="0" xfId="0" applyNumberFormat="1" applyFill="1" applyBorder="1">
      <alignment vertical="center"/>
    </xf>
    <xf numFmtId="10" fontId="0" fillId="0" borderId="0" xfId="0" applyNumberFormat="1" applyFill="1" applyBorder="1">
      <alignment vertical="center"/>
    </xf>
    <xf numFmtId="10" fontId="0" fillId="0" borderId="0" xfId="2" applyNumberFormat="1" applyFont="1" applyFill="1" applyBorder="1">
      <alignment vertical="center"/>
    </xf>
    <xf numFmtId="0" fontId="0" fillId="10" borderId="46" xfId="0" applyFill="1" applyBorder="1" applyAlignment="1">
      <alignment horizontal="left" vertical="center" indent="2"/>
    </xf>
    <xf numFmtId="3" fontId="0" fillId="10" borderId="46" xfId="0" applyNumberFormat="1" applyFill="1" applyBorder="1">
      <alignment vertical="center"/>
    </xf>
    <xf numFmtId="0" fontId="0" fillId="10" borderId="46" xfId="0" applyFill="1" applyBorder="1">
      <alignment vertical="center"/>
    </xf>
    <xf numFmtId="0" fontId="0" fillId="10" borderId="53" xfId="0" applyFill="1" applyBorder="1" applyAlignment="1">
      <alignment horizontal="left" vertical="center" indent="2"/>
    </xf>
    <xf numFmtId="3" fontId="0" fillId="10" borderId="53" xfId="0" applyNumberFormat="1" applyFill="1" applyBorder="1">
      <alignment vertical="center"/>
    </xf>
    <xf numFmtId="0" fontId="0" fillId="10" borderId="53" xfId="0" applyFill="1" applyBorder="1">
      <alignment vertical="center"/>
    </xf>
    <xf numFmtId="0" fontId="0" fillId="10" borderId="1" xfId="0" applyFill="1" applyBorder="1">
      <alignment vertical="center"/>
    </xf>
    <xf numFmtId="3" fontId="0" fillId="10" borderId="1" xfId="0" applyNumberFormat="1" applyFill="1" applyBorder="1">
      <alignment vertical="center"/>
    </xf>
    <xf numFmtId="38" fontId="0" fillId="10" borderId="1" xfId="0" applyNumberFormat="1" applyFill="1" applyBorder="1">
      <alignment vertical="center"/>
    </xf>
    <xf numFmtId="38" fontId="0" fillId="10" borderId="143" xfId="0" applyNumberFormat="1" applyFill="1" applyBorder="1">
      <alignment vertical="center"/>
    </xf>
    <xf numFmtId="0" fontId="6" fillId="0" borderId="0" xfId="0" quotePrefix="1" applyFont="1">
      <alignment vertical="center"/>
    </xf>
    <xf numFmtId="0" fontId="2" fillId="0" borderId="0" xfId="0" applyFont="1" applyAlignment="1">
      <alignment horizontal="center" vertical="center"/>
    </xf>
    <xf numFmtId="0" fontId="3" fillId="5" borderId="194" xfId="0" applyFont="1" applyFill="1" applyBorder="1" applyAlignment="1">
      <alignment horizontal="center" vertical="center"/>
    </xf>
    <xf numFmtId="0" fontId="3" fillId="5" borderId="196" xfId="0" applyFont="1" applyFill="1" applyBorder="1" applyAlignment="1">
      <alignment horizontal="center" vertical="center"/>
    </xf>
    <xf numFmtId="0" fontId="3" fillId="5" borderId="198" xfId="0" applyFont="1" applyFill="1" applyBorder="1" applyAlignment="1">
      <alignment horizontal="center" vertical="center"/>
    </xf>
    <xf numFmtId="0" fontId="3" fillId="12" borderId="193" xfId="0" applyFont="1" applyFill="1" applyBorder="1" applyAlignment="1">
      <alignment horizontal="center" vertical="center"/>
    </xf>
    <xf numFmtId="0" fontId="3" fillId="12" borderId="195" xfId="0" applyFont="1" applyFill="1" applyBorder="1" applyAlignment="1">
      <alignment horizontal="center" vertical="center"/>
    </xf>
    <xf numFmtId="0" fontId="3" fillId="12" borderId="197" xfId="0" applyFont="1" applyFill="1" applyBorder="1" applyAlignment="1">
      <alignment horizontal="center" vertical="center"/>
    </xf>
    <xf numFmtId="191" fontId="13" fillId="14" borderId="46" xfId="0" applyNumberFormat="1" applyFont="1" applyFill="1" applyBorder="1" applyAlignment="1">
      <alignment vertical="center"/>
    </xf>
    <xf numFmtId="179" fontId="13" fillId="14" borderId="1" xfId="0" applyNumberFormat="1" applyFont="1" applyFill="1" applyBorder="1" applyAlignment="1">
      <alignment horizontal="center" vertical="center"/>
    </xf>
    <xf numFmtId="0" fontId="13" fillId="4" borderId="186" xfId="0" applyFont="1" applyFill="1" applyBorder="1" applyAlignment="1">
      <alignment horizontal="center" vertical="center" wrapText="1"/>
    </xf>
    <xf numFmtId="184" fontId="3" fillId="7" borderId="1" xfId="0" applyNumberFormat="1" applyFont="1" applyFill="1" applyBorder="1" applyAlignment="1">
      <alignment horizontal="center" vertical="center"/>
    </xf>
    <xf numFmtId="18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194" fontId="3" fillId="7" borderId="47" xfId="0" applyNumberFormat="1" applyFont="1" applyFill="1" applyBorder="1" applyAlignment="1">
      <alignment horizontal="center" vertical="center"/>
    </xf>
    <xf numFmtId="194" fontId="3" fillId="5" borderId="47" xfId="0" applyNumberFormat="1" applyFont="1" applyFill="1" applyBorder="1" applyAlignment="1">
      <alignment horizontal="center" vertical="center"/>
    </xf>
    <xf numFmtId="194" fontId="3" fillId="0" borderId="47" xfId="0" applyNumberFormat="1" applyFont="1" applyFill="1" applyBorder="1" applyAlignment="1">
      <alignment horizontal="center" vertical="center"/>
    </xf>
    <xf numFmtId="3" fontId="2" fillId="10" borderId="146" xfId="0" applyNumberFormat="1" applyFont="1" applyFill="1" applyBorder="1" applyAlignment="1">
      <alignment horizontal="center" vertical="center"/>
    </xf>
    <xf numFmtId="3" fontId="3" fillId="10" borderId="26" xfId="0" applyNumberFormat="1" applyFont="1" applyFill="1" applyBorder="1" applyAlignment="1">
      <alignment horizontal="center" vertical="center"/>
    </xf>
    <xf numFmtId="3" fontId="3" fillId="10" borderId="140" xfId="0" applyNumberFormat="1" applyFont="1" applyFill="1" applyBorder="1" applyAlignment="1">
      <alignment horizontal="center" vertical="center"/>
    </xf>
    <xf numFmtId="0" fontId="11" fillId="13" borderId="13" xfId="0" applyFont="1" applyFill="1" applyBorder="1" applyAlignment="1">
      <alignment horizontal="center" vertical="center"/>
    </xf>
    <xf numFmtId="0" fontId="11" fillId="13" borderId="193" xfId="0" applyFont="1" applyFill="1" applyBorder="1" applyAlignment="1">
      <alignment horizontal="center" vertical="center"/>
    </xf>
    <xf numFmtId="0" fontId="11" fillId="13" borderId="194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177" fontId="11" fillId="13" borderId="14" xfId="0" applyNumberFormat="1" applyFont="1" applyFill="1" applyBorder="1" applyAlignment="1">
      <alignment horizontal="center" vertical="center"/>
    </xf>
    <xf numFmtId="41" fontId="11" fillId="13" borderId="15" xfId="1" applyFont="1" applyFill="1" applyBorder="1" applyAlignment="1">
      <alignment horizontal="center" vertical="center"/>
    </xf>
    <xf numFmtId="41" fontId="11" fillId="13" borderId="16" xfId="1" applyFont="1" applyFill="1" applyBorder="1" applyAlignment="1">
      <alignment horizontal="center" vertical="center"/>
    </xf>
    <xf numFmtId="177" fontId="11" fillId="13" borderId="14" xfId="1" applyNumberFormat="1" applyFont="1" applyFill="1" applyBorder="1" applyAlignment="1">
      <alignment horizontal="center" vertical="center"/>
    </xf>
    <xf numFmtId="177" fontId="11" fillId="13" borderId="15" xfId="1" applyNumberFormat="1" applyFont="1" applyFill="1" applyBorder="1" applyAlignment="1">
      <alignment horizontal="center" vertical="center"/>
    </xf>
    <xf numFmtId="177" fontId="11" fillId="13" borderId="16" xfId="1" applyNumberFormat="1" applyFont="1" applyFill="1" applyBorder="1" applyAlignment="1">
      <alignment horizontal="center" vertical="center"/>
    </xf>
    <xf numFmtId="41" fontId="11" fillId="13" borderId="14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93" fontId="3" fillId="5" borderId="163" xfId="0" applyNumberFormat="1" applyFont="1" applyFill="1" applyBorder="1" applyAlignment="1">
      <alignment horizontal="right" vertical="center"/>
    </xf>
    <xf numFmtId="180" fontId="11" fillId="3" borderId="46" xfId="0" applyNumberFormat="1" applyFont="1" applyFill="1" applyBorder="1" applyAlignment="1">
      <alignment vertical="center"/>
    </xf>
    <xf numFmtId="180" fontId="11" fillId="16" borderId="53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85" xfId="0" applyFont="1" applyFill="1" applyBorder="1" applyAlignment="1">
      <alignment horizontal="center" vertical="center"/>
    </xf>
    <xf numFmtId="41" fontId="5" fillId="0" borderId="14" xfId="1" applyNumberFormat="1" applyFont="1" applyFill="1" applyBorder="1" applyAlignment="1">
      <alignment vertical="center"/>
    </xf>
    <xf numFmtId="41" fontId="5" fillId="0" borderId="204" xfId="1" applyNumberFormat="1" applyFont="1" applyFill="1" applyBorder="1" applyAlignment="1">
      <alignment vertical="center"/>
    </xf>
    <xf numFmtId="0" fontId="69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1" fontId="11" fillId="0" borderId="205" xfId="0" applyNumberFormat="1" applyFont="1" applyFill="1" applyBorder="1" applyAlignment="1">
      <alignment horizontal="center" vertical="center"/>
    </xf>
    <xf numFmtId="182" fontId="2" fillId="0" borderId="0" xfId="0" applyNumberFormat="1" applyFont="1">
      <alignment vertical="center"/>
    </xf>
    <xf numFmtId="0" fontId="70" fillId="0" borderId="0" xfId="0" applyFont="1">
      <alignment vertical="center"/>
    </xf>
    <xf numFmtId="0" fontId="70" fillId="0" borderId="0" xfId="0" applyFont="1" applyFill="1">
      <alignment vertical="center"/>
    </xf>
    <xf numFmtId="195" fontId="6" fillId="0" borderId="24" xfId="2" applyNumberFormat="1" applyFont="1" applyBorder="1" applyAlignment="1">
      <alignment horizontal="right" vertical="center"/>
    </xf>
    <xf numFmtId="195" fontId="6" fillId="0" borderId="27" xfId="2" applyNumberFormat="1" applyFont="1" applyBorder="1" applyAlignment="1">
      <alignment horizontal="right" vertical="center"/>
    </xf>
    <xf numFmtId="195" fontId="6" fillId="0" borderId="30" xfId="2" applyNumberFormat="1" applyFont="1" applyBorder="1" applyAlignment="1">
      <alignment horizontal="right" vertical="center"/>
    </xf>
    <xf numFmtId="195" fontId="6" fillId="0" borderId="24" xfId="2" applyNumberFormat="1" applyFont="1" applyBorder="1">
      <alignment vertical="center"/>
    </xf>
    <xf numFmtId="195" fontId="6" fillId="0" borderId="27" xfId="2" applyNumberFormat="1" applyFont="1" applyBorder="1">
      <alignment vertical="center"/>
    </xf>
    <xf numFmtId="195" fontId="6" fillId="0" borderId="30" xfId="2" applyNumberFormat="1" applyFont="1" applyBorder="1">
      <alignment vertical="center"/>
    </xf>
    <xf numFmtId="0" fontId="6" fillId="0" borderId="22" xfId="0" applyNumberFormat="1" applyFont="1" applyBorder="1" applyAlignment="1">
      <alignment horizontal="center" vertical="center" wrapText="1"/>
    </xf>
    <xf numFmtId="0" fontId="6" fillId="0" borderId="24" xfId="0" applyNumberFormat="1" applyFont="1" applyBorder="1" applyAlignment="1">
      <alignment horizontal="center" vertical="center" wrapText="1"/>
    </xf>
    <xf numFmtId="195" fontId="6" fillId="0" borderId="23" xfId="2" applyNumberFormat="1" applyFont="1" applyBorder="1" applyAlignment="1">
      <alignment horizontal="right" vertical="center"/>
    </xf>
    <xf numFmtId="195" fontId="6" fillId="0" borderId="26" xfId="2" applyNumberFormat="1" applyFont="1" applyBorder="1" applyAlignment="1">
      <alignment horizontal="right" vertical="center"/>
    </xf>
    <xf numFmtId="195" fontId="6" fillId="0" borderId="29" xfId="2" applyNumberFormat="1" applyFont="1" applyBorder="1" applyAlignment="1">
      <alignment horizontal="right" vertical="center"/>
    </xf>
    <xf numFmtId="195" fontId="6" fillId="0" borderId="23" xfId="2" applyNumberFormat="1" applyFont="1" applyBorder="1">
      <alignment vertical="center"/>
    </xf>
    <xf numFmtId="195" fontId="6" fillId="0" borderId="26" xfId="2" applyNumberFormat="1" applyFont="1" applyBorder="1">
      <alignment vertical="center"/>
    </xf>
    <xf numFmtId="195" fontId="6" fillId="0" borderId="29" xfId="2" applyNumberFormat="1" applyFont="1" applyBorder="1">
      <alignment vertical="center"/>
    </xf>
    <xf numFmtId="195" fontId="6" fillId="0" borderId="22" xfId="2" applyNumberFormat="1" applyFont="1" applyBorder="1" applyAlignment="1">
      <alignment horizontal="right" vertical="center"/>
    </xf>
    <xf numFmtId="195" fontId="6" fillId="0" borderId="25" xfId="2" applyNumberFormat="1" applyFont="1" applyBorder="1" applyAlignment="1">
      <alignment horizontal="right" vertical="center"/>
    </xf>
    <xf numFmtId="195" fontId="6" fillId="0" borderId="28" xfId="2" applyNumberFormat="1" applyFont="1" applyBorder="1" applyAlignment="1">
      <alignment horizontal="right" vertical="center"/>
    </xf>
    <xf numFmtId="195" fontId="6" fillId="0" borderId="22" xfId="2" applyNumberFormat="1" applyFont="1" applyBorder="1">
      <alignment vertical="center"/>
    </xf>
    <xf numFmtId="195" fontId="6" fillId="0" borderId="25" xfId="2" applyNumberFormat="1" applyFont="1" applyBorder="1">
      <alignment vertical="center"/>
    </xf>
    <xf numFmtId="195" fontId="6" fillId="0" borderId="28" xfId="2" applyNumberFormat="1" applyFont="1" applyBorder="1">
      <alignment vertical="center"/>
    </xf>
    <xf numFmtId="0" fontId="5" fillId="0" borderId="23" xfId="0" applyNumberFormat="1" applyFont="1" applyBorder="1" applyAlignment="1">
      <alignment horizontal="center" vertical="center" wrapText="1"/>
    </xf>
    <xf numFmtId="0" fontId="5" fillId="0" borderId="24" xfId="0" applyNumberFormat="1" applyFont="1" applyBorder="1" applyAlignment="1">
      <alignment horizontal="center" vertical="center" wrapText="1"/>
    </xf>
    <xf numFmtId="0" fontId="6" fillId="0" borderId="45" xfId="0" applyNumberFormat="1" applyFont="1" applyBorder="1" applyAlignment="1">
      <alignment horizontal="center" vertical="center" wrapText="1"/>
    </xf>
    <xf numFmtId="176" fontId="6" fillId="0" borderId="45" xfId="0" applyNumberFormat="1" applyFont="1" applyBorder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176" fontId="6" fillId="0" borderId="51" xfId="0" applyNumberFormat="1" applyFont="1" applyBorder="1" applyAlignment="1">
      <alignment horizontal="right" vertical="center"/>
    </xf>
    <xf numFmtId="176" fontId="6" fillId="0" borderId="45" xfId="0" applyNumberFormat="1" applyFont="1" applyBorder="1">
      <alignment vertical="center"/>
    </xf>
    <xf numFmtId="176" fontId="6" fillId="0" borderId="0" xfId="0" applyNumberFormat="1" applyFont="1" applyBorder="1">
      <alignment vertical="center"/>
    </xf>
    <xf numFmtId="176" fontId="6" fillId="0" borderId="51" xfId="0" applyNumberFormat="1" applyFont="1" applyBorder="1">
      <alignment vertical="center"/>
    </xf>
    <xf numFmtId="0" fontId="72" fillId="0" borderId="0" xfId="0" applyFont="1">
      <alignment vertical="center"/>
    </xf>
    <xf numFmtId="0" fontId="72" fillId="0" borderId="0" xfId="0" applyFont="1" applyFill="1">
      <alignment vertical="center"/>
    </xf>
    <xf numFmtId="0" fontId="72" fillId="0" borderId="0" xfId="0" quotePrefix="1" applyFont="1">
      <alignment vertical="center"/>
    </xf>
    <xf numFmtId="0" fontId="69" fillId="0" borderId="0" xfId="0" applyFont="1" applyFill="1">
      <alignment vertical="center"/>
    </xf>
    <xf numFmtId="0" fontId="3" fillId="0" borderId="132" xfId="0" applyFont="1" applyBorder="1" applyAlignment="1">
      <alignment horizontal="left" vertical="center" indent="1"/>
    </xf>
    <xf numFmtId="41" fontId="2" fillId="12" borderId="0" xfId="1" applyFont="1" applyFill="1">
      <alignment vertical="center"/>
    </xf>
    <xf numFmtId="0" fontId="3" fillId="0" borderId="72" xfId="0" applyFont="1" applyFill="1" applyBorder="1" applyAlignment="1">
      <alignment horizontal="left" vertical="center"/>
    </xf>
    <xf numFmtId="0" fontId="2" fillId="0" borderId="0" xfId="0" applyFont="1" applyFill="1">
      <alignment vertical="center"/>
    </xf>
    <xf numFmtId="0" fontId="33" fillId="0" borderId="209" xfId="0" applyFont="1" applyBorder="1" applyAlignment="1">
      <alignment horizontal="center" vertical="center"/>
    </xf>
    <xf numFmtId="0" fontId="29" fillId="0" borderId="210" xfId="0" applyFont="1" applyBorder="1" applyAlignment="1">
      <alignment horizontal="center" vertical="center"/>
    </xf>
    <xf numFmtId="0" fontId="29" fillId="0" borderId="155" xfId="0" applyFont="1" applyFill="1" applyBorder="1" applyAlignment="1">
      <alignment horizontal="center" vertical="center"/>
    </xf>
    <xf numFmtId="0" fontId="29" fillId="0" borderId="212" xfId="0" applyFont="1" applyFill="1" applyBorder="1" applyAlignment="1">
      <alignment horizontal="center" vertical="center"/>
    </xf>
    <xf numFmtId="196" fontId="2" fillId="0" borderId="0" xfId="0" applyNumberFormat="1" applyFont="1">
      <alignment vertical="center"/>
    </xf>
    <xf numFmtId="41" fontId="5" fillId="0" borderId="0" xfId="1" applyFont="1">
      <alignment vertical="center"/>
    </xf>
    <xf numFmtId="41" fontId="3" fillId="0" borderId="0" xfId="1" applyFont="1">
      <alignment vertical="center"/>
    </xf>
    <xf numFmtId="41" fontId="6" fillId="0" borderId="0" xfId="0" applyNumberFormat="1" applyFont="1">
      <alignment vertical="center"/>
    </xf>
    <xf numFmtId="41" fontId="5" fillId="0" borderId="6" xfId="1" applyNumberFormat="1" applyFont="1" applyFill="1" applyBorder="1" applyAlignment="1">
      <alignment vertical="center"/>
    </xf>
    <xf numFmtId="0" fontId="25" fillId="0" borderId="0" xfId="0" applyFont="1" applyAlignment="1">
      <alignment vertical="center"/>
    </xf>
    <xf numFmtId="9" fontId="0" fillId="0" borderId="0" xfId="0" applyNumberFormat="1">
      <alignment vertical="center"/>
    </xf>
    <xf numFmtId="0" fontId="74" fillId="0" borderId="0" xfId="0" applyFont="1">
      <alignment vertical="center"/>
    </xf>
    <xf numFmtId="0" fontId="74" fillId="0" borderId="0" xfId="0" quotePrefix="1" applyFont="1">
      <alignment vertical="center"/>
    </xf>
    <xf numFmtId="0" fontId="2" fillId="0" borderId="0" xfId="0" applyFont="1" applyAlignment="1">
      <alignment horizontal="left" vertical="center"/>
    </xf>
    <xf numFmtId="0" fontId="57" fillId="0" borderId="0" xfId="0" quotePrefix="1" applyFont="1">
      <alignment vertical="center"/>
    </xf>
    <xf numFmtId="0" fontId="1" fillId="0" borderId="0" xfId="0" applyFont="1" applyFill="1">
      <alignment vertical="center"/>
    </xf>
    <xf numFmtId="0" fontId="75" fillId="0" borderId="0" xfId="0" applyFont="1">
      <alignment vertical="center"/>
    </xf>
    <xf numFmtId="0" fontId="75" fillId="0" borderId="22" xfId="0" applyFont="1" applyFill="1" applyBorder="1" applyAlignment="1">
      <alignment horizontal="center" vertical="center"/>
    </xf>
    <xf numFmtId="0" fontId="75" fillId="0" borderId="23" xfId="0" applyFont="1" applyBorder="1" applyAlignment="1">
      <alignment horizontal="center" vertical="center"/>
    </xf>
    <xf numFmtId="0" fontId="75" fillId="0" borderId="23" xfId="0" applyFont="1" applyBorder="1" applyAlignment="1">
      <alignment horizontal="center" vertical="top"/>
    </xf>
    <xf numFmtId="0" fontId="75" fillId="0" borderId="25" xfId="0" applyFont="1" applyFill="1" applyBorder="1" applyAlignment="1">
      <alignment horizontal="center" vertical="center"/>
    </xf>
    <xf numFmtId="0" fontId="75" fillId="0" borderId="26" xfId="0" applyFont="1" applyBorder="1" applyAlignment="1">
      <alignment horizontal="center" vertical="top"/>
    </xf>
    <xf numFmtId="0" fontId="75" fillId="0" borderId="28" xfId="0" applyFont="1" applyFill="1" applyBorder="1" applyAlignment="1">
      <alignment horizontal="center" vertical="center"/>
    </xf>
    <xf numFmtId="0" fontId="75" fillId="0" borderId="29" xfId="0" applyFont="1" applyBorder="1" applyAlignment="1">
      <alignment horizontal="center" vertical="center"/>
    </xf>
    <xf numFmtId="0" fontId="75" fillId="0" borderId="0" xfId="0" applyFont="1" applyFill="1" applyAlignment="1">
      <alignment horizontal="center" vertical="center"/>
    </xf>
    <xf numFmtId="41" fontId="6" fillId="0" borderId="0" xfId="1" applyFont="1">
      <alignment vertical="center"/>
    </xf>
    <xf numFmtId="41" fontId="6" fillId="0" borderId="0" xfId="1" applyFont="1" applyAlignment="1">
      <alignment horizontal="center" vertical="center"/>
    </xf>
    <xf numFmtId="0" fontId="5" fillId="0" borderId="23" xfId="0" applyFont="1" applyFill="1" applyBorder="1" applyAlignment="1">
      <alignment horizontal="center" vertical="top"/>
    </xf>
    <xf numFmtId="0" fontId="5" fillId="0" borderId="24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41" fontId="6" fillId="0" borderId="0" xfId="1" applyFont="1" applyFill="1">
      <alignment vertical="center"/>
    </xf>
    <xf numFmtId="41" fontId="6" fillId="0" borderId="0" xfId="1" applyFont="1" applyFill="1" applyAlignment="1">
      <alignment horizontal="center" vertical="center"/>
    </xf>
    <xf numFmtId="176" fontId="6" fillId="0" borderId="23" xfId="0" applyNumberFormat="1" applyFont="1" applyFill="1" applyBorder="1">
      <alignment vertical="center"/>
    </xf>
    <xf numFmtId="176" fontId="6" fillId="0" borderId="24" xfId="0" applyNumberFormat="1" applyFont="1" applyFill="1" applyBorder="1">
      <alignment vertical="center"/>
    </xf>
    <xf numFmtId="176" fontId="6" fillId="0" borderId="22" xfId="0" applyNumberFormat="1" applyFont="1" applyFill="1" applyBorder="1">
      <alignment vertical="center"/>
    </xf>
    <xf numFmtId="0" fontId="6" fillId="0" borderId="0" xfId="0" applyFont="1" applyFill="1">
      <alignment vertical="center"/>
    </xf>
    <xf numFmtId="176" fontId="6" fillId="0" borderId="45" xfId="0" applyNumberFormat="1" applyFont="1" applyFill="1" applyBorder="1">
      <alignment vertical="center"/>
    </xf>
    <xf numFmtId="195" fontId="6" fillId="0" borderId="22" xfId="2" applyNumberFormat="1" applyFont="1" applyFill="1" applyBorder="1">
      <alignment vertical="center"/>
    </xf>
    <xf numFmtId="195" fontId="6" fillId="0" borderId="23" xfId="2" applyNumberFormat="1" applyFont="1" applyFill="1" applyBorder="1">
      <alignment vertical="center"/>
    </xf>
    <xf numFmtId="195" fontId="6" fillId="0" borderId="24" xfId="2" applyNumberFormat="1" applyFont="1" applyFill="1" applyBorder="1">
      <alignment vertical="center"/>
    </xf>
    <xf numFmtId="176" fontId="6" fillId="0" borderId="0" xfId="0" applyNumberFormat="1" applyFont="1" applyFill="1">
      <alignment vertical="center"/>
    </xf>
    <xf numFmtId="176" fontId="6" fillId="0" borderId="26" xfId="0" applyNumberFormat="1" applyFont="1" applyFill="1" applyBorder="1">
      <alignment vertical="center"/>
    </xf>
    <xf numFmtId="176" fontId="6" fillId="0" borderId="27" xfId="0" applyNumberFormat="1" applyFont="1" applyFill="1" applyBorder="1">
      <alignment vertical="center"/>
    </xf>
    <xf numFmtId="176" fontId="6" fillId="0" borderId="25" xfId="0" applyNumberFormat="1" applyFont="1" applyFill="1" applyBorder="1">
      <alignment vertical="center"/>
    </xf>
    <xf numFmtId="176" fontId="6" fillId="0" borderId="0" xfId="0" applyNumberFormat="1" applyFont="1" applyFill="1" applyBorder="1">
      <alignment vertical="center"/>
    </xf>
    <xf numFmtId="195" fontId="6" fillId="0" borderId="25" xfId="2" applyNumberFormat="1" applyFont="1" applyFill="1" applyBorder="1">
      <alignment vertical="center"/>
    </xf>
    <xf numFmtId="195" fontId="6" fillId="0" borderId="26" xfId="2" applyNumberFormat="1" applyFont="1" applyFill="1" applyBorder="1">
      <alignment vertical="center"/>
    </xf>
    <xf numFmtId="195" fontId="6" fillId="0" borderId="27" xfId="2" applyNumberFormat="1" applyFont="1" applyFill="1" applyBorder="1">
      <alignment vertical="center"/>
    </xf>
    <xf numFmtId="180" fontId="0" fillId="7" borderId="137" xfId="0" applyNumberFormat="1" applyFill="1" applyBorder="1" applyAlignment="1">
      <alignment horizontal="left" vertical="center"/>
    </xf>
    <xf numFmtId="0" fontId="0" fillId="7" borderId="122" xfId="0" applyFont="1" applyFill="1" applyBorder="1" applyAlignment="1">
      <alignment horizontal="center" vertical="center"/>
    </xf>
    <xf numFmtId="38" fontId="0" fillId="7" borderId="178" xfId="0" applyNumberFormat="1" applyFill="1" applyBorder="1" applyAlignment="1">
      <alignment horizontal="right" vertical="center"/>
    </xf>
    <xf numFmtId="38" fontId="0" fillId="7" borderId="179" xfId="0" applyNumberFormat="1" applyFill="1" applyBorder="1" applyAlignment="1">
      <alignment horizontal="right" vertical="center"/>
    </xf>
    <xf numFmtId="38" fontId="0" fillId="10" borderId="179" xfId="0" applyNumberFormat="1" applyFill="1" applyBorder="1" applyAlignment="1">
      <alignment horizontal="right" vertical="center"/>
    </xf>
    <xf numFmtId="38" fontId="36" fillId="7" borderId="175" xfId="0" applyNumberFormat="1" applyFont="1" applyFill="1" applyBorder="1" applyAlignment="1">
      <alignment horizontal="right" vertical="center"/>
    </xf>
    <xf numFmtId="38" fontId="0" fillId="7" borderId="180" xfId="0" applyNumberFormat="1" applyFill="1" applyBorder="1" applyAlignment="1">
      <alignment horizontal="right" vertical="center"/>
    </xf>
    <xf numFmtId="38" fontId="0" fillId="7" borderId="182" xfId="0" applyNumberFormat="1" applyFill="1" applyBorder="1" applyAlignment="1">
      <alignment horizontal="right" vertical="center"/>
    </xf>
    <xf numFmtId="3" fontId="3" fillId="10" borderId="144" xfId="0" applyNumberFormat="1" applyFont="1" applyFill="1" applyBorder="1" applyAlignment="1">
      <alignment horizontal="center" vertical="center"/>
    </xf>
    <xf numFmtId="3" fontId="3" fillId="10" borderId="138" xfId="0" applyNumberFormat="1" applyFont="1" applyFill="1" applyBorder="1" applyAlignment="1">
      <alignment horizontal="center" vertical="center"/>
    </xf>
    <xf numFmtId="3" fontId="3" fillId="10" borderId="137" xfId="0" applyNumberFormat="1" applyFont="1" applyFill="1" applyBorder="1" applyAlignment="1">
      <alignment horizontal="center" vertical="center"/>
    </xf>
    <xf numFmtId="38" fontId="3" fillId="10" borderId="167" xfId="0" applyNumberFormat="1" applyFont="1" applyFill="1" applyBorder="1">
      <alignment vertical="center"/>
    </xf>
    <xf numFmtId="38" fontId="3" fillId="10" borderId="132" xfId="0" applyNumberFormat="1" applyFont="1" applyFill="1" applyBorder="1">
      <alignment vertical="center"/>
    </xf>
    <xf numFmtId="192" fontId="29" fillId="10" borderId="54" xfId="0" applyNumberFormat="1" applyFont="1" applyFill="1" applyBorder="1">
      <alignment vertical="center"/>
    </xf>
    <xf numFmtId="192" fontId="3" fillId="10" borderId="132" xfId="0" applyNumberFormat="1" applyFont="1" applyFill="1" applyBorder="1">
      <alignment vertical="center"/>
    </xf>
    <xf numFmtId="38" fontId="0" fillId="7" borderId="54" xfId="0" applyNumberFormat="1" applyFill="1" applyBorder="1">
      <alignment vertical="center"/>
    </xf>
    <xf numFmtId="0" fontId="0" fillId="4" borderId="103" xfId="0" applyFill="1" applyBorder="1">
      <alignment vertical="center"/>
    </xf>
    <xf numFmtId="38" fontId="0" fillId="7" borderId="201" xfId="0" applyNumberFormat="1" applyFill="1" applyBorder="1" applyAlignment="1">
      <alignment horizontal="right" vertical="center"/>
    </xf>
    <xf numFmtId="0" fontId="0" fillId="4" borderId="219" xfId="0" applyFill="1" applyBorder="1">
      <alignment vertical="center"/>
    </xf>
    <xf numFmtId="38" fontId="37" fillId="7" borderId="57" xfId="0" applyNumberFormat="1" applyFont="1" applyFill="1" applyBorder="1">
      <alignment vertical="center"/>
    </xf>
    <xf numFmtId="38" fontId="0" fillId="10" borderId="54" xfId="0" applyNumberFormat="1" applyFill="1" applyBorder="1">
      <alignment vertical="center"/>
    </xf>
    <xf numFmtId="38" fontId="36" fillId="7" borderId="132" xfId="0" applyNumberFormat="1" applyFont="1" applyFill="1" applyBorder="1">
      <alignment vertical="center"/>
    </xf>
    <xf numFmtId="38" fontId="0" fillId="7" borderId="112" xfId="0" applyNumberFormat="1" applyFill="1" applyBorder="1">
      <alignment vertical="center"/>
    </xf>
    <xf numFmtId="38" fontId="0" fillId="7" borderId="226" xfId="0" applyNumberFormat="1" applyFill="1" applyBorder="1">
      <alignment vertical="center"/>
    </xf>
    <xf numFmtId="38" fontId="0" fillId="7" borderId="227" xfId="0" applyNumberFormat="1" applyFill="1" applyBorder="1">
      <alignment vertical="center"/>
    </xf>
    <xf numFmtId="38" fontId="3" fillId="10" borderId="228" xfId="0" applyNumberFormat="1" applyFont="1" applyFill="1" applyBorder="1">
      <alignment vertical="center"/>
    </xf>
    <xf numFmtId="38" fontId="3" fillId="10" borderId="215" xfId="0" applyNumberFormat="1" applyFont="1" applyFill="1" applyBorder="1">
      <alignment vertical="center"/>
    </xf>
    <xf numFmtId="192" fontId="29" fillId="10" borderId="227" xfId="0" applyNumberFormat="1" applyFont="1" applyFill="1" applyBorder="1">
      <alignment vertical="center"/>
    </xf>
    <xf numFmtId="192" fontId="3" fillId="10" borderId="215" xfId="0" applyNumberFormat="1" applyFont="1" applyFill="1" applyBorder="1">
      <alignment vertical="center"/>
    </xf>
    <xf numFmtId="38" fontId="0" fillId="10" borderId="227" xfId="0" applyNumberFormat="1" applyFill="1" applyBorder="1">
      <alignment vertical="center"/>
    </xf>
    <xf numFmtId="38" fontId="0" fillId="0" borderId="227" xfId="0" applyNumberFormat="1" applyFill="1" applyBorder="1">
      <alignment vertical="center"/>
    </xf>
    <xf numFmtId="38" fontId="36" fillId="7" borderId="215" xfId="0" applyNumberFormat="1" applyFont="1" applyFill="1" applyBorder="1">
      <alignment vertical="center"/>
    </xf>
    <xf numFmtId="38" fontId="0" fillId="7" borderId="230" xfId="0" applyNumberFormat="1" applyFill="1" applyBorder="1">
      <alignment vertical="center"/>
    </xf>
    <xf numFmtId="38" fontId="3" fillId="10" borderId="144" xfId="0" applyNumberFormat="1" applyFont="1" applyFill="1" applyBorder="1">
      <alignment vertical="center"/>
    </xf>
    <xf numFmtId="38" fontId="3" fillId="10" borderId="138" xfId="0" applyNumberFormat="1" applyFont="1" applyFill="1" applyBorder="1">
      <alignment vertical="center"/>
    </xf>
    <xf numFmtId="38" fontId="37" fillId="7" borderId="137" xfId="0" applyNumberFormat="1" applyFont="1" applyFill="1" applyBorder="1">
      <alignment vertical="center"/>
    </xf>
    <xf numFmtId="38" fontId="36" fillId="11" borderId="177" xfId="0" applyNumberFormat="1" applyFont="1" applyFill="1" applyBorder="1" applyAlignment="1">
      <alignment horizontal="right" vertical="center"/>
    </xf>
    <xf numFmtId="38" fontId="36" fillId="11" borderId="183" xfId="0" applyNumberFormat="1" applyFont="1" applyFill="1" applyBorder="1">
      <alignment vertical="center"/>
    </xf>
    <xf numFmtId="38" fontId="36" fillId="11" borderId="42" xfId="0" applyNumberFormat="1" applyFont="1" applyFill="1" applyBorder="1">
      <alignment vertical="center"/>
    </xf>
    <xf numFmtId="38" fontId="36" fillId="11" borderId="225" xfId="0" applyNumberFormat="1" applyFont="1" applyFill="1" applyBorder="1">
      <alignment vertical="center"/>
    </xf>
    <xf numFmtId="38" fontId="36" fillId="11" borderId="181" xfId="0" applyNumberFormat="1" applyFont="1" applyFill="1" applyBorder="1" applyAlignment="1">
      <alignment horizontal="right" vertical="center"/>
    </xf>
    <xf numFmtId="38" fontId="36" fillId="11" borderId="184" xfId="0" applyNumberFormat="1" applyFont="1" applyFill="1" applyBorder="1">
      <alignment vertical="center"/>
    </xf>
    <xf numFmtId="38" fontId="36" fillId="11" borderId="48" xfId="0" applyNumberFormat="1" applyFont="1" applyFill="1" applyBorder="1">
      <alignment vertical="center"/>
    </xf>
    <xf numFmtId="38" fontId="36" fillId="11" borderId="229" xfId="0" applyNumberFormat="1" applyFont="1" applyFill="1" applyBorder="1">
      <alignment vertical="center"/>
    </xf>
    <xf numFmtId="182" fontId="0" fillId="11" borderId="175" xfId="2" applyNumberFormat="1" applyFont="1" applyFill="1" applyBorder="1" applyAlignment="1">
      <alignment horizontal="right" vertical="center"/>
    </xf>
    <xf numFmtId="183" fontId="0" fillId="11" borderId="138" xfId="0" applyNumberFormat="1" applyFill="1" applyBorder="1">
      <alignment vertical="center"/>
    </xf>
    <xf numFmtId="183" fontId="0" fillId="11" borderId="132" xfId="0" applyNumberFormat="1" applyFill="1" applyBorder="1">
      <alignment vertical="center"/>
    </xf>
    <xf numFmtId="183" fontId="0" fillId="11" borderId="215" xfId="0" applyNumberFormat="1" applyFill="1" applyBorder="1">
      <alignment vertical="center"/>
    </xf>
    <xf numFmtId="41" fontId="37" fillId="6" borderId="0" xfId="1" applyFont="1" applyFill="1" applyBorder="1" applyAlignment="1">
      <alignment horizontal="left" vertical="center"/>
    </xf>
    <xf numFmtId="0" fontId="70" fillId="0" borderId="0" xfId="0" quotePrefix="1" applyFont="1">
      <alignment vertical="center"/>
    </xf>
    <xf numFmtId="9" fontId="0" fillId="18" borderId="234" xfId="2" applyFont="1" applyFill="1" applyBorder="1" applyAlignment="1">
      <alignment horizontal="right" vertical="center"/>
    </xf>
    <xf numFmtId="9" fontId="0" fillId="18" borderId="235" xfId="2" applyFont="1" applyFill="1" applyBorder="1" applyAlignment="1">
      <alignment horizontal="right" vertical="center"/>
    </xf>
    <xf numFmtId="0" fontId="5" fillId="4" borderId="47" xfId="0" applyFont="1" applyFill="1" applyBorder="1" applyAlignment="1">
      <alignment horizontal="center" vertical="center" wrapText="1"/>
    </xf>
    <xf numFmtId="0" fontId="75" fillId="4" borderId="47" xfId="0" applyFont="1" applyFill="1" applyBorder="1" applyAlignment="1">
      <alignment horizontal="center" vertical="center" wrapText="1"/>
    </xf>
    <xf numFmtId="9" fontId="0" fillId="0" borderId="0" xfId="2" applyFont="1">
      <alignment vertical="center"/>
    </xf>
    <xf numFmtId="178" fontId="3" fillId="4" borderId="43" xfId="0" applyNumberFormat="1" applyFont="1" applyFill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41" fontId="11" fillId="0" borderId="0" xfId="1" applyFont="1" applyAlignment="1">
      <alignment vertical="center"/>
    </xf>
    <xf numFmtId="41" fontId="2" fillId="0" borderId="0" xfId="1" applyFont="1" applyAlignment="1">
      <alignment vertical="center"/>
    </xf>
    <xf numFmtId="177" fontId="2" fillId="0" borderId="0" xfId="0" applyNumberFormat="1" applyFont="1" applyAlignment="1">
      <alignment vertical="center"/>
    </xf>
    <xf numFmtId="177" fontId="4" fillId="0" borderId="0" xfId="0" applyNumberFormat="1" applyFont="1" applyAlignment="1">
      <alignment vertical="center"/>
    </xf>
    <xf numFmtId="177" fontId="11" fillId="0" borderId="0" xfId="1" applyNumberFormat="1" applyFont="1" applyAlignment="1">
      <alignment vertical="center"/>
    </xf>
    <xf numFmtId="0" fontId="3" fillId="0" borderId="69" xfId="0" applyFont="1" applyFill="1" applyBorder="1" applyAlignment="1">
      <alignment horizontal="left" vertical="center" indent="3"/>
    </xf>
    <xf numFmtId="0" fontId="3" fillId="0" borderId="70" xfId="0" applyFont="1" applyFill="1" applyBorder="1" applyAlignment="1">
      <alignment vertical="center"/>
    </xf>
    <xf numFmtId="0" fontId="3" fillId="0" borderId="74" xfId="0" applyFont="1" applyFill="1" applyBorder="1" applyAlignment="1">
      <alignment horizontal="left" vertical="center" indent="3"/>
    </xf>
    <xf numFmtId="0" fontId="3" fillId="0" borderId="75" xfId="0" applyFont="1" applyFill="1" applyBorder="1" applyAlignment="1">
      <alignment vertical="center"/>
    </xf>
    <xf numFmtId="0" fontId="25" fillId="0" borderId="71" xfId="0" applyFont="1" applyBorder="1" applyAlignment="1">
      <alignment vertical="center"/>
    </xf>
    <xf numFmtId="0" fontId="25" fillId="0" borderId="164" xfId="0" applyFont="1" applyBorder="1" applyAlignment="1">
      <alignment vertical="center"/>
    </xf>
    <xf numFmtId="0" fontId="0" fillId="19" borderId="241" xfId="0" applyFill="1" applyBorder="1" applyAlignment="1">
      <alignment horizontal="center" vertical="center"/>
    </xf>
    <xf numFmtId="0" fontId="33" fillId="19" borderId="242" xfId="0" applyFont="1" applyFill="1" applyBorder="1" applyAlignment="1">
      <alignment horizontal="center" vertical="center"/>
    </xf>
    <xf numFmtId="0" fontId="0" fillId="19" borderId="245" xfId="0" applyFill="1" applyBorder="1" applyAlignment="1">
      <alignment horizontal="center" vertical="center"/>
    </xf>
    <xf numFmtId="0" fontId="0" fillId="19" borderId="246" xfId="0" applyFill="1" applyBorder="1" applyAlignment="1">
      <alignment horizontal="center" vertical="center"/>
    </xf>
    <xf numFmtId="182" fontId="0" fillId="18" borderId="248" xfId="2" applyNumberFormat="1" applyFont="1" applyFill="1" applyBorder="1" applyAlignment="1">
      <alignment horizontal="right" vertical="center"/>
    </xf>
    <xf numFmtId="0" fontId="0" fillId="4" borderId="249" xfId="0" applyFill="1" applyBorder="1" applyAlignment="1">
      <alignment vertical="center" wrapText="1"/>
    </xf>
    <xf numFmtId="0" fontId="0" fillId="4" borderId="250" xfId="0" applyFill="1" applyBorder="1" applyAlignment="1">
      <alignment vertical="center"/>
    </xf>
    <xf numFmtId="0" fontId="76" fillId="4" borderId="251" xfId="0" quotePrefix="1" applyFont="1" applyFill="1" applyBorder="1" applyAlignment="1">
      <alignment horizontal="center" vertical="center" wrapText="1"/>
    </xf>
    <xf numFmtId="0" fontId="78" fillId="0" borderId="0" xfId="0" applyFont="1">
      <alignment vertical="center"/>
    </xf>
    <xf numFmtId="41" fontId="5" fillId="0" borderId="252" xfId="1" applyNumberFormat="1" applyFont="1" applyFill="1" applyBorder="1" applyAlignment="1">
      <alignment vertical="center"/>
    </xf>
    <xf numFmtId="0" fontId="3" fillId="4" borderId="253" xfId="0" applyFont="1" applyFill="1" applyBorder="1" applyAlignment="1">
      <alignment vertical="center"/>
    </xf>
    <xf numFmtId="0" fontId="3" fillId="4" borderId="254" xfId="0" applyFont="1" applyFill="1" applyBorder="1" applyAlignment="1">
      <alignment vertical="center"/>
    </xf>
    <xf numFmtId="0" fontId="3" fillId="4" borderId="255" xfId="0" applyFont="1" applyFill="1" applyBorder="1" applyAlignment="1">
      <alignment vertical="center"/>
    </xf>
    <xf numFmtId="0" fontId="3" fillId="4" borderId="256" xfId="0" applyFont="1" applyFill="1" applyBorder="1" applyAlignment="1">
      <alignment horizontal="center" vertical="center"/>
    </xf>
    <xf numFmtId="0" fontId="3" fillId="4" borderId="257" xfId="0" applyFont="1" applyFill="1" applyBorder="1" applyAlignment="1">
      <alignment horizontal="center" vertical="center"/>
    </xf>
    <xf numFmtId="0" fontId="3" fillId="4" borderId="258" xfId="0" applyFont="1" applyFill="1" applyBorder="1" applyAlignment="1">
      <alignment horizontal="center" vertical="center"/>
    </xf>
    <xf numFmtId="0" fontId="66" fillId="0" borderId="0" xfId="0" applyFont="1" applyFill="1">
      <alignment vertical="center"/>
    </xf>
    <xf numFmtId="10" fontId="66" fillId="0" borderId="0" xfId="0" applyNumberFormat="1" applyFont="1" applyFill="1">
      <alignment vertical="center"/>
    </xf>
    <xf numFmtId="10" fontId="66" fillId="0" borderId="0" xfId="2" applyNumberFormat="1" applyFont="1" applyFill="1">
      <alignment vertical="center"/>
    </xf>
    <xf numFmtId="197" fontId="3" fillId="5" borderId="163" xfId="0" applyNumberFormat="1" applyFont="1" applyFill="1" applyBorder="1" applyAlignment="1">
      <alignment vertical="center"/>
    </xf>
    <xf numFmtId="0" fontId="11" fillId="0" borderId="132" xfId="0" applyFont="1" applyBorder="1" applyAlignment="1">
      <alignment vertical="center"/>
    </xf>
    <xf numFmtId="0" fontId="11" fillId="0" borderId="133" xfId="0" applyFont="1" applyBorder="1" applyAlignment="1">
      <alignment vertical="center"/>
    </xf>
    <xf numFmtId="0" fontId="3" fillId="0" borderId="162" xfId="0" applyFont="1" applyBorder="1" applyAlignment="1">
      <alignment vertical="center"/>
    </xf>
    <xf numFmtId="0" fontId="3" fillId="0" borderId="134" xfId="0" applyFont="1" applyBorder="1" applyAlignment="1">
      <alignment vertical="center"/>
    </xf>
    <xf numFmtId="180" fontId="3" fillId="7" borderId="47" xfId="0" applyNumberFormat="1" applyFont="1" applyFill="1" applyBorder="1" applyAlignment="1">
      <alignment vertical="center"/>
    </xf>
    <xf numFmtId="180" fontId="11" fillId="5" borderId="47" xfId="0" applyNumberFormat="1" applyFont="1" applyFill="1" applyBorder="1" applyAlignment="1">
      <alignment vertical="center"/>
    </xf>
    <xf numFmtId="180" fontId="3" fillId="0" borderId="47" xfId="0" applyNumberFormat="1" applyFont="1" applyFill="1" applyBorder="1" applyAlignment="1">
      <alignment vertical="center"/>
    </xf>
    <xf numFmtId="0" fontId="3" fillId="5" borderId="47" xfId="0" applyFont="1" applyFill="1" applyBorder="1" applyAlignment="1">
      <alignment horizontal="left" vertical="center"/>
    </xf>
    <xf numFmtId="0" fontId="0" fillId="14" borderId="0" xfId="0" applyFill="1" applyAlignment="1">
      <alignment horizontal="center" vertical="center"/>
    </xf>
    <xf numFmtId="3" fontId="0" fillId="14" borderId="0" xfId="0" applyNumberFormat="1" applyFill="1" applyAlignment="1">
      <alignment horizontal="center" vertical="center"/>
    </xf>
    <xf numFmtId="198" fontId="0" fillId="0" borderId="0" xfId="0" applyNumberFormat="1">
      <alignment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33" fillId="0" borderId="1" xfId="0" applyFont="1" applyBorder="1">
      <alignment vertical="center"/>
    </xf>
    <xf numFmtId="199" fontId="29" fillId="0" borderId="1" xfId="0" applyNumberFormat="1" applyFont="1" applyBorder="1">
      <alignment vertical="center"/>
    </xf>
    <xf numFmtId="0" fontId="29" fillId="0" borderId="1" xfId="0" applyFont="1" applyBorder="1">
      <alignment vertical="center"/>
    </xf>
    <xf numFmtId="3" fontId="36" fillId="0" borderId="0" xfId="0" applyNumberFormat="1" applyFont="1">
      <alignment vertical="center"/>
    </xf>
    <xf numFmtId="3" fontId="36" fillId="5" borderId="261" xfId="0" applyNumberFormat="1" applyFont="1" applyFill="1" applyBorder="1">
      <alignment vertical="center"/>
    </xf>
    <xf numFmtId="0" fontId="36" fillId="0" borderId="0" xfId="0" applyFont="1">
      <alignment vertical="center"/>
    </xf>
    <xf numFmtId="0" fontId="42" fillId="0" borderId="0" xfId="0" applyFont="1">
      <alignment vertical="center"/>
    </xf>
    <xf numFmtId="0" fontId="79" fillId="0" borderId="0" xfId="0" quotePrefix="1" applyFont="1">
      <alignment vertical="center"/>
    </xf>
    <xf numFmtId="14" fontId="0" fillId="5" borderId="259" xfId="0" applyNumberFormat="1" applyFill="1" applyBorder="1" applyAlignment="1">
      <alignment vertical="center" wrapText="1"/>
    </xf>
    <xf numFmtId="14" fontId="0" fillId="5" borderId="260" xfId="0" applyNumberFormat="1" applyFill="1" applyBorder="1" applyAlignment="1">
      <alignment vertical="center" wrapText="1"/>
    </xf>
    <xf numFmtId="0" fontId="0" fillId="5" borderId="1" xfId="0" applyFill="1" applyBorder="1">
      <alignment vertical="center"/>
    </xf>
    <xf numFmtId="14" fontId="0" fillId="5" borderId="1" xfId="0" applyNumberFormat="1" applyFill="1" applyBorder="1" applyAlignment="1">
      <alignment vertical="center" wrapText="1"/>
    </xf>
    <xf numFmtId="3" fontId="0" fillId="5" borderId="259" xfId="0" applyNumberFormat="1" applyFill="1" applyBorder="1" applyAlignment="1">
      <alignment vertical="center" wrapText="1"/>
    </xf>
    <xf numFmtId="38" fontId="29" fillId="5" borderId="135" xfId="1" applyNumberFormat="1" applyFont="1" applyFill="1" applyBorder="1" applyProtection="1">
      <alignment vertical="center"/>
      <protection locked="0"/>
    </xf>
    <xf numFmtId="38" fontId="29" fillId="5" borderId="145" xfId="1" applyNumberFormat="1" applyFont="1" applyFill="1" applyBorder="1" applyProtection="1">
      <alignment vertical="center"/>
      <protection locked="0"/>
    </xf>
    <xf numFmtId="0" fontId="29" fillId="5" borderId="145" xfId="0" applyFont="1" applyFill="1" applyBorder="1" applyProtection="1">
      <alignment vertical="center"/>
      <protection locked="0"/>
    </xf>
    <xf numFmtId="0" fontId="29" fillId="5" borderId="135" xfId="0" applyFont="1" applyFill="1" applyBorder="1" applyProtection="1">
      <alignment vertical="center"/>
      <protection locked="0"/>
    </xf>
    <xf numFmtId="38" fontId="2" fillId="5" borderId="135" xfId="1" applyNumberFormat="1" applyFont="1" applyFill="1" applyBorder="1" applyProtection="1">
      <alignment vertical="center"/>
      <protection locked="0"/>
    </xf>
    <xf numFmtId="38" fontId="2" fillId="5" borderId="187" xfId="1" applyNumberFormat="1" applyFont="1" applyFill="1" applyBorder="1" applyProtection="1">
      <alignment vertical="center"/>
      <protection locked="0"/>
    </xf>
    <xf numFmtId="177" fontId="5" fillId="5" borderId="262" xfId="1" applyNumberFormat="1" applyFont="1" applyFill="1" applyBorder="1" applyAlignment="1">
      <alignment vertical="center"/>
    </xf>
    <xf numFmtId="0" fontId="3" fillId="4" borderId="18" xfId="0" applyFont="1" applyFill="1" applyBorder="1" applyAlignment="1">
      <alignment horizontal="centerContinuous" vertical="center"/>
    </xf>
    <xf numFmtId="0" fontId="3" fillId="4" borderId="17" xfId="0" applyFont="1" applyFill="1" applyBorder="1" applyAlignment="1">
      <alignment horizontal="centerContinuous" vertical="center"/>
    </xf>
    <xf numFmtId="0" fontId="3" fillId="4" borderId="19" xfId="0" applyFont="1" applyFill="1" applyBorder="1" applyAlignment="1">
      <alignment horizontal="centerContinuous" vertical="center"/>
    </xf>
    <xf numFmtId="0" fontId="6" fillId="0" borderId="184" xfId="0" applyNumberFormat="1" applyFont="1" applyBorder="1" applyAlignment="1">
      <alignment horizontal="center" vertical="center"/>
    </xf>
    <xf numFmtId="176" fontId="6" fillId="0" borderId="184" xfId="0" applyNumberFormat="1" applyFont="1" applyBorder="1" applyAlignment="1">
      <alignment horizontal="right" vertical="center"/>
    </xf>
    <xf numFmtId="176" fontId="6" fillId="0" borderId="138" xfId="0" applyNumberFormat="1" applyFont="1" applyBorder="1" applyAlignment="1">
      <alignment horizontal="right" vertical="center"/>
    </xf>
    <xf numFmtId="176" fontId="6" fillId="0" borderId="153" xfId="0" applyNumberFormat="1" applyFont="1" applyBorder="1" applyAlignment="1">
      <alignment horizontal="right" vertical="center"/>
    </xf>
    <xf numFmtId="176" fontId="6" fillId="0" borderId="184" xfId="0" applyNumberFormat="1" applyFont="1" applyBorder="1">
      <alignment vertical="center"/>
    </xf>
    <xf numFmtId="176" fontId="6" fillId="0" borderId="138" xfId="0" applyNumberFormat="1" applyFont="1" applyBorder="1">
      <alignment vertical="center"/>
    </xf>
    <xf numFmtId="176" fontId="6" fillId="0" borderId="153" xfId="0" applyNumberFormat="1" applyFont="1" applyBorder="1">
      <alignment vertical="center"/>
    </xf>
    <xf numFmtId="176" fontId="6" fillId="0" borderId="184" xfId="0" applyNumberFormat="1" applyFont="1" applyFill="1" applyBorder="1">
      <alignment vertical="center"/>
    </xf>
    <xf numFmtId="176" fontId="6" fillId="0" borderId="138" xfId="0" applyNumberFormat="1" applyFont="1" applyFill="1" applyBorder="1">
      <alignment vertical="center"/>
    </xf>
    <xf numFmtId="0" fontId="6" fillId="6" borderId="184" xfId="0" applyNumberFormat="1" applyFont="1" applyFill="1" applyBorder="1" applyAlignment="1">
      <alignment horizontal="center" vertical="center"/>
    </xf>
    <xf numFmtId="176" fontId="6" fillId="6" borderId="184" xfId="0" applyNumberFormat="1" applyFont="1" applyFill="1" applyBorder="1" applyAlignment="1">
      <alignment horizontal="right" vertical="center"/>
    </xf>
    <xf numFmtId="176" fontId="6" fillId="6" borderId="138" xfId="0" applyNumberFormat="1" applyFont="1" applyFill="1" applyBorder="1" applyAlignment="1">
      <alignment horizontal="right" vertical="center"/>
    </xf>
    <xf numFmtId="176" fontId="6" fillId="6" borderId="153" xfId="0" applyNumberFormat="1" applyFont="1" applyFill="1" applyBorder="1" applyAlignment="1">
      <alignment horizontal="right" vertical="center"/>
    </xf>
    <xf numFmtId="176" fontId="6" fillId="6" borderId="184" xfId="0" applyNumberFormat="1" applyFont="1" applyFill="1" applyBorder="1">
      <alignment vertical="center"/>
    </xf>
    <xf numFmtId="176" fontId="6" fillId="6" borderId="138" xfId="0" applyNumberFormat="1" applyFont="1" applyFill="1" applyBorder="1">
      <alignment vertical="center"/>
    </xf>
    <xf numFmtId="176" fontId="6" fillId="6" borderId="153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10" fontId="3" fillId="0" borderId="0" xfId="2" applyNumberFormat="1" applyFont="1" applyFill="1" applyAlignment="1">
      <alignment horizontal="center" vertical="center"/>
    </xf>
    <xf numFmtId="10" fontId="3" fillId="0" borderId="0" xfId="2" applyNumberFormat="1" applyFont="1" applyFill="1">
      <alignment vertical="center"/>
    </xf>
    <xf numFmtId="10" fontId="2" fillId="0" borderId="0" xfId="2" applyNumberFormat="1" applyFont="1" applyFill="1">
      <alignment vertical="center"/>
    </xf>
    <xf numFmtId="10" fontId="2" fillId="0" borderId="45" xfId="2" applyNumberFormat="1" applyFont="1" applyFill="1" applyBorder="1">
      <alignment vertical="center"/>
    </xf>
    <xf numFmtId="10" fontId="2" fillId="0" borderId="0" xfId="2" applyNumberFormat="1" applyFont="1" applyFill="1" applyBorder="1">
      <alignment vertical="center"/>
    </xf>
    <xf numFmtId="0" fontId="2" fillId="0" borderId="51" xfId="0" applyFont="1" applyFill="1" applyBorder="1">
      <alignment vertical="center"/>
    </xf>
    <xf numFmtId="10" fontId="2" fillId="0" borderId="51" xfId="2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71" fillId="4" borderId="37" xfId="0" applyFont="1" applyFill="1" applyBorder="1" applyAlignment="1">
      <alignment horizontal="center" vertical="center" wrapText="1"/>
    </xf>
    <xf numFmtId="0" fontId="3" fillId="4" borderId="53" xfId="0" applyFont="1" applyFill="1" applyBorder="1" applyAlignment="1">
      <alignment horizontal="center" vertical="center" wrapText="1"/>
    </xf>
    <xf numFmtId="0" fontId="66" fillId="4" borderId="53" xfId="0" applyFont="1" applyFill="1" applyBorder="1" applyAlignment="1">
      <alignment horizontal="center" vertical="center" wrapText="1"/>
    </xf>
    <xf numFmtId="0" fontId="6" fillId="13" borderId="0" xfId="0" applyFont="1" applyFill="1">
      <alignment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 wrapText="1"/>
    </xf>
    <xf numFmtId="41" fontId="2" fillId="0" borderId="0" xfId="1" applyFont="1" applyFill="1" applyBorder="1">
      <alignment vertical="center"/>
    </xf>
    <xf numFmtId="38" fontId="0" fillId="0" borderId="1" xfId="0" applyNumberFormat="1" applyBorder="1">
      <alignment vertical="center"/>
    </xf>
    <xf numFmtId="0" fontId="11" fillId="0" borderId="54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180" fontId="3" fillId="7" borderId="53" xfId="0" applyNumberFormat="1" applyFont="1" applyFill="1" applyBorder="1" applyAlignment="1">
      <alignment vertical="center"/>
    </xf>
    <xf numFmtId="180" fontId="3" fillId="0" borderId="53" xfId="0" applyNumberFormat="1" applyFont="1" applyFill="1" applyBorder="1" applyAlignment="1">
      <alignment vertical="center"/>
    </xf>
    <xf numFmtId="0" fontId="3" fillId="5" borderId="53" xfId="0" applyFont="1" applyFill="1" applyBorder="1" applyAlignment="1">
      <alignment horizontal="left" vertical="center"/>
    </xf>
    <xf numFmtId="0" fontId="11" fillId="0" borderId="167" xfId="0" applyFont="1" applyBorder="1" applyAlignment="1">
      <alignment horizontal="left" vertical="center"/>
    </xf>
    <xf numFmtId="0" fontId="11" fillId="0" borderId="136" xfId="0" applyFont="1" applyBorder="1" applyAlignment="1">
      <alignment horizontal="left" vertical="center"/>
    </xf>
    <xf numFmtId="0" fontId="11" fillId="0" borderId="166" xfId="0" applyFont="1" applyBorder="1" applyAlignment="1">
      <alignment horizontal="left" vertical="center"/>
    </xf>
    <xf numFmtId="180" fontId="11" fillId="5" borderId="145" xfId="0" applyNumberFormat="1" applyFont="1" applyFill="1" applyBorder="1" applyAlignment="1">
      <alignment vertical="center"/>
    </xf>
    <xf numFmtId="180" fontId="3" fillId="5" borderId="72" xfId="0" applyNumberFormat="1" applyFont="1" applyFill="1" applyBorder="1" applyAlignment="1">
      <alignment vertical="center"/>
    </xf>
    <xf numFmtId="0" fontId="3" fillId="0" borderId="69" xfId="0" applyFont="1" applyBorder="1" applyAlignment="1">
      <alignment horizontal="left" vertical="center" indent="1"/>
    </xf>
    <xf numFmtId="180" fontId="11" fillId="5" borderId="72" xfId="0" applyNumberFormat="1" applyFont="1" applyFill="1" applyBorder="1" applyAlignment="1">
      <alignment vertical="center"/>
    </xf>
    <xf numFmtId="3" fontId="2" fillId="0" borderId="0" xfId="0" applyNumberFormat="1" applyFont="1">
      <alignment vertical="center"/>
    </xf>
    <xf numFmtId="41" fontId="2" fillId="5" borderId="0" xfId="1" applyNumberFormat="1" applyFont="1" applyFill="1">
      <alignment vertical="center"/>
    </xf>
    <xf numFmtId="0" fontId="36" fillId="20" borderId="31" xfId="0" applyFont="1" applyFill="1" applyBorder="1" applyAlignment="1">
      <alignment horizontal="center" vertical="center"/>
    </xf>
    <xf numFmtId="0" fontId="36" fillId="20" borderId="32" xfId="0" applyFont="1" applyFill="1" applyBorder="1" applyAlignment="1">
      <alignment horizontal="center" vertical="center"/>
    </xf>
    <xf numFmtId="0" fontId="36" fillId="20" borderId="33" xfId="0" applyFont="1" applyFill="1" applyBorder="1" applyAlignment="1">
      <alignment horizontal="center" vertical="center"/>
    </xf>
    <xf numFmtId="0" fontId="0" fillId="0" borderId="265" xfId="0" applyBorder="1" applyAlignment="1">
      <alignment horizontal="center" vertical="center"/>
    </xf>
    <xf numFmtId="0" fontId="0" fillId="0" borderId="266" xfId="0" applyBorder="1" applyAlignment="1">
      <alignment horizontal="center" vertical="center" wrapText="1"/>
    </xf>
    <xf numFmtId="0" fontId="0" fillId="0" borderId="2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0" fillId="0" borderId="141" xfId="0" quotePrefix="1" applyBorder="1" applyAlignment="1">
      <alignment vertical="center" wrapText="1"/>
    </xf>
    <xf numFmtId="0" fontId="0" fillId="0" borderId="141" xfId="0" quotePrefix="1" applyBorder="1" applyAlignment="1">
      <alignment vertical="center"/>
    </xf>
    <xf numFmtId="0" fontId="0" fillId="0" borderId="141" xfId="0" applyBorder="1" applyAlignment="1">
      <alignment vertical="center"/>
    </xf>
    <xf numFmtId="0" fontId="0" fillId="0" borderId="35" xfId="0" applyBorder="1" applyAlignment="1">
      <alignment vertical="center"/>
    </xf>
    <xf numFmtId="183" fontId="0" fillId="11" borderId="154" xfId="0" applyNumberFormat="1" applyFill="1" applyBorder="1">
      <alignment vertical="center"/>
    </xf>
    <xf numFmtId="183" fontId="0" fillId="11" borderId="99" xfId="0" applyNumberFormat="1" applyFill="1" applyBorder="1">
      <alignment vertical="center"/>
    </xf>
    <xf numFmtId="183" fontId="0" fillId="11" borderId="231" xfId="0" applyNumberFormat="1" applyFill="1" applyBorder="1">
      <alignment vertical="center"/>
    </xf>
    <xf numFmtId="0" fontId="3" fillId="4" borderId="41" xfId="0" applyFont="1" applyFill="1" applyBorder="1" applyAlignment="1">
      <alignment horizontal="center" vertical="center" wrapText="1"/>
    </xf>
    <xf numFmtId="0" fontId="3" fillId="4" borderId="267" xfId="0" applyFont="1" applyFill="1" applyBorder="1" applyAlignment="1">
      <alignment horizontal="center" vertical="center"/>
    </xf>
    <xf numFmtId="41" fontId="11" fillId="13" borderId="125" xfId="1" applyFont="1" applyFill="1" applyBorder="1" applyAlignment="1">
      <alignment horizontal="center" vertical="center"/>
    </xf>
    <xf numFmtId="41" fontId="5" fillId="0" borderId="125" xfId="1" applyFont="1" applyFill="1" applyBorder="1" applyAlignment="1">
      <alignment vertical="center"/>
    </xf>
    <xf numFmtId="41" fontId="5" fillId="0" borderId="126" xfId="1" applyFont="1" applyFill="1" applyBorder="1" applyAlignment="1">
      <alignment vertical="center"/>
    </xf>
    <xf numFmtId="41" fontId="5" fillId="0" borderId="127" xfId="1" applyFont="1" applyFill="1" applyBorder="1" applyAlignment="1">
      <alignment vertical="center"/>
    </xf>
    <xf numFmtId="41" fontId="5" fillId="0" borderId="16" xfId="1" applyNumberFormat="1" applyFont="1" applyFill="1" applyBorder="1" applyAlignment="1">
      <alignment vertical="center"/>
    </xf>
    <xf numFmtId="41" fontId="5" fillId="0" borderId="268" xfId="1" applyNumberFormat="1" applyFont="1" applyFill="1" applyBorder="1" applyAlignment="1">
      <alignment vertical="center"/>
    </xf>
    <xf numFmtId="200" fontId="0" fillId="0" borderId="0" xfId="0" applyNumberFormat="1" applyAlignment="1">
      <alignment vertical="center"/>
    </xf>
    <xf numFmtId="9" fontId="3" fillId="0" borderId="1" xfId="2" applyFont="1" applyFill="1" applyBorder="1" applyAlignment="1">
      <alignment horizontal="center" vertical="center"/>
    </xf>
    <xf numFmtId="9" fontId="2" fillId="0" borderId="0" xfId="2" applyFont="1" applyAlignment="1">
      <alignment vertical="center"/>
    </xf>
    <xf numFmtId="9" fontId="3" fillId="0" borderId="37" xfId="2" applyFont="1" applyFill="1" applyBorder="1" applyAlignment="1">
      <alignment horizontal="center" vertical="center"/>
    </xf>
    <xf numFmtId="9" fontId="3" fillId="0" borderId="0" xfId="2" applyFont="1" applyAlignment="1">
      <alignment vertical="center"/>
    </xf>
    <xf numFmtId="14" fontId="3" fillId="5" borderId="1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76" fontId="6" fillId="0" borderId="0" xfId="0" quotePrefix="1" applyNumberFormat="1" applyFont="1">
      <alignment vertical="center"/>
    </xf>
    <xf numFmtId="0" fontId="75" fillId="13" borderId="25" xfId="0" applyFont="1" applyFill="1" applyBorder="1" applyAlignment="1">
      <alignment horizontal="center" vertical="center"/>
    </xf>
    <xf numFmtId="0" fontId="43" fillId="0" borderId="0" xfId="0" applyFont="1">
      <alignment vertical="center"/>
    </xf>
    <xf numFmtId="180" fontId="3" fillId="5" borderId="135" xfId="0" applyNumberFormat="1" applyFont="1" applyFill="1" applyBorder="1" applyAlignment="1">
      <alignment vertical="center"/>
    </xf>
    <xf numFmtId="176" fontId="6" fillId="0" borderId="269" xfId="0" applyNumberFormat="1" applyFont="1" applyFill="1" applyBorder="1">
      <alignment vertical="center"/>
    </xf>
    <xf numFmtId="176" fontId="6" fillId="0" borderId="270" xfId="0" applyNumberFormat="1" applyFont="1" applyFill="1" applyBorder="1">
      <alignment vertical="center"/>
    </xf>
    <xf numFmtId="176" fontId="6" fillId="0" borderId="270" xfId="0" applyNumberFormat="1" applyFont="1" applyBorder="1">
      <alignment vertical="center"/>
    </xf>
    <xf numFmtId="176" fontId="6" fillId="0" borderId="271" xfId="0" applyNumberFormat="1" applyFont="1" applyBorder="1">
      <alignment vertical="center"/>
    </xf>
    <xf numFmtId="41" fontId="2" fillId="8" borderId="0" xfId="1" applyFont="1" applyFill="1" applyBorder="1">
      <alignment vertical="center"/>
    </xf>
    <xf numFmtId="41" fontId="2" fillId="8" borderId="0" xfId="1" applyFont="1" applyFill="1">
      <alignment vertical="center"/>
    </xf>
    <xf numFmtId="0" fontId="80" fillId="0" borderId="0" xfId="0" applyFont="1">
      <alignment vertical="center"/>
    </xf>
    <xf numFmtId="0" fontId="20" fillId="0" borderId="115" xfId="0" applyFont="1" applyBorder="1" applyAlignment="1" applyProtection="1">
      <alignment horizontal="center" vertical="center"/>
    </xf>
    <xf numFmtId="14" fontId="18" fillId="3" borderId="43" xfId="0" applyNumberFormat="1" applyFont="1" applyFill="1" applyBorder="1" applyAlignment="1" applyProtection="1">
      <alignment horizontal="center" vertical="center"/>
      <protection locked="0"/>
    </xf>
    <xf numFmtId="201" fontId="0" fillId="11" borderId="218" xfId="2" applyNumberFormat="1" applyFont="1" applyFill="1" applyBorder="1" applyAlignment="1">
      <alignment horizontal="right" vertical="center"/>
    </xf>
    <xf numFmtId="41" fontId="2" fillId="0" borderId="0" xfId="0" applyNumberFormat="1" applyFont="1">
      <alignment vertical="center"/>
    </xf>
    <xf numFmtId="0" fontId="2" fillId="0" borderId="0" xfId="0" quotePrefix="1" applyFont="1" applyAlignment="1">
      <alignment horizontal="left" vertical="center"/>
    </xf>
    <xf numFmtId="41" fontId="2" fillId="0" borderId="0" xfId="1" quotePrefix="1" applyFont="1">
      <alignment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199" xfId="0" applyFont="1" applyFill="1" applyBorder="1" applyAlignment="1">
      <alignment horizontal="center" vertical="center"/>
    </xf>
    <xf numFmtId="0" fontId="3" fillId="5" borderId="126" xfId="0" applyFont="1" applyFill="1" applyBorder="1" applyAlignment="1">
      <alignment horizontal="center" vertical="center"/>
    </xf>
    <xf numFmtId="201" fontId="0" fillId="11" borderId="175" xfId="2" applyNumberFormat="1" applyFont="1" applyFill="1" applyBorder="1" applyAlignment="1">
      <alignment horizontal="right" vertical="center"/>
    </xf>
    <xf numFmtId="38" fontId="36" fillId="11" borderId="1" xfId="0" applyNumberFormat="1" applyFont="1" applyFill="1" applyBorder="1">
      <alignment vertical="center"/>
    </xf>
    <xf numFmtId="38" fontId="0" fillId="7" borderId="60" xfId="0" applyNumberFormat="1" applyFill="1" applyBorder="1">
      <alignment vertical="center"/>
    </xf>
    <xf numFmtId="38" fontId="0" fillId="7" borderId="53" xfId="0" applyNumberFormat="1" applyFill="1" applyBorder="1">
      <alignment vertical="center"/>
    </xf>
    <xf numFmtId="38" fontId="3" fillId="10" borderId="145" xfId="1" applyNumberFormat="1" applyFont="1" applyFill="1" applyBorder="1">
      <alignment vertical="center"/>
    </xf>
    <xf numFmtId="38" fontId="3" fillId="10" borderId="135" xfId="1" applyNumberFormat="1" applyFont="1" applyFill="1" applyBorder="1">
      <alignment vertical="center"/>
    </xf>
    <xf numFmtId="192" fontId="29" fillId="10" borderId="53" xfId="0" applyNumberFormat="1" applyFont="1" applyFill="1" applyBorder="1">
      <alignment vertical="center"/>
    </xf>
    <xf numFmtId="192" fontId="3" fillId="10" borderId="135" xfId="0" applyNumberFormat="1" applyFont="1" applyFill="1" applyBorder="1">
      <alignment vertical="center"/>
    </xf>
    <xf numFmtId="38" fontId="0" fillId="10" borderId="53" xfId="0" applyNumberFormat="1" applyFill="1" applyBorder="1">
      <alignment vertical="center"/>
    </xf>
    <xf numFmtId="38" fontId="36" fillId="7" borderId="135" xfId="0" applyNumberFormat="1" applyFont="1" applyFill="1" applyBorder="1">
      <alignment vertical="center"/>
    </xf>
    <xf numFmtId="38" fontId="36" fillId="11" borderId="41" xfId="0" applyNumberFormat="1" applyFont="1" applyFill="1" applyBorder="1">
      <alignment vertical="center"/>
    </xf>
    <xf numFmtId="183" fontId="0" fillId="11" borderId="135" xfId="0" applyNumberFormat="1" applyFill="1" applyBorder="1">
      <alignment vertical="center"/>
    </xf>
    <xf numFmtId="38" fontId="0" fillId="7" borderId="46" xfId="0" applyNumberFormat="1" applyFill="1" applyBorder="1">
      <alignment vertical="center"/>
    </xf>
    <xf numFmtId="183" fontId="0" fillId="11" borderId="117" xfId="0" applyNumberFormat="1" applyFill="1" applyBorder="1">
      <alignment vertical="center"/>
    </xf>
    <xf numFmtId="38" fontId="36" fillId="11" borderId="93" xfId="0" applyNumberFormat="1" applyFont="1" applyFill="1" applyBorder="1">
      <alignment vertical="center"/>
    </xf>
    <xf numFmtId="38" fontId="0" fillId="7" borderId="277" xfId="0" applyNumberFormat="1" applyFill="1" applyBorder="1">
      <alignment vertical="center"/>
    </xf>
    <xf numFmtId="38" fontId="0" fillId="7" borderId="278" xfId="0" applyNumberFormat="1" applyFill="1" applyBorder="1">
      <alignment vertical="center"/>
    </xf>
    <xf numFmtId="192" fontId="3" fillId="10" borderId="124" xfId="0" applyNumberFormat="1" applyFont="1" applyFill="1" applyBorder="1">
      <alignment vertical="center"/>
    </xf>
    <xf numFmtId="38" fontId="0" fillId="10" borderId="278" xfId="0" applyNumberFormat="1" applyFill="1" applyBorder="1">
      <alignment vertical="center"/>
    </xf>
    <xf numFmtId="38" fontId="36" fillId="7" borderId="124" xfId="0" applyNumberFormat="1" applyFont="1" applyFill="1" applyBorder="1">
      <alignment vertical="center"/>
    </xf>
    <xf numFmtId="38" fontId="36" fillId="11" borderId="92" xfId="0" applyNumberFormat="1" applyFont="1" applyFill="1" applyBorder="1">
      <alignment vertical="center"/>
    </xf>
    <xf numFmtId="183" fontId="0" fillId="11" borderId="124" xfId="0" applyNumberFormat="1" applyFill="1" applyBorder="1">
      <alignment vertical="center"/>
    </xf>
    <xf numFmtId="38" fontId="0" fillId="7" borderId="280" xfId="0" applyNumberFormat="1" applyFill="1" applyBorder="1">
      <alignment vertical="center"/>
    </xf>
    <xf numFmtId="183" fontId="0" fillId="11" borderId="118" xfId="0" applyNumberFormat="1" applyFill="1" applyBorder="1">
      <alignment vertical="center"/>
    </xf>
    <xf numFmtId="38" fontId="3" fillId="10" borderId="145" xfId="0" applyNumberFormat="1" applyFont="1" applyFill="1" applyBorder="1">
      <alignment vertical="center"/>
    </xf>
    <xf numFmtId="38" fontId="3" fillId="10" borderId="135" xfId="0" applyNumberFormat="1" applyFont="1" applyFill="1" applyBorder="1">
      <alignment vertical="center"/>
    </xf>
    <xf numFmtId="0" fontId="25" fillId="21" borderId="165" xfId="0" quotePrefix="1" applyFont="1" applyFill="1" applyBorder="1" applyAlignment="1">
      <alignment vertical="center" wrapText="1"/>
    </xf>
    <xf numFmtId="0" fontId="0" fillId="21" borderId="59" xfId="0" applyFill="1" applyBorder="1" applyAlignment="1">
      <alignment vertical="center"/>
    </xf>
    <xf numFmtId="0" fontId="2" fillId="21" borderId="58" xfId="0" quotePrefix="1" applyFont="1" applyFill="1" applyBorder="1" applyAlignment="1">
      <alignment vertical="center" wrapText="1"/>
    </xf>
    <xf numFmtId="0" fontId="0" fillId="4" borderId="249" xfId="0" applyFill="1" applyBorder="1">
      <alignment vertical="center"/>
    </xf>
    <xf numFmtId="0" fontId="0" fillId="4" borderId="87" xfId="0" applyFill="1" applyBorder="1" applyAlignment="1">
      <alignment vertical="center" wrapText="1"/>
    </xf>
    <xf numFmtId="201" fontId="0" fillId="11" borderId="283" xfId="2" applyNumberFormat="1" applyFont="1" applyFill="1" applyBorder="1" applyAlignment="1">
      <alignment horizontal="right" vertical="center"/>
    </xf>
    <xf numFmtId="0" fontId="0" fillId="4" borderId="106" xfId="0" applyFill="1" applyBorder="1" applyAlignment="1">
      <alignment vertical="center" wrapText="1"/>
    </xf>
    <xf numFmtId="41" fontId="0" fillId="4" borderId="103" xfId="1" applyFont="1" applyFill="1" applyBorder="1">
      <alignment vertical="center"/>
    </xf>
    <xf numFmtId="0" fontId="0" fillId="4" borderId="87" xfId="0" applyFill="1" applyBorder="1" applyAlignment="1">
      <alignment vertical="center"/>
    </xf>
    <xf numFmtId="0" fontId="0" fillId="21" borderId="45" xfId="0" applyFill="1" applyBorder="1">
      <alignment vertical="center"/>
    </xf>
    <xf numFmtId="41" fontId="0" fillId="21" borderId="49" xfId="1" applyFont="1" applyFill="1" applyBorder="1">
      <alignment vertical="center"/>
    </xf>
    <xf numFmtId="0" fontId="0" fillId="21" borderId="136" xfId="0" applyFill="1" applyBorder="1" applyAlignment="1">
      <alignment vertical="center" wrapText="1"/>
    </xf>
    <xf numFmtId="0" fontId="77" fillId="21" borderId="200" xfId="0" quotePrefix="1" applyFont="1" applyFill="1" applyBorder="1" applyAlignment="1">
      <alignment horizontal="center" vertical="center" wrapText="1"/>
    </xf>
    <xf numFmtId="41" fontId="0" fillId="0" borderId="124" xfId="1" applyFont="1" applyFill="1" applyBorder="1">
      <alignment vertical="center"/>
    </xf>
    <xf numFmtId="180" fontId="0" fillId="7" borderId="287" xfId="0" applyNumberFormat="1" applyFill="1" applyBorder="1" applyAlignment="1">
      <alignment vertical="center"/>
    </xf>
    <xf numFmtId="182" fontId="0" fillId="7" borderId="283" xfId="2" applyNumberFormat="1" applyFont="1" applyFill="1" applyBorder="1" applyAlignment="1">
      <alignment horizontal="right" vertical="center"/>
    </xf>
    <xf numFmtId="182" fontId="0" fillId="7" borderId="288" xfId="2" applyNumberFormat="1" applyFont="1" applyFill="1" applyBorder="1" applyAlignment="1">
      <alignment horizontal="right" vertical="center"/>
    </xf>
    <xf numFmtId="183" fontId="0" fillId="7" borderId="100" xfId="2" applyNumberFormat="1" applyFont="1" applyFill="1" applyBorder="1">
      <alignment vertical="center"/>
    </xf>
    <xf numFmtId="183" fontId="0" fillId="7" borderId="139" xfId="2" applyNumberFormat="1" applyFont="1" applyFill="1" applyBorder="1">
      <alignment vertical="center"/>
    </xf>
    <xf numFmtId="183" fontId="0" fillId="0" borderId="118" xfId="0" applyNumberFormat="1" applyFill="1" applyBorder="1">
      <alignment vertical="center"/>
    </xf>
    <xf numFmtId="38" fontId="0" fillId="7" borderId="274" xfId="0" applyNumberFormat="1" applyFill="1" applyBorder="1">
      <alignment vertical="center"/>
    </xf>
    <xf numFmtId="38" fontId="0" fillId="7" borderId="275" xfId="0" applyNumberFormat="1" applyFill="1" applyBorder="1">
      <alignment vertical="center"/>
    </xf>
    <xf numFmtId="183" fontId="0" fillId="7" borderId="276" xfId="2" applyNumberFormat="1" applyFont="1" applyFill="1" applyBorder="1">
      <alignment vertical="center"/>
    </xf>
    <xf numFmtId="38" fontId="36" fillId="11" borderId="220" xfId="0" applyNumberFormat="1" applyFont="1" applyFill="1" applyBorder="1" applyAlignment="1">
      <alignment horizontal="right" vertical="center"/>
    </xf>
    <xf numFmtId="38" fontId="37" fillId="7" borderId="203" xfId="0" applyNumberFormat="1" applyFont="1" applyFill="1" applyBorder="1" applyAlignment="1">
      <alignment horizontal="right" vertical="center"/>
    </xf>
    <xf numFmtId="38" fontId="37" fillId="7" borderId="221" xfId="0" applyNumberFormat="1" applyFont="1" applyFill="1" applyBorder="1" applyAlignment="1">
      <alignment horizontal="right" vertical="center"/>
    </xf>
    <xf numFmtId="38" fontId="37" fillId="7" borderId="221" xfId="0" applyNumberFormat="1" applyFont="1" applyFill="1" applyBorder="1">
      <alignment vertical="center"/>
    </xf>
    <xf numFmtId="38" fontId="37" fillId="10" borderId="221" xfId="0" applyNumberFormat="1" applyFont="1" applyFill="1" applyBorder="1" applyAlignment="1">
      <alignment horizontal="right" vertical="center"/>
    </xf>
    <xf numFmtId="38" fontId="36" fillId="7" borderId="202" xfId="0" applyNumberFormat="1" applyFont="1" applyFill="1" applyBorder="1" applyAlignment="1">
      <alignment horizontal="right" vertical="center"/>
    </xf>
    <xf numFmtId="38" fontId="36" fillId="11" borderId="222" xfId="0" applyNumberFormat="1" applyFont="1" applyFill="1" applyBorder="1" applyAlignment="1">
      <alignment horizontal="right" vertical="center"/>
    </xf>
    <xf numFmtId="182" fontId="37" fillId="11" borderId="202" xfId="2" applyNumberFormat="1" applyFont="1" applyFill="1" applyBorder="1" applyAlignment="1">
      <alignment horizontal="right" vertical="center"/>
    </xf>
    <xf numFmtId="38" fontId="37" fillId="7" borderId="223" xfId="0" applyNumberFormat="1" applyFont="1" applyFill="1" applyBorder="1" applyAlignment="1">
      <alignment horizontal="right" vertical="center"/>
    </xf>
    <xf numFmtId="201" fontId="37" fillId="11" borderId="202" xfId="2" applyNumberFormat="1" applyFont="1" applyFill="1" applyBorder="1" applyAlignment="1">
      <alignment horizontal="right" vertical="center"/>
    </xf>
    <xf numFmtId="201" fontId="37" fillId="11" borderId="224" xfId="2" applyNumberFormat="1" applyFont="1" applyFill="1" applyBorder="1" applyAlignment="1">
      <alignment horizontal="right" vertical="center"/>
    </xf>
    <xf numFmtId="38" fontId="82" fillId="11" borderId="183" xfId="0" applyNumberFormat="1" applyFont="1" applyFill="1" applyBorder="1">
      <alignment vertical="center"/>
    </xf>
    <xf numFmtId="38" fontId="69" fillId="12" borderId="137" xfId="0" applyNumberFormat="1" applyFont="1" applyFill="1" applyBorder="1">
      <alignment vertical="center"/>
    </xf>
    <xf numFmtId="38" fontId="69" fillId="12" borderId="143" xfId="0" applyNumberFormat="1" applyFont="1" applyFill="1" applyBorder="1">
      <alignment vertical="center"/>
    </xf>
    <xf numFmtId="38" fontId="69" fillId="11" borderId="143" xfId="0" applyNumberFormat="1" applyFont="1" applyFill="1" applyBorder="1">
      <alignment vertical="center"/>
    </xf>
    <xf numFmtId="38" fontId="69" fillId="10" borderId="143" xfId="0" applyNumberFormat="1" applyFont="1" applyFill="1" applyBorder="1">
      <alignment vertical="center"/>
    </xf>
    <xf numFmtId="38" fontId="82" fillId="7" borderId="138" xfId="0" applyNumberFormat="1" applyFont="1" applyFill="1" applyBorder="1">
      <alignment vertical="center"/>
    </xf>
    <xf numFmtId="38" fontId="82" fillId="11" borderId="184" xfId="0" applyNumberFormat="1" applyFont="1" applyFill="1" applyBorder="1">
      <alignment vertical="center"/>
    </xf>
    <xf numFmtId="183" fontId="69" fillId="11" borderId="138" xfId="0" applyNumberFormat="1" applyFont="1" applyFill="1" applyBorder="1">
      <alignment vertical="center"/>
    </xf>
    <xf numFmtId="38" fontId="69" fillId="7" borderId="185" xfId="0" applyNumberFormat="1" applyFont="1" applyFill="1" applyBorder="1">
      <alignment vertical="center"/>
    </xf>
    <xf numFmtId="183" fontId="69" fillId="11" borderId="154" xfId="0" applyNumberFormat="1" applyFont="1" applyFill="1" applyBorder="1">
      <alignment vertical="center"/>
    </xf>
    <xf numFmtId="0" fontId="29" fillId="0" borderId="49" xfId="0" applyFont="1" applyFill="1" applyBorder="1" applyAlignment="1">
      <alignment horizontal="center" vertical="center"/>
    </xf>
    <xf numFmtId="0" fontId="33" fillId="7" borderId="86" xfId="0" applyFont="1" applyFill="1" applyBorder="1" applyAlignment="1">
      <alignment horizontal="center" vertical="center"/>
    </xf>
    <xf numFmtId="0" fontId="29" fillId="5" borderId="90" xfId="0" applyFont="1" applyFill="1" applyBorder="1" applyAlignment="1" applyProtection="1">
      <alignment horizontal="center" vertical="center"/>
      <protection locked="0"/>
    </xf>
    <xf numFmtId="0" fontId="33" fillId="7" borderId="94" xfId="0" applyFont="1" applyFill="1" applyBorder="1" applyAlignment="1">
      <alignment horizontal="center" vertical="center"/>
    </xf>
    <xf numFmtId="0" fontId="29" fillId="5" borderId="98" xfId="0" applyFont="1" applyFill="1" applyBorder="1" applyAlignment="1" applyProtection="1">
      <alignment horizontal="center" vertical="center"/>
      <protection locked="0"/>
    </xf>
    <xf numFmtId="182" fontId="0" fillId="18" borderId="247" xfId="2" applyNumberFormat="1" applyFont="1" applyFill="1" applyBorder="1" applyAlignment="1">
      <alignment horizontal="right" vertical="center"/>
    </xf>
    <xf numFmtId="41" fontId="3" fillId="5" borderId="53" xfId="1" applyFont="1" applyFill="1" applyBorder="1" applyAlignment="1">
      <alignment horizontal="center" vertical="center"/>
    </xf>
    <xf numFmtId="41" fontId="3" fillId="5" borderId="47" xfId="1" applyFont="1" applyFill="1" applyBorder="1" applyAlignment="1">
      <alignment horizontal="center" vertical="center"/>
    </xf>
    <xf numFmtId="0" fontId="29" fillId="0" borderId="27" xfId="0" applyFont="1" applyBorder="1" applyAlignment="1">
      <alignment vertical="center"/>
    </xf>
    <xf numFmtId="182" fontId="0" fillId="0" borderId="0" xfId="2" applyNumberFormat="1" applyFont="1">
      <alignment vertical="center"/>
    </xf>
    <xf numFmtId="177" fontId="5" fillId="5" borderId="289" xfId="1" applyNumberFormat="1" applyFont="1" applyFill="1" applyBorder="1" applyAlignment="1">
      <alignment vertical="center"/>
    </xf>
    <xf numFmtId="0" fontId="3" fillId="0" borderId="128" xfId="0" applyFont="1" applyBorder="1" applyAlignment="1">
      <alignment horizontal="left" vertical="center" indent="1"/>
    </xf>
    <xf numFmtId="180" fontId="3" fillId="5" borderId="131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85" fillId="7" borderId="0" xfId="0" applyFont="1" applyFill="1">
      <alignment vertical="center"/>
    </xf>
    <xf numFmtId="0" fontId="86" fillId="7" borderId="0" xfId="0" applyFont="1" applyFill="1" applyAlignment="1">
      <alignment horizontal="right" vertical="center"/>
    </xf>
    <xf numFmtId="0" fontId="86" fillId="7" borderId="0" xfId="0" applyFont="1" applyFill="1">
      <alignment vertical="center"/>
    </xf>
    <xf numFmtId="0" fontId="85" fillId="7" borderId="0" xfId="0" applyFont="1" applyFill="1" applyAlignment="1">
      <alignment horizontal="right" vertical="center"/>
    </xf>
    <xf numFmtId="14" fontId="85" fillId="7" borderId="0" xfId="0" applyNumberFormat="1" applyFont="1" applyFill="1" applyAlignment="1">
      <alignment horizontal="center" vertical="center"/>
    </xf>
    <xf numFmtId="178" fontId="85" fillId="0" borderId="0" xfId="0" applyNumberFormat="1" applyFont="1" applyAlignment="1">
      <alignment horizontal="center" vertical="center"/>
    </xf>
    <xf numFmtId="0" fontId="87" fillId="7" borderId="0" xfId="0" applyFont="1" applyFill="1">
      <alignment vertical="center"/>
    </xf>
    <xf numFmtId="0" fontId="85" fillId="7" borderId="0" xfId="0" applyFont="1" applyFill="1" applyBorder="1">
      <alignment vertical="center"/>
    </xf>
    <xf numFmtId="202" fontId="85" fillId="7" borderId="291" xfId="0" applyNumberFormat="1" applyFont="1" applyFill="1" applyBorder="1" applyAlignment="1">
      <alignment horizontal="center" vertical="center"/>
    </xf>
    <xf numFmtId="0" fontId="85" fillId="7" borderId="0" xfId="0" applyFont="1" applyFill="1" applyBorder="1" applyAlignment="1">
      <alignment horizontal="center" vertical="center"/>
    </xf>
    <xf numFmtId="202" fontId="85" fillId="7" borderId="0" xfId="0" applyNumberFormat="1" applyFont="1" applyFill="1" applyBorder="1" applyAlignment="1">
      <alignment horizontal="center" vertical="center"/>
    </xf>
    <xf numFmtId="202" fontId="88" fillId="7" borderId="0" xfId="0" applyNumberFormat="1" applyFont="1" applyFill="1" applyBorder="1" applyAlignment="1">
      <alignment horizontal="center" vertical="center"/>
    </xf>
    <xf numFmtId="202" fontId="85" fillId="7" borderId="0" xfId="0" applyNumberFormat="1" applyFont="1" applyFill="1" applyBorder="1" applyAlignment="1">
      <alignment horizontal="left" vertical="center" wrapText="1"/>
    </xf>
    <xf numFmtId="0" fontId="89" fillId="22" borderId="293" xfId="0" applyFont="1" applyFill="1" applyBorder="1" applyAlignment="1">
      <alignment horizontal="center" vertical="center"/>
    </xf>
    <xf numFmtId="0" fontId="84" fillId="12" borderId="103" xfId="0" applyFont="1" applyFill="1" applyBorder="1">
      <alignment vertical="center"/>
    </xf>
    <xf numFmtId="0" fontId="84" fillId="12" borderId="295" xfId="0" applyFont="1" applyFill="1" applyBorder="1" applyAlignment="1">
      <alignment horizontal="center" vertical="center"/>
    </xf>
    <xf numFmtId="0" fontId="84" fillId="12" borderId="103" xfId="0" applyFont="1" applyFill="1" applyBorder="1" applyAlignment="1">
      <alignment horizontal="center" vertical="center"/>
    </xf>
    <xf numFmtId="0" fontId="90" fillId="12" borderId="103" xfId="0" applyFont="1" applyFill="1" applyBorder="1" applyAlignment="1">
      <alignment horizontal="center" vertical="center"/>
    </xf>
    <xf numFmtId="0" fontId="84" fillId="12" borderId="103" xfId="0" applyFont="1" applyFill="1" applyBorder="1" applyAlignment="1">
      <alignment vertical="center"/>
    </xf>
    <xf numFmtId="0" fontId="84" fillId="7" borderId="0" xfId="0" applyFont="1" applyFill="1" applyBorder="1" applyAlignment="1">
      <alignment vertical="center"/>
    </xf>
    <xf numFmtId="202" fontId="85" fillId="7" borderId="296" xfId="0" applyNumberFormat="1" applyFont="1" applyFill="1" applyBorder="1" applyAlignment="1">
      <alignment horizontal="center" vertical="center"/>
    </xf>
    <xf numFmtId="0" fontId="91" fillId="7" borderId="297" xfId="0" applyFont="1" applyFill="1" applyBorder="1" applyAlignment="1">
      <alignment horizontal="center" vertical="center"/>
    </xf>
    <xf numFmtId="0" fontId="84" fillId="12" borderId="299" xfId="0" applyFont="1" applyFill="1" applyBorder="1">
      <alignment vertical="center"/>
    </xf>
    <xf numFmtId="0" fontId="84" fillId="12" borderId="45" xfId="0" applyFont="1" applyFill="1" applyBorder="1" applyAlignment="1">
      <alignment horizontal="center" vertical="center"/>
    </xf>
    <xf numFmtId="0" fontId="90" fillId="12" borderId="45" xfId="0" applyFont="1" applyFill="1" applyBorder="1" applyAlignment="1">
      <alignment horizontal="center" vertical="center"/>
    </xf>
    <xf numFmtId="0" fontId="92" fillId="7" borderId="0" xfId="0" applyFont="1" applyFill="1" applyAlignment="1">
      <alignment horizontal="center" vertical="center"/>
    </xf>
    <xf numFmtId="0" fontId="85" fillId="7" borderId="300" xfId="0" applyFont="1" applyFill="1" applyBorder="1">
      <alignment vertical="center"/>
    </xf>
    <xf numFmtId="0" fontId="85" fillId="7" borderId="296" xfId="0" applyFont="1" applyFill="1" applyBorder="1" applyAlignment="1">
      <alignment horizontal="center" vertical="center"/>
    </xf>
    <xf numFmtId="0" fontId="88" fillId="7" borderId="300" xfId="0" applyFont="1" applyFill="1" applyBorder="1">
      <alignment vertical="center"/>
    </xf>
    <xf numFmtId="0" fontId="20" fillId="7" borderId="132" xfId="0" applyFont="1" applyFill="1" applyBorder="1">
      <alignment vertical="center"/>
    </xf>
    <xf numFmtId="0" fontId="20" fillId="7" borderId="300" xfId="0" applyFont="1" applyFill="1" applyBorder="1">
      <alignment vertical="center"/>
    </xf>
    <xf numFmtId="0" fontId="20" fillId="7" borderId="296" xfId="0" applyFont="1" applyFill="1" applyBorder="1" applyAlignment="1">
      <alignment horizontal="center" vertical="center"/>
    </xf>
    <xf numFmtId="202" fontId="20" fillId="7" borderId="296" xfId="0" applyNumberFormat="1" applyFont="1" applyFill="1" applyBorder="1" applyAlignment="1">
      <alignment horizontal="center" vertical="center"/>
    </xf>
    <xf numFmtId="0" fontId="20" fillId="7" borderId="301" xfId="0" applyFont="1" applyFill="1" applyBorder="1" applyAlignment="1">
      <alignment horizontal="center" vertical="center"/>
    </xf>
    <xf numFmtId="0" fontId="85" fillId="7" borderId="50" xfId="0" applyFont="1" applyFill="1" applyBorder="1" applyAlignment="1">
      <alignment vertical="center"/>
    </xf>
    <xf numFmtId="202" fontId="85" fillId="7" borderId="297" xfId="0" applyNumberFormat="1" applyFont="1" applyFill="1" applyBorder="1" applyAlignment="1">
      <alignment horizontal="center" vertical="center"/>
    </xf>
    <xf numFmtId="0" fontId="85" fillId="7" borderId="302" xfId="0" applyFont="1" applyFill="1" applyBorder="1" applyAlignment="1">
      <alignment horizontal="center" vertical="center"/>
    </xf>
    <xf numFmtId="0" fontId="20" fillId="7" borderId="298" xfId="0" applyFont="1" applyFill="1" applyBorder="1" applyAlignment="1">
      <alignment horizontal="center" vertical="center"/>
    </xf>
    <xf numFmtId="0" fontId="85" fillId="7" borderId="51" xfId="0" applyFont="1" applyFill="1" applyBorder="1">
      <alignment vertical="center"/>
    </xf>
    <xf numFmtId="0" fontId="89" fillId="22" borderId="303" xfId="0" applyNumberFormat="1" applyFont="1" applyFill="1" applyBorder="1" applyAlignment="1">
      <alignment horizontal="centerContinuous" vertical="center"/>
    </xf>
    <xf numFmtId="0" fontId="89" fillId="22" borderId="304" xfId="0" applyNumberFormat="1" applyFont="1" applyFill="1" applyBorder="1" applyAlignment="1">
      <alignment horizontal="centerContinuous" vertical="center"/>
    </xf>
    <xf numFmtId="0" fontId="89" fillId="22" borderId="305" xfId="0" applyNumberFormat="1" applyFont="1" applyFill="1" applyBorder="1" applyAlignment="1">
      <alignment horizontal="center" vertical="center"/>
    </xf>
    <xf numFmtId="0" fontId="89" fillId="22" borderId="305" xfId="0" applyFont="1" applyFill="1" applyBorder="1" applyAlignment="1">
      <alignment horizontal="center" vertical="center"/>
    </xf>
    <xf numFmtId="0" fontId="84" fillId="12" borderId="295" xfId="0" applyFont="1" applyFill="1" applyBorder="1" applyAlignment="1">
      <alignment horizontal="centerContinuous" vertical="center"/>
    </xf>
    <xf numFmtId="0" fontId="84" fillId="12" borderId="103" xfId="0" applyFont="1" applyFill="1" applyBorder="1" applyAlignment="1">
      <alignment horizontal="centerContinuous" vertical="center"/>
    </xf>
    <xf numFmtId="0" fontId="90" fillId="12" borderId="103" xfId="0" applyFont="1" applyFill="1" applyBorder="1" applyAlignment="1">
      <alignment horizontal="centerContinuous" vertical="center"/>
    </xf>
    <xf numFmtId="0" fontId="84" fillId="7" borderId="301" xfId="0" applyFont="1" applyFill="1" applyBorder="1">
      <alignment vertical="center"/>
    </xf>
    <xf numFmtId="203" fontId="85" fillId="7" borderId="297" xfId="1" applyNumberFormat="1" applyFont="1" applyFill="1" applyBorder="1" applyAlignment="1">
      <alignment horizontal="right" vertical="center"/>
    </xf>
    <xf numFmtId="203" fontId="85" fillId="7" borderId="0" xfId="1" applyNumberFormat="1" applyFont="1" applyFill="1" applyAlignment="1">
      <alignment horizontal="right" vertical="center"/>
    </xf>
    <xf numFmtId="203" fontId="85" fillId="7" borderId="0" xfId="1" applyNumberFormat="1" applyFont="1" applyFill="1" applyAlignment="1">
      <alignment vertical="center"/>
    </xf>
    <xf numFmtId="0" fontId="84" fillId="12" borderId="306" xfId="0" applyFont="1" applyFill="1" applyBorder="1" applyAlignment="1">
      <alignment horizontal="centerContinuous" vertical="center"/>
    </xf>
    <xf numFmtId="0" fontId="84" fillId="12" borderId="45" xfId="0" applyFont="1" applyFill="1" applyBorder="1" applyAlignment="1">
      <alignment horizontal="centerContinuous" vertical="center"/>
    </xf>
    <xf numFmtId="0" fontId="20" fillId="13" borderId="300" xfId="0" applyFont="1" applyFill="1" applyBorder="1" applyAlignment="1">
      <alignment vertical="center"/>
    </xf>
    <xf numFmtId="203" fontId="85" fillId="13" borderId="307" xfId="0" applyNumberFormat="1" applyFont="1" applyFill="1" applyBorder="1" applyAlignment="1">
      <alignment horizontal="right" vertical="center"/>
    </xf>
    <xf numFmtId="203" fontId="85" fillId="7" borderId="308" xfId="0" applyNumberFormat="1" applyFont="1" applyFill="1" applyBorder="1">
      <alignment vertical="center"/>
    </xf>
    <xf numFmtId="203" fontId="85" fillId="7" borderId="0" xfId="0" applyNumberFormat="1" applyFont="1" applyFill="1">
      <alignment vertical="center"/>
    </xf>
    <xf numFmtId="203" fontId="85" fillId="13" borderId="291" xfId="0" applyNumberFormat="1" applyFont="1" applyFill="1" applyBorder="1" applyAlignment="1">
      <alignment horizontal="centerContinuous" vertical="center"/>
    </xf>
    <xf numFmtId="203" fontId="85" fillId="13" borderId="0" xfId="0" applyNumberFormat="1" applyFont="1" applyFill="1" applyBorder="1" applyAlignment="1">
      <alignment horizontal="centerContinuous" vertical="center"/>
    </xf>
    <xf numFmtId="0" fontId="85" fillId="13" borderId="300" xfId="0" applyFont="1" applyFill="1" applyBorder="1">
      <alignment vertical="center"/>
    </xf>
    <xf numFmtId="0" fontId="88" fillId="13" borderId="300" xfId="0" applyFont="1" applyFill="1" applyBorder="1">
      <alignment vertical="center"/>
    </xf>
    <xf numFmtId="203" fontId="88" fillId="13" borderId="291" xfId="0" applyNumberFormat="1" applyFont="1" applyFill="1" applyBorder="1" applyAlignment="1">
      <alignment horizontal="centerContinuous" vertical="center"/>
    </xf>
    <xf numFmtId="203" fontId="88" fillId="13" borderId="0" xfId="0" applyNumberFormat="1" applyFont="1" applyFill="1" applyBorder="1" applyAlignment="1">
      <alignment horizontal="centerContinuous" vertical="center"/>
    </xf>
    <xf numFmtId="203" fontId="85" fillId="7" borderId="291" xfId="0" applyNumberFormat="1" applyFont="1" applyFill="1" applyBorder="1" applyAlignment="1">
      <alignment horizontal="centerContinuous" vertical="center"/>
    </xf>
    <xf numFmtId="203" fontId="85" fillId="7" borderId="0" xfId="0" applyNumberFormat="1" applyFont="1" applyFill="1" applyBorder="1" applyAlignment="1">
      <alignment horizontal="centerContinuous" vertical="center"/>
    </xf>
    <xf numFmtId="0" fontId="20" fillId="13" borderId="300" xfId="0" applyFont="1" applyFill="1" applyBorder="1">
      <alignment vertical="center"/>
    </xf>
    <xf numFmtId="0" fontId="20" fillId="13" borderId="309" xfId="0" applyFont="1" applyFill="1" applyBorder="1">
      <alignment vertical="center"/>
    </xf>
    <xf numFmtId="0" fontId="95" fillId="12" borderId="299" xfId="0" applyFont="1" applyFill="1" applyBorder="1" applyAlignment="1">
      <alignment vertical="center"/>
    </xf>
    <xf numFmtId="0" fontId="95" fillId="12" borderId="300" xfId="0" applyFont="1" applyFill="1" applyBorder="1" applyAlignment="1">
      <alignment horizontal="left" vertical="center"/>
    </xf>
    <xf numFmtId="0" fontId="89" fillId="22" borderId="310" xfId="0" applyNumberFormat="1" applyFont="1" applyFill="1" applyBorder="1" applyAlignment="1">
      <alignment horizontal="center" vertical="center"/>
    </xf>
    <xf numFmtId="203" fontId="85" fillId="13" borderId="312" xfId="0" applyNumberFormat="1" applyFont="1" applyFill="1" applyBorder="1" applyAlignment="1">
      <alignment vertical="center"/>
    </xf>
    <xf numFmtId="0" fontId="20" fillId="7" borderId="300" xfId="0" applyFont="1" applyFill="1" applyBorder="1" applyAlignment="1">
      <alignment vertical="center"/>
    </xf>
    <xf numFmtId="203" fontId="85" fillId="7" borderId="313" xfId="0" applyNumberFormat="1" applyFont="1" applyFill="1" applyBorder="1" applyAlignment="1">
      <alignment vertical="center"/>
    </xf>
    <xf numFmtId="0" fontId="85" fillId="13" borderId="300" xfId="0" applyFont="1" applyFill="1" applyBorder="1" applyAlignment="1">
      <alignment vertical="center"/>
    </xf>
    <xf numFmtId="203" fontId="85" fillId="13" borderId="316" xfId="0" applyNumberFormat="1" applyFont="1" applyFill="1" applyBorder="1" applyAlignment="1">
      <alignment vertical="center"/>
    </xf>
    <xf numFmtId="203" fontId="85" fillId="13" borderId="317" xfId="0" applyNumberFormat="1" applyFont="1" applyFill="1" applyBorder="1" applyAlignment="1">
      <alignment vertical="center"/>
    </xf>
    <xf numFmtId="0" fontId="20" fillId="7" borderId="309" xfId="0" applyFont="1" applyFill="1" applyBorder="1">
      <alignment vertical="center"/>
    </xf>
    <xf numFmtId="203" fontId="85" fillId="7" borderId="298" xfId="0" applyNumberFormat="1" applyFont="1" applyFill="1" applyBorder="1" applyAlignment="1">
      <alignment horizontal="centerContinuous" vertical="center"/>
    </xf>
    <xf numFmtId="203" fontId="85" fillId="7" borderId="51" xfId="0" applyNumberFormat="1" applyFont="1" applyFill="1" applyBorder="1" applyAlignment="1">
      <alignment horizontal="centerContinuous" vertical="center"/>
    </xf>
    <xf numFmtId="0" fontId="84" fillId="7" borderId="0" xfId="0" applyFont="1" applyFill="1">
      <alignment vertical="center"/>
    </xf>
    <xf numFmtId="203" fontId="85" fillId="7" borderId="0" xfId="0" applyNumberFormat="1" applyFont="1" applyFill="1" applyBorder="1">
      <alignment vertical="center"/>
    </xf>
    <xf numFmtId="0" fontId="89" fillId="22" borderId="42" xfId="0" applyFont="1" applyFill="1" applyBorder="1" applyAlignment="1">
      <alignment horizontal="centerContinuous" vertical="center"/>
    </xf>
    <xf numFmtId="0" fontId="89" fillId="22" borderId="43" xfId="0" applyFont="1" applyFill="1" applyBorder="1" applyAlignment="1">
      <alignment horizontal="centerContinuous" vertical="center"/>
    </xf>
    <xf numFmtId="0" fontId="89" fillId="22" borderId="318" xfId="0" applyFont="1" applyFill="1" applyBorder="1" applyAlignment="1">
      <alignment horizontal="centerContinuous" vertical="center"/>
    </xf>
    <xf numFmtId="0" fontId="89" fillId="22" borderId="44" xfId="0" applyFont="1" applyFill="1" applyBorder="1" applyAlignment="1">
      <alignment horizontal="centerContinuous" vertical="center"/>
    </xf>
    <xf numFmtId="0" fontId="89" fillId="22" borderId="319" xfId="0" applyFont="1" applyFill="1" applyBorder="1" applyAlignment="1">
      <alignment vertical="center"/>
    </xf>
    <xf numFmtId="0" fontId="89" fillId="22" borderId="320" xfId="0" applyFont="1" applyFill="1" applyBorder="1" applyAlignment="1">
      <alignment vertical="center"/>
    </xf>
    <xf numFmtId="0" fontId="89" fillId="22" borderId="321" xfId="0" applyFont="1" applyFill="1" applyBorder="1" applyAlignment="1">
      <alignment vertical="center"/>
    </xf>
    <xf numFmtId="0" fontId="89" fillId="22" borderId="322" xfId="0" applyFont="1" applyFill="1" applyBorder="1" applyAlignment="1">
      <alignment vertical="center"/>
    </xf>
    <xf numFmtId="0" fontId="84" fillId="12" borderId="0" xfId="0" applyFont="1" applyFill="1" applyBorder="1">
      <alignment vertical="center"/>
    </xf>
    <xf numFmtId="0" fontId="84" fillId="12" borderId="323" xfId="0" applyFont="1" applyFill="1" applyBorder="1" applyAlignment="1">
      <alignment vertical="center"/>
    </xf>
    <xf numFmtId="0" fontId="84" fillId="12" borderId="324" xfId="0" applyFont="1" applyFill="1" applyBorder="1" applyAlignment="1">
      <alignment vertical="center"/>
    </xf>
    <xf numFmtId="0" fontId="84" fillId="12" borderId="325" xfId="0" applyFont="1" applyFill="1" applyBorder="1" applyAlignment="1">
      <alignment vertical="center"/>
    </xf>
    <xf numFmtId="0" fontId="85" fillId="7" borderId="0" xfId="0" applyFont="1" applyFill="1" applyBorder="1" applyAlignment="1">
      <alignment vertical="center"/>
    </xf>
    <xf numFmtId="202" fontId="85" fillId="7" borderId="298" xfId="0" applyNumberFormat="1" applyFont="1" applyFill="1" applyBorder="1" applyAlignment="1">
      <alignment vertical="center"/>
    </xf>
    <xf numFmtId="202" fontId="85" fillId="7" borderId="51" xfId="0" applyNumberFormat="1" applyFont="1" applyFill="1" applyBorder="1" applyAlignment="1">
      <alignment vertical="center"/>
    </xf>
    <xf numFmtId="202" fontId="85" fillId="7" borderId="326" xfId="0" applyNumberFormat="1" applyFont="1" applyFill="1" applyBorder="1" applyAlignment="1">
      <alignment horizontal="centerContinuous" vertical="center"/>
    </xf>
    <xf numFmtId="202" fontId="85" fillId="7" borderId="51" xfId="0" applyNumberFormat="1" applyFont="1" applyFill="1" applyBorder="1" applyAlignment="1">
      <alignment horizontal="centerContinuous" vertical="center"/>
    </xf>
    <xf numFmtId="0" fontId="84" fillId="12" borderId="327" xfId="0" applyFont="1" applyFill="1" applyBorder="1" applyAlignment="1">
      <alignment vertical="center"/>
    </xf>
    <xf numFmtId="0" fontId="84" fillId="12" borderId="45" xfId="0" applyFont="1" applyFill="1" applyBorder="1" applyAlignment="1">
      <alignment vertical="center"/>
    </xf>
    <xf numFmtId="0" fontId="85" fillId="7" borderId="300" xfId="0" applyFont="1" applyFill="1" applyBorder="1" applyAlignment="1">
      <alignment horizontal="left" vertical="center"/>
    </xf>
    <xf numFmtId="202" fontId="85" fillId="7" borderId="291" xfId="0" applyNumberFormat="1" applyFont="1" applyFill="1" applyBorder="1" applyAlignment="1">
      <alignment horizontal="centerContinuous" vertical="center"/>
    </xf>
    <xf numFmtId="202" fontId="85" fillId="7" borderId="0" xfId="0" applyNumberFormat="1" applyFont="1" applyFill="1" applyBorder="1" applyAlignment="1">
      <alignment horizontal="centerContinuous" vertical="center"/>
    </xf>
    <xf numFmtId="202" fontId="85" fillId="7" borderId="328" xfId="0" applyNumberFormat="1" applyFont="1" applyFill="1" applyBorder="1" applyAlignment="1">
      <alignment horizontal="centerContinuous" vertical="center"/>
    </xf>
    <xf numFmtId="202" fontId="85" fillId="7" borderId="328" xfId="0" applyNumberFormat="1" applyFont="1" applyFill="1" applyBorder="1" applyAlignment="1">
      <alignment vertical="center"/>
    </xf>
    <xf numFmtId="202" fontId="85" fillId="7" borderId="0" xfId="0" applyNumberFormat="1" applyFont="1" applyFill="1" applyBorder="1" applyAlignment="1">
      <alignment vertical="center"/>
    </xf>
    <xf numFmtId="0" fontId="85" fillId="7" borderId="132" xfId="0" applyFont="1" applyFill="1" applyBorder="1">
      <alignment vertical="center"/>
    </xf>
    <xf numFmtId="202" fontId="85" fillId="7" borderId="326" xfId="0" applyNumberFormat="1" applyFont="1" applyFill="1" applyBorder="1" applyAlignment="1">
      <alignment vertical="center"/>
    </xf>
    <xf numFmtId="0" fontId="85" fillId="7" borderId="309" xfId="0" applyFont="1" applyFill="1" applyBorder="1">
      <alignment vertical="center"/>
    </xf>
    <xf numFmtId="202" fontId="85" fillId="7" borderId="298" xfId="0" applyNumberFormat="1" applyFont="1" applyFill="1" applyBorder="1" applyAlignment="1">
      <alignment horizontal="centerContinuous" vertical="center"/>
    </xf>
    <xf numFmtId="0" fontId="85" fillId="7" borderId="0" xfId="0" quotePrefix="1" applyFont="1" applyFill="1">
      <alignment vertical="center"/>
    </xf>
    <xf numFmtId="0" fontId="84" fillId="13" borderId="0" xfId="0" quotePrefix="1" applyFont="1" applyFill="1">
      <alignment vertical="center"/>
    </xf>
    <xf numFmtId="0" fontId="84" fillId="13" borderId="0" xfId="0" applyFont="1" applyFill="1">
      <alignment vertical="center"/>
    </xf>
    <xf numFmtId="203" fontId="85" fillId="13" borderId="0" xfId="0" applyNumberFormat="1" applyFont="1" applyFill="1" applyBorder="1">
      <alignment vertical="center"/>
    </xf>
    <xf numFmtId="0" fontId="85" fillId="13" borderId="0" xfId="0" applyFont="1" applyFill="1">
      <alignment vertical="center"/>
    </xf>
    <xf numFmtId="0" fontId="87" fillId="7" borderId="0" xfId="0" applyFont="1" applyFill="1" applyBorder="1">
      <alignment vertical="center"/>
    </xf>
    <xf numFmtId="0" fontId="89" fillId="22" borderId="329" xfId="0" applyFont="1" applyFill="1" applyBorder="1" applyAlignment="1">
      <alignment horizontal="center" vertical="center"/>
    </xf>
    <xf numFmtId="0" fontId="84" fillId="12" borderId="45" xfId="0" applyFont="1" applyFill="1" applyBorder="1">
      <alignment vertical="center"/>
    </xf>
    <xf numFmtId="0" fontId="84" fillId="12" borderId="0" xfId="0" applyFont="1" applyFill="1" applyBorder="1" applyAlignment="1">
      <alignment horizontal="center" vertical="center"/>
    </xf>
    <xf numFmtId="0" fontId="90" fillId="12" borderId="0" xfId="0" applyFont="1" applyFill="1" applyBorder="1" applyAlignment="1">
      <alignment horizontal="center" vertical="center"/>
    </xf>
    <xf numFmtId="0" fontId="84" fillId="12" borderId="0" xfId="0" applyFont="1" applyFill="1" applyBorder="1" applyAlignment="1">
      <alignment vertical="center"/>
    </xf>
    <xf numFmtId="0" fontId="84" fillId="12" borderId="48" xfId="0" applyFont="1" applyFill="1" applyBorder="1">
      <alignment vertical="center"/>
    </xf>
    <xf numFmtId="0" fontId="89" fillId="22" borderId="330" xfId="0" applyNumberFormat="1" applyFont="1" applyFill="1" applyBorder="1" applyAlignment="1">
      <alignment horizontal="centerContinuous" vertical="center"/>
    </xf>
    <xf numFmtId="0" fontId="89" fillId="22" borderId="331" xfId="0" applyNumberFormat="1" applyFont="1" applyFill="1" applyBorder="1" applyAlignment="1">
      <alignment horizontal="centerContinuous" vertical="center"/>
    </xf>
    <xf numFmtId="0" fontId="89" fillId="22" borderId="332" xfId="0" applyNumberFormat="1" applyFont="1" applyFill="1" applyBorder="1" applyAlignment="1">
      <alignment horizontal="center" vertical="center"/>
    </xf>
    <xf numFmtId="0" fontId="89" fillId="22" borderId="332" xfId="0" applyFont="1" applyFill="1" applyBorder="1" applyAlignment="1">
      <alignment horizontal="center" vertical="center"/>
    </xf>
    <xf numFmtId="0" fontId="84" fillId="12" borderId="291" xfId="0" applyFont="1" applyFill="1" applyBorder="1" applyAlignment="1">
      <alignment horizontal="centerContinuous" vertical="center"/>
    </xf>
    <xf numFmtId="0" fontId="84" fillId="12" borderId="0" xfId="0" applyFont="1" applyFill="1" applyBorder="1" applyAlignment="1">
      <alignment horizontal="centerContinuous" vertical="center"/>
    </xf>
    <xf numFmtId="0" fontId="90" fillId="12" borderId="0" xfId="0" applyFont="1" applyFill="1" applyBorder="1" applyAlignment="1">
      <alignment horizontal="centerContinuous" vertical="center"/>
    </xf>
    <xf numFmtId="203" fontId="85" fillId="7" borderId="307" xfId="0" applyNumberFormat="1" applyFont="1" applyFill="1" applyBorder="1">
      <alignment vertical="center"/>
    </xf>
    <xf numFmtId="0" fontId="95" fillId="12" borderId="48" xfId="0" applyFont="1" applyFill="1" applyBorder="1" applyAlignment="1">
      <alignment vertical="center"/>
    </xf>
    <xf numFmtId="0" fontId="84" fillId="12" borderId="311" xfId="0" applyFont="1" applyFill="1" applyBorder="1" applyAlignment="1">
      <alignment horizontal="centerContinuous" vertical="center"/>
    </xf>
    <xf numFmtId="202" fontId="85" fillId="7" borderId="51" xfId="0" applyNumberFormat="1" applyFont="1" applyFill="1" applyBorder="1" applyAlignment="1">
      <alignment horizontal="center" vertical="center"/>
    </xf>
    <xf numFmtId="0" fontId="85" fillId="7" borderId="51" xfId="0" applyFont="1" applyFill="1" applyBorder="1" applyAlignment="1">
      <alignment horizontal="center" vertical="center"/>
    </xf>
    <xf numFmtId="202" fontId="88" fillId="7" borderId="51" xfId="0" applyNumberFormat="1" applyFont="1" applyFill="1" applyBorder="1" applyAlignment="1">
      <alignment horizontal="center" vertical="center"/>
    </xf>
    <xf numFmtId="202" fontId="85" fillId="7" borderId="51" xfId="0" applyNumberFormat="1" applyFont="1" applyFill="1" applyBorder="1" applyAlignment="1">
      <alignment horizontal="left" vertical="center" wrapText="1"/>
    </xf>
    <xf numFmtId="0" fontId="84" fillId="12" borderId="291" xfId="0" applyFont="1" applyFill="1" applyBorder="1" applyAlignment="1">
      <alignment horizontal="center" vertical="center"/>
    </xf>
    <xf numFmtId="0" fontId="91" fillId="7" borderId="296" xfId="0" applyFont="1" applyFill="1" applyBorder="1" applyAlignment="1">
      <alignment horizontal="center" vertical="center"/>
    </xf>
    <xf numFmtId="0" fontId="84" fillId="12" borderId="310" xfId="0" applyFont="1" applyFill="1" applyBorder="1" applyAlignment="1">
      <alignment horizontal="center" vertical="center"/>
    </xf>
    <xf numFmtId="0" fontId="90" fillId="12" borderId="310" xfId="0" applyFont="1" applyFill="1" applyBorder="1" applyAlignment="1">
      <alignment horizontal="center" vertical="center"/>
    </xf>
    <xf numFmtId="0" fontId="92" fillId="7" borderId="132" xfId="0" applyFont="1" applyFill="1" applyBorder="1">
      <alignment vertical="center"/>
    </xf>
    <xf numFmtId="0" fontId="92" fillId="7" borderId="300" xfId="0" applyFont="1" applyFill="1" applyBorder="1">
      <alignment vertical="center"/>
    </xf>
    <xf numFmtId="0" fontId="85" fillId="7" borderId="309" xfId="0" applyFont="1" applyFill="1" applyBorder="1" applyAlignment="1">
      <alignment vertical="center"/>
    </xf>
    <xf numFmtId="0" fontId="85" fillId="7" borderId="297" xfId="0" applyFont="1" applyFill="1" applyBorder="1" applyAlignment="1">
      <alignment horizontal="center" vertical="center"/>
    </xf>
    <xf numFmtId="0" fontId="89" fillId="22" borderId="312" xfId="0" applyNumberFormat="1" applyFont="1" applyFill="1" applyBorder="1" applyAlignment="1">
      <alignment horizontal="center" vertical="center"/>
    </xf>
    <xf numFmtId="0" fontId="85" fillId="13" borderId="0" xfId="0" applyFont="1" applyFill="1" applyBorder="1" applyAlignment="1">
      <alignment vertical="center"/>
    </xf>
    <xf numFmtId="0" fontId="85" fillId="13" borderId="302" xfId="0" applyFont="1" applyFill="1" applyBorder="1">
      <alignment vertical="center"/>
    </xf>
    <xf numFmtId="6" fontId="85" fillId="13" borderId="0" xfId="0" applyNumberFormat="1" applyFont="1" applyFill="1" applyAlignment="1">
      <alignment horizontal="centerContinuous" vertical="center"/>
    </xf>
    <xf numFmtId="0" fontId="85" fillId="13" borderId="0" xfId="0" applyFont="1" applyFill="1" applyAlignment="1">
      <alignment horizontal="centerContinuous" vertical="center"/>
    </xf>
    <xf numFmtId="203" fontId="85" fillId="7" borderId="58" xfId="0" applyNumberFormat="1" applyFont="1" applyFill="1" applyBorder="1" applyAlignment="1">
      <alignment horizontal="right" vertical="center"/>
    </xf>
    <xf numFmtId="203" fontId="85" fillId="13" borderId="0" xfId="0" applyNumberFormat="1" applyFont="1" applyFill="1" applyAlignment="1">
      <alignment horizontal="centerContinuous" vertical="center"/>
    </xf>
    <xf numFmtId="203" fontId="85" fillId="7" borderId="0" xfId="0" applyNumberFormat="1" applyFont="1" applyFill="1" applyAlignment="1">
      <alignment horizontal="centerContinuous" vertical="center"/>
    </xf>
    <xf numFmtId="0" fontId="20" fillId="12" borderId="299" xfId="0" applyFont="1" applyFill="1" applyBorder="1">
      <alignment vertical="center"/>
    </xf>
    <xf numFmtId="0" fontId="85" fillId="12" borderId="306" xfId="0" applyFont="1" applyFill="1" applyBorder="1">
      <alignment vertical="center"/>
    </xf>
    <xf numFmtId="0" fontId="85" fillId="12" borderId="45" xfId="0" applyFont="1" applyFill="1" applyBorder="1">
      <alignment vertical="center"/>
    </xf>
    <xf numFmtId="0" fontId="85" fillId="7" borderId="0" xfId="0" applyFont="1" applyFill="1" applyAlignment="1">
      <alignment horizontal="center" vertical="center"/>
    </xf>
    <xf numFmtId="0" fontId="20" fillId="7" borderId="309" xfId="0" applyFont="1" applyFill="1" applyBorder="1" applyAlignment="1">
      <alignment vertical="center"/>
    </xf>
    <xf numFmtId="0" fontId="3" fillId="0" borderId="128" xfId="0" applyFont="1" applyBorder="1" applyAlignment="1">
      <alignment vertical="center"/>
    </xf>
    <xf numFmtId="0" fontId="3" fillId="0" borderId="337" xfId="0" applyFont="1" applyBorder="1" applyAlignment="1">
      <alignment vertical="center"/>
    </xf>
    <xf numFmtId="0" fontId="3" fillId="5" borderId="290" xfId="0" applyFont="1" applyFill="1" applyBorder="1" applyAlignment="1">
      <alignment horizontal="right" vertical="center"/>
    </xf>
    <xf numFmtId="180" fontId="66" fillId="7" borderId="131" xfId="0" applyNumberFormat="1" applyFont="1" applyFill="1" applyBorder="1" applyAlignment="1">
      <alignment vertical="center"/>
    </xf>
    <xf numFmtId="180" fontId="66" fillId="7" borderId="135" xfId="0" applyNumberFormat="1" applyFont="1" applyFill="1" applyBorder="1" applyAlignment="1">
      <alignment vertical="center"/>
    </xf>
    <xf numFmtId="0" fontId="66" fillId="7" borderId="135" xfId="0" applyFont="1" applyFill="1" applyBorder="1" applyAlignment="1">
      <alignment horizontal="left" vertical="center"/>
    </xf>
    <xf numFmtId="0" fontId="58" fillId="3" borderId="0" xfId="0" applyFont="1" applyFill="1">
      <alignment vertical="center"/>
    </xf>
    <xf numFmtId="0" fontId="96" fillId="0" borderId="0" xfId="0" quotePrefix="1" applyFont="1">
      <alignment vertical="center"/>
    </xf>
    <xf numFmtId="0" fontId="84" fillId="0" borderId="1" xfId="0" applyFont="1" applyBorder="1" applyAlignment="1">
      <alignment horizontal="center" vertical="center" wrapText="1"/>
    </xf>
    <xf numFmtId="0" fontId="84" fillId="0" borderId="41" xfId="0" applyFont="1" applyBorder="1" applyAlignment="1">
      <alignment horizontal="center" vertical="center" wrapText="1"/>
    </xf>
    <xf numFmtId="0" fontId="85" fillId="0" borderId="53" xfId="0" applyFont="1" applyBorder="1" applyAlignment="1">
      <alignment horizontal="center" vertical="center" wrapText="1"/>
    </xf>
    <xf numFmtId="24" fontId="85" fillId="0" borderId="53" xfId="0" applyNumberFormat="1" applyFont="1" applyBorder="1" applyAlignment="1">
      <alignment horizontal="center" vertical="center" wrapText="1"/>
    </xf>
    <xf numFmtId="0" fontId="85" fillId="0" borderId="53" xfId="0" applyFont="1" applyBorder="1" applyAlignment="1">
      <alignment horizontal="right" vertical="center" wrapText="1"/>
    </xf>
    <xf numFmtId="3" fontId="85" fillId="0" borderId="53" xfId="0" applyNumberFormat="1" applyFont="1" applyBorder="1" applyAlignment="1">
      <alignment horizontal="right" vertical="center" wrapText="1"/>
    </xf>
    <xf numFmtId="0" fontId="85" fillId="0" borderId="339" xfId="0" applyFont="1" applyBorder="1" applyAlignment="1">
      <alignment horizontal="center" vertical="center" wrapText="1"/>
    </xf>
    <xf numFmtId="24" fontId="85" fillId="0" borderId="339" xfId="0" applyNumberFormat="1" applyFont="1" applyBorder="1" applyAlignment="1">
      <alignment horizontal="center" vertical="center" wrapText="1"/>
    </xf>
    <xf numFmtId="0" fontId="85" fillId="0" borderId="339" xfId="0" applyFont="1" applyBorder="1" applyAlignment="1">
      <alignment horizontal="right" vertical="center" wrapText="1"/>
    </xf>
    <xf numFmtId="3" fontId="85" fillId="0" borderId="339" xfId="0" applyNumberFormat="1" applyFont="1" applyBorder="1" applyAlignment="1">
      <alignment horizontal="right" vertical="center" wrapText="1"/>
    </xf>
    <xf numFmtId="0" fontId="85" fillId="0" borderId="340" xfId="0" applyFont="1" applyBorder="1" applyAlignment="1">
      <alignment horizontal="center" vertical="center" wrapText="1"/>
    </xf>
    <xf numFmtId="3" fontId="85" fillId="0" borderId="340" xfId="0" applyNumberFormat="1" applyFont="1" applyBorder="1" applyAlignment="1">
      <alignment horizontal="right" vertical="center" wrapText="1"/>
    </xf>
    <xf numFmtId="0" fontId="85" fillId="0" borderId="340" xfId="0" applyFont="1" applyBorder="1" applyAlignment="1">
      <alignment horizontal="right" vertical="center" wrapText="1"/>
    </xf>
    <xf numFmtId="3" fontId="84" fillId="0" borderId="341" xfId="0" applyNumberFormat="1" applyFont="1" applyBorder="1" applyAlignment="1">
      <alignment horizontal="right" vertical="center" wrapText="1"/>
    </xf>
    <xf numFmtId="0" fontId="85" fillId="0" borderId="60" xfId="0" applyFont="1" applyBorder="1" applyAlignment="1">
      <alignment horizontal="center" vertical="center" wrapText="1"/>
    </xf>
    <xf numFmtId="24" fontId="85" fillId="0" borderId="60" xfId="0" applyNumberFormat="1" applyFont="1" applyBorder="1" applyAlignment="1">
      <alignment horizontal="center" vertical="center" wrapText="1"/>
    </xf>
    <xf numFmtId="0" fontId="85" fillId="0" borderId="60" xfId="0" applyFont="1" applyBorder="1" applyAlignment="1">
      <alignment horizontal="right" vertical="center" wrapText="1"/>
    </xf>
    <xf numFmtId="3" fontId="85" fillId="0" borderId="60" xfId="0" applyNumberFormat="1" applyFont="1" applyBorder="1" applyAlignment="1">
      <alignment horizontal="right" vertical="center" wrapText="1"/>
    </xf>
    <xf numFmtId="0" fontId="85" fillId="0" borderId="117" xfId="0" applyFont="1" applyBorder="1" applyAlignment="1">
      <alignment vertical="center" wrapText="1"/>
    </xf>
    <xf numFmtId="0" fontId="84" fillId="0" borderId="117" xfId="0" applyFont="1" applyBorder="1" applyAlignment="1">
      <alignment horizontal="center" vertical="center" wrapText="1"/>
    </xf>
    <xf numFmtId="38" fontId="0" fillId="0" borderId="0" xfId="0" applyNumberFormat="1" applyFill="1" applyBorder="1">
      <alignment vertical="center"/>
    </xf>
    <xf numFmtId="38" fontId="0" fillId="0" borderId="0" xfId="0" applyNumberFormat="1" applyFill="1" applyBorder="1" applyAlignment="1">
      <alignment horizontal="right" vertical="center"/>
    </xf>
    <xf numFmtId="38" fontId="37" fillId="0" borderId="0" xfId="0" applyNumberFormat="1" applyFont="1" applyFill="1" applyBorder="1" applyAlignment="1">
      <alignment horizontal="right" vertical="center"/>
    </xf>
    <xf numFmtId="38" fontId="69" fillId="0" borderId="0" xfId="0" applyNumberFormat="1" applyFont="1" applyFill="1" applyBorder="1">
      <alignment vertical="center"/>
    </xf>
    <xf numFmtId="0" fontId="97" fillId="0" borderId="0" xfId="0" applyFont="1" applyAlignment="1"/>
    <xf numFmtId="0" fontId="97" fillId="0" borderId="0" xfId="0" applyFont="1" applyAlignment="1">
      <alignment horizontal="left"/>
    </xf>
    <xf numFmtId="0" fontId="0" fillId="3" borderId="0" xfId="0" applyFill="1">
      <alignment vertical="center"/>
    </xf>
    <xf numFmtId="0" fontId="2" fillId="0" borderId="0" xfId="0" applyFont="1" applyAlignment="1">
      <alignment horizontal="center" vertical="center"/>
    </xf>
    <xf numFmtId="41" fontId="3" fillId="0" borderId="7" xfId="0" applyNumberFormat="1" applyFont="1" applyBorder="1" applyAlignment="1">
      <alignment vertical="center"/>
    </xf>
    <xf numFmtId="9" fontId="2" fillId="0" borderId="0" xfId="0" applyNumberFormat="1" applyFont="1">
      <alignment vertical="center"/>
    </xf>
    <xf numFmtId="38" fontId="0" fillId="0" borderId="180" xfId="0" applyNumberFormat="1" applyFill="1" applyBorder="1" applyAlignment="1">
      <alignment horizontal="right" vertical="center"/>
    </xf>
    <xf numFmtId="38" fontId="37" fillId="0" borderId="201" xfId="0" applyNumberFormat="1" applyFont="1" applyFill="1" applyBorder="1" applyAlignment="1">
      <alignment horizontal="right" vertical="center"/>
    </xf>
    <xf numFmtId="38" fontId="0" fillId="0" borderId="167" xfId="0" applyNumberFormat="1" applyFill="1" applyBorder="1">
      <alignment vertical="center"/>
    </xf>
    <xf numFmtId="38" fontId="0" fillId="0" borderId="144" xfId="0" applyNumberFormat="1" applyFill="1" applyBorder="1">
      <alignment vertical="center"/>
    </xf>
    <xf numFmtId="38" fontId="69" fillId="0" borderId="144" xfId="0" applyNumberFormat="1" applyFont="1" applyFill="1" applyBorder="1">
      <alignment vertical="center"/>
    </xf>
    <xf numFmtId="38" fontId="0" fillId="0" borderId="145" xfId="0" applyNumberFormat="1" applyFill="1" applyBorder="1">
      <alignment vertical="center"/>
    </xf>
    <xf numFmtId="38" fontId="0" fillId="0" borderId="279" xfId="0" applyNumberFormat="1" applyFill="1" applyBorder="1">
      <alignment vertical="center"/>
    </xf>
    <xf numFmtId="38" fontId="0" fillId="0" borderId="228" xfId="0" applyNumberFormat="1" applyFill="1" applyBorder="1">
      <alignment vertical="center"/>
    </xf>
    <xf numFmtId="38" fontId="0" fillId="0" borderId="179" xfId="0" applyNumberFormat="1" applyFill="1" applyBorder="1" applyAlignment="1">
      <alignment horizontal="right" vertical="center"/>
    </xf>
    <xf numFmtId="38" fontId="37" fillId="0" borderId="221" xfId="0" applyNumberFormat="1" applyFont="1" applyFill="1" applyBorder="1" applyAlignment="1">
      <alignment horizontal="right" vertical="center"/>
    </xf>
    <xf numFmtId="38" fontId="0" fillId="0" borderId="54" xfId="0" applyNumberFormat="1" applyFill="1" applyBorder="1">
      <alignment vertical="center"/>
    </xf>
    <xf numFmtId="38" fontId="0" fillId="0" borderId="143" xfId="0" applyNumberFormat="1" applyFill="1" applyBorder="1">
      <alignment vertical="center"/>
    </xf>
    <xf numFmtId="38" fontId="69" fillId="0" borderId="143" xfId="0" applyNumberFormat="1" applyFont="1" applyFill="1" applyBorder="1">
      <alignment vertical="center"/>
    </xf>
    <xf numFmtId="38" fontId="0" fillId="0" borderId="53" xfId="0" applyNumberFormat="1" applyFill="1" applyBorder="1">
      <alignment vertical="center"/>
    </xf>
    <xf numFmtId="38" fontId="0" fillId="0" borderId="278" xfId="0" applyNumberFormat="1" applyFill="1" applyBorder="1">
      <alignment vertical="center"/>
    </xf>
    <xf numFmtId="38" fontId="0" fillId="0" borderId="284" xfId="0" applyNumberFormat="1" applyFill="1" applyBorder="1" applyAlignment="1">
      <alignment horizontal="right" vertical="center"/>
    </xf>
    <xf numFmtId="38" fontId="37" fillId="0" borderId="251" xfId="0" applyNumberFormat="1" applyFont="1" applyFill="1" applyBorder="1" applyAlignment="1">
      <alignment horizontal="right" vertical="center"/>
    </xf>
    <xf numFmtId="38" fontId="0" fillId="0" borderId="133" xfId="0" applyNumberFormat="1" applyFill="1" applyBorder="1">
      <alignment vertical="center"/>
    </xf>
    <xf numFmtId="38" fontId="0" fillId="0" borderId="200" xfId="0" applyNumberFormat="1" applyFill="1" applyBorder="1">
      <alignment vertical="center"/>
    </xf>
    <xf numFmtId="38" fontId="69" fillId="0" borderId="200" xfId="0" applyNumberFormat="1" applyFont="1" applyFill="1" applyBorder="1">
      <alignment vertical="center"/>
    </xf>
    <xf numFmtId="38" fontId="0" fillId="0" borderId="47" xfId="0" applyNumberFormat="1" applyFill="1" applyBorder="1">
      <alignment vertical="center"/>
    </xf>
    <xf numFmtId="38" fontId="0" fillId="0" borderId="285" xfId="0" applyNumberFormat="1" applyFill="1" applyBorder="1">
      <alignment vertical="center"/>
    </xf>
    <xf numFmtId="38" fontId="0" fillId="0" borderId="286" xfId="0" applyNumberFormat="1" applyFill="1" applyBorder="1">
      <alignment vertical="center"/>
    </xf>
    <xf numFmtId="41" fontId="3" fillId="0" borderId="56" xfId="1" applyFont="1" applyFill="1" applyBorder="1">
      <alignment vertical="center"/>
    </xf>
    <xf numFmtId="38" fontId="3" fillId="10" borderId="25" xfId="0" applyNumberFormat="1" applyFont="1" applyFill="1" applyBorder="1">
      <alignment vertical="center"/>
    </xf>
    <xf numFmtId="38" fontId="3" fillId="10" borderId="345" xfId="0" applyNumberFormat="1" applyFont="1" applyFill="1" applyBorder="1">
      <alignment vertical="center"/>
    </xf>
    <xf numFmtId="0" fontId="0" fillId="4" borderId="103" xfId="0" applyFill="1" applyBorder="1" applyAlignment="1">
      <alignment vertical="center"/>
    </xf>
    <xf numFmtId="38" fontId="0" fillId="7" borderId="346" xfId="0" applyNumberFormat="1" applyFill="1" applyBorder="1">
      <alignment vertical="center"/>
    </xf>
    <xf numFmtId="183" fontId="0" fillId="7" borderId="154" xfId="2" applyNumberFormat="1" applyFont="1" applyFill="1" applyBorder="1">
      <alignment vertical="center"/>
    </xf>
    <xf numFmtId="182" fontId="83" fillId="5" borderId="211" xfId="2" applyNumberFormat="1" applyFont="1" applyFill="1" applyBorder="1" applyAlignment="1" applyProtection="1">
      <alignment horizontal="right" vertical="center"/>
      <protection locked="0"/>
    </xf>
    <xf numFmtId="182" fontId="83" fillId="5" borderId="213" xfId="2" applyNumberFormat="1" applyFont="1" applyFill="1" applyBorder="1" applyAlignment="1">
      <alignment horizontal="right" vertical="center"/>
    </xf>
    <xf numFmtId="0" fontId="3" fillId="4" borderId="48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3" fillId="4" borderId="41" xfId="0" applyFont="1" applyFill="1" applyBorder="1" applyAlignment="1">
      <alignment horizontal="center" vertical="center" wrapText="1"/>
    </xf>
    <xf numFmtId="0" fontId="66" fillId="4" borderId="41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37" fillId="0" borderId="0" xfId="0" applyFont="1" applyFill="1">
      <alignment vertical="center"/>
    </xf>
    <xf numFmtId="0" fontId="98" fillId="0" borderId="0" xfId="0" applyFont="1">
      <alignment vertical="center"/>
    </xf>
    <xf numFmtId="0" fontId="3" fillId="5" borderId="4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9" fillId="23" borderId="49" xfId="0" applyFont="1" applyFill="1" applyBorder="1" applyAlignment="1">
      <alignment horizontal="center" vertical="top"/>
    </xf>
    <xf numFmtId="0" fontId="99" fillId="0" borderId="165" xfId="0" applyFont="1" applyFill="1" applyBorder="1" applyAlignment="1">
      <alignment horizontal="center" vertical="top"/>
    </xf>
    <xf numFmtId="0" fontId="99" fillId="0" borderId="347" xfId="0" applyFont="1" applyFill="1" applyBorder="1" applyAlignment="1">
      <alignment horizontal="center" vertical="top"/>
    </xf>
    <xf numFmtId="0" fontId="99" fillId="0" borderId="52" xfId="0" applyFont="1" applyFill="1" applyBorder="1" applyAlignment="1">
      <alignment horizontal="center" vertical="top"/>
    </xf>
    <xf numFmtId="0" fontId="99" fillId="0" borderId="49" xfId="0" applyFont="1" applyFill="1" applyBorder="1" applyAlignment="1">
      <alignment horizontal="center" vertical="top"/>
    </xf>
    <xf numFmtId="0" fontId="99" fillId="23" borderId="48" xfId="0" applyFont="1" applyFill="1" applyBorder="1" applyAlignment="1">
      <alignment horizontal="center" vertical="top"/>
    </xf>
    <xf numFmtId="0" fontId="99" fillId="23" borderId="132" xfId="0" applyFont="1" applyFill="1" applyBorder="1" applyAlignment="1">
      <alignment horizontal="center" vertical="top"/>
    </xf>
    <xf numFmtId="0" fontId="99" fillId="23" borderId="50" xfId="0" applyFont="1" applyFill="1" applyBorder="1" applyAlignment="1">
      <alignment horizontal="center" vertical="top"/>
    </xf>
    <xf numFmtId="0" fontId="99" fillId="23" borderId="41" xfId="0" applyFont="1" applyFill="1" applyBorder="1" applyAlignment="1">
      <alignment horizontal="center" vertical="top"/>
    </xf>
    <xf numFmtId="0" fontId="99" fillId="0" borderId="41" xfId="0" applyFont="1" applyFill="1" applyBorder="1" applyAlignment="1">
      <alignment horizontal="center" vertical="top"/>
    </xf>
    <xf numFmtId="0" fontId="99" fillId="0" borderId="135" xfId="0" applyFont="1" applyFill="1" applyBorder="1" applyAlignment="1">
      <alignment horizontal="center" vertical="top"/>
    </xf>
    <xf numFmtId="0" fontId="99" fillId="0" borderId="348" xfId="0" applyFont="1" applyFill="1" applyBorder="1" applyAlignment="1">
      <alignment horizontal="center" vertical="top"/>
    </xf>
    <xf numFmtId="0" fontId="99" fillId="0" borderId="37" xfId="0" applyFont="1" applyFill="1" applyBorder="1" applyAlignment="1">
      <alignment horizontal="center" vertical="top"/>
    </xf>
    <xf numFmtId="0" fontId="99" fillId="0" borderId="1" xfId="0" applyFont="1" applyFill="1" applyBorder="1" applyAlignment="1">
      <alignment horizontal="center" vertical="top"/>
    </xf>
    <xf numFmtId="0" fontId="99" fillId="0" borderId="44" xfId="0" applyFont="1" applyFill="1" applyBorder="1" applyAlignment="1">
      <alignment horizontal="center" vertical="top"/>
    </xf>
    <xf numFmtId="0" fontId="33" fillId="7" borderId="107" xfId="0" applyFont="1" applyFill="1" applyBorder="1" applyAlignment="1">
      <alignment horizontal="center" vertical="center"/>
    </xf>
    <xf numFmtId="0" fontId="29" fillId="5" borderId="124" xfId="0" applyFont="1" applyFill="1" applyBorder="1" applyAlignment="1" applyProtection="1">
      <alignment horizontal="center" vertical="center"/>
      <protection locked="0"/>
    </xf>
    <xf numFmtId="38" fontId="29" fillId="24" borderId="46" xfId="1" applyNumberFormat="1" applyFont="1" applyFill="1" applyBorder="1">
      <alignment vertical="center"/>
    </xf>
    <xf numFmtId="38" fontId="29" fillId="24" borderId="145" xfId="1" applyNumberFormat="1" applyFont="1" applyFill="1" applyBorder="1" applyProtection="1">
      <alignment vertical="center"/>
      <protection locked="0"/>
    </xf>
    <xf numFmtId="38" fontId="29" fillId="24" borderId="135" xfId="1" applyNumberFormat="1" applyFont="1" applyFill="1" applyBorder="1" applyProtection="1">
      <alignment vertical="center"/>
      <protection locked="0"/>
    </xf>
    <xf numFmtId="194" fontId="3" fillId="7" borderId="53" xfId="0" applyNumberFormat="1" applyFont="1" applyFill="1" applyBorder="1" applyAlignment="1">
      <alignment horizontal="center" vertical="center"/>
    </xf>
    <xf numFmtId="194" fontId="3" fillId="5" borderId="53" xfId="0" applyNumberFormat="1" applyFont="1" applyFill="1" applyBorder="1" applyAlignment="1">
      <alignment horizontal="center" vertical="center"/>
    </xf>
    <xf numFmtId="194" fontId="3" fillId="0" borderId="53" xfId="0" applyNumberFormat="1" applyFont="1" applyFill="1" applyBorder="1" applyAlignment="1">
      <alignment horizontal="center" vertical="center"/>
    </xf>
    <xf numFmtId="0" fontId="3" fillId="5" borderId="53" xfId="0" applyFont="1" applyFill="1" applyBorder="1" applyAlignment="1">
      <alignment horizontal="center" vertical="center"/>
    </xf>
    <xf numFmtId="0" fontId="11" fillId="13" borderId="263" xfId="0" applyFont="1" applyFill="1" applyBorder="1" applyAlignment="1">
      <alignment horizontal="center" vertical="center"/>
    </xf>
    <xf numFmtId="38" fontId="3" fillId="10" borderId="350" xfId="0" applyNumberFormat="1" applyFont="1" applyFill="1" applyBorder="1">
      <alignment vertical="center"/>
    </xf>
    <xf numFmtId="38" fontId="3" fillId="10" borderId="351" xfId="0" applyNumberFormat="1" applyFont="1" applyFill="1" applyBorder="1">
      <alignment vertical="center"/>
    </xf>
    <xf numFmtId="38" fontId="3" fillId="10" borderId="187" xfId="0" applyNumberFormat="1" applyFont="1" applyFill="1" applyBorder="1">
      <alignment vertical="center"/>
    </xf>
    <xf numFmtId="192" fontId="29" fillId="10" borderId="352" xfId="0" applyNumberFormat="1" applyFont="1" applyFill="1" applyBorder="1">
      <alignment vertical="center"/>
    </xf>
    <xf numFmtId="192" fontId="3" fillId="10" borderId="187" xfId="0" applyNumberFormat="1" applyFont="1" applyFill="1" applyBorder="1">
      <alignment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 wrapText="1"/>
    </xf>
    <xf numFmtId="0" fontId="3" fillId="4" borderId="41" xfId="0" applyFont="1" applyFill="1" applyBorder="1" applyAlignment="1">
      <alignment horizontal="center" vertical="center" wrapText="1"/>
    </xf>
    <xf numFmtId="0" fontId="66" fillId="0" borderId="0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8" fontId="29" fillId="0" borderId="145" xfId="1" applyNumberFormat="1" applyFont="1" applyFill="1" applyBorder="1" applyProtection="1">
      <alignment vertical="center"/>
      <protection locked="0"/>
    </xf>
    <xf numFmtId="38" fontId="29" fillId="0" borderId="135" xfId="1" applyNumberFormat="1" applyFont="1" applyFill="1" applyBorder="1" applyProtection="1">
      <alignment vertical="center"/>
      <protection locked="0"/>
    </xf>
    <xf numFmtId="180" fontId="11" fillId="16" borderId="60" xfId="0" applyNumberFormat="1" applyFont="1" applyFill="1" applyBorder="1" applyAlignment="1">
      <alignment vertical="center"/>
    </xf>
    <xf numFmtId="0" fontId="66" fillId="0" borderId="45" xfId="0" applyFont="1" applyFill="1" applyBorder="1">
      <alignment vertical="center"/>
    </xf>
    <xf numFmtId="0" fontId="2" fillId="0" borderId="45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51" xfId="0" applyFont="1" applyBorder="1">
      <alignment vertical="center"/>
    </xf>
    <xf numFmtId="0" fontId="3" fillId="0" borderId="355" xfId="4" applyFont="1" applyFill="1" applyBorder="1" applyAlignment="1">
      <alignment horizontal="center" vertical="center"/>
    </xf>
    <xf numFmtId="0" fontId="3" fillId="0" borderId="356" xfId="4" applyFont="1" applyFill="1" applyBorder="1" applyAlignment="1">
      <alignment horizontal="center" vertical="center"/>
    </xf>
    <xf numFmtId="0" fontId="2" fillId="0" borderId="132" xfId="0" applyFont="1" applyFill="1" applyBorder="1">
      <alignment vertical="center"/>
    </xf>
    <xf numFmtId="0" fontId="2" fillId="0" borderId="0" xfId="0" applyFont="1" applyFill="1" applyBorder="1">
      <alignment vertical="center"/>
    </xf>
    <xf numFmtId="41" fontId="2" fillId="0" borderId="165" xfId="1" applyFont="1" applyFill="1" applyBorder="1">
      <alignment vertical="center"/>
    </xf>
    <xf numFmtId="41" fontId="2" fillId="0" borderId="0" xfId="1" applyFont="1" applyFill="1">
      <alignment vertical="center"/>
    </xf>
    <xf numFmtId="38" fontId="3" fillId="10" borderId="201" xfId="0" applyNumberFormat="1" applyFont="1" applyFill="1" applyBorder="1">
      <alignment vertical="center"/>
    </xf>
    <xf numFmtId="38" fontId="3" fillId="10" borderId="202" xfId="0" applyNumberFormat="1" applyFont="1" applyFill="1" applyBorder="1">
      <alignment vertical="center"/>
    </xf>
    <xf numFmtId="192" fontId="3" fillId="10" borderId="221" xfId="0" applyNumberFormat="1" applyFont="1" applyFill="1" applyBorder="1">
      <alignment vertical="center"/>
    </xf>
    <xf numFmtId="192" fontId="3" fillId="10" borderId="202" xfId="0" applyNumberFormat="1" applyFont="1" applyFill="1" applyBorder="1">
      <alignment vertical="center"/>
    </xf>
    <xf numFmtId="0" fontId="3" fillId="5" borderId="199" xfId="0" applyFont="1" applyFill="1" applyBorder="1" applyAlignment="1">
      <alignment horizontal="center" vertical="center"/>
    </xf>
    <xf numFmtId="0" fontId="3" fillId="5" borderId="26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8" fontId="66" fillId="12" borderId="136" xfId="0" applyNumberFormat="1" applyFont="1" applyFill="1" applyBorder="1">
      <alignment vertical="center"/>
    </xf>
    <xf numFmtId="38" fontId="66" fillId="12" borderId="0" xfId="0" applyNumberFormat="1" applyFont="1" applyFill="1" applyBorder="1">
      <alignment vertical="center"/>
    </xf>
    <xf numFmtId="192" fontId="66" fillId="12" borderId="143" xfId="0" applyNumberFormat="1" applyFont="1" applyFill="1" applyBorder="1">
      <alignment vertical="center"/>
    </xf>
    <xf numFmtId="192" fontId="66" fillId="12" borderId="138" xfId="0" applyNumberFormat="1" applyFont="1" applyFill="1" applyBorder="1">
      <alignment vertical="center"/>
    </xf>
    <xf numFmtId="0" fontId="3" fillId="5" borderId="199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 wrapText="1"/>
    </xf>
    <xf numFmtId="41" fontId="5" fillId="6" borderId="15" xfId="1" applyNumberFormat="1" applyFont="1" applyFill="1" applyBorder="1" applyAlignment="1">
      <alignment vertical="center"/>
    </xf>
    <xf numFmtId="41" fontId="5" fillId="6" borderId="204" xfId="1" applyNumberFormat="1" applyFont="1" applyFill="1" applyBorder="1" applyAlignment="1">
      <alignment vertical="center"/>
    </xf>
    <xf numFmtId="180" fontId="100" fillId="13" borderId="1" xfId="0" applyNumberFormat="1" applyFont="1" applyFill="1" applyBorder="1" applyAlignment="1">
      <alignment vertical="center"/>
    </xf>
    <xf numFmtId="41" fontId="3" fillId="0" borderId="46" xfId="1" applyFont="1" applyFill="1" applyBorder="1" applyAlignment="1">
      <alignment horizontal="center" vertical="center"/>
    </xf>
    <xf numFmtId="41" fontId="3" fillId="0" borderId="135" xfId="1" applyFont="1" applyFill="1" applyBorder="1" applyAlignment="1">
      <alignment horizontal="center" vertical="center"/>
    </xf>
    <xf numFmtId="41" fontId="3" fillId="0" borderId="53" xfId="1" applyFont="1" applyFill="1" applyBorder="1" applyAlignment="1">
      <alignment horizontal="center" vertical="center"/>
    </xf>
    <xf numFmtId="41" fontId="3" fillId="0" borderId="47" xfId="1" applyFont="1" applyFill="1" applyBorder="1" applyAlignment="1">
      <alignment horizontal="center" vertical="center"/>
    </xf>
    <xf numFmtId="41" fontId="11" fillId="0" borderId="1" xfId="1" applyFont="1" applyFill="1" applyBorder="1" applyAlignment="1">
      <alignment horizontal="center" vertical="center"/>
    </xf>
    <xf numFmtId="41" fontId="9" fillId="0" borderId="0" xfId="1" applyFont="1" applyFill="1" applyBorder="1" applyAlignment="1">
      <alignment horizontal="center" vertical="center"/>
    </xf>
    <xf numFmtId="178" fontId="3" fillId="0" borderId="113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178" fontId="3" fillId="0" borderId="54" xfId="0" applyNumberFormat="1" applyFont="1" applyFill="1" applyBorder="1" applyAlignment="1">
      <alignment horizontal="center" vertical="center"/>
    </xf>
    <xf numFmtId="178" fontId="3" fillId="0" borderId="162" xfId="0" applyNumberFormat="1" applyFont="1" applyFill="1" applyBorder="1" applyAlignment="1">
      <alignment horizontal="center" vertical="center"/>
    </xf>
    <xf numFmtId="178" fontId="11" fillId="0" borderId="43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left" vertical="center"/>
    </xf>
    <xf numFmtId="177" fontId="20" fillId="0" borderId="0" xfId="0" applyNumberFormat="1" applyFont="1" applyBorder="1" applyAlignment="1" applyProtection="1">
      <alignment horizontal="center" vertical="center"/>
    </xf>
    <xf numFmtId="177" fontId="17" fillId="0" borderId="0" xfId="0" applyNumberFormat="1" applyFont="1" applyBorder="1" applyAlignment="1" applyProtection="1">
      <alignment horizontal="center" vertical="center"/>
    </xf>
    <xf numFmtId="38" fontId="2" fillId="25" borderId="135" xfId="1" applyNumberFormat="1" applyFont="1" applyFill="1" applyBorder="1">
      <alignment vertical="center"/>
    </xf>
    <xf numFmtId="3" fontId="0" fillId="7" borderId="53" xfId="1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0" fillId="25" borderId="0" xfId="0" applyFill="1">
      <alignment vertical="center"/>
    </xf>
    <xf numFmtId="0" fontId="79" fillId="25" borderId="0" xfId="0" applyFont="1" applyFill="1">
      <alignment vertical="center"/>
    </xf>
    <xf numFmtId="0" fontId="43" fillId="25" borderId="0" xfId="0" applyFont="1" applyFill="1">
      <alignment vertical="center"/>
    </xf>
    <xf numFmtId="41" fontId="3" fillId="5" borderId="163" xfId="1" applyFont="1" applyFill="1" applyBorder="1" applyAlignment="1">
      <alignment vertical="center"/>
    </xf>
    <xf numFmtId="41" fontId="2" fillId="12" borderId="0" xfId="1" applyNumberFormat="1" applyFont="1" applyFill="1">
      <alignment vertical="center"/>
    </xf>
    <xf numFmtId="177" fontId="5" fillId="5" borderId="357" xfId="1" applyNumberFormat="1" applyFont="1" applyFill="1" applyBorder="1" applyAlignment="1">
      <alignment vertical="center"/>
    </xf>
    <xf numFmtId="180" fontId="11" fillId="5" borderId="233" xfId="0" applyNumberFormat="1" applyFont="1" applyFill="1" applyBorder="1" applyAlignment="1">
      <alignment vertical="center"/>
    </xf>
    <xf numFmtId="0" fontId="76" fillId="13" borderId="36" xfId="0" quotePrefix="1" applyFont="1" applyFill="1" applyBorder="1" applyAlignment="1">
      <alignment horizontal="center" vertical="center" wrapText="1"/>
    </xf>
    <xf numFmtId="2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41" fontId="2" fillId="13" borderId="0" xfId="1" applyFont="1" applyFill="1">
      <alignment vertical="center"/>
    </xf>
    <xf numFmtId="0" fontId="3" fillId="5" borderId="199" xfId="0" applyFont="1" applyFill="1" applyBorder="1" applyAlignment="1">
      <alignment horizontal="center" vertical="center"/>
    </xf>
    <xf numFmtId="0" fontId="6" fillId="0" borderId="23" xfId="0" applyNumberFormat="1" applyFont="1" applyFill="1" applyBorder="1" applyAlignment="1">
      <alignment horizontal="center" vertical="center"/>
    </xf>
    <xf numFmtId="176" fontId="6" fillId="0" borderId="29" xfId="0" applyNumberFormat="1" applyFont="1" applyFill="1" applyBorder="1">
      <alignment vertical="center"/>
    </xf>
    <xf numFmtId="176" fontId="6" fillId="0" borderId="23" xfId="0" applyNumberFormat="1" applyFont="1" applyFill="1" applyBorder="1" applyAlignment="1">
      <alignment horizontal="right" vertical="center"/>
    </xf>
    <xf numFmtId="176" fontId="6" fillId="0" borderId="26" xfId="0" applyNumberFormat="1" applyFont="1" applyFill="1" applyBorder="1" applyAlignment="1">
      <alignment horizontal="right" vertical="center"/>
    </xf>
    <xf numFmtId="176" fontId="6" fillId="0" borderId="29" xfId="0" applyNumberFormat="1" applyFont="1" applyFill="1" applyBorder="1" applyAlignment="1">
      <alignment horizontal="right" vertical="center"/>
    </xf>
    <xf numFmtId="0" fontId="75" fillId="26" borderId="25" xfId="0" applyFont="1" applyFill="1" applyBorder="1" applyAlignment="1">
      <alignment horizontal="center" vertical="center"/>
    </xf>
    <xf numFmtId="0" fontId="75" fillId="26" borderId="28" xfId="0" applyFont="1" applyFill="1" applyBorder="1" applyAlignment="1">
      <alignment horizontal="center" vertical="center"/>
    </xf>
    <xf numFmtId="176" fontId="6" fillId="7" borderId="0" xfId="0" applyNumberFormat="1" applyFont="1" applyFill="1">
      <alignment vertical="center"/>
    </xf>
    <xf numFmtId="0" fontId="6" fillId="7" borderId="23" xfId="0" applyNumberFormat="1" applyFont="1" applyFill="1" applyBorder="1" applyAlignment="1">
      <alignment horizontal="center" vertical="center"/>
    </xf>
    <xf numFmtId="176" fontId="6" fillId="7" borderId="23" xfId="0" applyNumberFormat="1" applyFont="1" applyFill="1" applyBorder="1" applyAlignment="1">
      <alignment horizontal="right" vertical="center"/>
    </xf>
    <xf numFmtId="176" fontId="6" fillId="7" borderId="26" xfId="0" applyNumberFormat="1" applyFont="1" applyFill="1" applyBorder="1" applyAlignment="1">
      <alignment horizontal="right" vertical="center"/>
    </xf>
    <xf numFmtId="176" fontId="6" fillId="7" borderId="29" xfId="0" applyNumberFormat="1" applyFont="1" applyFill="1" applyBorder="1" applyAlignment="1">
      <alignment horizontal="right" vertical="center"/>
    </xf>
    <xf numFmtId="176" fontId="6" fillId="7" borderId="23" xfId="0" applyNumberFormat="1" applyFont="1" applyFill="1" applyBorder="1">
      <alignment vertical="center"/>
    </xf>
    <xf numFmtId="176" fontId="6" fillId="7" borderId="26" xfId="0" applyNumberFormat="1" applyFont="1" applyFill="1" applyBorder="1">
      <alignment vertical="center"/>
    </xf>
    <xf numFmtId="176" fontId="6" fillId="7" borderId="29" xfId="0" applyNumberFormat="1" applyFont="1" applyFill="1" applyBorder="1">
      <alignment vertical="center"/>
    </xf>
    <xf numFmtId="0" fontId="75" fillId="27" borderId="25" xfId="0" applyFont="1" applyFill="1" applyBorder="1" applyAlignment="1">
      <alignment horizontal="center" vertical="center"/>
    </xf>
    <xf numFmtId="0" fontId="75" fillId="27" borderId="28" xfId="0" applyFont="1" applyFill="1" applyBorder="1" applyAlignment="1">
      <alignment horizontal="center" vertical="center"/>
    </xf>
    <xf numFmtId="0" fontId="75" fillId="7" borderId="22" xfId="0" applyFont="1" applyFill="1" applyBorder="1" applyAlignment="1">
      <alignment horizontal="center" vertical="center"/>
    </xf>
    <xf numFmtId="0" fontId="75" fillId="7" borderId="25" xfId="0" applyFont="1" applyFill="1" applyBorder="1" applyAlignment="1">
      <alignment horizontal="center" vertical="center"/>
    </xf>
    <xf numFmtId="0" fontId="75" fillId="7" borderId="28" xfId="0" applyFont="1" applyFill="1" applyBorder="1" applyAlignment="1">
      <alignment horizontal="center" vertical="center"/>
    </xf>
    <xf numFmtId="10" fontId="0" fillId="0" borderId="0" xfId="2" applyNumberFormat="1" applyFont="1">
      <alignment vertical="center"/>
    </xf>
    <xf numFmtId="0" fontId="36" fillId="0" borderId="1" xfId="0" applyFont="1" applyBorder="1" applyAlignment="1">
      <alignment horizontal="center" vertical="center"/>
    </xf>
    <xf numFmtId="9" fontId="0" fillId="0" borderId="1" xfId="0" applyNumberFormat="1" applyBorder="1">
      <alignment vertical="center"/>
    </xf>
    <xf numFmtId="182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0" fontId="79" fillId="0" borderId="0" xfId="0" applyFont="1">
      <alignment vertical="center"/>
    </xf>
    <xf numFmtId="204" fontId="0" fillId="3" borderId="1" xfId="0" applyNumberFormat="1" applyFill="1" applyBorder="1">
      <alignment vertical="center"/>
    </xf>
    <xf numFmtId="0" fontId="2" fillId="13" borderId="0" xfId="0" applyFont="1" applyFill="1" applyAlignment="1">
      <alignment horizontal="left" vertical="center"/>
    </xf>
    <xf numFmtId="0" fontId="2" fillId="13" borderId="0" xfId="0" applyFont="1" applyFill="1">
      <alignment vertical="center"/>
    </xf>
    <xf numFmtId="0" fontId="33" fillId="0" borderId="0" xfId="0" applyFont="1">
      <alignment vertical="center"/>
    </xf>
    <xf numFmtId="41" fontId="0" fillId="3" borderId="0" xfId="1" applyFont="1" applyFill="1">
      <alignment vertical="center"/>
    </xf>
    <xf numFmtId="38" fontId="69" fillId="7" borderId="274" xfId="0" applyNumberFormat="1" applyFont="1" applyFill="1" applyBorder="1">
      <alignment vertical="center"/>
    </xf>
    <xf numFmtId="183" fontId="69" fillId="7" borderId="139" xfId="2" applyNumberFormat="1" applyFont="1" applyFill="1" applyBorder="1">
      <alignment vertical="center"/>
    </xf>
    <xf numFmtId="0" fontId="29" fillId="0" borderId="0" xfId="0" quotePrefix="1" applyFont="1">
      <alignment vertical="center"/>
    </xf>
    <xf numFmtId="0" fontId="4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6" fillId="0" borderId="42" xfId="0" applyFont="1" applyBorder="1">
      <alignment vertical="center"/>
    </xf>
    <xf numFmtId="41" fontId="0" fillId="0" borderId="41" xfId="1" applyFont="1" applyBorder="1">
      <alignment vertical="center"/>
    </xf>
    <xf numFmtId="41" fontId="36" fillId="0" borderId="205" xfId="1" applyFont="1" applyBorder="1">
      <alignment vertical="center"/>
    </xf>
    <xf numFmtId="2" fontId="2" fillId="0" borderId="0" xfId="0" applyNumberFormat="1" applyFont="1">
      <alignment vertical="center"/>
    </xf>
    <xf numFmtId="0" fontId="18" fillId="3" borderId="97" xfId="0" applyFont="1" applyFill="1" applyBorder="1" applyAlignment="1" applyProtection="1">
      <alignment horizontal="center" vertical="center"/>
      <protection locked="0"/>
    </xf>
    <xf numFmtId="0" fontId="18" fillId="3" borderId="95" xfId="0" applyFont="1" applyFill="1" applyBorder="1" applyAlignment="1" applyProtection="1">
      <alignment horizontal="center" vertical="center"/>
      <protection locked="0"/>
    </xf>
    <xf numFmtId="0" fontId="18" fillId="3" borderId="96" xfId="0" applyFont="1" applyFill="1" applyBorder="1" applyAlignment="1" applyProtection="1">
      <alignment horizontal="center" vertical="center"/>
      <protection locked="0"/>
    </xf>
    <xf numFmtId="0" fontId="0" fillId="4" borderId="282" xfId="0" applyFill="1" applyBorder="1" applyAlignment="1">
      <alignment horizontal="center" vertical="center" wrapText="1"/>
    </xf>
    <xf numFmtId="0" fontId="0" fillId="4" borderId="175" xfId="0" applyFill="1" applyBorder="1" applyAlignment="1">
      <alignment horizontal="center" vertical="center" wrapText="1"/>
    </xf>
    <xf numFmtId="0" fontId="0" fillId="4" borderId="175" xfId="0" applyFill="1" applyBorder="1" applyAlignment="1">
      <alignment horizontal="center" vertical="center"/>
    </xf>
    <xf numFmtId="0" fontId="0" fillId="4" borderId="176" xfId="0" applyFill="1" applyBorder="1" applyAlignment="1">
      <alignment horizontal="center" vertical="center"/>
    </xf>
    <xf numFmtId="0" fontId="0" fillId="21" borderId="48" xfId="0" applyFill="1" applyBorder="1" applyAlignment="1">
      <alignment horizontal="center" vertical="center" wrapText="1"/>
    </xf>
    <xf numFmtId="0" fontId="0" fillId="21" borderId="132" xfId="0" applyFill="1" applyBorder="1" applyAlignment="1">
      <alignment horizontal="center" vertical="center" wrapText="1"/>
    </xf>
    <xf numFmtId="0" fontId="0" fillId="21" borderId="50" xfId="0" applyFill="1" applyBorder="1" applyAlignment="1">
      <alignment horizontal="center" vertical="center" wrapText="1"/>
    </xf>
    <xf numFmtId="180" fontId="36" fillId="7" borderId="119" xfId="0" applyNumberFormat="1" applyFont="1" applyFill="1" applyBorder="1" applyAlignment="1">
      <alignment horizontal="center" vertical="center"/>
    </xf>
    <xf numFmtId="180" fontId="36" fillId="7" borderId="51" xfId="0" applyNumberFormat="1" applyFont="1" applyFill="1" applyBorder="1" applyAlignment="1">
      <alignment horizontal="center" vertical="center"/>
    </xf>
    <xf numFmtId="0" fontId="36" fillId="7" borderId="281" xfId="0" applyFont="1" applyFill="1" applyBorder="1" applyAlignment="1">
      <alignment horizontal="center" vertical="center" wrapText="1"/>
    </xf>
    <xf numFmtId="0" fontId="36" fillId="7" borderId="152" xfId="0" applyFont="1" applyFill="1" applyBorder="1" applyAlignment="1">
      <alignment horizontal="center" vertical="center" wrapText="1"/>
    </xf>
    <xf numFmtId="0" fontId="0" fillId="21" borderId="167" xfId="0" applyFill="1" applyBorder="1" applyAlignment="1">
      <alignment horizontal="center" vertical="center" wrapText="1"/>
    </xf>
    <xf numFmtId="0" fontId="0" fillId="19" borderId="243" xfId="0" applyFill="1" applyBorder="1" applyAlignment="1">
      <alignment horizontal="center" vertical="center"/>
    </xf>
    <xf numFmtId="0" fontId="0" fillId="19" borderId="244" xfId="0" applyFill="1" applyBorder="1" applyAlignment="1">
      <alignment horizontal="center" vertical="center"/>
    </xf>
    <xf numFmtId="0" fontId="0" fillId="4" borderId="214" xfId="0" applyFill="1" applyBorder="1" applyAlignment="1">
      <alignment horizontal="center" vertical="center" wrapText="1"/>
    </xf>
    <xf numFmtId="0" fontId="0" fillId="4" borderId="215" xfId="0" applyFill="1" applyBorder="1" applyAlignment="1">
      <alignment horizontal="center" vertical="center" wrapText="1"/>
    </xf>
    <xf numFmtId="0" fontId="0" fillId="4" borderId="216" xfId="0" applyFill="1" applyBorder="1" applyAlignment="1">
      <alignment horizontal="center" vertical="center" wrapText="1"/>
    </xf>
    <xf numFmtId="0" fontId="0" fillId="21" borderId="145" xfId="0" applyFill="1" applyBorder="1" applyAlignment="1">
      <alignment horizontal="center" vertical="center" wrapText="1"/>
    </xf>
    <xf numFmtId="0" fontId="0" fillId="21" borderId="135" xfId="0" applyFill="1" applyBorder="1" applyAlignment="1">
      <alignment horizontal="center" vertical="center" wrapText="1"/>
    </xf>
    <xf numFmtId="0" fontId="0" fillId="21" borderId="37" xfId="0" applyFill="1" applyBorder="1" applyAlignment="1">
      <alignment horizontal="center" vertical="center" wrapText="1"/>
    </xf>
    <xf numFmtId="0" fontId="0" fillId="19" borderId="237" xfId="0" applyFill="1" applyBorder="1" applyAlignment="1">
      <alignment horizontal="center" vertical="center"/>
    </xf>
    <xf numFmtId="0" fontId="0" fillId="19" borderId="238" xfId="0" applyFill="1" applyBorder="1" applyAlignment="1">
      <alignment horizontal="center" vertical="center"/>
    </xf>
    <xf numFmtId="0" fontId="0" fillId="19" borderId="239" xfId="0" applyFill="1" applyBorder="1" applyAlignment="1">
      <alignment horizontal="center" vertical="center"/>
    </xf>
    <xf numFmtId="0" fontId="0" fillId="19" borderId="240" xfId="0" applyFill="1" applyBorder="1" applyAlignment="1">
      <alignment horizontal="center" vertical="center"/>
    </xf>
    <xf numFmtId="0" fontId="0" fillId="21" borderId="41" xfId="0" applyFill="1" applyBorder="1" applyAlignment="1">
      <alignment horizontal="center" vertical="center"/>
    </xf>
    <xf numFmtId="0" fontId="0" fillId="21" borderId="135" xfId="0" applyFill="1" applyBorder="1" applyAlignment="1">
      <alignment horizontal="center" vertical="center"/>
    </xf>
    <xf numFmtId="0" fontId="0" fillId="21" borderId="37" xfId="0" applyFill="1" applyBorder="1" applyAlignment="1">
      <alignment horizontal="center" vertical="center"/>
    </xf>
    <xf numFmtId="0" fontId="0" fillId="21" borderId="92" xfId="0" applyFill="1" applyBorder="1" applyAlignment="1">
      <alignment horizontal="center" vertical="center" wrapText="1"/>
    </xf>
    <xf numFmtId="0" fontId="0" fillId="21" borderId="124" xfId="0" applyFill="1" applyBorder="1" applyAlignment="1">
      <alignment horizontal="center" vertical="center" wrapText="1"/>
    </xf>
    <xf numFmtId="0" fontId="0" fillId="21" borderId="272" xfId="0" applyFill="1" applyBorder="1" applyAlignment="1">
      <alignment horizontal="center" vertical="center" wrapText="1"/>
    </xf>
    <xf numFmtId="180" fontId="0" fillId="7" borderId="151" xfId="0" applyNumberFormat="1" applyFill="1" applyBorder="1" applyAlignment="1">
      <alignment horizontal="center" vertical="center"/>
    </xf>
    <xf numFmtId="180" fontId="0" fillId="7" borderId="113" xfId="0" applyNumberFormat="1" applyFill="1" applyBorder="1" applyAlignment="1">
      <alignment horizontal="center" vertical="center"/>
    </xf>
    <xf numFmtId="180" fontId="0" fillId="7" borderId="144" xfId="0" applyNumberFormat="1" applyFill="1" applyBorder="1" applyAlignment="1">
      <alignment horizontal="center" vertical="center"/>
    </xf>
    <xf numFmtId="180" fontId="0" fillId="7" borderId="136" xfId="0" applyNumberFormat="1" applyFill="1" applyBorder="1" applyAlignment="1">
      <alignment horizontal="center" vertical="center"/>
    </xf>
    <xf numFmtId="180" fontId="0" fillId="0" borderId="143" xfId="0" applyNumberFormat="1" applyFill="1" applyBorder="1" applyAlignment="1">
      <alignment horizontal="left" vertical="center"/>
    </xf>
    <xf numFmtId="180" fontId="0" fillId="0" borderId="55" xfId="0" applyNumberFormat="1" applyFill="1" applyBorder="1" applyAlignment="1">
      <alignment horizontal="left" vertical="center"/>
    </xf>
    <xf numFmtId="0" fontId="36" fillId="11" borderId="91" xfId="0" applyFont="1" applyFill="1" applyBorder="1" applyAlignment="1">
      <alignment horizontal="center" vertical="center"/>
    </xf>
    <xf numFmtId="0" fontId="36" fillId="11" borderId="43" xfId="0" applyFont="1" applyFill="1" applyBorder="1" applyAlignment="1">
      <alignment horizontal="center" vertical="center"/>
    </xf>
    <xf numFmtId="0" fontId="0" fillId="10" borderId="143" xfId="0" applyFill="1" applyBorder="1" applyAlignment="1">
      <alignment horizontal="left" vertical="center"/>
    </xf>
    <xf numFmtId="0" fontId="0" fillId="10" borderId="55" xfId="0" applyFill="1" applyBorder="1" applyAlignment="1">
      <alignment horizontal="left" vertical="center"/>
    </xf>
    <xf numFmtId="180" fontId="0" fillId="7" borderId="137" xfId="0" applyNumberFormat="1" applyFill="1" applyBorder="1" applyAlignment="1">
      <alignment horizontal="left" vertical="center"/>
    </xf>
    <xf numFmtId="180" fontId="0" fillId="7" borderId="58" xfId="0" applyNumberFormat="1" applyFill="1" applyBorder="1" applyAlignment="1">
      <alignment horizontal="left" vertical="center"/>
    </xf>
    <xf numFmtId="180" fontId="0" fillId="7" borderId="144" xfId="0" applyNumberFormat="1" applyFill="1" applyBorder="1" applyAlignment="1">
      <alignment horizontal="left" vertical="center"/>
    </xf>
    <xf numFmtId="180" fontId="0" fillId="7" borderId="55" xfId="0" applyNumberFormat="1" applyFill="1" applyBorder="1" applyAlignment="1">
      <alignment horizontal="left" vertical="center"/>
    </xf>
    <xf numFmtId="180" fontId="0" fillId="7" borderId="143" xfId="0" applyNumberFormat="1" applyFill="1" applyBorder="1" applyAlignment="1">
      <alignment horizontal="left" vertical="center"/>
    </xf>
    <xf numFmtId="0" fontId="0" fillId="7" borderId="55" xfId="0" applyFill="1" applyBorder="1" applyAlignment="1">
      <alignment horizontal="left" vertical="center"/>
    </xf>
    <xf numFmtId="180" fontId="0" fillId="0" borderId="342" xfId="0" applyNumberFormat="1" applyFill="1" applyBorder="1" applyAlignment="1">
      <alignment horizontal="center" vertical="center"/>
    </xf>
    <xf numFmtId="180" fontId="0" fillId="0" borderId="136" xfId="0" applyNumberFormat="1" applyFill="1" applyBorder="1" applyAlignment="1">
      <alignment horizontal="center" vertical="center"/>
    </xf>
    <xf numFmtId="180" fontId="0" fillId="0" borderId="343" xfId="0" applyNumberFormat="1" applyFill="1" applyBorder="1" applyAlignment="1">
      <alignment horizontal="center" vertical="center"/>
    </xf>
    <xf numFmtId="180" fontId="0" fillId="0" borderId="344" xfId="0" applyNumberFormat="1" applyFill="1" applyBorder="1" applyAlignment="1">
      <alignment horizontal="center" vertical="center"/>
    </xf>
    <xf numFmtId="180" fontId="0" fillId="0" borderId="162" xfId="0" applyNumberFormat="1" applyFill="1" applyBorder="1" applyAlignment="1">
      <alignment horizontal="center" vertical="center"/>
    </xf>
    <xf numFmtId="180" fontId="0" fillId="0" borderId="236" xfId="0" applyNumberFormat="1" applyFill="1" applyBorder="1" applyAlignment="1">
      <alignment horizontal="center" vertical="center"/>
    </xf>
    <xf numFmtId="180" fontId="0" fillId="0" borderId="353" xfId="0" applyNumberFormat="1" applyFill="1" applyBorder="1" applyAlignment="1">
      <alignment horizontal="center" vertical="center"/>
    </xf>
    <xf numFmtId="180" fontId="0" fillId="0" borderId="55" xfId="0" applyNumberFormat="1" applyFill="1" applyBorder="1" applyAlignment="1">
      <alignment horizontal="center" vertical="center"/>
    </xf>
    <xf numFmtId="180" fontId="0" fillId="0" borderId="354" xfId="0" applyNumberForma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4" borderId="217" xfId="0" applyFill="1" applyBorder="1" applyAlignment="1">
      <alignment horizontal="center" vertical="center" wrapText="1"/>
    </xf>
    <xf numFmtId="0" fontId="0" fillId="4" borderId="176" xfId="0" applyFill="1" applyBorder="1" applyAlignment="1">
      <alignment horizontal="center" vertical="center" wrapText="1"/>
    </xf>
    <xf numFmtId="0" fontId="0" fillId="4" borderId="102" xfId="0" applyFill="1" applyBorder="1" applyAlignment="1">
      <alignment horizontal="center" vertical="center"/>
    </xf>
    <xf numFmtId="0" fontId="0" fillId="4" borderId="103" xfId="0" applyFill="1" applyBorder="1" applyAlignment="1">
      <alignment horizontal="center" vertical="center"/>
    </xf>
    <xf numFmtId="0" fontId="0" fillId="4" borderId="107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19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180" fontId="36" fillId="11" borderId="149" xfId="0" applyNumberFormat="1" applyFont="1" applyFill="1" applyBorder="1" applyAlignment="1">
      <alignment horizontal="center" vertical="center"/>
    </xf>
    <xf numFmtId="0" fontId="36" fillId="11" borderId="45" xfId="0" applyFont="1" applyFill="1" applyBorder="1" applyAlignment="1">
      <alignment horizontal="center" vertical="center"/>
    </xf>
    <xf numFmtId="180" fontId="0" fillId="11" borderId="107" xfId="0" applyNumberFormat="1" applyFill="1" applyBorder="1" applyAlignment="1">
      <alignment horizontal="center" vertical="center"/>
    </xf>
    <xf numFmtId="180" fontId="0" fillId="11" borderId="0" xfId="0" applyNumberFormat="1" applyFill="1" applyBorder="1" applyAlignment="1">
      <alignment horizontal="center" vertical="center"/>
    </xf>
    <xf numFmtId="180" fontId="0" fillId="0" borderId="0" xfId="0" applyNumberFormat="1" applyFill="1" applyBorder="1" applyAlignment="1">
      <alignment horizontal="center" vertical="center"/>
    </xf>
    <xf numFmtId="180" fontId="36" fillId="11" borderId="45" xfId="0" applyNumberFormat="1" applyFont="1" applyFill="1" applyBorder="1" applyAlignment="1">
      <alignment horizontal="center" vertical="center"/>
    </xf>
    <xf numFmtId="180" fontId="0" fillId="11" borderId="115" xfId="0" applyNumberFormat="1" applyFill="1" applyBorder="1" applyAlignment="1">
      <alignment horizontal="center" vertical="center"/>
    </xf>
    <xf numFmtId="180" fontId="0" fillId="11" borderId="100" xfId="0" applyNumberFormat="1" applyFill="1" applyBorder="1" applyAlignment="1">
      <alignment horizontal="center" vertical="center"/>
    </xf>
    <xf numFmtId="180" fontId="0" fillId="7" borderId="154" xfId="0" applyNumberFormat="1" applyFill="1" applyBorder="1" applyAlignment="1">
      <alignment horizontal="center" vertical="center"/>
    </xf>
    <xf numFmtId="180" fontId="0" fillId="7" borderId="100" xfId="0" applyNumberFormat="1" applyFill="1" applyBorder="1" applyAlignment="1">
      <alignment horizontal="center" vertical="center"/>
    </xf>
    <xf numFmtId="0" fontId="20" fillId="0" borderId="119" xfId="0" applyFont="1" applyBorder="1" applyAlignment="1" applyProtection="1">
      <alignment horizontal="center" vertical="center"/>
    </xf>
    <xf numFmtId="0" fontId="20" fillId="0" borderId="51" xfId="0" applyFont="1" applyBorder="1" applyAlignment="1" applyProtection="1">
      <alignment horizontal="center" vertical="center"/>
    </xf>
    <xf numFmtId="0" fontId="20" fillId="0" borderId="52" xfId="0" applyFont="1" applyBorder="1" applyAlignment="1" applyProtection="1">
      <alignment horizontal="center" vertical="center"/>
    </xf>
    <xf numFmtId="0" fontId="20" fillId="0" borderId="115" xfId="0" applyFont="1" applyBorder="1" applyAlignment="1" applyProtection="1">
      <alignment horizontal="center" vertical="center"/>
    </xf>
    <xf numFmtId="0" fontId="20" fillId="0" borderId="100" xfId="0" applyFont="1" applyBorder="1" applyAlignment="1" applyProtection="1">
      <alignment horizontal="center" vertical="center"/>
    </xf>
    <xf numFmtId="0" fontId="20" fillId="0" borderId="101" xfId="0" applyFont="1" applyBorder="1" applyAlignment="1" applyProtection="1">
      <alignment horizontal="center" vertical="center"/>
    </xf>
    <xf numFmtId="0" fontId="19" fillId="0" borderId="105" xfId="0" applyFont="1" applyBorder="1" applyAlignment="1" applyProtection="1">
      <alignment horizontal="center" vertical="center" wrapText="1"/>
    </xf>
    <xf numFmtId="0" fontId="19" fillId="0" borderId="104" xfId="0" applyFont="1" applyBorder="1" applyAlignment="1" applyProtection="1">
      <alignment horizontal="center" vertical="center" wrapText="1"/>
    </xf>
    <xf numFmtId="0" fontId="19" fillId="0" borderId="50" xfId="0" applyFont="1" applyBorder="1" applyAlignment="1" applyProtection="1">
      <alignment horizontal="center" vertical="center" wrapText="1"/>
    </xf>
    <xf numFmtId="0" fontId="19" fillId="0" borderId="52" xfId="0" applyFont="1" applyBorder="1" applyAlignment="1" applyProtection="1">
      <alignment horizontal="center" vertical="center" wrapText="1"/>
    </xf>
    <xf numFmtId="177" fontId="20" fillId="0" borderId="42" xfId="0" applyNumberFormat="1" applyFont="1" applyBorder="1" applyAlignment="1" applyProtection="1">
      <alignment horizontal="center" vertical="center"/>
    </xf>
    <xf numFmtId="177" fontId="20" fillId="0" borderId="44" xfId="0" applyNumberFormat="1" applyFont="1" applyBorder="1" applyAlignment="1" applyProtection="1">
      <alignment horizontal="center" vertical="center"/>
    </xf>
    <xf numFmtId="177" fontId="17" fillId="0" borderId="97" xfId="0" applyNumberFormat="1" applyFont="1" applyBorder="1" applyAlignment="1" applyProtection="1">
      <alignment horizontal="center" vertical="center"/>
    </xf>
    <xf numFmtId="177" fontId="17" fillId="0" borderId="96" xfId="0" applyNumberFormat="1" applyFont="1" applyBorder="1" applyAlignment="1" applyProtection="1">
      <alignment horizontal="center" vertical="center"/>
    </xf>
    <xf numFmtId="41" fontId="20" fillId="0" borderId="42" xfId="1" applyFont="1" applyBorder="1" applyAlignment="1" applyProtection="1">
      <alignment horizontal="center" vertical="center"/>
    </xf>
    <xf numFmtId="41" fontId="20" fillId="0" borderId="43" xfId="1" applyFont="1" applyBorder="1" applyAlignment="1" applyProtection="1">
      <alignment horizontal="center" vertical="center"/>
    </xf>
    <xf numFmtId="41" fontId="20" fillId="0" borderId="44" xfId="1" applyFont="1" applyBorder="1" applyAlignment="1" applyProtection="1">
      <alignment horizontal="center" vertical="center"/>
    </xf>
    <xf numFmtId="182" fontId="20" fillId="0" borderId="42" xfId="2" applyNumberFormat="1" applyFont="1" applyBorder="1" applyAlignment="1" applyProtection="1">
      <alignment horizontal="right" vertical="center"/>
    </xf>
    <xf numFmtId="182" fontId="20" fillId="0" borderId="43" xfId="2" applyNumberFormat="1" applyFont="1" applyBorder="1" applyAlignment="1" applyProtection="1">
      <alignment horizontal="right" vertical="center"/>
    </xf>
    <xf numFmtId="182" fontId="20" fillId="0" borderId="44" xfId="2" applyNumberFormat="1" applyFont="1" applyBorder="1" applyAlignment="1" applyProtection="1">
      <alignment horizontal="right" vertical="center"/>
    </xf>
    <xf numFmtId="0" fontId="18" fillId="0" borderId="42" xfId="0" applyFont="1" applyBorder="1" applyAlignment="1" applyProtection="1">
      <alignment horizontal="center" vertical="center"/>
    </xf>
    <xf numFmtId="0" fontId="18" fillId="0" borderId="43" xfId="0" applyFont="1" applyBorder="1" applyAlignment="1" applyProtection="1">
      <alignment horizontal="center" vertical="center"/>
    </xf>
    <xf numFmtId="0" fontId="18" fillId="0" borderId="93" xfId="0" applyFont="1" applyBorder="1" applyAlignment="1" applyProtection="1">
      <alignment horizontal="center" vertical="center"/>
    </xf>
    <xf numFmtId="0" fontId="19" fillId="0" borderId="106" xfId="0" applyFont="1" applyBorder="1" applyAlignment="1" applyProtection="1">
      <alignment horizontal="center" vertical="center" wrapText="1"/>
    </xf>
    <xf numFmtId="0" fontId="19" fillId="0" borderId="272" xfId="0" applyFont="1" applyBorder="1" applyAlignment="1" applyProtection="1">
      <alignment horizontal="center" vertical="center" wrapText="1"/>
    </xf>
    <xf numFmtId="0" fontId="20" fillId="0" borderId="89" xfId="0" applyFont="1" applyBorder="1" applyAlignment="1" applyProtection="1">
      <alignment horizontal="center" vertical="center"/>
    </xf>
    <xf numFmtId="0" fontId="20" fillId="0" borderId="88" xfId="0" applyFont="1" applyBorder="1" applyAlignment="1" applyProtection="1">
      <alignment horizontal="center" vertical="center"/>
    </xf>
    <xf numFmtId="0" fontId="20" fillId="0" borderId="116" xfId="0" applyFont="1" applyBorder="1" applyAlignment="1" applyProtection="1">
      <alignment horizontal="center" vertical="center" wrapText="1"/>
    </xf>
    <xf numFmtId="0" fontId="20" fillId="0" borderId="37" xfId="0" applyFont="1" applyBorder="1" applyAlignment="1" applyProtection="1">
      <alignment horizontal="center" vertical="center" wrapText="1"/>
    </xf>
    <xf numFmtId="177" fontId="20" fillId="0" borderId="93" xfId="0" applyNumberFormat="1" applyFont="1" applyBorder="1" applyAlignment="1" applyProtection="1">
      <alignment horizontal="center" vertical="center"/>
    </xf>
    <xf numFmtId="0" fontId="18" fillId="3" borderId="115" xfId="0" quotePrefix="1" applyFont="1" applyFill="1" applyBorder="1" applyAlignment="1" applyProtection="1">
      <alignment horizontal="left" vertical="center" wrapText="1"/>
    </xf>
    <xf numFmtId="0" fontId="18" fillId="3" borderId="100" xfId="0" quotePrefix="1" applyFont="1" applyFill="1" applyBorder="1" applyAlignment="1" applyProtection="1">
      <alignment horizontal="left" vertical="center" wrapText="1"/>
    </xf>
    <xf numFmtId="0" fontId="18" fillId="3" borderId="118" xfId="0" quotePrefix="1" applyFont="1" applyFill="1" applyBorder="1" applyAlignment="1" applyProtection="1">
      <alignment horizontal="left" vertical="center" wrapText="1"/>
    </xf>
    <xf numFmtId="177" fontId="17" fillId="0" borderId="98" xfId="0" applyNumberFormat="1" applyFont="1" applyBorder="1" applyAlignment="1" applyProtection="1">
      <alignment horizontal="center" vertical="center"/>
    </xf>
    <xf numFmtId="177" fontId="20" fillId="0" borderId="97" xfId="0" applyNumberFormat="1" applyFont="1" applyBorder="1" applyAlignment="1" applyProtection="1">
      <alignment horizontal="center" vertical="center"/>
    </xf>
    <xf numFmtId="177" fontId="20" fillId="0" borderId="96" xfId="0" applyNumberFormat="1" applyFont="1" applyBorder="1" applyAlignment="1" applyProtection="1">
      <alignment horizontal="center" vertical="center"/>
    </xf>
    <xf numFmtId="0" fontId="20" fillId="3" borderId="121" xfId="0" applyFont="1" applyFill="1" applyBorder="1" applyAlignment="1" applyProtection="1">
      <alignment horizontal="left" vertical="center"/>
    </xf>
    <xf numFmtId="0" fontId="20" fillId="3" borderId="122" xfId="0" applyFont="1" applyFill="1" applyBorder="1" applyAlignment="1" applyProtection="1">
      <alignment horizontal="left" vertical="center"/>
    </xf>
    <xf numFmtId="0" fontId="20" fillId="3" borderId="123" xfId="0" applyFont="1" applyFill="1" applyBorder="1" applyAlignment="1" applyProtection="1">
      <alignment horizontal="left" vertical="center"/>
    </xf>
    <xf numFmtId="0" fontId="21" fillId="3" borderId="87" xfId="0" applyFont="1" applyFill="1" applyBorder="1" applyAlignment="1" applyProtection="1">
      <alignment horizontal="center" vertical="center"/>
    </xf>
    <xf numFmtId="0" fontId="18" fillId="3" borderId="107" xfId="0" quotePrefix="1" applyFont="1" applyFill="1" applyBorder="1" applyAlignment="1" applyProtection="1">
      <alignment horizontal="left" vertical="center" wrapText="1"/>
    </xf>
    <xf numFmtId="0" fontId="18" fillId="3" borderId="0" xfId="0" quotePrefix="1" applyFont="1" applyFill="1" applyBorder="1" applyAlignment="1" applyProtection="1">
      <alignment horizontal="left" vertical="center" wrapText="1"/>
    </xf>
    <xf numFmtId="0" fontId="18" fillId="3" borderId="124" xfId="0" quotePrefix="1" applyFont="1" applyFill="1" applyBorder="1" applyAlignment="1" applyProtection="1">
      <alignment horizontal="left" vertical="center" wrapText="1"/>
    </xf>
    <xf numFmtId="0" fontId="20" fillId="3" borderId="42" xfId="0" applyFont="1" applyFill="1" applyBorder="1" applyAlignment="1" applyProtection="1">
      <alignment horizontal="center" vertical="center"/>
    </xf>
    <xf numFmtId="0" fontId="20" fillId="3" borderId="43" xfId="0" applyFont="1" applyFill="1" applyBorder="1" applyAlignment="1" applyProtection="1">
      <alignment horizontal="center" vertical="center"/>
    </xf>
    <xf numFmtId="0" fontId="20" fillId="3" borderId="44" xfId="0" applyFont="1" applyFill="1" applyBorder="1" applyAlignment="1" applyProtection="1">
      <alignment horizontal="center" vertical="center"/>
    </xf>
    <xf numFmtId="0" fontId="20" fillId="3" borderId="93" xfId="0" applyFont="1" applyFill="1" applyBorder="1" applyAlignment="1" applyProtection="1">
      <alignment horizontal="center" vertical="center"/>
    </xf>
    <xf numFmtId="0" fontId="20" fillId="3" borderId="99" xfId="0" applyFont="1" applyFill="1" applyBorder="1" applyAlignment="1" applyProtection="1">
      <alignment horizontal="center" vertical="center"/>
    </xf>
    <xf numFmtId="0" fontId="20" fillId="3" borderId="100" xfId="0" applyFont="1" applyFill="1" applyBorder="1" applyAlignment="1" applyProtection="1">
      <alignment horizontal="center" vertical="center"/>
    </xf>
    <xf numFmtId="0" fontId="20" fillId="3" borderId="101" xfId="0" applyFont="1" applyFill="1" applyBorder="1" applyAlignment="1" applyProtection="1">
      <alignment horizontal="center" vertical="center"/>
    </xf>
    <xf numFmtId="0" fontId="20" fillId="3" borderId="118" xfId="0" applyFont="1" applyFill="1" applyBorder="1" applyAlignment="1" applyProtection="1">
      <alignment horizontal="center" vertical="center"/>
    </xf>
    <xf numFmtId="0" fontId="20" fillId="0" borderId="91" xfId="0" applyFont="1" applyBorder="1" applyAlignment="1" applyProtection="1">
      <alignment horizontal="center" vertical="center"/>
    </xf>
    <xf numFmtId="0" fontId="20" fillId="0" borderId="44" xfId="0" applyFont="1" applyBorder="1" applyAlignment="1" applyProtection="1">
      <alignment horizontal="center" vertical="center"/>
    </xf>
    <xf numFmtId="0" fontId="20" fillId="0" borderId="86" xfId="0" applyFont="1" applyBorder="1" applyAlignment="1" applyProtection="1">
      <alignment horizontal="center" vertical="center"/>
    </xf>
    <xf numFmtId="0" fontId="20" fillId="3" borderId="94" xfId="0" applyFont="1" applyFill="1" applyBorder="1" applyAlignment="1" applyProtection="1">
      <alignment horizontal="center" vertical="center"/>
      <protection locked="0"/>
    </xf>
    <xf numFmtId="0" fontId="20" fillId="3" borderId="95" xfId="0" applyFont="1" applyFill="1" applyBorder="1" applyAlignment="1" applyProtection="1">
      <alignment horizontal="center" vertical="center"/>
      <protection locked="0"/>
    </xf>
    <xf numFmtId="0" fontId="20" fillId="3" borderId="96" xfId="0" applyFont="1" applyFill="1" applyBorder="1" applyAlignment="1" applyProtection="1">
      <alignment horizontal="center" vertical="center"/>
      <protection locked="0"/>
    </xf>
    <xf numFmtId="0" fontId="20" fillId="3" borderId="97" xfId="0" applyFont="1" applyFill="1" applyBorder="1" applyAlignment="1" applyProtection="1">
      <alignment horizontal="center" vertical="center"/>
      <protection locked="0"/>
    </xf>
    <xf numFmtId="0" fontId="20" fillId="0" borderId="87" xfId="0" applyFont="1" applyBorder="1" applyAlignment="1" applyProtection="1">
      <alignment horizontal="center" vertical="center"/>
    </xf>
    <xf numFmtId="0" fontId="20" fillId="0" borderId="90" xfId="0" applyFont="1" applyBorder="1" applyAlignment="1" applyProtection="1">
      <alignment horizontal="center" vertical="center"/>
    </xf>
    <xf numFmtId="0" fontId="20" fillId="0" borderId="42" xfId="0" applyFont="1" applyBorder="1" applyAlignment="1" applyProtection="1">
      <alignment horizontal="left" vertical="center"/>
    </xf>
    <xf numFmtId="0" fontId="20" fillId="0" borderId="43" xfId="0" applyFont="1" applyBorder="1" applyAlignment="1" applyProtection="1">
      <alignment horizontal="left" vertical="center"/>
    </xf>
    <xf numFmtId="0" fontId="20" fillId="0" borderId="44" xfId="0" applyFont="1" applyBorder="1" applyAlignment="1" applyProtection="1">
      <alignment horizontal="left" vertical="center"/>
    </xf>
    <xf numFmtId="0" fontId="20" fillId="0" borderId="116" xfId="0" applyFont="1" applyBorder="1" applyAlignment="1" applyProtection="1">
      <alignment horizontal="center" vertical="center" textRotation="255"/>
    </xf>
    <xf numFmtId="0" fontId="20" fillId="0" borderId="117" xfId="0" applyFont="1" applyBorder="1" applyAlignment="1" applyProtection="1">
      <alignment horizontal="center" vertical="center" textRotation="255"/>
    </xf>
    <xf numFmtId="0" fontId="67" fillId="0" borderId="105" xfId="0" applyFont="1" applyBorder="1" applyAlignment="1" applyProtection="1">
      <alignment horizontal="center" vertical="center" wrapText="1"/>
    </xf>
    <xf numFmtId="0" fontId="67" fillId="0" borderId="103" xfId="0" applyFont="1" applyBorder="1" applyAlignment="1" applyProtection="1">
      <alignment horizontal="center" vertical="center" wrapText="1"/>
    </xf>
    <xf numFmtId="0" fontId="67" fillId="0" borderId="106" xfId="0" applyFont="1" applyBorder="1" applyAlignment="1" applyProtection="1">
      <alignment horizontal="center" vertical="center" wrapText="1"/>
    </xf>
    <xf numFmtId="0" fontId="67" fillId="0" borderId="99" xfId="0" applyFont="1" applyBorder="1" applyAlignment="1" applyProtection="1">
      <alignment horizontal="center" vertical="center" wrapText="1"/>
    </xf>
    <xf numFmtId="0" fontId="67" fillId="0" borderId="100" xfId="0" applyFont="1" applyBorder="1" applyAlignment="1" applyProtection="1">
      <alignment horizontal="center" vertical="center" wrapText="1"/>
    </xf>
    <xf numFmtId="0" fontId="67" fillId="0" borderId="118" xfId="0" applyFont="1" applyBorder="1" applyAlignment="1" applyProtection="1">
      <alignment horizontal="center" vertical="center" wrapText="1"/>
    </xf>
    <xf numFmtId="0" fontId="20" fillId="0" borderId="97" xfId="0" applyFont="1" applyBorder="1" applyAlignment="1" applyProtection="1">
      <alignment horizontal="left" vertical="center"/>
    </xf>
    <xf numFmtId="0" fontId="20" fillId="0" borderId="95" xfId="0" applyFont="1" applyBorder="1" applyAlignment="1" applyProtection="1">
      <alignment horizontal="left" vertical="center"/>
    </xf>
    <xf numFmtId="0" fontId="20" fillId="0" borderId="96" xfId="0" applyFont="1" applyBorder="1" applyAlignment="1" applyProtection="1">
      <alignment horizontal="left" vertical="center"/>
    </xf>
    <xf numFmtId="41" fontId="20" fillId="0" borderId="97" xfId="1" applyFont="1" applyBorder="1" applyAlignment="1" applyProtection="1">
      <alignment horizontal="center" vertical="center"/>
    </xf>
    <xf numFmtId="41" fontId="20" fillId="0" borderId="95" xfId="1" applyFont="1" applyBorder="1" applyAlignment="1" applyProtection="1">
      <alignment horizontal="center" vertical="center"/>
    </xf>
    <xf numFmtId="41" fontId="20" fillId="0" borderId="96" xfId="1" applyFont="1" applyBorder="1" applyAlignment="1" applyProtection="1">
      <alignment horizontal="center" vertical="center"/>
    </xf>
    <xf numFmtId="182" fontId="20" fillId="0" borderId="97" xfId="2" applyNumberFormat="1" applyFont="1" applyBorder="1" applyAlignment="1" applyProtection="1">
      <alignment horizontal="right" vertical="center"/>
    </xf>
    <xf numFmtId="182" fontId="20" fillId="0" borderId="95" xfId="2" applyNumberFormat="1" applyFont="1" applyBorder="1" applyAlignment="1" applyProtection="1">
      <alignment horizontal="right" vertical="center"/>
    </xf>
    <xf numFmtId="182" fontId="20" fillId="0" borderId="96" xfId="2" applyNumberFormat="1" applyFont="1" applyBorder="1" applyAlignment="1" applyProtection="1">
      <alignment horizontal="right" vertical="center"/>
    </xf>
    <xf numFmtId="0" fontId="18" fillId="0" borderId="97" xfId="0" applyFont="1" applyBorder="1" applyAlignment="1" applyProtection="1">
      <alignment horizontal="center" vertical="center"/>
    </xf>
    <xf numFmtId="0" fontId="18" fillId="0" borderId="95" xfId="0" applyFont="1" applyBorder="1" applyAlignment="1" applyProtection="1">
      <alignment horizontal="center" vertical="center"/>
    </xf>
    <xf numFmtId="0" fontId="18" fillId="0" borderId="98" xfId="0" applyFont="1" applyBorder="1" applyAlignment="1" applyProtection="1">
      <alignment horizontal="center" vertical="center"/>
    </xf>
    <xf numFmtId="0" fontId="17" fillId="0" borderId="102" xfId="0" applyFont="1" applyBorder="1" applyAlignment="1" applyProtection="1">
      <alignment horizontal="center" vertical="center"/>
    </xf>
    <xf numFmtId="0" fontId="17" fillId="0" borderId="103" xfId="0" applyFont="1" applyBorder="1" applyAlignment="1" applyProtection="1">
      <alignment horizontal="center" vertical="center"/>
    </xf>
    <xf numFmtId="0" fontId="17" fillId="0" borderId="104" xfId="0" applyFont="1" applyBorder="1" applyAlignment="1" applyProtection="1">
      <alignment horizontal="center" vertical="center"/>
    </xf>
    <xf numFmtId="0" fontId="17" fillId="0" borderId="107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18" fillId="0" borderId="105" xfId="0" applyFont="1" applyBorder="1" applyAlignment="1" applyProtection="1">
      <alignment horizontal="center" vertical="center"/>
    </xf>
    <xf numFmtId="0" fontId="18" fillId="0" borderId="103" xfId="0" applyFont="1" applyBorder="1" applyAlignment="1" applyProtection="1">
      <alignment horizontal="center" vertical="center"/>
    </xf>
    <xf numFmtId="0" fontId="18" fillId="0" borderId="104" xfId="0" applyFont="1" applyBorder="1" applyAlignment="1" applyProtection="1">
      <alignment horizontal="center" vertical="center"/>
    </xf>
    <xf numFmtId="0" fontId="18" fillId="0" borderId="106" xfId="0" applyFont="1" applyBorder="1" applyAlignment="1" applyProtection="1">
      <alignment horizontal="center" vertical="center"/>
    </xf>
    <xf numFmtId="41" fontId="20" fillId="0" borderId="108" xfId="1" applyFont="1" applyBorder="1" applyAlignment="1" applyProtection="1">
      <alignment horizontal="center" vertical="center"/>
    </xf>
    <xf numFmtId="41" fontId="20" fillId="0" borderId="109" xfId="1" applyFont="1" applyBorder="1" applyAlignment="1" applyProtection="1">
      <alignment horizontal="center" vertical="center"/>
    </xf>
    <xf numFmtId="41" fontId="20" fillId="0" borderId="110" xfId="1" applyFont="1" applyBorder="1" applyAlignment="1" applyProtection="1">
      <alignment horizontal="center" vertical="center"/>
    </xf>
    <xf numFmtId="41" fontId="20" fillId="0" borderId="111" xfId="1" applyFont="1" applyBorder="1" applyAlignment="1" applyProtection="1">
      <alignment horizontal="center" vertical="center"/>
    </xf>
    <xf numFmtId="182" fontId="20" fillId="0" borderId="111" xfId="2" applyNumberFormat="1" applyFont="1" applyBorder="1" applyAlignment="1" applyProtection="1">
      <alignment horizontal="right" vertical="center"/>
    </xf>
    <xf numFmtId="182" fontId="20" fillId="0" borderId="109" xfId="2" applyNumberFormat="1" applyFont="1" applyBorder="1" applyAlignment="1" applyProtection="1">
      <alignment horizontal="right" vertical="center"/>
    </xf>
    <xf numFmtId="182" fontId="20" fillId="0" borderId="110" xfId="2" applyNumberFormat="1" applyFont="1" applyBorder="1" applyAlignment="1" applyProtection="1">
      <alignment horizontal="right" vertical="center"/>
    </xf>
    <xf numFmtId="0" fontId="20" fillId="0" borderId="111" xfId="0" applyFont="1" applyBorder="1" applyAlignment="1" applyProtection="1">
      <alignment horizontal="center" vertical="center"/>
    </xf>
    <xf numFmtId="0" fontId="20" fillId="0" borderId="109" xfId="0" applyFont="1" applyBorder="1" applyAlignment="1" applyProtection="1">
      <alignment horizontal="center" vertical="center"/>
    </xf>
    <xf numFmtId="0" fontId="20" fillId="0" borderId="273" xfId="0" applyFont="1" applyBorder="1" applyAlignment="1" applyProtection="1">
      <alignment horizontal="center" vertical="center"/>
    </xf>
    <xf numFmtId="41" fontId="20" fillId="0" borderId="50" xfId="1" applyFont="1" applyBorder="1" applyAlignment="1" applyProtection="1">
      <alignment horizontal="center" vertical="center"/>
    </xf>
    <xf numFmtId="41" fontId="20" fillId="0" borderId="51" xfId="1" applyFont="1" applyBorder="1" applyAlignment="1" applyProtection="1">
      <alignment horizontal="center" vertical="center"/>
    </xf>
    <xf numFmtId="41" fontId="20" fillId="0" borderId="52" xfId="1" applyFont="1" applyBorder="1" applyAlignment="1" applyProtection="1">
      <alignment horizontal="center" vertical="center"/>
    </xf>
    <xf numFmtId="182" fontId="20" fillId="0" borderId="50" xfId="2" applyNumberFormat="1" applyFont="1" applyBorder="1" applyAlignment="1" applyProtection="1">
      <alignment horizontal="right" vertical="center"/>
    </xf>
    <xf numFmtId="182" fontId="20" fillId="0" borderId="51" xfId="2" applyNumberFormat="1" applyFont="1" applyBorder="1" applyAlignment="1" applyProtection="1">
      <alignment horizontal="right" vertical="center"/>
    </xf>
    <xf numFmtId="182" fontId="20" fillId="0" borderId="52" xfId="2" applyNumberFormat="1" applyFont="1" applyBorder="1" applyAlignment="1" applyProtection="1">
      <alignment horizontal="right" vertical="center"/>
    </xf>
    <xf numFmtId="0" fontId="18" fillId="0" borderId="50" xfId="0" applyFont="1" applyBorder="1" applyAlignment="1" applyProtection="1">
      <alignment horizontal="center" vertical="center"/>
    </xf>
    <xf numFmtId="0" fontId="18" fillId="0" borderId="51" xfId="0" applyFont="1" applyBorder="1" applyAlignment="1" applyProtection="1">
      <alignment horizontal="center" vertical="center"/>
    </xf>
    <xf numFmtId="0" fontId="18" fillId="0" borderId="272" xfId="0" applyFont="1" applyBorder="1" applyAlignment="1" applyProtection="1">
      <alignment horizontal="center" vertical="center"/>
    </xf>
    <xf numFmtId="0" fontId="18" fillId="0" borderId="44" xfId="0" applyFont="1" applyBorder="1" applyAlignment="1" applyProtection="1">
      <alignment horizontal="center" vertical="center"/>
    </xf>
    <xf numFmtId="0" fontId="18" fillId="3" borderId="42" xfId="0" applyFont="1" applyFill="1" applyBorder="1" applyAlignment="1" applyProtection="1">
      <alignment horizontal="center" vertical="center"/>
      <protection locked="0"/>
    </xf>
    <xf numFmtId="0" fontId="18" fillId="3" borderId="43" xfId="0" applyFont="1" applyFill="1" applyBorder="1" applyAlignment="1" applyProtection="1">
      <alignment horizontal="center" vertical="center"/>
      <protection locked="0"/>
    </xf>
    <xf numFmtId="0" fontId="18" fillId="3" borderId="93" xfId="0" applyFont="1" applyFill="1" applyBorder="1" applyAlignment="1" applyProtection="1">
      <alignment horizontal="center" vertical="center"/>
      <protection locked="0"/>
    </xf>
    <xf numFmtId="0" fontId="18" fillId="0" borderId="94" xfId="0" applyFont="1" applyBorder="1" applyAlignment="1" applyProtection="1">
      <alignment horizontal="center" vertical="center" wrapText="1"/>
    </xf>
    <xf numFmtId="0" fontId="18" fillId="0" borderId="95" xfId="0" applyFont="1" applyBorder="1" applyAlignment="1" applyProtection="1">
      <alignment horizontal="center" vertical="center" wrapText="1"/>
    </xf>
    <xf numFmtId="0" fontId="18" fillId="0" borderId="96" xfId="0" applyFont="1" applyBorder="1" applyAlignment="1" applyProtection="1">
      <alignment horizontal="center" vertical="center" wrapText="1"/>
    </xf>
    <xf numFmtId="0" fontId="18" fillId="3" borderId="97" xfId="0" applyFont="1" applyFill="1" applyBorder="1" applyAlignment="1" applyProtection="1">
      <alignment horizontal="center" vertical="center" wrapText="1" shrinkToFit="1"/>
      <protection locked="0"/>
    </xf>
    <xf numFmtId="0" fontId="18" fillId="3" borderId="95" xfId="0" applyFont="1" applyFill="1" applyBorder="1" applyAlignment="1" applyProtection="1">
      <alignment horizontal="center" vertical="center" wrapText="1" shrinkToFit="1"/>
      <protection locked="0"/>
    </xf>
    <xf numFmtId="0" fontId="18" fillId="3" borderId="96" xfId="0" applyFont="1" applyFill="1" applyBorder="1" applyAlignment="1" applyProtection="1">
      <alignment horizontal="center" vertical="center" wrapText="1" shrinkToFit="1"/>
      <protection locked="0"/>
    </xf>
    <xf numFmtId="0" fontId="18" fillId="0" borderId="96" xfId="0" applyFont="1" applyBorder="1" applyAlignment="1" applyProtection="1">
      <alignment horizontal="center" vertical="center"/>
    </xf>
    <xf numFmtId="181" fontId="18" fillId="3" borderId="97" xfId="0" applyNumberFormat="1" applyFont="1" applyFill="1" applyBorder="1" applyAlignment="1" applyProtection="1">
      <alignment horizontal="center" vertical="center"/>
      <protection locked="0"/>
    </xf>
    <xf numFmtId="181" fontId="18" fillId="3" borderId="95" xfId="0" applyNumberFormat="1" applyFont="1" applyFill="1" applyBorder="1" applyAlignment="1" applyProtection="1">
      <alignment horizontal="center" vertical="center"/>
      <protection locked="0"/>
    </xf>
    <xf numFmtId="181" fontId="18" fillId="3" borderId="98" xfId="0" applyNumberFormat="1" applyFont="1" applyFill="1" applyBorder="1" applyAlignment="1" applyProtection="1">
      <alignment horizontal="center" vertical="center"/>
      <protection locked="0"/>
    </xf>
    <xf numFmtId="0" fontId="18" fillId="0" borderId="94" xfId="0" applyFont="1" applyFill="1" applyBorder="1" applyAlignment="1" applyProtection="1">
      <alignment horizontal="center" vertical="center"/>
      <protection locked="0"/>
    </xf>
    <xf numFmtId="0" fontId="18" fillId="0" borderId="95" xfId="0" applyFont="1" applyFill="1" applyBorder="1" applyAlignment="1" applyProtection="1">
      <alignment horizontal="center" vertical="center"/>
      <protection locked="0"/>
    </xf>
    <xf numFmtId="0" fontId="18" fillId="0" borderId="96" xfId="0" applyFont="1" applyFill="1" applyBorder="1" applyAlignment="1" applyProtection="1">
      <alignment horizontal="center" vertical="center"/>
      <protection locked="0"/>
    </xf>
    <xf numFmtId="0" fontId="18" fillId="3" borderId="97" xfId="0" applyFont="1" applyFill="1" applyBorder="1" applyAlignment="1" applyProtection="1">
      <alignment horizontal="center" vertical="center"/>
      <protection locked="0"/>
    </xf>
    <xf numFmtId="0" fontId="18" fillId="3" borderId="95" xfId="0" applyFont="1" applyFill="1" applyBorder="1" applyAlignment="1" applyProtection="1">
      <alignment horizontal="center" vertical="center"/>
      <protection locked="0"/>
    </xf>
    <xf numFmtId="0" fontId="18" fillId="3" borderId="96" xfId="0" applyFont="1" applyFill="1" applyBorder="1" applyAlignment="1" applyProtection="1">
      <alignment horizontal="center" vertical="center"/>
      <protection locked="0"/>
    </xf>
    <xf numFmtId="0" fontId="18" fillId="3" borderId="98" xfId="0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</xf>
    <xf numFmtId="0" fontId="18" fillId="0" borderId="86" xfId="0" applyFont="1" applyBorder="1" applyAlignment="1" applyProtection="1">
      <alignment horizontal="center" vertical="center"/>
    </xf>
    <xf numFmtId="0" fontId="18" fillId="0" borderId="87" xfId="0" applyFont="1" applyBorder="1" applyAlignment="1" applyProtection="1">
      <alignment horizontal="center" vertical="center"/>
    </xf>
    <xf numFmtId="0" fontId="18" fillId="0" borderId="88" xfId="0" applyFont="1" applyBorder="1" applyAlignment="1" applyProtection="1">
      <alignment horizontal="center" vertical="center"/>
    </xf>
    <xf numFmtId="0" fontId="18" fillId="3" borderId="89" xfId="0" applyFont="1" applyFill="1" applyBorder="1" applyAlignment="1" applyProtection="1">
      <alignment horizontal="center" vertical="center"/>
      <protection locked="0"/>
    </xf>
    <xf numFmtId="0" fontId="18" fillId="3" borderId="87" xfId="0" applyFont="1" applyFill="1" applyBorder="1" applyAlignment="1" applyProtection="1">
      <alignment horizontal="center" vertical="center"/>
      <protection locked="0"/>
    </xf>
    <xf numFmtId="0" fontId="18" fillId="3" borderId="88" xfId="0" applyFont="1" applyFill="1" applyBorder="1" applyAlignment="1" applyProtection="1">
      <alignment horizontal="center" vertical="center"/>
      <protection locked="0"/>
    </xf>
    <xf numFmtId="0" fontId="18" fillId="0" borderId="89" xfId="0" applyFont="1" applyBorder="1" applyAlignment="1" applyProtection="1">
      <alignment horizontal="center" vertical="center"/>
    </xf>
    <xf numFmtId="0" fontId="18" fillId="3" borderId="90" xfId="0" applyFont="1" applyFill="1" applyBorder="1" applyAlignment="1" applyProtection="1">
      <alignment horizontal="center" vertical="center"/>
      <protection locked="0"/>
    </xf>
    <xf numFmtId="0" fontId="18" fillId="0" borderId="91" xfId="0" applyFont="1" applyBorder="1" applyAlignment="1" applyProtection="1">
      <alignment horizontal="center" vertical="center"/>
    </xf>
    <xf numFmtId="0" fontId="19" fillId="3" borderId="42" xfId="0" applyFont="1" applyFill="1" applyBorder="1" applyAlignment="1" applyProtection="1">
      <alignment horizontal="center" vertical="center" wrapText="1" shrinkToFit="1"/>
      <protection locked="0"/>
    </xf>
    <xf numFmtId="0" fontId="19" fillId="3" borderId="43" xfId="0" applyFont="1" applyFill="1" applyBorder="1" applyAlignment="1" applyProtection="1">
      <alignment horizontal="center" vertical="center" wrapText="1" shrinkToFit="1"/>
      <protection locked="0"/>
    </xf>
    <xf numFmtId="0" fontId="19" fillId="3" borderId="44" xfId="0" applyFont="1" applyFill="1" applyBorder="1" applyAlignment="1" applyProtection="1">
      <alignment horizontal="center" vertical="center" wrapText="1" shrinkToFit="1"/>
      <protection locked="0"/>
    </xf>
    <xf numFmtId="0" fontId="18" fillId="0" borderId="48" xfId="0" applyFont="1" applyBorder="1" applyAlignment="1" applyProtection="1">
      <alignment horizontal="center" vertical="center"/>
    </xf>
    <xf numFmtId="0" fontId="18" fillId="0" borderId="45" xfId="0" applyFont="1" applyBorder="1" applyAlignment="1" applyProtection="1">
      <alignment horizontal="center" vertical="center"/>
    </xf>
    <xf numFmtId="0" fontId="18" fillId="0" borderId="49" xfId="0" applyFont="1" applyBorder="1" applyAlignment="1" applyProtection="1">
      <alignment horizontal="center" vertical="center"/>
    </xf>
    <xf numFmtId="0" fontId="18" fillId="3" borderId="48" xfId="0" applyFont="1" applyFill="1" applyBorder="1" applyAlignment="1" applyProtection="1">
      <alignment horizontal="center" vertical="center"/>
      <protection locked="0"/>
    </xf>
    <xf numFmtId="0" fontId="18" fillId="3" borderId="45" xfId="0" applyFont="1" applyFill="1" applyBorder="1" applyAlignment="1" applyProtection="1">
      <alignment horizontal="center" vertical="center"/>
      <protection locked="0"/>
    </xf>
    <xf numFmtId="0" fontId="18" fillId="3" borderId="92" xfId="0" applyFont="1" applyFill="1" applyBorder="1" applyAlignment="1" applyProtection="1">
      <alignment horizontal="center" vertical="center"/>
      <protection locked="0"/>
    </xf>
    <xf numFmtId="0" fontId="18" fillId="9" borderId="86" xfId="0" applyFont="1" applyFill="1" applyBorder="1" applyAlignment="1" applyProtection="1">
      <alignment horizontal="center" vertical="center"/>
    </xf>
    <xf numFmtId="0" fontId="18" fillId="9" borderId="87" xfId="0" applyFont="1" applyFill="1" applyBorder="1" applyAlignment="1" applyProtection="1">
      <alignment horizontal="center" vertical="center"/>
    </xf>
    <xf numFmtId="0" fontId="18" fillId="9" borderId="88" xfId="0" applyFont="1" applyFill="1" applyBorder="1" applyAlignment="1" applyProtection="1">
      <alignment horizontal="center" vertical="center"/>
    </xf>
    <xf numFmtId="0" fontId="18" fillId="9" borderId="89" xfId="0" applyFont="1" applyFill="1" applyBorder="1" applyAlignment="1" applyProtection="1">
      <alignment horizontal="center" vertical="center"/>
    </xf>
    <xf numFmtId="0" fontId="18" fillId="9" borderId="90" xfId="0" applyFont="1" applyFill="1" applyBorder="1" applyAlignment="1" applyProtection="1">
      <alignment horizontal="center" vertical="center"/>
    </xf>
    <xf numFmtId="0" fontId="18" fillId="0" borderId="91" xfId="0" applyFont="1" applyFill="1" applyBorder="1" applyAlignment="1" applyProtection="1">
      <alignment horizontal="center" vertical="center"/>
      <protection locked="0"/>
    </xf>
    <xf numFmtId="0" fontId="18" fillId="0" borderId="43" xfId="0" applyFont="1" applyFill="1" applyBorder="1" applyAlignment="1" applyProtection="1">
      <alignment horizontal="center" vertical="center"/>
      <protection locked="0"/>
    </xf>
    <xf numFmtId="0" fontId="18" fillId="0" borderId="44" xfId="0" applyFont="1" applyFill="1" applyBorder="1" applyAlignment="1" applyProtection="1">
      <alignment horizontal="center" vertical="center"/>
      <protection locked="0"/>
    </xf>
    <xf numFmtId="0" fontId="18" fillId="3" borderId="44" xfId="0" applyFont="1" applyFill="1" applyBorder="1" applyAlignment="1" applyProtection="1">
      <alignment horizontal="center" vertical="center"/>
      <protection locked="0"/>
    </xf>
    <xf numFmtId="14" fontId="18" fillId="3" borderId="42" xfId="0" applyNumberFormat="1" applyFont="1" applyFill="1" applyBorder="1" applyAlignment="1" applyProtection="1">
      <alignment horizontal="center" vertical="center"/>
      <protection locked="0"/>
    </xf>
    <xf numFmtId="14" fontId="18" fillId="3" borderId="43" xfId="0" applyNumberFormat="1" applyFont="1" applyFill="1" applyBorder="1" applyAlignment="1" applyProtection="1">
      <alignment horizontal="center" vertical="center"/>
      <protection locked="0"/>
    </xf>
    <xf numFmtId="14" fontId="18" fillId="3" borderId="44" xfId="0" applyNumberFormat="1" applyFont="1" applyFill="1" applyBorder="1" applyAlignment="1" applyProtection="1">
      <alignment horizontal="center" vertical="center"/>
      <protection locked="0"/>
    </xf>
    <xf numFmtId="0" fontId="3" fillId="4" borderId="42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133" xfId="0" applyFont="1" applyBorder="1" applyAlignment="1">
      <alignment horizontal="center" vertical="center"/>
    </xf>
    <xf numFmtId="0" fontId="3" fillId="0" borderId="134" xfId="0" applyFont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0" fontId="11" fillId="0" borderId="44" xfId="0" applyFont="1" applyFill="1" applyBorder="1" applyAlignment="1">
      <alignment horizontal="center" vertical="center"/>
    </xf>
    <xf numFmtId="0" fontId="11" fillId="13" borderId="39" xfId="0" applyFont="1" applyFill="1" applyBorder="1" applyAlignment="1">
      <alignment horizontal="center" vertical="center"/>
    </xf>
    <xf numFmtId="0" fontId="11" fillId="13" borderId="199" xfId="0" applyFont="1" applyFill="1" applyBorder="1" applyAlignment="1">
      <alignment horizontal="center" vertical="center"/>
    </xf>
    <xf numFmtId="0" fontId="11" fillId="13" borderId="126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90" xfId="0" applyFont="1" applyFill="1" applyBorder="1" applyAlignment="1">
      <alignment horizontal="center" vertical="center" wrapText="1"/>
    </xf>
    <xf numFmtId="0" fontId="3" fillId="4" borderId="192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84" xfId="0" applyFont="1" applyFill="1" applyBorder="1" applyAlignment="1">
      <alignment horizontal="center" vertical="center"/>
    </xf>
    <xf numFmtId="0" fontId="3" fillId="4" borderId="85" xfId="0" applyFont="1" applyFill="1" applyBorder="1" applyAlignment="1">
      <alignment horizontal="center" vertical="center"/>
    </xf>
    <xf numFmtId="0" fontId="3" fillId="4" borderId="84" xfId="0" applyFont="1" applyFill="1" applyBorder="1" applyAlignment="1">
      <alignment horizontal="center" vertical="center" wrapText="1"/>
    </xf>
    <xf numFmtId="0" fontId="3" fillId="4" borderId="349" xfId="0" applyFont="1" applyFill="1" applyBorder="1" applyAlignment="1">
      <alignment horizontal="center" vertical="center"/>
    </xf>
    <xf numFmtId="0" fontId="3" fillId="4" borderId="193" xfId="0" applyFont="1" applyFill="1" applyBorder="1" applyAlignment="1">
      <alignment horizontal="center" vertical="center"/>
    </xf>
    <xf numFmtId="0" fontId="3" fillId="4" borderId="189" xfId="0" applyFont="1" applyFill="1" applyBorder="1" applyAlignment="1">
      <alignment horizontal="center" vertical="center" wrapText="1"/>
    </xf>
    <xf numFmtId="0" fontId="3" fillId="4" borderId="191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263" xfId="0" applyFont="1" applyFill="1" applyBorder="1" applyAlignment="1">
      <alignment horizontal="center" vertical="center"/>
    </xf>
    <xf numFmtId="0" fontId="3" fillId="4" borderId="125" xfId="0" applyFont="1" applyFill="1" applyBorder="1" applyAlignment="1">
      <alignment horizontal="center" vertical="center"/>
    </xf>
    <xf numFmtId="14" fontId="3" fillId="4" borderId="41" xfId="0" applyNumberFormat="1" applyFont="1" applyFill="1" applyBorder="1" applyAlignment="1">
      <alignment horizontal="center" vertical="center"/>
    </xf>
    <xf numFmtId="14" fontId="3" fillId="4" borderId="13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3" fillId="4" borderId="2" xfId="0" applyNumberFormat="1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199" xfId="0" applyFont="1" applyFill="1" applyBorder="1" applyAlignment="1">
      <alignment horizontal="center" vertical="center"/>
    </xf>
    <xf numFmtId="0" fontId="3" fillId="5" borderId="126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3" fillId="5" borderId="264" xfId="0" applyFont="1" applyFill="1" applyBorder="1" applyAlignment="1">
      <alignment horizontal="center" vertical="center"/>
    </xf>
    <xf numFmtId="0" fontId="3" fillId="5" borderId="127" xfId="0" applyFont="1" applyFill="1" applyBorder="1" applyAlignment="1">
      <alignment horizontal="center" vertical="center"/>
    </xf>
    <xf numFmtId="0" fontId="66" fillId="0" borderId="0" xfId="0" applyFont="1" applyFill="1" applyBorder="1" applyAlignment="1">
      <alignment horizontal="center" vertical="center" wrapText="1"/>
    </xf>
    <xf numFmtId="0" fontId="6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1" fillId="0" borderId="121" xfId="0" applyFont="1" applyBorder="1" applyAlignment="1">
      <alignment horizontal="left" vertical="center"/>
    </xf>
    <xf numFmtId="0" fontId="11" fillId="0" borderId="122" xfId="0" applyFont="1" applyBorder="1" applyAlignment="1">
      <alignment horizontal="left" vertical="center"/>
    </xf>
    <xf numFmtId="0" fontId="11" fillId="0" borderId="232" xfId="0" applyFont="1" applyBorder="1" applyAlignment="1">
      <alignment horizontal="left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13" fillId="4" borderId="42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 vertical="center"/>
    </xf>
    <xf numFmtId="0" fontId="11" fillId="0" borderId="54" xfId="0" applyFont="1" applyBorder="1" applyAlignment="1">
      <alignment horizontal="left" vertical="center"/>
    </xf>
    <xf numFmtId="0" fontId="11" fillId="0" borderId="55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178" fontId="13" fillId="5" borderId="41" xfId="0" applyNumberFormat="1" applyFont="1" applyFill="1" applyBorder="1" applyAlignment="1">
      <alignment horizontal="center" vertical="center"/>
    </xf>
    <xf numFmtId="178" fontId="13" fillId="5" borderId="135" xfId="0" applyNumberFormat="1" applyFont="1" applyFill="1" applyBorder="1" applyAlignment="1">
      <alignment horizontal="center" vertical="center"/>
    </xf>
    <xf numFmtId="178" fontId="13" fillId="5" borderId="37" xfId="0" applyNumberFormat="1" applyFont="1" applyFill="1" applyBorder="1" applyAlignment="1">
      <alignment horizontal="center" vertical="center"/>
    </xf>
    <xf numFmtId="179" fontId="13" fillId="5" borderId="41" xfId="0" applyNumberFormat="1" applyFont="1" applyFill="1" applyBorder="1" applyAlignment="1">
      <alignment horizontal="center" vertical="center"/>
    </xf>
    <xf numFmtId="179" fontId="13" fillId="5" borderId="135" xfId="0" applyNumberFormat="1" applyFont="1" applyFill="1" applyBorder="1" applyAlignment="1">
      <alignment horizontal="center" vertical="center"/>
    </xf>
    <xf numFmtId="179" fontId="13" fillId="5" borderId="37" xfId="0" applyNumberFormat="1" applyFont="1" applyFill="1" applyBorder="1" applyAlignment="1">
      <alignment horizontal="center" vertical="center"/>
    </xf>
    <xf numFmtId="189" fontId="13" fillId="5" borderId="23" xfId="0" applyNumberFormat="1" applyFont="1" applyFill="1" applyBorder="1" applyAlignment="1">
      <alignment horizontal="center" vertical="center"/>
    </xf>
    <xf numFmtId="189" fontId="13" fillId="5" borderId="26" xfId="0" applyNumberFormat="1" applyFont="1" applyFill="1" applyBorder="1" applyAlignment="1">
      <alignment horizontal="center" vertical="center"/>
    </xf>
    <xf numFmtId="189" fontId="13" fillId="5" borderId="29" xfId="0" applyNumberFormat="1" applyFont="1" applyFill="1" applyBorder="1" applyAlignment="1">
      <alignment horizontal="center" vertical="center"/>
    </xf>
    <xf numFmtId="190" fontId="13" fillId="5" borderId="24" xfId="0" applyNumberFormat="1" applyFont="1" applyFill="1" applyBorder="1" applyAlignment="1">
      <alignment horizontal="center" vertical="center"/>
    </xf>
    <xf numFmtId="190" fontId="13" fillId="5" borderId="27" xfId="0" applyNumberFormat="1" applyFont="1" applyFill="1" applyBorder="1" applyAlignment="1">
      <alignment horizontal="center" vertical="center"/>
    </xf>
    <xf numFmtId="190" fontId="13" fillId="5" borderId="30" xfId="0" applyNumberFormat="1" applyFont="1" applyFill="1" applyBorder="1" applyAlignment="1">
      <alignment horizontal="center" vertical="center"/>
    </xf>
    <xf numFmtId="0" fontId="13" fillId="10" borderId="143" xfId="0" applyFont="1" applyFill="1" applyBorder="1" applyAlignment="1">
      <alignment horizontal="center" vertical="center"/>
    </xf>
    <xf numFmtId="0" fontId="13" fillId="10" borderId="56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37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3" fillId="0" borderId="170" xfId="0" applyFont="1" applyBorder="1" applyAlignment="1">
      <alignment horizontal="left" vertical="center" indent="1"/>
    </xf>
    <xf numFmtId="0" fontId="3" fillId="0" borderId="207" xfId="0" applyFont="1" applyBorder="1" applyAlignment="1">
      <alignment horizontal="left" vertical="center" indent="1"/>
    </xf>
    <xf numFmtId="0" fontId="3" fillId="0" borderId="168" xfId="0" applyFont="1" applyBorder="1" applyAlignment="1">
      <alignment horizontal="left" vertical="center" indent="1"/>
    </xf>
    <xf numFmtId="0" fontId="3" fillId="0" borderId="208" xfId="0" applyFont="1" applyBorder="1" applyAlignment="1">
      <alignment horizontal="left" vertical="center" indent="1"/>
    </xf>
    <xf numFmtId="0" fontId="3" fillId="0" borderId="171" xfId="0" applyFont="1" applyBorder="1" applyAlignment="1">
      <alignment horizontal="left" vertical="center" indent="1"/>
    </xf>
    <xf numFmtId="0" fontId="3" fillId="0" borderId="132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3" fillId="4" borderId="41" xfId="0" applyFont="1" applyFill="1" applyBorder="1" applyAlignment="1">
      <alignment horizontal="center" vertical="center" wrapText="1"/>
    </xf>
    <xf numFmtId="0" fontId="3" fillId="4" borderId="135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189" fontId="13" fillId="5" borderId="22" xfId="0" applyNumberFormat="1" applyFont="1" applyFill="1" applyBorder="1" applyAlignment="1">
      <alignment horizontal="center" vertical="center"/>
    </xf>
    <xf numFmtId="189" fontId="13" fillId="5" borderId="25" xfId="0" applyNumberFormat="1" applyFont="1" applyFill="1" applyBorder="1" applyAlignment="1">
      <alignment horizontal="center" vertical="center"/>
    </xf>
    <xf numFmtId="189" fontId="13" fillId="5" borderId="28" xfId="0" applyNumberFormat="1" applyFont="1" applyFill="1" applyBorder="1" applyAlignment="1">
      <alignment horizontal="center" vertical="center"/>
    </xf>
    <xf numFmtId="0" fontId="11" fillId="0" borderId="57" xfId="0" applyFont="1" applyBorder="1" applyAlignment="1">
      <alignment horizontal="left" vertical="center"/>
    </xf>
    <xf numFmtId="0" fontId="11" fillId="0" borderId="58" xfId="0" applyFont="1" applyBorder="1" applyAlignment="1">
      <alignment horizontal="left" vertical="center"/>
    </xf>
    <xf numFmtId="0" fontId="11" fillId="0" borderId="59" xfId="0" applyFont="1" applyBorder="1" applyAlignment="1">
      <alignment horizontal="left" vertical="center"/>
    </xf>
    <xf numFmtId="0" fontId="13" fillId="4" borderId="183" xfId="0" applyFont="1" applyFill="1" applyBorder="1" applyAlignment="1">
      <alignment horizontal="center" vertical="center"/>
    </xf>
    <xf numFmtId="0" fontId="13" fillId="4" borderId="185" xfId="0" applyFont="1" applyFill="1" applyBorder="1" applyAlignment="1">
      <alignment horizontal="center" vertical="center"/>
    </xf>
    <xf numFmtId="0" fontId="13" fillId="4" borderId="114" xfId="0" applyFont="1" applyFill="1" applyBorder="1" applyAlignment="1">
      <alignment horizontal="center" vertical="center"/>
    </xf>
    <xf numFmtId="9" fontId="13" fillId="4" borderId="42" xfId="2" applyFont="1" applyFill="1" applyBorder="1" applyAlignment="1">
      <alignment horizontal="center" vertical="center"/>
    </xf>
    <xf numFmtId="9" fontId="13" fillId="4" borderId="43" xfId="2" applyFont="1" applyFill="1" applyBorder="1" applyAlignment="1">
      <alignment horizontal="center" vertical="center"/>
    </xf>
    <xf numFmtId="9" fontId="13" fillId="4" borderId="44" xfId="2" applyFont="1" applyFill="1" applyBorder="1" applyAlignment="1">
      <alignment horizontal="center" vertical="center"/>
    </xf>
    <xf numFmtId="0" fontId="11" fillId="0" borderId="112" xfId="0" applyFont="1" applyFill="1" applyBorder="1" applyAlignment="1">
      <alignment horizontal="left" vertical="center"/>
    </xf>
    <xf numFmtId="0" fontId="11" fillId="0" borderId="206" xfId="0" applyFont="1" applyFill="1" applyBorder="1" applyAlignment="1">
      <alignment horizontal="left" vertical="center"/>
    </xf>
    <xf numFmtId="0" fontId="2" fillId="4" borderId="48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13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165" xfId="0" applyFont="1" applyFill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10" borderId="200" xfId="0" applyFont="1" applyFill="1" applyBorder="1" applyAlignment="1">
      <alignment horizontal="center" vertical="center"/>
    </xf>
    <xf numFmtId="0" fontId="13" fillId="10" borderId="134" xfId="0" applyFont="1" applyFill="1" applyBorder="1" applyAlignment="1">
      <alignment horizontal="center" vertical="center"/>
    </xf>
    <xf numFmtId="185" fontId="13" fillId="5" borderId="41" xfId="0" applyNumberFormat="1" applyFont="1" applyFill="1" applyBorder="1" applyAlignment="1">
      <alignment horizontal="center" vertical="center"/>
    </xf>
    <xf numFmtId="185" fontId="13" fillId="5" borderId="37" xfId="0" applyNumberFormat="1" applyFont="1" applyFill="1" applyBorder="1" applyAlignment="1">
      <alignment horizontal="center" vertical="center"/>
    </xf>
    <xf numFmtId="0" fontId="66" fillId="4" borderId="41" xfId="0" applyFont="1" applyFill="1" applyBorder="1" applyAlignment="1">
      <alignment horizontal="center" vertical="center" wrapText="1"/>
    </xf>
    <xf numFmtId="0" fontId="66" fillId="4" borderId="135" xfId="0" applyFont="1" applyFill="1" applyBorder="1" applyAlignment="1">
      <alignment horizontal="center" vertical="center" wrapText="1"/>
    </xf>
    <xf numFmtId="0" fontId="66" fillId="4" borderId="37" xfId="0" applyFont="1" applyFill="1" applyBorder="1" applyAlignment="1">
      <alignment horizontal="center" vertical="center" wrapText="1"/>
    </xf>
    <xf numFmtId="0" fontId="66" fillId="4" borderId="41" xfId="0" applyFont="1" applyFill="1" applyBorder="1" applyAlignment="1">
      <alignment horizontal="center" vertical="center"/>
    </xf>
    <xf numFmtId="0" fontId="66" fillId="4" borderId="135" xfId="0" applyFont="1" applyFill="1" applyBorder="1" applyAlignment="1">
      <alignment horizontal="center" vertical="center"/>
    </xf>
    <xf numFmtId="0" fontId="66" fillId="4" borderId="37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84" fillId="0" borderId="338" xfId="0" applyFont="1" applyBorder="1" applyAlignment="1">
      <alignment horizontal="center" vertical="center" wrapText="1"/>
    </xf>
    <xf numFmtId="0" fontId="84" fillId="0" borderId="341" xfId="0" applyFont="1" applyBorder="1" applyAlignment="1">
      <alignment horizontal="center" vertical="center" wrapText="1"/>
    </xf>
    <xf numFmtId="0" fontId="85" fillId="0" borderId="135" xfId="0" applyFont="1" applyBorder="1" applyAlignment="1">
      <alignment horizontal="center" vertical="center" wrapText="1"/>
    </xf>
    <xf numFmtId="0" fontId="85" fillId="0" borderId="117" xfId="0" applyFont="1" applyBorder="1" applyAlignment="1">
      <alignment horizontal="center" vertical="center" wrapText="1"/>
    </xf>
    <xf numFmtId="0" fontId="85" fillId="0" borderId="11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0" fillId="7" borderId="291" xfId="0" applyFont="1" applyFill="1" applyBorder="1" applyAlignment="1">
      <alignment horizontal="center" vertical="center"/>
    </xf>
    <xf numFmtId="0" fontId="20" fillId="7" borderId="0" xfId="0" applyFont="1" applyFill="1" applyBorder="1" applyAlignment="1">
      <alignment horizontal="center" vertical="center"/>
    </xf>
    <xf numFmtId="0" fontId="89" fillId="22" borderId="122" xfId="0" applyFont="1" applyFill="1" applyBorder="1" applyAlignment="1">
      <alignment horizontal="center" vertical="center"/>
    </xf>
    <xf numFmtId="0" fontId="89" fillId="22" borderId="292" xfId="0" applyFont="1" applyFill="1" applyBorder="1" applyAlignment="1">
      <alignment horizontal="center" vertical="center"/>
    </xf>
    <xf numFmtId="0" fontId="89" fillId="22" borderId="294" xfId="0" applyFont="1" applyFill="1" applyBorder="1" applyAlignment="1">
      <alignment horizontal="center" vertical="center"/>
    </xf>
    <xf numFmtId="0" fontId="20" fillId="7" borderId="298" xfId="0" applyFont="1" applyFill="1" applyBorder="1" applyAlignment="1">
      <alignment horizontal="center" vertical="center"/>
    </xf>
    <xf numFmtId="0" fontId="20" fillId="7" borderId="51" xfId="0" applyFont="1" applyFill="1" applyBorder="1" applyAlignment="1">
      <alignment horizontal="center" vertical="center"/>
    </xf>
    <xf numFmtId="0" fontId="84" fillId="12" borderId="45" xfId="0" applyFont="1" applyFill="1" applyBorder="1" applyAlignment="1">
      <alignment horizontal="center" vertical="center"/>
    </xf>
    <xf numFmtId="0" fontId="20" fillId="7" borderId="300" xfId="0" applyFont="1" applyFill="1" applyBorder="1" applyAlignment="1">
      <alignment horizontal="left" vertical="center"/>
    </xf>
    <xf numFmtId="202" fontId="85" fillId="7" borderId="296" xfId="0" applyNumberFormat="1" applyFont="1" applyFill="1" applyBorder="1" applyAlignment="1">
      <alignment horizontal="center" vertical="center"/>
    </xf>
    <xf numFmtId="0" fontId="85" fillId="7" borderId="296" xfId="0" applyFont="1" applyFill="1" applyBorder="1" applyAlignment="1">
      <alignment horizontal="center" vertical="center"/>
    </xf>
    <xf numFmtId="0" fontId="20" fillId="7" borderId="296" xfId="0" applyFont="1" applyFill="1" applyBorder="1" applyAlignment="1">
      <alignment horizontal="center" vertical="center"/>
    </xf>
    <xf numFmtId="0" fontId="93" fillId="7" borderId="291" xfId="0" applyFont="1" applyFill="1" applyBorder="1" applyAlignment="1">
      <alignment horizontal="center" vertical="center"/>
    </xf>
    <xf numFmtId="0" fontId="93" fillId="7" borderId="0" xfId="0" applyFont="1" applyFill="1" applyBorder="1" applyAlignment="1">
      <alignment horizontal="center" vertical="center"/>
    </xf>
    <xf numFmtId="0" fontId="85" fillId="7" borderId="291" xfId="0" applyFont="1" applyFill="1" applyBorder="1" applyAlignment="1">
      <alignment horizontal="center" vertical="center"/>
    </xf>
    <xf numFmtId="0" fontId="85" fillId="7" borderId="0" xfId="0" applyFont="1" applyFill="1" applyBorder="1" applyAlignment="1">
      <alignment horizontal="center" vertical="center"/>
    </xf>
    <xf numFmtId="0" fontId="85" fillId="7" borderId="298" xfId="0" applyFont="1" applyFill="1" applyBorder="1" applyAlignment="1">
      <alignment horizontal="center" vertical="center"/>
    </xf>
    <xf numFmtId="0" fontId="85" fillId="7" borderId="51" xfId="0" applyFont="1" applyFill="1" applyBorder="1" applyAlignment="1">
      <alignment horizontal="center" vertical="center"/>
    </xf>
    <xf numFmtId="0" fontId="20" fillId="0" borderId="291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89" fillId="22" borderId="103" xfId="0" applyNumberFormat="1" applyFont="1" applyFill="1" applyBorder="1" applyAlignment="1">
      <alignment horizontal="center" vertical="center"/>
    </xf>
    <xf numFmtId="0" fontId="89" fillId="22" borderId="100" xfId="0" applyNumberFormat="1" applyFont="1" applyFill="1" applyBorder="1" applyAlignment="1">
      <alignment horizontal="center" vertical="center"/>
    </xf>
    <xf numFmtId="0" fontId="89" fillId="22" borderId="306" xfId="0" applyNumberFormat="1" applyFont="1" applyFill="1" applyBorder="1" applyAlignment="1">
      <alignment horizontal="center" vertical="center"/>
    </xf>
    <xf numFmtId="0" fontId="89" fillId="22" borderId="311" xfId="0" applyNumberFormat="1" applyFont="1" applyFill="1" applyBorder="1" applyAlignment="1">
      <alignment horizontal="center" vertical="center"/>
    </xf>
    <xf numFmtId="0" fontId="89" fillId="22" borderId="306" xfId="0" applyFont="1" applyFill="1" applyBorder="1" applyAlignment="1">
      <alignment horizontal="center" vertical="center"/>
    </xf>
    <xf numFmtId="0" fontId="89" fillId="22" borderId="311" xfId="0" applyFont="1" applyFill="1" applyBorder="1" applyAlignment="1">
      <alignment horizontal="center" vertical="center"/>
    </xf>
    <xf numFmtId="203" fontId="85" fillId="7" borderId="45" xfId="0" applyNumberFormat="1" applyFont="1" applyFill="1" applyBorder="1" applyAlignment="1">
      <alignment horizontal="center" vertical="center"/>
    </xf>
    <xf numFmtId="203" fontId="85" fillId="7" borderId="314" xfId="0" applyNumberFormat="1" applyFont="1" applyFill="1" applyBorder="1" applyAlignment="1">
      <alignment horizontal="center" vertical="center"/>
    </xf>
    <xf numFmtId="203" fontId="85" fillId="7" borderId="43" xfId="0" applyNumberFormat="1" applyFont="1" applyFill="1" applyBorder="1" applyAlignment="1">
      <alignment horizontal="center" vertical="center"/>
    </xf>
    <xf numFmtId="203" fontId="85" fillId="7" borderId="51" xfId="0" applyNumberFormat="1" applyFont="1" applyFill="1" applyBorder="1" applyAlignment="1">
      <alignment horizontal="center" vertical="center"/>
    </xf>
    <xf numFmtId="0" fontId="89" fillId="22" borderId="48" xfId="0" applyFont="1" applyFill="1" applyBorder="1" applyAlignment="1">
      <alignment horizontal="center" vertical="center"/>
    </xf>
    <xf numFmtId="0" fontId="89" fillId="22" borderId="49" xfId="0" applyFont="1" applyFill="1" applyBorder="1" applyAlignment="1">
      <alignment horizontal="center" vertical="center"/>
    </xf>
    <xf numFmtId="0" fontId="89" fillId="22" borderId="50" xfId="0" applyFont="1" applyFill="1" applyBorder="1" applyAlignment="1">
      <alignment horizontal="center" vertical="center"/>
    </xf>
    <xf numFmtId="0" fontId="89" fillId="22" borderId="52" xfId="0" applyFont="1" applyFill="1" applyBorder="1" applyAlignment="1">
      <alignment horizontal="center" vertical="center"/>
    </xf>
    <xf numFmtId="203" fontId="85" fillId="7" borderId="315" xfId="0" applyNumberFormat="1" applyFont="1" applyFill="1" applyBorder="1" applyAlignment="1">
      <alignment horizontal="center" vertical="center"/>
    </xf>
    <xf numFmtId="0" fontId="89" fillId="22" borderId="43" xfId="0" applyFont="1" applyFill="1" applyBorder="1" applyAlignment="1">
      <alignment horizontal="center" vertical="center"/>
    </xf>
    <xf numFmtId="0" fontId="89" fillId="22" borderId="315" xfId="0" applyFont="1" applyFill="1" applyBorder="1" applyAlignment="1">
      <alignment horizontal="center" vertical="center"/>
    </xf>
    <xf numFmtId="0" fontId="89" fillId="22" borderId="314" xfId="0" applyFont="1" applyFill="1" applyBorder="1" applyAlignment="1">
      <alignment horizontal="center" vertical="center"/>
    </xf>
    <xf numFmtId="0" fontId="89" fillId="22" borderId="310" xfId="0" applyFont="1" applyFill="1" applyBorder="1" applyAlignment="1">
      <alignment horizontal="center" vertical="center"/>
    </xf>
    <xf numFmtId="0" fontId="89" fillId="22" borderId="302" xfId="0" applyFont="1" applyFill="1" applyBorder="1" applyAlignment="1">
      <alignment horizontal="center" vertical="center"/>
    </xf>
    <xf numFmtId="0" fontId="89" fillId="22" borderId="297" xfId="0" applyFont="1" applyFill="1" applyBorder="1" applyAlignment="1">
      <alignment horizontal="center" vertical="center"/>
    </xf>
    <xf numFmtId="0" fontId="89" fillId="22" borderId="298" xfId="0" applyFont="1" applyFill="1" applyBorder="1" applyAlignment="1">
      <alignment horizontal="center" vertical="center"/>
    </xf>
    <xf numFmtId="203" fontId="85" fillId="7" borderId="334" xfId="0" applyNumberFormat="1" applyFont="1" applyFill="1" applyBorder="1" applyAlignment="1">
      <alignment horizontal="center" vertical="center"/>
    </xf>
    <xf numFmtId="203" fontId="85" fillId="7" borderId="317" xfId="0" applyNumberFormat="1" applyFont="1" applyFill="1" applyBorder="1" applyAlignment="1">
      <alignment horizontal="right" vertical="center"/>
    </xf>
    <xf numFmtId="203" fontId="85" fillId="7" borderId="296" xfId="0" applyNumberFormat="1" applyFont="1" applyFill="1" applyBorder="1" applyAlignment="1">
      <alignment horizontal="right" vertical="center"/>
    </xf>
    <xf numFmtId="0" fontId="89" fillId="22" borderId="305" xfId="0" applyNumberFormat="1" applyFont="1" applyFill="1" applyBorder="1" applyAlignment="1">
      <alignment horizontal="center" vertical="center"/>
    </xf>
    <xf numFmtId="0" fontId="89" fillId="22" borderId="305" xfId="0" applyFont="1" applyFill="1" applyBorder="1" applyAlignment="1">
      <alignment horizontal="center" vertical="center"/>
    </xf>
    <xf numFmtId="203" fontId="85" fillId="7" borderId="335" xfId="0" applyNumberFormat="1" applyFont="1" applyFill="1" applyBorder="1" applyAlignment="1">
      <alignment horizontal="center" vertical="center"/>
    </xf>
    <xf numFmtId="0" fontId="20" fillId="13" borderId="300" xfId="0" applyFont="1" applyFill="1" applyBorder="1" applyAlignment="1">
      <alignment horizontal="left" vertical="center"/>
    </xf>
    <xf numFmtId="203" fontId="85" fillId="13" borderId="296" xfId="0" applyNumberFormat="1" applyFont="1" applyFill="1" applyBorder="1" applyAlignment="1">
      <alignment horizontal="right" vertical="center"/>
    </xf>
    <xf numFmtId="203" fontId="85" fillId="13" borderId="307" xfId="0" applyNumberFormat="1" applyFont="1" applyFill="1" applyBorder="1" applyAlignment="1">
      <alignment horizontal="right" vertical="center"/>
    </xf>
    <xf numFmtId="0" fontId="89" fillId="22" borderId="45" xfId="0" applyNumberFormat="1" applyFont="1" applyFill="1" applyBorder="1" applyAlignment="1">
      <alignment horizontal="center" vertical="center"/>
    </xf>
    <xf numFmtId="0" fontId="89" fillId="22" borderId="51" xfId="0" applyNumberFormat="1" applyFont="1" applyFill="1" applyBorder="1" applyAlignment="1">
      <alignment horizontal="center" vertical="center"/>
    </xf>
    <xf numFmtId="0" fontId="89" fillId="22" borderId="333" xfId="0" applyNumberFormat="1" applyFont="1" applyFill="1" applyBorder="1" applyAlignment="1">
      <alignment horizontal="center" vertical="center"/>
    </xf>
    <xf numFmtId="0" fontId="89" fillId="22" borderId="333" xfId="0" applyFont="1" applyFill="1" applyBorder="1" applyAlignment="1">
      <alignment horizontal="center" vertical="center"/>
    </xf>
    <xf numFmtId="202" fontId="85" fillId="7" borderId="0" xfId="0" applyNumberFormat="1" applyFont="1" applyFill="1" applyBorder="1" applyAlignment="1">
      <alignment horizontal="center" vertical="center" wrapText="1"/>
    </xf>
    <xf numFmtId="0" fontId="92" fillId="7" borderId="300" xfId="0" applyFont="1" applyFill="1" applyBorder="1" applyAlignment="1">
      <alignment horizontal="left" vertical="center"/>
    </xf>
    <xf numFmtId="202" fontId="20" fillId="7" borderId="0" xfId="0" applyNumberFormat="1" applyFont="1" applyFill="1" applyBorder="1" applyAlignment="1">
      <alignment horizontal="center" vertical="center" wrapText="1"/>
    </xf>
    <xf numFmtId="0" fontId="92" fillId="13" borderId="300" xfId="0" applyFont="1" applyFill="1" applyBorder="1" applyAlignment="1">
      <alignment horizontal="left" vertical="center"/>
    </xf>
    <xf numFmtId="0" fontId="92" fillId="13" borderId="336" xfId="0" applyFont="1" applyFill="1" applyBorder="1" applyAlignment="1">
      <alignment horizontal="left" vertical="center"/>
    </xf>
    <xf numFmtId="202" fontId="85" fillId="7" borderId="291" xfId="0" applyNumberFormat="1" applyFont="1" applyFill="1" applyBorder="1" applyAlignment="1">
      <alignment horizontal="center" vertical="center" wrapText="1"/>
    </xf>
    <xf numFmtId="202" fontId="85" fillId="7" borderId="51" xfId="0" applyNumberFormat="1" applyFont="1" applyFill="1" applyBorder="1" applyAlignment="1">
      <alignment horizontal="center" vertical="center" wrapText="1"/>
    </xf>
    <xf numFmtId="0" fontId="89" fillId="22" borderId="312" xfId="0" applyNumberFormat="1" applyFont="1" applyFill="1" applyBorder="1" applyAlignment="1">
      <alignment horizontal="center" vertical="center"/>
    </xf>
    <xf numFmtId="41" fontId="17" fillId="0" borderId="45" xfId="0" applyNumberFormat="1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49" fillId="0" borderId="45" xfId="0" applyFont="1" applyBorder="1" applyAlignment="1">
      <alignment horizontal="center" vertical="center"/>
    </xf>
    <xf numFmtId="0" fontId="20" fillId="3" borderId="156" xfId="0" applyFont="1" applyFill="1" applyBorder="1" applyAlignment="1" applyProtection="1">
      <alignment horizontal="center" vertical="center"/>
      <protection locked="0"/>
    </xf>
    <xf numFmtId="0" fontId="20" fillId="3" borderId="157" xfId="0" applyFont="1" applyFill="1" applyBorder="1" applyAlignment="1" applyProtection="1">
      <alignment horizontal="center" vertical="center"/>
      <protection locked="0"/>
    </xf>
    <xf numFmtId="0" fontId="20" fillId="3" borderId="158" xfId="0" applyFont="1" applyFill="1" applyBorder="1" applyAlignment="1" applyProtection="1">
      <alignment horizontal="center" vertical="center"/>
      <protection locked="0"/>
    </xf>
    <xf numFmtId="0" fontId="17" fillId="0" borderId="159" xfId="0" applyFont="1" applyBorder="1" applyAlignment="1">
      <alignment horizontal="center" vertical="center"/>
    </xf>
    <xf numFmtId="0" fontId="17" fillId="0" borderId="160" xfId="0" applyFont="1" applyBorder="1" applyAlignment="1">
      <alignment horizontal="center" vertical="center"/>
    </xf>
    <xf numFmtId="0" fontId="17" fillId="0" borderId="161" xfId="0" applyFont="1" applyBorder="1" applyAlignment="1">
      <alignment horizontal="center" vertical="center"/>
    </xf>
    <xf numFmtId="38" fontId="17" fillId="0" borderId="50" xfId="1" applyNumberFormat="1" applyFont="1" applyBorder="1" applyAlignment="1">
      <alignment horizontal="right" vertical="center"/>
    </xf>
    <xf numFmtId="38" fontId="17" fillId="0" borderId="51" xfId="1" applyNumberFormat="1" applyFont="1" applyBorder="1" applyAlignment="1">
      <alignment horizontal="right" vertical="center"/>
    </xf>
    <xf numFmtId="38" fontId="17" fillId="0" borderId="52" xfId="1" applyNumberFormat="1" applyFont="1" applyBorder="1" applyAlignment="1">
      <alignment horizontal="right" vertical="center"/>
    </xf>
    <xf numFmtId="0" fontId="17" fillId="0" borderId="50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38" fontId="20" fillId="3" borderId="156" xfId="1" applyNumberFormat="1" applyFont="1" applyFill="1" applyBorder="1" applyAlignment="1" applyProtection="1">
      <alignment horizontal="right" vertical="center"/>
      <protection locked="0"/>
    </xf>
    <xf numFmtId="38" fontId="20" fillId="3" borderId="157" xfId="1" applyNumberFormat="1" applyFont="1" applyFill="1" applyBorder="1" applyAlignment="1" applyProtection="1">
      <alignment horizontal="right" vertical="center"/>
      <protection locked="0"/>
    </xf>
    <xf numFmtId="38" fontId="20" fillId="3" borderId="158" xfId="1" applyNumberFormat="1" applyFont="1" applyFill="1" applyBorder="1" applyAlignment="1" applyProtection="1">
      <alignment horizontal="right" vertical="center"/>
      <protection locked="0"/>
    </xf>
    <xf numFmtId="0" fontId="20" fillId="3" borderId="42" xfId="0" applyFont="1" applyFill="1" applyBorder="1" applyAlignment="1" applyProtection="1">
      <alignment horizontal="center" vertical="center"/>
      <protection locked="0"/>
    </xf>
    <xf numFmtId="0" fontId="20" fillId="3" borderId="43" xfId="0" applyFont="1" applyFill="1" applyBorder="1" applyAlignment="1" applyProtection="1">
      <alignment horizontal="center" vertical="center"/>
      <protection locked="0"/>
    </xf>
    <xf numFmtId="0" fontId="20" fillId="3" borderId="44" xfId="0" applyFont="1" applyFill="1" applyBorder="1" applyAlignment="1" applyProtection="1">
      <alignment horizontal="center" vertical="center"/>
      <protection locked="0"/>
    </xf>
    <xf numFmtId="38" fontId="20" fillId="3" borderId="42" xfId="1" applyNumberFormat="1" applyFont="1" applyFill="1" applyBorder="1" applyAlignment="1" applyProtection="1">
      <alignment horizontal="right" vertical="center"/>
      <protection locked="0"/>
    </xf>
    <xf numFmtId="38" fontId="20" fillId="3" borderId="43" xfId="1" applyNumberFormat="1" applyFont="1" applyFill="1" applyBorder="1" applyAlignment="1" applyProtection="1">
      <alignment horizontal="right" vertical="center"/>
      <protection locked="0"/>
    </xf>
    <xf numFmtId="38" fontId="20" fillId="3" borderId="44" xfId="1" applyNumberFormat="1" applyFont="1" applyFill="1" applyBorder="1" applyAlignment="1" applyProtection="1">
      <alignment horizontal="right" vertical="center"/>
      <protection locked="0"/>
    </xf>
    <xf numFmtId="9" fontId="20" fillId="3" borderId="42" xfId="0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4" fontId="20" fillId="3" borderId="42" xfId="0" applyNumberFormat="1" applyFont="1" applyFill="1" applyBorder="1" applyAlignment="1" applyProtection="1">
      <alignment horizontal="center" vertical="center"/>
      <protection locked="0"/>
    </xf>
    <xf numFmtId="0" fontId="64" fillId="0" borderId="0" xfId="0" applyFont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/>
    </xf>
    <xf numFmtId="0" fontId="20" fillId="5" borderId="43" xfId="0" applyFont="1" applyFill="1" applyBorder="1" applyAlignment="1">
      <alignment horizontal="center" vertical="center"/>
    </xf>
    <xf numFmtId="0" fontId="20" fillId="5" borderId="44" xfId="0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33" fillId="4" borderId="48" xfId="0" applyFont="1" applyFill="1" applyBorder="1" applyAlignment="1">
      <alignment horizontal="center" vertical="center"/>
    </xf>
    <xf numFmtId="0" fontId="33" fillId="4" borderId="49" xfId="0" applyFont="1" applyFill="1" applyBorder="1" applyAlignment="1">
      <alignment horizontal="center" vertical="center"/>
    </xf>
    <xf numFmtId="0" fontId="33" fillId="4" borderId="132" xfId="0" applyFont="1" applyFill="1" applyBorder="1" applyAlignment="1">
      <alignment horizontal="center" vertical="center"/>
    </xf>
    <xf numFmtId="0" fontId="33" fillId="4" borderId="165" xfId="0" applyFont="1" applyFill="1" applyBorder="1" applyAlignment="1">
      <alignment horizontal="center" vertical="center"/>
    </xf>
    <xf numFmtId="0" fontId="33" fillId="4" borderId="50" xfId="0" applyFont="1" applyFill="1" applyBorder="1" applyAlignment="1">
      <alignment horizontal="center" vertical="center"/>
    </xf>
    <xf numFmtId="0" fontId="33" fillId="4" borderId="52" xfId="0" applyFont="1" applyFill="1" applyBorder="1" applyAlignment="1">
      <alignment horizontal="center" vertical="center"/>
    </xf>
    <xf numFmtId="0" fontId="29" fillId="4" borderId="41" xfId="0" applyFont="1" applyFill="1" applyBorder="1" applyAlignment="1">
      <alignment horizontal="center" vertical="center"/>
    </xf>
    <xf numFmtId="0" fontId="29" fillId="4" borderId="135" xfId="0" applyFont="1" applyFill="1" applyBorder="1" applyAlignment="1">
      <alignment horizontal="center" vertical="center"/>
    </xf>
    <xf numFmtId="0" fontId="29" fillId="4" borderId="37" xfId="0" applyFont="1" applyFill="1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66" fillId="4" borderId="6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2" fillId="0" borderId="0" xfId="2" applyNumberFormat="1" applyFont="1" applyAlignment="1">
      <alignment horizontal="center" vertical="center"/>
    </xf>
    <xf numFmtId="0" fontId="27" fillId="15" borderId="41" xfId="1" applyNumberFormat="1" applyFont="1" applyFill="1" applyBorder="1" applyAlignment="1">
      <alignment horizontal="center" vertical="center"/>
    </xf>
    <xf numFmtId="0" fontId="27" fillId="15" borderId="37" xfId="1" applyNumberFormat="1" applyFont="1" applyFill="1" applyBorder="1" applyAlignment="1">
      <alignment horizontal="center" vertical="center"/>
    </xf>
    <xf numFmtId="0" fontId="27" fillId="15" borderId="42" xfId="1" applyNumberFormat="1" applyFont="1" applyFill="1" applyBorder="1" applyAlignment="1">
      <alignment horizontal="center" vertical="center"/>
    </xf>
    <xf numFmtId="0" fontId="27" fillId="15" borderId="43" xfId="1" applyNumberFormat="1" applyFont="1" applyFill="1" applyBorder="1" applyAlignment="1">
      <alignment horizontal="center" vertical="center"/>
    </xf>
    <xf numFmtId="0" fontId="27" fillId="15" borderId="44" xfId="1" applyNumberFormat="1" applyFont="1" applyFill="1" applyBorder="1" applyAlignment="1">
      <alignment horizontal="center" vertical="center"/>
    </xf>
    <xf numFmtId="3" fontId="27" fillId="0" borderId="42" xfId="1" applyNumberFormat="1" applyFont="1" applyBorder="1" applyAlignment="1">
      <alignment horizontal="center" vertical="center"/>
    </xf>
    <xf numFmtId="3" fontId="27" fillId="0" borderId="44" xfId="1" applyNumberFormat="1" applyFont="1" applyBorder="1" applyAlignment="1">
      <alignment horizontal="center" vertical="center"/>
    </xf>
    <xf numFmtId="3" fontId="44" fillId="0" borderId="42" xfId="1" applyNumberFormat="1" applyFont="1" applyBorder="1" applyAlignment="1">
      <alignment horizontal="center" vertical="center"/>
    </xf>
    <xf numFmtId="3" fontId="44" fillId="0" borderId="44" xfId="1" applyNumberFormat="1" applyFont="1" applyBorder="1" applyAlignment="1">
      <alignment horizontal="center" vertical="center"/>
    </xf>
    <xf numFmtId="0" fontId="27" fillId="0" borderId="42" xfId="1" applyNumberFormat="1" applyFont="1" applyBorder="1" applyAlignment="1">
      <alignment horizontal="center" vertical="center" wrapText="1"/>
    </xf>
    <xf numFmtId="0" fontId="27" fillId="0" borderId="44" xfId="1" applyNumberFormat="1" applyFont="1" applyBorder="1" applyAlignment="1">
      <alignment horizontal="center" vertical="center" wrapText="1"/>
    </xf>
    <xf numFmtId="0" fontId="27" fillId="0" borderId="44" xfId="1" applyNumberFormat="1" applyFont="1" applyBorder="1" applyAlignment="1">
      <alignment horizontal="center" vertical="center"/>
    </xf>
    <xf numFmtId="0" fontId="27" fillId="0" borderId="42" xfId="1" applyNumberFormat="1" applyFont="1" applyBorder="1" applyAlignment="1">
      <alignment horizontal="center" vertical="center"/>
    </xf>
    <xf numFmtId="0" fontId="27" fillId="0" borderId="0" xfId="1" applyNumberFormat="1" applyFont="1" applyAlignment="1">
      <alignment horizontal="left" vertical="center" wrapText="1"/>
    </xf>
    <xf numFmtId="0" fontId="27" fillId="0" borderId="0" xfId="1" applyNumberFormat="1" applyFont="1" applyAlignment="1">
      <alignment horizontal="left" vertical="center"/>
    </xf>
    <xf numFmtId="0" fontId="27" fillId="0" borderId="0" xfId="1" quotePrefix="1" applyNumberFormat="1" applyFont="1" applyAlignment="1">
      <alignment horizontal="left" vertical="center" wrapText="1"/>
    </xf>
  </cellXfs>
  <cellStyles count="6">
    <cellStyle name="백분율" xfId="2" builtinId="5"/>
    <cellStyle name="쉼표 [0]" xfId="1" builtinId="6"/>
    <cellStyle name="표준" xfId="0" builtinId="0"/>
    <cellStyle name="표준 4 2" xfId="4"/>
    <cellStyle name="표준 8" xfId="5"/>
    <cellStyle name="하이퍼링크" xfId="3" builtinId="8"/>
  </cellStyles>
  <dxfs count="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00FF"/>
      <color rgb="FFFFFFCC"/>
      <color rgb="FFFFFF99"/>
      <color rgb="FFEAF3FA"/>
      <color rgb="FFE0EDF8"/>
      <color rgb="FFD9EAFB"/>
      <color rgb="FFE6FC10"/>
      <color rgb="FFDDF9FF"/>
      <color rgb="FFFFFF00"/>
      <color rgb="FFB4F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260350</xdr:colOff>
      <xdr:row>110</xdr:row>
      <xdr:rowOff>12701</xdr:rowOff>
    </xdr:from>
    <xdr:to>
      <xdr:col>7</xdr:col>
      <xdr:colOff>412750</xdr:colOff>
      <xdr:row>114</xdr:row>
      <xdr:rowOff>54273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15792451"/>
          <a:ext cx="3524250" cy="943272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53</xdr:row>
      <xdr:rowOff>133350</xdr:rowOff>
    </xdr:from>
    <xdr:to>
      <xdr:col>18</xdr:col>
      <xdr:colOff>635000</xdr:colOff>
      <xdr:row>54</xdr:row>
      <xdr:rowOff>144135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400" y="1339850"/>
          <a:ext cx="11391900" cy="23938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70</xdr:row>
      <xdr:rowOff>101600</xdr:rowOff>
    </xdr:from>
    <xdr:to>
      <xdr:col>18</xdr:col>
      <xdr:colOff>609600</xdr:colOff>
      <xdr:row>84</xdr:row>
      <xdr:rowOff>190851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151" y="4953000"/>
          <a:ext cx="11334749" cy="3289651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196850</xdr:colOff>
      <xdr:row>119</xdr:row>
      <xdr:rowOff>215900</xdr:rowOff>
    </xdr:from>
    <xdr:to>
      <xdr:col>4</xdr:col>
      <xdr:colOff>552450</xdr:colOff>
      <xdr:row>122</xdr:row>
      <xdr:rowOff>329265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500" y="16700500"/>
          <a:ext cx="2000250" cy="799165"/>
        </a:xfrm>
        <a:prstGeom prst="rect">
          <a:avLst/>
        </a:prstGeom>
      </xdr:spPr>
    </xdr:pic>
    <xdr:clientData/>
  </xdr:twoCellAnchor>
  <xdr:twoCellAnchor editAs="oneCell">
    <xdr:from>
      <xdr:col>4</xdr:col>
      <xdr:colOff>565151</xdr:colOff>
      <xdr:row>119</xdr:row>
      <xdr:rowOff>114301</xdr:rowOff>
    </xdr:from>
    <xdr:to>
      <xdr:col>12</xdr:col>
      <xdr:colOff>346658</xdr:colOff>
      <xdr:row>122</xdr:row>
      <xdr:rowOff>355600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30451" y="16376651"/>
          <a:ext cx="5064707" cy="927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4</xdr:row>
      <xdr:rowOff>34290</xdr:rowOff>
    </xdr:from>
    <xdr:to>
      <xdr:col>5</xdr:col>
      <xdr:colOff>484666</xdr:colOff>
      <xdr:row>4</xdr:row>
      <xdr:rowOff>186690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895350"/>
          <a:ext cx="2031153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2</xdr:row>
      <xdr:rowOff>68580</xdr:rowOff>
    </xdr:from>
    <xdr:to>
      <xdr:col>8</xdr:col>
      <xdr:colOff>40640</xdr:colOff>
      <xdr:row>3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792480"/>
          <a:ext cx="2042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816428</xdr:colOff>
      <xdr:row>23</xdr:row>
      <xdr:rowOff>45356</xdr:rowOff>
    </xdr:from>
    <xdr:to>
      <xdr:col>18</xdr:col>
      <xdr:colOff>278622</xdr:colOff>
      <xdr:row>37</xdr:row>
      <xdr:rowOff>19439</xdr:rowOff>
    </xdr:to>
    <xdr:sp macro="" textlink="">
      <xdr:nvSpPr>
        <xdr:cNvPr id="3" name="모서리가 둥근 직사각형 2"/>
        <xdr:cNvSpPr/>
      </xdr:nvSpPr>
      <xdr:spPr>
        <a:xfrm>
          <a:off x="7775510" y="4542193"/>
          <a:ext cx="4736581" cy="260479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ysClr val="windowText" lastClr="000000"/>
              </a:solidFill>
            </a:rPr>
            <a:t>□ 작성 시 참고사항</a:t>
          </a:r>
          <a:r>
            <a:rPr lang="en-US" altLang="ko-KR" sz="1100" b="1">
              <a:solidFill>
                <a:sysClr val="windowText" lastClr="000000"/>
              </a:solidFill>
            </a:rPr>
            <a:t>(</a:t>
          </a:r>
          <a:r>
            <a:rPr lang="ko-KR" altLang="en-US" sz="1100" b="1">
              <a:solidFill>
                <a:sysClr val="windowText" lastClr="000000"/>
              </a:solidFill>
            </a:rPr>
            <a:t>확인 후 삭제</a:t>
          </a:r>
          <a:r>
            <a:rPr lang="en-US" altLang="ko-KR" sz="1100" b="1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1. '</a:t>
          </a:r>
          <a:r>
            <a:rPr lang="ko-KR" altLang="en-US" sz="1100">
              <a:solidFill>
                <a:sysClr val="windowText" lastClr="000000"/>
              </a:solidFill>
            </a:rPr>
            <a:t>음영 있는 셀</a:t>
          </a:r>
          <a:r>
            <a:rPr lang="en-US" altLang="ko-KR" sz="1100">
              <a:solidFill>
                <a:sysClr val="windowText" lastClr="000000"/>
              </a:solidFill>
            </a:rPr>
            <a:t>'</a:t>
          </a:r>
          <a:r>
            <a:rPr lang="ko-KR" altLang="en-US" sz="1100">
              <a:solidFill>
                <a:sysClr val="windowText" lastClr="000000"/>
              </a:solidFill>
            </a:rPr>
            <a:t>만 입력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2. </a:t>
          </a:r>
          <a:r>
            <a:rPr lang="ko-KR" altLang="en-US" sz="1100" baseline="0">
              <a:solidFill>
                <a:sysClr val="windowText" lastClr="000000"/>
              </a:solidFill>
            </a:rPr>
            <a:t>투입유형은 서비스</a:t>
          </a:r>
          <a:r>
            <a:rPr lang="en-US" altLang="ko-KR" sz="1100" baseline="0">
              <a:solidFill>
                <a:sysClr val="windowText" lastClr="000000"/>
              </a:solidFill>
            </a:rPr>
            <a:t>, ITO/</a:t>
          </a:r>
          <a:r>
            <a:rPr lang="ko-KR" altLang="en-US" sz="1100" baseline="0">
              <a:solidFill>
                <a:sysClr val="windowText" lastClr="000000"/>
              </a:solidFill>
            </a:rPr>
            <a:t>원격운영</a:t>
          </a:r>
          <a:r>
            <a:rPr lang="en-US" altLang="ko-KR" sz="1100" baseline="0">
              <a:solidFill>
                <a:sysClr val="windowText" lastClr="000000"/>
              </a:solidFill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</a:rPr>
            <a:t>유지보수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</a:rPr>
            <a:t>中 선택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</a:rPr>
            <a:t>서비스</a:t>
          </a:r>
          <a:r>
            <a:rPr lang="en-US" altLang="ko-KR" sz="1100" baseline="0">
              <a:solidFill>
                <a:sysClr val="windowText" lastClr="000000"/>
              </a:solidFill>
            </a:rPr>
            <a:t>(SIC)</a:t>
          </a:r>
          <a:r>
            <a:rPr lang="ko-KR" altLang="en-US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 baseline="0">
              <a:solidFill>
                <a:sysClr val="windowText" lastClr="000000"/>
              </a:solidFill>
            </a:rPr>
            <a:t>:  </a:t>
          </a:r>
          <a:r>
            <a:rPr lang="ko-KR" altLang="en-US" sz="1100" baseline="0">
              <a:solidFill>
                <a:sysClr val="windowText" lastClr="000000"/>
              </a:solidFill>
            </a:rPr>
            <a:t>구축</a:t>
          </a:r>
          <a:r>
            <a:rPr lang="en-US" altLang="ko-KR" sz="1100" baseline="0">
              <a:solidFill>
                <a:sysClr val="windowText" lastClr="000000"/>
              </a:solidFill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</a:rPr>
            <a:t>개발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- ITO/</a:t>
          </a:r>
          <a:r>
            <a:rPr lang="ko-KR" altLang="en-US" sz="1100" baseline="0">
              <a:solidFill>
                <a:sysClr val="windowText" lastClr="000000"/>
              </a:solidFill>
            </a:rPr>
            <a:t>원격운영</a:t>
          </a:r>
          <a:r>
            <a:rPr lang="en-US" altLang="ko-KR" sz="1100" baseline="0">
              <a:solidFill>
                <a:sysClr val="windowText" lastClr="000000"/>
              </a:solidFill>
            </a:rPr>
            <a:t>(SMC)</a:t>
          </a:r>
          <a:r>
            <a:rPr lang="ko-KR" altLang="en-US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 baseline="0">
              <a:solidFill>
                <a:sysClr val="windowText" lastClr="000000"/>
              </a:solidFill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</a:rPr>
            <a:t>인력투입 중심 </a:t>
          </a:r>
          <a:r>
            <a:rPr lang="en-US" altLang="ko-KR" sz="1100" baseline="0">
              <a:solidFill>
                <a:sysClr val="windowText" lastClr="000000"/>
              </a:solidFill>
            </a:rPr>
            <a:t>ITO/</a:t>
          </a:r>
          <a:r>
            <a:rPr lang="ko-KR" altLang="en-US" sz="1100" baseline="0">
              <a:solidFill>
                <a:sysClr val="windowText" lastClr="000000"/>
              </a:solidFill>
            </a:rPr>
            <a:t>운영 서비스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000" baseline="0">
              <a:solidFill>
                <a:sysClr val="windowText" lastClr="000000"/>
              </a:solidFill>
            </a:rPr>
            <a:t>      ※ </a:t>
          </a:r>
          <a:r>
            <a:rPr lang="ko-KR" altLang="en-US" sz="1000" baseline="0">
              <a:solidFill>
                <a:sysClr val="windowText" lastClr="000000"/>
              </a:solidFill>
            </a:rPr>
            <a:t>인건비</a:t>
          </a:r>
          <a:r>
            <a:rPr lang="en-US" altLang="ko-KR" sz="1000" baseline="0">
              <a:solidFill>
                <a:sysClr val="windowText" lastClr="000000"/>
              </a:solidFill>
            </a:rPr>
            <a:t>, </a:t>
          </a:r>
          <a:r>
            <a:rPr lang="ko-KR" altLang="en-US" sz="1000" baseline="0">
              <a:solidFill>
                <a:sysClr val="windowText" lastClr="000000"/>
              </a:solidFill>
            </a:rPr>
            <a:t>외주비</a:t>
          </a:r>
          <a:r>
            <a:rPr lang="en-US" altLang="ko-KR" sz="1000" baseline="0">
              <a:solidFill>
                <a:sysClr val="windowText" lastClr="000000"/>
              </a:solidFill>
            </a:rPr>
            <a:t>, </a:t>
          </a:r>
          <a:r>
            <a:rPr lang="ko-KR" altLang="en-US" sz="1000" baseline="0">
              <a:solidFill>
                <a:sysClr val="windowText" lastClr="000000"/>
              </a:solidFill>
            </a:rPr>
            <a:t>경비 편성가능</a:t>
          </a:r>
          <a:r>
            <a:rPr lang="en-US" altLang="ko-KR" sz="1000" baseline="0">
              <a:solidFill>
                <a:sysClr val="windowText" lastClr="000000"/>
              </a:solidFill>
            </a:rPr>
            <a:t> 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유지보수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(SMC)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자체솔루션 라이선스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 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시스템에는 편성 불가</a:t>
          </a:r>
          <a:endParaRPr lang="ko-KR" altLang="ko-KR" sz="1000">
            <a:solidFill>
              <a:srgbClr val="FF0000"/>
            </a:solidFill>
            <a:effectLst/>
          </a:endParaRPr>
        </a:p>
        <a:p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※ </a:t>
          </a:r>
          <a:r>
            <a:rPr lang="ko-KR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재료비</a:t>
          </a: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경비만 편성가능</a:t>
          </a: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인건비 편성 불가</a:t>
          </a: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고객서비스그룹 과제배부</a:t>
          </a:r>
          <a:r>
            <a:rPr lang="en-US" altLang="ko-KR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>
              <a:solidFill>
                <a:sysClr val="windowText" lastClr="000000"/>
              </a:solidFill>
            </a:rPr>
            <a:t> 3. </a:t>
          </a:r>
          <a:r>
            <a:rPr lang="ko-KR" altLang="en-US" sz="1100">
              <a:solidFill>
                <a:sysClr val="windowText" lastClr="000000"/>
              </a:solidFill>
            </a:rPr>
            <a:t>비고란에 투입인력 상세 입력</a:t>
          </a:r>
          <a:r>
            <a:rPr lang="en-US" altLang="ko-KR" sz="1100">
              <a:solidFill>
                <a:sysClr val="windowText" lastClr="000000"/>
              </a:solidFill>
            </a:rPr>
            <a:t>(</a:t>
          </a:r>
          <a:r>
            <a:rPr lang="ko-KR" altLang="en-US" sz="1100">
              <a:solidFill>
                <a:sysClr val="windowText" lastClr="000000"/>
              </a:solidFill>
            </a:rPr>
            <a:t>성명</a:t>
          </a:r>
          <a:r>
            <a:rPr lang="en-US" altLang="ko-KR" sz="1100">
              <a:solidFill>
                <a:sysClr val="windowText" lastClr="000000"/>
              </a:solidFill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</a:rPr>
            <a:t> 솔루션 등</a:t>
          </a:r>
          <a:r>
            <a:rPr lang="en-US" altLang="ko-KR" sz="1100" baseline="0">
              <a:solidFill>
                <a:sysClr val="windowText" lastClr="000000"/>
              </a:solidFill>
            </a:rPr>
            <a:t>)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1536700</xdr:colOff>
      <xdr:row>13</xdr:row>
      <xdr:rowOff>146050</xdr:rowOff>
    </xdr:from>
    <xdr:to>
      <xdr:col>17</xdr:col>
      <xdr:colOff>488950</xdr:colOff>
      <xdr:row>28</xdr:row>
      <xdr:rowOff>19050</xdr:rowOff>
    </xdr:to>
    <xdr:sp macro="" textlink="">
      <xdr:nvSpPr>
        <xdr:cNvPr id="2" name="모서리가 둥근 직사각형 1"/>
        <xdr:cNvSpPr/>
      </xdr:nvSpPr>
      <xdr:spPr>
        <a:xfrm>
          <a:off x="11385550" y="2832100"/>
          <a:ext cx="4851400" cy="29908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□ 작성 시 참고사항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확인 후 삭제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1. '</a:t>
          </a:r>
          <a:r>
            <a:rPr lang="ko-KR" altLang="en-US" sz="1100">
              <a:solidFill>
                <a:sysClr val="windowText" lastClr="000000"/>
              </a:solidFill>
            </a:rPr>
            <a:t>음영 있는 셀</a:t>
          </a:r>
          <a:r>
            <a:rPr lang="en-US" altLang="ko-KR" sz="1100">
              <a:solidFill>
                <a:sysClr val="windowText" lastClr="000000"/>
              </a:solidFill>
            </a:rPr>
            <a:t>'</a:t>
          </a:r>
          <a:r>
            <a:rPr lang="ko-KR" altLang="en-US" sz="1100">
              <a:solidFill>
                <a:sysClr val="windowText" lastClr="000000"/>
              </a:solidFill>
            </a:rPr>
            <a:t>만 입력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2. </a:t>
          </a:r>
          <a:r>
            <a:rPr lang="ko-KR" altLang="en-US" sz="1100" baseline="0">
              <a:solidFill>
                <a:sysClr val="windowText" lastClr="000000"/>
              </a:solidFill>
            </a:rPr>
            <a:t>외주비는 사업유형 및 외주비구분 선택 필수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3. </a:t>
          </a:r>
          <a:r>
            <a:rPr lang="ko-KR" altLang="en-US" sz="1100" baseline="0">
              <a:solidFill>
                <a:sysClr val="windowText" lastClr="000000"/>
              </a:solidFill>
            </a:rPr>
            <a:t>재료비는 </a:t>
          </a:r>
          <a:r>
            <a:rPr lang="en-US" altLang="ko-KR" sz="1100" baseline="0">
              <a:solidFill>
                <a:sysClr val="windowText" lastClr="000000"/>
              </a:solidFill>
            </a:rPr>
            <a:t>HW/</a:t>
          </a:r>
          <a:r>
            <a:rPr lang="ko-KR" altLang="en-US" sz="1100" baseline="0">
              <a:solidFill>
                <a:sysClr val="windowText" lastClr="000000"/>
              </a:solidFill>
            </a:rPr>
            <a:t>도입솔루션과 외주비로 구분하여 작성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  (</a:t>
          </a:r>
          <a:r>
            <a:rPr lang="ko-KR" altLang="en-US" sz="1100" baseline="0">
              <a:solidFill>
                <a:sysClr val="windowText" lastClr="000000"/>
              </a:solidFill>
            </a:rPr>
            <a:t>단</a:t>
          </a:r>
          <a:r>
            <a:rPr lang="en-US" altLang="ko-KR" sz="1100" baseline="0">
              <a:solidFill>
                <a:sysClr val="windowText" lastClr="000000"/>
              </a:solidFill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</a:rPr>
            <a:t>기술지원 </a:t>
          </a:r>
          <a:r>
            <a:rPr lang="en-US" altLang="ko-KR" sz="1100" baseline="0">
              <a:solidFill>
                <a:sysClr val="windowText" lastClr="000000"/>
              </a:solidFill>
            </a:rPr>
            <a:t>4M/M</a:t>
          </a:r>
          <a:r>
            <a:rPr lang="ko-KR" altLang="en-US" sz="1100" baseline="0">
              <a:solidFill>
                <a:sysClr val="windowText" lastClr="000000"/>
              </a:solidFill>
            </a:rPr>
            <a:t>까지는 재료비에 반영 가능</a:t>
          </a:r>
          <a:r>
            <a:rPr lang="en-US" altLang="ko-KR" sz="1100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4. HW/</a:t>
          </a:r>
          <a:r>
            <a:rPr lang="ko-KR" altLang="en-US" sz="1100" baseline="0">
              <a:solidFill>
                <a:sysClr val="windowText" lastClr="000000"/>
              </a:solidFill>
            </a:rPr>
            <a:t>도입솔루션의 </a:t>
          </a:r>
          <a:r>
            <a:rPr lang="en-US" altLang="ko-KR" sz="1100" baseline="0">
              <a:solidFill>
                <a:sysClr val="windowText" lastClr="000000"/>
              </a:solidFill>
            </a:rPr>
            <a:t>MA </a:t>
          </a:r>
          <a:r>
            <a:rPr lang="ko-KR" altLang="en-US" sz="1100" baseline="0">
              <a:solidFill>
                <a:sysClr val="windowText" lastClr="000000"/>
              </a:solidFill>
            </a:rPr>
            <a:t>계약은 외주비로 작성 </a:t>
          </a:r>
          <a:r>
            <a:rPr lang="en-US" altLang="ko-KR" sz="1100" baseline="0">
              <a:solidFill>
                <a:sysClr val="windowText" lastClr="000000"/>
              </a:solidFill>
            </a:rPr>
            <a:t>(※ SAP</a:t>
          </a:r>
          <a:r>
            <a:rPr lang="ko-KR" altLang="en-US" sz="1100" baseline="0">
              <a:solidFill>
                <a:sysClr val="windowText" lastClr="000000"/>
              </a:solidFill>
            </a:rPr>
            <a:t>와 동일</a:t>
          </a:r>
          <a:r>
            <a:rPr lang="en-US" altLang="ko-KR" sz="1100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</a:rPr>
            <a:t>사업유형 </a:t>
          </a:r>
          <a:r>
            <a:rPr lang="en-US" altLang="ko-KR" sz="1100" baseline="0">
              <a:solidFill>
                <a:sysClr val="windowText" lastClr="000000"/>
              </a:solidFill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</a:rPr>
            <a:t>유지보수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</a:rPr>
            <a:t>외주비구분 </a:t>
          </a:r>
          <a:r>
            <a:rPr lang="en-US" altLang="ko-KR" sz="1100" baseline="0">
              <a:solidFill>
                <a:sysClr val="windowText" lastClr="000000"/>
              </a:solidFill>
            </a:rPr>
            <a:t>: Maintenance </a:t>
          </a: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266700</xdr:rowOff>
    </xdr:from>
    <xdr:to>
      <xdr:col>3</xdr:col>
      <xdr:colOff>403437</xdr:colOff>
      <xdr:row>1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66700"/>
          <a:ext cx="2037927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474664</xdr:colOff>
      <xdr:row>0</xdr:row>
      <xdr:rowOff>0</xdr:rowOff>
    </xdr:from>
    <xdr:to>
      <xdr:col>19</xdr:col>
      <xdr:colOff>190502</xdr:colOff>
      <xdr:row>16</xdr:row>
      <xdr:rowOff>98424</xdr:rowOff>
    </xdr:to>
    <xdr:sp macro="" textlink="">
      <xdr:nvSpPr>
        <xdr:cNvPr id="3" name="모서리가 둥근 직사각형 2"/>
        <xdr:cNvSpPr/>
      </xdr:nvSpPr>
      <xdr:spPr>
        <a:xfrm>
          <a:off x="11576052" y="0"/>
          <a:ext cx="5111750" cy="345598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□ 작성 시 참고사항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확인 후 삭제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1. '</a:t>
          </a:r>
          <a:r>
            <a:rPr lang="ko-KR" altLang="en-US" sz="1100">
              <a:solidFill>
                <a:sysClr val="windowText" lastClr="000000"/>
              </a:solidFill>
            </a:rPr>
            <a:t>음영 있는 셀</a:t>
          </a:r>
          <a:r>
            <a:rPr lang="en-US" altLang="ko-KR" sz="1100">
              <a:solidFill>
                <a:sysClr val="windowText" lastClr="000000"/>
              </a:solidFill>
            </a:rPr>
            <a:t>'</a:t>
          </a:r>
          <a:r>
            <a:rPr lang="ko-KR" altLang="en-US" sz="1100">
              <a:solidFill>
                <a:sysClr val="windowText" lastClr="000000"/>
              </a:solidFill>
            </a:rPr>
            <a:t>만 입력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2.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</a:rPr>
            <a:t>요식성경비</a:t>
          </a:r>
          <a:r>
            <a:rPr lang="en-US" altLang="ko-KR" sz="1100" baseline="0">
              <a:solidFill>
                <a:sysClr val="windowText" lastClr="000000"/>
              </a:solidFill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</a:rPr>
            <a:t>접대비</a:t>
          </a:r>
          <a:r>
            <a:rPr lang="en-US" altLang="ko-KR" sz="1100" baseline="0">
              <a:solidFill>
                <a:sysClr val="windowText" lastClr="000000"/>
              </a:solidFill>
            </a:rPr>
            <a:t>, PJT</a:t>
          </a:r>
          <a:r>
            <a:rPr lang="ko-KR" altLang="en-US" sz="1100" baseline="0">
              <a:solidFill>
                <a:sysClr val="windowText" lastClr="000000"/>
              </a:solidFill>
            </a:rPr>
            <a:t>행사비는 </a:t>
          </a:r>
          <a:r>
            <a:rPr lang="en-US" altLang="ko-KR" sz="1100" b="1" baseline="0">
              <a:solidFill>
                <a:srgbClr val="0000FF"/>
              </a:solidFill>
            </a:rPr>
            <a:t>SIC PJT</a:t>
          </a:r>
          <a:r>
            <a:rPr lang="ko-KR" altLang="en-US" sz="1100" b="1" baseline="0">
              <a:solidFill>
                <a:srgbClr val="0000FF"/>
              </a:solidFill>
            </a:rPr>
            <a:t>만</a:t>
          </a:r>
          <a:r>
            <a:rPr lang="en-US" altLang="ko-KR" sz="1100" b="0" baseline="0">
              <a:solidFill>
                <a:sysClr val="windowText" lastClr="000000"/>
              </a:solidFill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</a:rPr>
            <a:t>제안을 수반한 사업</a:t>
          </a:r>
          <a:r>
            <a:rPr lang="en-US" altLang="ko-KR" sz="1100" b="0" baseline="0">
              <a:solidFill>
                <a:sysClr val="windowText" lastClr="000000"/>
              </a:solidFill>
            </a:rPr>
            <a:t>)</a:t>
          </a:r>
          <a:r>
            <a:rPr lang="ko-KR" altLang="en-US" sz="1100" b="0" baseline="0">
              <a:solidFill>
                <a:sysClr val="windowText" lastClr="000000"/>
              </a:solidFill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</a:rPr>
            <a:t>편성 가능</a:t>
          </a:r>
          <a:r>
            <a:rPr lang="en-US" altLang="ko-KR" sz="1100" baseline="0">
              <a:solidFill>
                <a:sysClr val="windowText" lastClr="000000"/>
              </a:solidFill>
            </a:rPr>
            <a:t>(SMC </a:t>
          </a:r>
          <a:r>
            <a:rPr lang="ko-KR" altLang="en-US" sz="1100" baseline="0">
              <a:solidFill>
                <a:sysClr val="windowText" lastClr="000000"/>
              </a:solidFill>
            </a:rPr>
            <a:t>제외</a:t>
          </a:r>
          <a:r>
            <a:rPr lang="en-US" altLang="ko-KR" sz="1100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 </a:t>
          </a:r>
          <a:r>
            <a:rPr lang="ko-KR" altLang="en-US" sz="1100" baseline="0">
              <a:solidFill>
                <a:sysClr val="windowText" lastClr="000000"/>
              </a:solidFill>
            </a:rPr>
            <a:t>단</a:t>
          </a:r>
          <a:r>
            <a:rPr lang="en-US" altLang="ko-KR" sz="1100" baseline="0">
              <a:solidFill>
                <a:sysClr val="windowText" lastClr="000000"/>
              </a:solidFill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</a:rPr>
            <a:t>유지보수 및 운영 계약에 필요한 경우 관리그룹과 사전 협의 후 반영 가능</a:t>
          </a:r>
          <a:r>
            <a:rPr lang="en-US" altLang="ko-KR" sz="1100" baseline="0">
              <a:solidFill>
                <a:sysClr val="windowText" lastClr="000000"/>
              </a:solidFill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</a:rPr>
            <a:t>품의 必</a:t>
          </a:r>
          <a:r>
            <a:rPr lang="en-US" altLang="ko-KR" sz="1100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 (SAP</a:t>
          </a:r>
          <a:r>
            <a:rPr lang="ko-KR" altLang="en-US" sz="1100" baseline="0">
              <a:solidFill>
                <a:sysClr val="windowText" lastClr="000000"/>
              </a:solidFill>
            </a:rPr>
            <a:t>에는 </a:t>
          </a:r>
          <a:r>
            <a:rPr lang="en-US" altLang="ko-KR" sz="1100" baseline="0">
              <a:solidFill>
                <a:sysClr val="windowText" lastClr="000000"/>
              </a:solidFill>
            </a:rPr>
            <a:t>Other Expense</a:t>
          </a:r>
          <a:r>
            <a:rPr lang="ko-KR" altLang="en-US" sz="1100" baseline="0">
              <a:solidFill>
                <a:sysClr val="windowText" lastClr="000000"/>
              </a:solidFill>
            </a:rPr>
            <a:t>에 반영</a:t>
          </a:r>
          <a:r>
            <a:rPr lang="en-US" altLang="ko-KR" sz="1100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3. </a:t>
          </a:r>
          <a:r>
            <a:rPr lang="ko-KR" altLang="en-US" sz="1100" baseline="0">
              <a:solidFill>
                <a:sysClr val="windowText" lastClr="000000"/>
              </a:solidFill>
            </a:rPr>
            <a:t>미국 해외출장의 경우 비자발급수수료 산정 후 기재 필수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4. License v7.x </a:t>
          </a:r>
          <a:r>
            <a:rPr lang="ko-KR" altLang="en-US" sz="1100" baseline="0">
              <a:solidFill>
                <a:sysClr val="windowText" lastClr="000000"/>
              </a:solidFill>
            </a:rPr>
            <a:t>이상일 경우 </a:t>
          </a:r>
          <a:r>
            <a:rPr lang="en-US" altLang="ko-KR" sz="1100" baseline="0">
              <a:solidFill>
                <a:sysClr val="windowText" lastClr="000000"/>
              </a:solidFill>
            </a:rPr>
            <a:t>eXbuilder </a:t>
          </a:r>
          <a:r>
            <a:rPr lang="ko-KR" altLang="en-US" sz="1100" baseline="0">
              <a:solidFill>
                <a:sysClr val="windowText" lastClr="000000"/>
              </a:solidFill>
            </a:rPr>
            <a:t>수수료 기재 필수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- </a:t>
          </a:r>
          <a:r>
            <a:rPr lang="ko-KR" altLang="en-US" sz="1100" baseline="0">
              <a:solidFill>
                <a:sysClr val="windowText" lastClr="000000"/>
              </a:solidFill>
            </a:rPr>
            <a:t>총 라이선스 금액 </a:t>
          </a:r>
          <a:r>
            <a:rPr lang="en-US" altLang="ko-KR" sz="1100" baseline="0">
              <a:solidFill>
                <a:sysClr val="windowText" lastClr="000000"/>
              </a:solidFill>
            </a:rPr>
            <a:t>* 5% (</a:t>
          </a:r>
          <a:r>
            <a:rPr lang="ko-KR" altLang="en-US" sz="1100" baseline="0">
              <a:solidFill>
                <a:sysClr val="windowText" lastClr="000000"/>
              </a:solidFill>
            </a:rPr>
            <a:t>기준은 모듈별 </a:t>
          </a:r>
          <a:r>
            <a:rPr lang="en-US" altLang="ko-KR" sz="1100" baseline="0">
              <a:solidFill>
                <a:sysClr val="windowText" lastClr="000000"/>
              </a:solidFill>
            </a:rPr>
            <a:t>5%</a:t>
          </a:r>
          <a:r>
            <a:rPr lang="ko-KR" altLang="en-US" sz="1100" baseline="0">
              <a:solidFill>
                <a:sysClr val="windowText" lastClr="000000"/>
              </a:solidFill>
            </a:rPr>
            <a:t>임</a:t>
          </a:r>
          <a:r>
            <a:rPr lang="en-US" altLang="ko-KR" sz="1100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5. MES CE</a:t>
          </a:r>
          <a:r>
            <a:rPr lang="ko-KR" altLang="en-US" sz="1100" baseline="0">
              <a:solidFill>
                <a:sysClr val="windowText" lastClr="000000"/>
              </a:solidFill>
            </a:rPr>
            <a:t>사업일 경우 </a:t>
          </a:r>
          <a:r>
            <a:rPr lang="en-US" altLang="ko-KR" sz="1100" baseline="0">
              <a:solidFill>
                <a:sysClr val="windowText" lastClr="000000"/>
              </a:solidFill>
            </a:rPr>
            <a:t>eXbuilder, AWS </a:t>
          </a:r>
          <a:r>
            <a:rPr lang="ko-KR" altLang="en-US" sz="1100" baseline="0">
              <a:solidFill>
                <a:sysClr val="windowText" lastClr="000000"/>
              </a:solidFill>
            </a:rPr>
            <a:t>수수료 기재 필수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</a:t>
          </a:r>
          <a:r>
            <a:rPr lang="ko-KR" altLang="en-US" sz="1100" baseline="0">
              <a:solidFill>
                <a:sysClr val="windowText" lastClr="000000"/>
              </a:solidFill>
            </a:rPr>
            <a:t>→ 수수료 비용 별도 산정해야 함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621322</xdr:colOff>
      <xdr:row>15</xdr:row>
      <xdr:rowOff>205120</xdr:rowOff>
    </xdr:from>
    <xdr:to>
      <xdr:col>9</xdr:col>
      <xdr:colOff>419060</xdr:colOff>
      <xdr:row>38</xdr:row>
      <xdr:rowOff>19764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4C25D16-5A02-4496-901E-E351330C4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542" y="3298840"/>
          <a:ext cx="7728253" cy="4849559"/>
        </a:xfrm>
        <a:prstGeom prst="rect">
          <a:avLst/>
        </a:prstGeom>
      </xdr:spPr>
    </xdr:pic>
    <xdr:clientData/>
  </xdr:twoCellAnchor>
  <xdr:twoCellAnchor editAs="oneCell">
    <xdr:from>
      <xdr:col>1</xdr:col>
      <xdr:colOff>439614</xdr:colOff>
      <xdr:row>39</xdr:row>
      <xdr:rowOff>142341</xdr:rowOff>
    </xdr:from>
    <xdr:to>
      <xdr:col>10</xdr:col>
      <xdr:colOff>287882</xdr:colOff>
      <xdr:row>53</xdr:row>
      <xdr:rowOff>19768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9F500E7-A7B2-4456-950A-947A774E2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714" y="8539581"/>
          <a:ext cx="8268368" cy="2934952"/>
        </a:xfrm>
        <a:prstGeom prst="rect">
          <a:avLst/>
        </a:prstGeom>
      </xdr:spPr>
    </xdr:pic>
    <xdr:clientData/>
  </xdr:twoCellAnchor>
  <xdr:twoCellAnchor editAs="oneCell">
    <xdr:from>
      <xdr:col>10</xdr:col>
      <xdr:colOff>210514</xdr:colOff>
      <xdr:row>16</xdr:row>
      <xdr:rowOff>161611</xdr:rowOff>
    </xdr:from>
    <xdr:to>
      <xdr:col>21</xdr:col>
      <xdr:colOff>249470</xdr:colOff>
      <xdr:row>33</xdr:row>
      <xdr:rowOff>73629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966D0E1-28F6-4CB3-BE54-F0F016454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84564" y="3635061"/>
          <a:ext cx="8986106" cy="3582318"/>
        </a:xfrm>
        <a:prstGeom prst="rect">
          <a:avLst/>
        </a:prstGeom>
      </xdr:spPr>
    </xdr:pic>
    <xdr:clientData/>
  </xdr:twoCellAnchor>
  <xdr:twoCellAnchor>
    <xdr:from>
      <xdr:col>2</xdr:col>
      <xdr:colOff>310661</xdr:colOff>
      <xdr:row>49</xdr:row>
      <xdr:rowOff>23446</xdr:rowOff>
    </xdr:from>
    <xdr:to>
      <xdr:col>3</xdr:col>
      <xdr:colOff>5861</xdr:colOff>
      <xdr:row>50</xdr:row>
      <xdr:rowOff>41030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B05DA4B-63AF-4F1A-9DDA-4495522B926C}"/>
            </a:ext>
          </a:extLst>
        </xdr:cNvPr>
        <xdr:cNvSpPr/>
      </xdr:nvSpPr>
      <xdr:spPr>
        <a:xfrm>
          <a:off x="1171721" y="10630486"/>
          <a:ext cx="792480" cy="2385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29307</xdr:colOff>
      <xdr:row>31</xdr:row>
      <xdr:rowOff>140677</xdr:rowOff>
    </xdr:from>
    <xdr:to>
      <xdr:col>6</xdr:col>
      <xdr:colOff>726830</xdr:colOff>
      <xdr:row>33</xdr:row>
      <xdr:rowOff>87923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503D9BE1-104C-41BE-9073-6B50D73FC207}"/>
            </a:ext>
          </a:extLst>
        </xdr:cNvPr>
        <xdr:cNvSpPr/>
      </xdr:nvSpPr>
      <xdr:spPr>
        <a:xfrm>
          <a:off x="2780127" y="6770077"/>
          <a:ext cx="2526323" cy="3892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501161</xdr:colOff>
      <xdr:row>17</xdr:row>
      <xdr:rowOff>41031</xdr:rowOff>
    </xdr:from>
    <xdr:to>
      <xdr:col>7</xdr:col>
      <xdr:colOff>902677</xdr:colOff>
      <xdr:row>31</xdr:row>
      <xdr:rowOff>140677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3DC9D781-0716-4A3A-95A2-79489A9D9D7D}"/>
            </a:ext>
          </a:extLst>
        </xdr:cNvPr>
        <xdr:cNvCxnSpPr>
          <a:endCxn id="6" idx="0"/>
        </xdr:cNvCxnSpPr>
      </xdr:nvCxnSpPr>
      <xdr:spPr>
        <a:xfrm flipH="1">
          <a:off x="4044461" y="3576711"/>
          <a:ext cx="2230316" cy="319336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656492</xdr:colOff>
      <xdr:row>16</xdr:row>
      <xdr:rowOff>0</xdr:rowOff>
    </xdr:from>
    <xdr:to>
      <xdr:col>7</xdr:col>
      <xdr:colOff>1160585</xdr:colOff>
      <xdr:row>17</xdr:row>
      <xdr:rowOff>23447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79C8C9E-49B4-44A7-BC2E-26F33BC5BE59}"/>
            </a:ext>
          </a:extLst>
        </xdr:cNvPr>
        <xdr:cNvSpPr/>
      </xdr:nvSpPr>
      <xdr:spPr>
        <a:xfrm>
          <a:off x="6028592" y="3314700"/>
          <a:ext cx="504093" cy="24442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5861</xdr:colOff>
      <xdr:row>22</xdr:row>
      <xdr:rowOff>73269</xdr:rowOff>
    </xdr:from>
    <xdr:to>
      <xdr:col>11</xdr:col>
      <xdr:colOff>914400</xdr:colOff>
      <xdr:row>49</xdr:row>
      <xdr:rowOff>143608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7B2B77B9-AD94-4B45-BF20-6C148E47B9D0}"/>
            </a:ext>
          </a:extLst>
        </xdr:cNvPr>
        <xdr:cNvCxnSpPr>
          <a:stCxn id="5" idx="3"/>
          <a:endCxn id="10" idx="1"/>
        </xdr:cNvCxnSpPr>
      </xdr:nvCxnSpPr>
      <xdr:spPr>
        <a:xfrm flipV="1">
          <a:off x="1964201" y="4713849"/>
          <a:ext cx="9503899" cy="60367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914400</xdr:colOff>
      <xdr:row>21</xdr:row>
      <xdr:rowOff>152400</xdr:rowOff>
    </xdr:from>
    <xdr:to>
      <xdr:col>14</xdr:col>
      <xdr:colOff>187570</xdr:colOff>
      <xdr:row>22</xdr:row>
      <xdr:rowOff>216877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A61955DE-19E8-4CC2-91F4-46A598B2E1BF}"/>
            </a:ext>
          </a:extLst>
        </xdr:cNvPr>
        <xdr:cNvSpPr/>
      </xdr:nvSpPr>
      <xdr:spPr>
        <a:xfrm>
          <a:off x="11468100" y="4572000"/>
          <a:ext cx="1917310" cy="28545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177800</xdr:colOff>
      <xdr:row>11</xdr:row>
      <xdr:rowOff>25400</xdr:rowOff>
    </xdr:from>
    <xdr:to>
      <xdr:col>15</xdr:col>
      <xdr:colOff>254000</xdr:colOff>
      <xdr:row>13</xdr:row>
      <xdr:rowOff>203200</xdr:rowOff>
    </xdr:to>
    <xdr:sp macro="" textlink="">
      <xdr:nvSpPr>
        <xdr:cNvPr id="2" name="모서리가 둥근 직사각형 1"/>
        <xdr:cNvSpPr/>
      </xdr:nvSpPr>
      <xdr:spPr>
        <a:xfrm>
          <a:off x="11537950" y="2603500"/>
          <a:ext cx="4711700" cy="7112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□ 작성 시 참고사항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확인 후 삭제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1. ' 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음영 있는 셀</a:t>
          </a:r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만 입력</a:t>
          </a:r>
          <a:endParaRPr lang="en-US" altLang="ko-KR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법인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고객사 현지 업무수행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주이상 출장시 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L1</a:t>
          </a:r>
          <a:r>
            <a:rPr lang="ko-KR" alt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비자 발급 필수</a:t>
          </a:r>
          <a:endParaRPr lang="ko-KR" altLang="ko-KR" b="0">
            <a:solidFill>
              <a:sysClr val="windowText" lastClr="000000"/>
            </a:solidFill>
            <a:effectLst/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3. </a:t>
          </a:r>
          <a:r>
            <a:rPr lang="ko-KR" altLang="en-US" sz="1100" baseline="0">
              <a:solidFill>
                <a:sysClr val="windowText" lastClr="000000"/>
              </a:solidFill>
            </a:rPr>
            <a:t>합계금액을 해외출장비 </a:t>
          </a:r>
          <a:r>
            <a:rPr lang="en-US" altLang="ko-KR" sz="1100" baseline="0">
              <a:solidFill>
                <a:sysClr val="windowText" lastClr="000000"/>
              </a:solidFill>
            </a:rPr>
            <a:t>- </a:t>
          </a:r>
          <a:r>
            <a:rPr lang="ko-KR" altLang="en-US" sz="1100" baseline="0">
              <a:solidFill>
                <a:sysClr val="windowText" lastClr="000000"/>
              </a:solidFill>
            </a:rPr>
            <a:t>기타비용에 직접 반영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</a:t>
          </a:r>
          <a:r>
            <a:rPr lang="ko-KR" altLang="en-US" sz="1100" baseline="0">
              <a:solidFill>
                <a:sysClr val="windowText" lastClr="000000"/>
              </a:solidFill>
            </a:rPr>
            <a:t>→ 시스템 해외출장비에 포함 하여 반영</a:t>
          </a:r>
          <a:endParaRPr lang="en-US" altLang="ko-KR" sz="11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362350</xdr:colOff>
      <xdr:row>0</xdr:row>
      <xdr:rowOff>30480</xdr:rowOff>
    </xdr:from>
    <xdr:ext cx="946285" cy="312420"/>
    <xdr:sp macro="" textlink="">
      <xdr:nvSpPr>
        <xdr:cNvPr id="2" name="TextBox 1"/>
        <xdr:cNvSpPr txBox="1"/>
      </xdr:nvSpPr>
      <xdr:spPr>
        <a:xfrm>
          <a:off x="13068700" y="30480"/>
          <a:ext cx="946285" cy="312420"/>
        </a:xfrm>
        <a:prstGeom prst="rect">
          <a:avLst/>
        </a:prstGeom>
        <a:noFill/>
        <a:ln w="28575">
          <a:solidFill>
            <a:srgbClr val="FF0000"/>
          </a:solidFill>
        </a:ln>
      </xdr:spPr>
      <xdr:txBody>
        <a:bodyPr vertOverflow="clip" horzOverflow="clip" wrap="square" tIns="0" bIns="0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>
              <a:solidFill>
                <a:srgbClr val="FF0000"/>
              </a:solidFill>
            </a:rPr>
            <a:t>대외비</a:t>
          </a:r>
        </a:p>
      </xdr:txBody>
    </xdr:sp>
    <xdr:clientData/>
  </xdr:oneCellAnchor>
  <xdr:twoCellAnchor editAs="oneCell">
    <xdr:from>
      <xdr:col>1</xdr:col>
      <xdr:colOff>22860</xdr:colOff>
      <xdr:row>1</xdr:row>
      <xdr:rowOff>38100</xdr:rowOff>
    </xdr:from>
    <xdr:to>
      <xdr:col>2</xdr:col>
      <xdr:colOff>3343020</xdr:colOff>
      <xdr:row>3</xdr:row>
      <xdr:rowOff>37860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" y="241300"/>
          <a:ext cx="3567810" cy="4061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362350</xdr:colOff>
      <xdr:row>0</xdr:row>
      <xdr:rowOff>30480</xdr:rowOff>
    </xdr:from>
    <xdr:ext cx="946285" cy="312420"/>
    <xdr:sp macro="" textlink="">
      <xdr:nvSpPr>
        <xdr:cNvPr id="2" name="TextBox 1"/>
        <xdr:cNvSpPr txBox="1"/>
      </xdr:nvSpPr>
      <xdr:spPr>
        <a:xfrm>
          <a:off x="13157600" y="30480"/>
          <a:ext cx="946285" cy="312420"/>
        </a:xfrm>
        <a:prstGeom prst="rect">
          <a:avLst/>
        </a:prstGeom>
        <a:noFill/>
        <a:ln w="28575">
          <a:solidFill>
            <a:srgbClr val="FF0000"/>
          </a:solidFill>
        </a:ln>
      </xdr:spPr>
      <xdr:txBody>
        <a:bodyPr vertOverflow="clip" horzOverflow="clip" wrap="square" tIns="0" bIns="0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>
              <a:solidFill>
                <a:srgbClr val="FF0000"/>
              </a:solidFill>
            </a:rPr>
            <a:t>대외비</a:t>
          </a:r>
        </a:p>
      </xdr:txBody>
    </xdr:sp>
    <xdr:clientData/>
  </xdr:oneCellAnchor>
  <xdr:twoCellAnchor editAs="oneCell">
    <xdr:from>
      <xdr:col>1</xdr:col>
      <xdr:colOff>22860</xdr:colOff>
      <xdr:row>1</xdr:row>
      <xdr:rowOff>38100</xdr:rowOff>
    </xdr:from>
    <xdr:to>
      <xdr:col>2</xdr:col>
      <xdr:colOff>3343020</xdr:colOff>
      <xdr:row>3</xdr:row>
      <xdr:rowOff>37860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" y="241300"/>
          <a:ext cx="3567810" cy="4061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362350</xdr:colOff>
      <xdr:row>0</xdr:row>
      <xdr:rowOff>30480</xdr:rowOff>
    </xdr:from>
    <xdr:ext cx="946285" cy="312420"/>
    <xdr:sp macro="" textlink="">
      <xdr:nvSpPr>
        <xdr:cNvPr id="2" name="TextBox 1"/>
        <xdr:cNvSpPr txBox="1"/>
      </xdr:nvSpPr>
      <xdr:spPr>
        <a:xfrm>
          <a:off x="11512950" y="30480"/>
          <a:ext cx="946285" cy="312420"/>
        </a:xfrm>
        <a:prstGeom prst="rect">
          <a:avLst/>
        </a:prstGeom>
        <a:noFill/>
        <a:ln w="28575">
          <a:solidFill>
            <a:srgbClr val="FF0000"/>
          </a:solidFill>
        </a:ln>
      </xdr:spPr>
      <xdr:txBody>
        <a:bodyPr vertOverflow="clip" horzOverflow="clip" wrap="square" tIns="0" bIns="0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>
              <a:solidFill>
                <a:srgbClr val="FF0000"/>
              </a:solidFill>
            </a:rPr>
            <a:t>대외비</a:t>
          </a:r>
        </a:p>
      </xdr:txBody>
    </xdr:sp>
    <xdr:clientData/>
  </xdr:oneCellAnchor>
  <xdr:twoCellAnchor editAs="oneCell">
    <xdr:from>
      <xdr:col>1</xdr:col>
      <xdr:colOff>22860</xdr:colOff>
      <xdr:row>1</xdr:row>
      <xdr:rowOff>38100</xdr:rowOff>
    </xdr:from>
    <xdr:to>
      <xdr:col>2</xdr:col>
      <xdr:colOff>3343020</xdr:colOff>
      <xdr:row>3</xdr:row>
      <xdr:rowOff>37860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" y="241300"/>
          <a:ext cx="3567810" cy="4061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255270</xdr:colOff>
      <xdr:row>5</xdr:row>
      <xdr:rowOff>88900</xdr:rowOff>
    </xdr:from>
    <xdr:to>
      <xdr:col>3</xdr:col>
      <xdr:colOff>510641</xdr:colOff>
      <xdr:row>6</xdr:row>
      <xdr:rowOff>15682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" y="812800"/>
          <a:ext cx="2020671" cy="155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781050</xdr:colOff>
      <xdr:row>0</xdr:row>
      <xdr:rowOff>184150</xdr:rowOff>
    </xdr:from>
    <xdr:to>
      <xdr:col>20</xdr:col>
      <xdr:colOff>469900</xdr:colOff>
      <xdr:row>11</xdr:row>
      <xdr:rowOff>177800</xdr:rowOff>
    </xdr:to>
    <xdr:sp macro="" textlink="">
      <xdr:nvSpPr>
        <xdr:cNvPr id="3" name="모서리가 둥근 직사각형 2"/>
        <xdr:cNvSpPr/>
      </xdr:nvSpPr>
      <xdr:spPr>
        <a:xfrm>
          <a:off x="13290550" y="184150"/>
          <a:ext cx="5099050" cy="28765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□ 작성 시 참고사항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확인 후 삭제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1. '</a:t>
          </a:r>
          <a:r>
            <a:rPr lang="ko-KR" altLang="en-US" sz="1100">
              <a:solidFill>
                <a:sysClr val="windowText" lastClr="000000"/>
              </a:solidFill>
            </a:rPr>
            <a:t>음영 있는 셀</a:t>
          </a:r>
          <a:r>
            <a:rPr lang="en-US" altLang="ko-KR" sz="1100">
              <a:solidFill>
                <a:sysClr val="windowText" lastClr="000000"/>
              </a:solidFill>
            </a:rPr>
            <a:t>'</a:t>
          </a:r>
          <a:r>
            <a:rPr lang="ko-KR" altLang="en-US" sz="1100">
              <a:solidFill>
                <a:sysClr val="windowText" lastClr="000000"/>
              </a:solidFill>
            </a:rPr>
            <a:t>만 입력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2. </a:t>
          </a:r>
          <a:r>
            <a:rPr lang="ko-KR" altLang="en-US" sz="1100">
              <a:solidFill>
                <a:sysClr val="windowText" lastClr="000000"/>
              </a:solidFill>
            </a:rPr>
            <a:t>사업구분</a:t>
          </a:r>
          <a:r>
            <a:rPr lang="en-US" altLang="ko-KR" sz="1100">
              <a:solidFill>
                <a:sysClr val="windowText" lastClr="000000"/>
              </a:solidFill>
            </a:rPr>
            <a:t>, </a:t>
          </a:r>
          <a:r>
            <a:rPr lang="ko-KR" altLang="en-US" sz="1100">
              <a:solidFill>
                <a:sysClr val="windowText" lastClr="000000"/>
              </a:solidFill>
            </a:rPr>
            <a:t>사업유형</a:t>
          </a:r>
          <a:r>
            <a:rPr lang="en-US" altLang="ko-KR" sz="1100">
              <a:solidFill>
                <a:sysClr val="windowText" lastClr="000000"/>
              </a:solidFill>
            </a:rPr>
            <a:t>, </a:t>
          </a:r>
          <a:r>
            <a:rPr lang="ko-KR" altLang="en-US" sz="1100">
              <a:solidFill>
                <a:sysClr val="windowText" lastClr="000000"/>
              </a:solidFill>
            </a:rPr>
            <a:t>국내</a:t>
          </a:r>
          <a:r>
            <a:rPr lang="en-US" altLang="ko-KR" sz="1100">
              <a:solidFill>
                <a:sysClr val="windowText" lastClr="000000"/>
              </a:solidFill>
            </a:rPr>
            <a:t>/</a:t>
          </a:r>
          <a:r>
            <a:rPr lang="ko-KR" altLang="en-US" sz="1100">
              <a:solidFill>
                <a:sysClr val="windowText" lastClr="000000"/>
              </a:solidFill>
            </a:rPr>
            <a:t>외</a:t>
          </a:r>
          <a:r>
            <a:rPr lang="en-US" altLang="ko-KR" sz="1100">
              <a:solidFill>
                <a:sysClr val="windowText" lastClr="000000"/>
              </a:solidFill>
            </a:rPr>
            <a:t>, </a:t>
          </a:r>
          <a:r>
            <a:rPr lang="ko-KR" altLang="en-US" sz="1100">
              <a:solidFill>
                <a:sysClr val="windowText" lastClr="000000"/>
              </a:solidFill>
            </a:rPr>
            <a:t>위험비용비율 기재 필수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3.</a:t>
          </a:r>
          <a:r>
            <a:rPr lang="en-US" altLang="ko-KR" sz="1100" baseline="0">
              <a:solidFill>
                <a:sysClr val="windowText" lastClr="000000"/>
              </a:solidFill>
            </a:rPr>
            <a:t> PJT</a:t>
          </a:r>
          <a:r>
            <a:rPr lang="ko-KR" altLang="en-US" sz="1100" baseline="0">
              <a:solidFill>
                <a:sysClr val="windowText" lastClr="000000"/>
              </a:solidFill>
            </a:rPr>
            <a:t>수주액 세분화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</a:rPr>
            <a:t>서비스</a:t>
          </a:r>
          <a:r>
            <a:rPr lang="en-US" altLang="ko-KR" sz="1100" baseline="0">
              <a:solidFill>
                <a:sysClr val="windowText" lastClr="000000"/>
              </a:solidFill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</a:rPr>
            <a:t>정규</a:t>
          </a:r>
          <a:r>
            <a:rPr lang="en-US" altLang="ko-KR" sz="1100" baseline="0">
              <a:solidFill>
                <a:sysClr val="windowText" lastClr="000000"/>
              </a:solidFill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</a:rPr>
            <a:t>외주</a:t>
          </a:r>
          <a:r>
            <a:rPr lang="en-US" altLang="ko-KR" sz="1100" baseline="0">
              <a:solidFill>
                <a:sysClr val="windowText" lastClr="000000"/>
              </a:solidFill>
            </a:rPr>
            <a:t>) : </a:t>
          </a:r>
          <a:r>
            <a:rPr lang="ko-KR" altLang="en-US" sz="1100" baseline="0">
              <a:solidFill>
                <a:sysClr val="windowText" lastClr="000000"/>
              </a:solidFill>
            </a:rPr>
            <a:t>구축</a:t>
          </a:r>
          <a:r>
            <a:rPr lang="en-US" altLang="ko-KR" sz="1100" baseline="0">
              <a:solidFill>
                <a:sysClr val="windowText" lastClr="000000"/>
              </a:solidFill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</a:rPr>
            <a:t>개발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</a:rPr>
            <a:t>자사솔루션 </a:t>
          </a:r>
          <a:r>
            <a:rPr lang="en-US" altLang="ko-KR" sz="1100" baseline="0">
              <a:solidFill>
                <a:sysClr val="windowText" lastClr="000000"/>
              </a:solidFill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</a:rPr>
            <a:t>자체 솔루션 라이선스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- </a:t>
          </a:r>
          <a:r>
            <a:rPr lang="ko-KR" altLang="en-US" sz="1100" baseline="0">
              <a:solidFill>
                <a:sysClr val="windowText" lastClr="000000"/>
              </a:solidFill>
            </a:rPr>
            <a:t>유지보수 </a:t>
          </a:r>
          <a:r>
            <a:rPr lang="en-US" altLang="ko-KR" sz="1100" baseline="0">
              <a:solidFill>
                <a:sysClr val="windowText" lastClr="000000"/>
              </a:solidFill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</a:rPr>
            <a:t>자체 솔루션 라이선스 </a:t>
          </a:r>
          <a:r>
            <a:rPr lang="en-US" altLang="ko-KR" sz="1100" baseline="0">
              <a:solidFill>
                <a:sysClr val="windowText" lastClr="000000"/>
              </a:solidFill>
            </a:rPr>
            <a:t>MA</a:t>
          </a: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- ITO/</a:t>
          </a:r>
          <a:r>
            <a:rPr lang="ko-KR" altLang="en-US" sz="1100" baseline="0">
              <a:solidFill>
                <a:sysClr val="windowText" lastClr="000000"/>
              </a:solidFill>
            </a:rPr>
            <a:t>원격운영 </a:t>
          </a:r>
          <a:r>
            <a:rPr lang="en-US" altLang="ko-KR" sz="1100" baseline="0">
              <a:solidFill>
                <a:sysClr val="windowText" lastClr="000000"/>
              </a:solidFill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</a:rPr>
            <a:t>라이선스 포함되지 않는 운영</a:t>
          </a:r>
          <a:r>
            <a:rPr lang="en-US" altLang="ko-KR" sz="1100" baseline="0">
              <a:solidFill>
                <a:sysClr val="windowText" lastClr="000000"/>
              </a:solidFill>
            </a:rPr>
            <a:t>(SMC) </a:t>
          </a:r>
          <a:r>
            <a:rPr lang="ko-KR" altLang="en-US" sz="1100" baseline="0">
              <a:solidFill>
                <a:sysClr val="windowText" lastClr="000000"/>
              </a:solidFill>
            </a:rPr>
            <a:t>계약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- HW/</a:t>
          </a:r>
          <a:r>
            <a:rPr lang="ko-KR" altLang="en-US" sz="1100" baseline="0">
              <a:solidFill>
                <a:sysClr val="windowText" lastClr="000000"/>
              </a:solidFill>
            </a:rPr>
            <a:t>도입솔루션 </a:t>
          </a:r>
          <a:r>
            <a:rPr lang="en-US" altLang="ko-KR" sz="1100" baseline="0">
              <a:solidFill>
                <a:sysClr val="windowText" lastClr="000000"/>
              </a:solidFill>
            </a:rPr>
            <a:t>: SW, </a:t>
          </a:r>
          <a:r>
            <a:rPr lang="ko-KR" altLang="en-US" sz="1100" baseline="0">
              <a:solidFill>
                <a:sysClr val="windowText" lastClr="000000"/>
              </a:solidFill>
            </a:rPr>
            <a:t>인프라 장비 납품 등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   - MES CE </a:t>
          </a:r>
          <a:r>
            <a:rPr lang="ko-KR" altLang="en-US" sz="1100" baseline="0">
              <a:solidFill>
                <a:sysClr val="windowText" lastClr="000000"/>
              </a:solidFill>
            </a:rPr>
            <a:t>구독료 </a:t>
          </a:r>
          <a:r>
            <a:rPr lang="en-US" altLang="ko-KR" sz="1100" baseline="0">
              <a:solidFill>
                <a:sysClr val="windowText" lastClr="000000"/>
              </a:solidFill>
            </a:rPr>
            <a:t>: CE</a:t>
          </a:r>
          <a:r>
            <a:rPr lang="ko-KR" altLang="en-US" sz="1100" baseline="0">
              <a:solidFill>
                <a:sysClr val="windowText" lastClr="000000"/>
              </a:solidFill>
            </a:rPr>
            <a:t>사업일 경우 구독료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endParaRPr lang="en-US" altLang="ko-KR" sz="11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</xdr:colOff>
      <xdr:row>48</xdr:row>
      <xdr:rowOff>0</xdr:rowOff>
    </xdr:from>
    <xdr:to>
      <xdr:col>9</xdr:col>
      <xdr:colOff>1426</xdr:colOff>
      <xdr:row>58</xdr:row>
      <xdr:rowOff>150494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14843760"/>
          <a:ext cx="5343046" cy="2377439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</xdr:colOff>
      <xdr:row>61</xdr:row>
      <xdr:rowOff>38101</xdr:rowOff>
    </xdr:from>
    <xdr:to>
      <xdr:col>8</xdr:col>
      <xdr:colOff>634846</xdr:colOff>
      <xdr:row>83</xdr:row>
      <xdr:rowOff>140971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180" y="17899381"/>
          <a:ext cx="5473546" cy="4960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403"/>
  <sheetViews>
    <sheetView showGridLines="0" zoomScaleNormal="100" workbookViewId="0">
      <selection activeCell="J66" sqref="J66"/>
    </sheetView>
  </sheetViews>
  <sheetFormatPr defaultRowHeight="16.899999999999999"/>
  <cols>
    <col min="1" max="1" width="1.5625" customWidth="1"/>
    <col min="2" max="2" width="3.3125" customWidth="1"/>
    <col min="3" max="3" width="9.5625" bestFit="1" customWidth="1"/>
    <col min="17" max="17" width="9" style="288"/>
  </cols>
  <sheetData>
    <row r="1" spans="2:17" s="291" customFormat="1" ht="15" customHeight="1">
      <c r="Q1" s="295"/>
    </row>
    <row r="2" spans="2:17" ht="27" hidden="1">
      <c r="B2" s="189" t="s">
        <v>303</v>
      </c>
    </row>
    <row r="3" spans="2:17" ht="19.149999999999999" hidden="1">
      <c r="B3" s="467"/>
    </row>
    <row r="4" spans="2:17" ht="19.149999999999999" hidden="1">
      <c r="B4" s="606"/>
    </row>
    <row r="5" spans="2:17" ht="19.149999999999999" hidden="1">
      <c r="B5" s="606"/>
    </row>
    <row r="6" spans="2:17" ht="27" hidden="1">
      <c r="B6" s="189"/>
    </row>
    <row r="7" spans="2:17" ht="19.149999999999999" hidden="1">
      <c r="B7" s="467" t="s">
        <v>635</v>
      </c>
    </row>
    <row r="8" spans="2:17" ht="19.149999999999999" hidden="1">
      <c r="B8" s="606" t="s">
        <v>620</v>
      </c>
    </row>
    <row r="9" spans="2:17" ht="19.149999999999999" hidden="1">
      <c r="B9" s="606" t="s">
        <v>633</v>
      </c>
    </row>
    <row r="10" spans="2:17" ht="19.149999999999999" hidden="1">
      <c r="B10" s="606"/>
    </row>
    <row r="11" spans="2:17" ht="18" hidden="1" customHeight="1">
      <c r="B11" s="467" t="s">
        <v>608</v>
      </c>
    </row>
    <row r="12" spans="2:17" s="467" customFormat="1" ht="18" hidden="1" customHeight="1">
      <c r="B12" s="606" t="s">
        <v>605</v>
      </c>
      <c r="Q12" s="468"/>
    </row>
    <row r="13" spans="2:17" s="467" customFormat="1" ht="18" hidden="1" customHeight="1">
      <c r="B13" s="606" t="s">
        <v>607</v>
      </c>
      <c r="Q13" s="468"/>
    </row>
    <row r="14" spans="2:17" ht="18" hidden="1" customHeight="1">
      <c r="B14" s="189"/>
    </row>
    <row r="15" spans="2:17" ht="18" hidden="1" customHeight="1">
      <c r="B15" s="467" t="s">
        <v>573</v>
      </c>
    </row>
    <row r="16" spans="2:17" s="467" customFormat="1" ht="18" hidden="1" customHeight="1">
      <c r="B16" s="606" t="s">
        <v>574</v>
      </c>
      <c r="Q16" s="468"/>
    </row>
    <row r="17" spans="2:17" ht="18" hidden="1" customHeight="1">
      <c r="B17" s="189"/>
    </row>
    <row r="18" spans="2:17" ht="18" hidden="1" customHeight="1">
      <c r="B18" s="467" t="s">
        <v>572</v>
      </c>
    </row>
    <row r="19" spans="2:17" s="467" customFormat="1" ht="18" hidden="1" customHeight="1">
      <c r="B19" s="606" t="s">
        <v>571</v>
      </c>
      <c r="Q19" s="468"/>
    </row>
    <row r="20" spans="2:17" s="467" customFormat="1" ht="18" hidden="1" customHeight="1">
      <c r="B20" s="606"/>
      <c r="Q20" s="468"/>
    </row>
    <row r="21" spans="2:17" ht="18" hidden="1" customHeight="1">
      <c r="B21" s="467" t="s">
        <v>569</v>
      </c>
    </row>
    <row r="22" spans="2:17" s="467" customFormat="1" ht="18" hidden="1" customHeight="1">
      <c r="B22" s="606" t="s">
        <v>570</v>
      </c>
      <c r="Q22" s="468"/>
    </row>
    <row r="23" spans="2:17" s="467" customFormat="1" ht="18" hidden="1" customHeight="1">
      <c r="B23" s="606"/>
      <c r="Q23" s="468"/>
    </row>
    <row r="24" spans="2:17" ht="19.149999999999999" hidden="1">
      <c r="B24" s="467" t="s">
        <v>567</v>
      </c>
    </row>
    <row r="25" spans="2:17" s="467" customFormat="1" ht="18" hidden="1" customHeight="1">
      <c r="B25" s="606" t="s">
        <v>556</v>
      </c>
      <c r="Q25" s="468"/>
    </row>
    <row r="26" spans="2:17" s="467" customFormat="1" ht="18" hidden="1" customHeight="1">
      <c r="B26" s="606" t="s">
        <v>557</v>
      </c>
      <c r="Q26" s="468"/>
    </row>
    <row r="27" spans="2:17" s="467" customFormat="1" ht="18" hidden="1" customHeight="1">
      <c r="B27" s="606" t="s">
        <v>564</v>
      </c>
      <c r="Q27" s="468"/>
    </row>
    <row r="28" spans="2:17" s="467" customFormat="1" ht="18" hidden="1" customHeight="1">
      <c r="B28" s="606" t="s">
        <v>568</v>
      </c>
      <c r="Q28" s="468"/>
    </row>
    <row r="29" spans="2:17" s="467" customFormat="1" ht="18" hidden="1" customHeight="1">
      <c r="B29" s="606" t="s">
        <v>565</v>
      </c>
      <c r="Q29" s="468"/>
    </row>
    <row r="30" spans="2:17" s="467" customFormat="1" ht="18" hidden="1" customHeight="1">
      <c r="B30" s="606" t="s">
        <v>566</v>
      </c>
      <c r="Q30" s="468"/>
    </row>
    <row r="31" spans="2:17" s="467" customFormat="1" ht="18" hidden="1" customHeight="1">
      <c r="B31" s="606"/>
      <c r="Q31" s="468"/>
    </row>
    <row r="32" spans="2:17" s="467" customFormat="1" ht="18" hidden="1" customHeight="1">
      <c r="B32" s="606"/>
      <c r="Q32" s="468"/>
    </row>
    <row r="33" spans="2:17" s="498" customFormat="1" ht="18" hidden="1" customHeight="1">
      <c r="B33" s="498" t="s">
        <v>546</v>
      </c>
      <c r="Q33" s="499"/>
    </row>
    <row r="34" spans="2:17" s="498" customFormat="1" ht="18" hidden="1" customHeight="1">
      <c r="B34" s="500" t="s">
        <v>547</v>
      </c>
      <c r="Q34" s="499"/>
    </row>
    <row r="35" spans="2:17" s="498" customFormat="1" ht="18" hidden="1" customHeight="1">
      <c r="B35" s="500" t="s">
        <v>548</v>
      </c>
      <c r="Q35" s="499"/>
    </row>
    <row r="36" spans="2:17" s="498" customFormat="1" ht="18" hidden="1" customHeight="1">
      <c r="B36" s="500" t="s">
        <v>549</v>
      </c>
      <c r="Q36" s="499"/>
    </row>
    <row r="37" spans="2:17" s="498" customFormat="1" ht="18" hidden="1" customHeight="1">
      <c r="B37" s="500" t="s">
        <v>542</v>
      </c>
      <c r="Q37" s="499"/>
    </row>
    <row r="38" spans="2:17" s="498" customFormat="1" ht="18" hidden="1" customHeight="1">
      <c r="B38" s="500" t="s">
        <v>538</v>
      </c>
      <c r="Q38" s="499"/>
    </row>
    <row r="39" spans="2:17" s="498" customFormat="1" ht="18" hidden="1" customHeight="1">
      <c r="B39" s="500" t="s">
        <v>544</v>
      </c>
      <c r="Q39" s="499"/>
    </row>
    <row r="40" spans="2:17" s="498" customFormat="1" ht="18" hidden="1" customHeight="1">
      <c r="B40" s="500" t="s">
        <v>543</v>
      </c>
      <c r="Q40" s="499"/>
    </row>
    <row r="41" spans="2:17" s="498" customFormat="1" ht="18" hidden="1" customHeight="1">
      <c r="B41" s="500" t="s">
        <v>545</v>
      </c>
      <c r="Q41" s="499"/>
    </row>
    <row r="42" spans="2:17" s="467" customFormat="1" ht="18" hidden="1" customHeight="1">
      <c r="B42" s="500" t="s">
        <v>535</v>
      </c>
      <c r="Q42" s="468"/>
    </row>
    <row r="43" spans="2:17" s="467" customFormat="1" ht="18" hidden="1" customHeight="1">
      <c r="B43" s="500" t="s">
        <v>534</v>
      </c>
      <c r="Q43" s="468"/>
    </row>
    <row r="44" spans="2:17" s="467" customFormat="1" ht="18" hidden="1" customHeight="1">
      <c r="B44" s="500" t="s">
        <v>527</v>
      </c>
      <c r="Q44" s="468"/>
    </row>
    <row r="45" spans="2:17" s="467" customFormat="1" ht="18" hidden="1" customHeight="1">
      <c r="B45" s="500" t="s">
        <v>528</v>
      </c>
      <c r="Q45" s="468"/>
    </row>
    <row r="46" spans="2:17" s="467" customFormat="1" ht="18" hidden="1" customHeight="1">
      <c r="B46" s="500" t="s">
        <v>529</v>
      </c>
      <c r="Q46" s="468"/>
    </row>
    <row r="47" spans="2:17" s="467" customFormat="1" ht="18" hidden="1" customHeight="1">
      <c r="B47" s="500" t="s">
        <v>530</v>
      </c>
      <c r="Q47" s="468"/>
    </row>
    <row r="48" spans="2:17" s="291" customFormat="1" ht="18" hidden="1" customHeight="1">
      <c r="B48" s="291" t="s">
        <v>624</v>
      </c>
      <c r="Q48" s="295"/>
    </row>
    <row r="49" spans="2:17" s="291" customFormat="1" ht="18" hidden="1" customHeight="1">
      <c r="Q49" s="295"/>
    </row>
    <row r="50" spans="2:17" ht="27">
      <c r="B50" s="189" t="s">
        <v>301</v>
      </c>
    </row>
    <row r="51" spans="2:17" s="291" customFormat="1" ht="18" customHeight="1">
      <c r="B51" s="292"/>
      <c r="Q51" s="295"/>
    </row>
    <row r="52" spans="2:17" s="291" customFormat="1" ht="18" customHeight="1">
      <c r="B52" s="292" t="s">
        <v>302</v>
      </c>
      <c r="Q52" s="295"/>
    </row>
    <row r="53" spans="2:17" s="291" customFormat="1" ht="18" customHeight="1">
      <c r="C53" s="291" t="s">
        <v>850</v>
      </c>
      <c r="Q53" s="295"/>
    </row>
    <row r="54" spans="2:17" s="291" customFormat="1" ht="18" customHeight="1">
      <c r="Q54" s="295"/>
    </row>
    <row r="55" spans="2:17" s="291" customFormat="1" ht="18" customHeight="1">
      <c r="Q55" s="295"/>
    </row>
    <row r="56" spans="2:17" s="291" customFormat="1" ht="18" customHeight="1">
      <c r="Q56" s="295"/>
    </row>
    <row r="57" spans="2:17" s="291" customFormat="1" ht="18" customHeight="1">
      <c r="B57" s="292" t="s">
        <v>274</v>
      </c>
      <c r="Q57" s="295"/>
    </row>
    <row r="58" spans="2:17" s="291" customFormat="1" ht="18" customHeight="1">
      <c r="C58" s="1029"/>
      <c r="D58" s="291" t="s">
        <v>275</v>
      </c>
      <c r="Q58" s="295"/>
    </row>
    <row r="59" spans="2:17" s="291" customFormat="1" ht="18" customHeight="1">
      <c r="Q59" s="295"/>
    </row>
    <row r="60" spans="2:17" s="291" customFormat="1" ht="18" customHeight="1">
      <c r="B60" s="292" t="s">
        <v>276</v>
      </c>
      <c r="Q60" s="295"/>
    </row>
    <row r="61" spans="2:17" s="291" customFormat="1" ht="18" customHeight="1">
      <c r="C61" s="293"/>
      <c r="D61" s="291" t="s">
        <v>278</v>
      </c>
      <c r="Q61" s="295"/>
    </row>
    <row r="62" spans="2:17" s="291" customFormat="1" ht="18" customHeight="1">
      <c r="C62" s="291" t="s">
        <v>625</v>
      </c>
      <c r="Q62" s="295"/>
    </row>
    <row r="63" spans="2:17" s="463" customFormat="1" ht="19.149999999999999">
      <c r="C63" s="500" t="s">
        <v>851</v>
      </c>
      <c r="Q63" s="501"/>
    </row>
    <row r="64" spans="2:17" s="463" customFormat="1" ht="19.149999999999999">
      <c r="C64" s="1030" t="s">
        <v>853</v>
      </c>
      <c r="Q64" s="501"/>
    </row>
    <row r="65" spans="3:17" s="291" customFormat="1" ht="18" customHeight="1">
      <c r="C65" s="291" t="s">
        <v>1077</v>
      </c>
      <c r="Q65" s="295"/>
    </row>
    <row r="66" spans="3:17" s="291" customFormat="1" ht="18" customHeight="1">
      <c r="C66" s="291" t="s">
        <v>277</v>
      </c>
      <c r="Q66" s="295"/>
    </row>
    <row r="67" spans="3:17" s="291" customFormat="1" ht="18" customHeight="1">
      <c r="C67" s="291" t="s">
        <v>1078</v>
      </c>
      <c r="Q67" s="295"/>
    </row>
    <row r="68" spans="3:17" s="291" customFormat="1" ht="18" customHeight="1">
      <c r="C68" s="291" t="s">
        <v>1079</v>
      </c>
      <c r="Q68" s="295"/>
    </row>
    <row r="69" spans="3:17" s="291" customFormat="1" ht="18" customHeight="1">
      <c r="C69" s="291" t="s">
        <v>1080</v>
      </c>
      <c r="Q69" s="295"/>
    </row>
    <row r="70" spans="3:17" s="291" customFormat="1" ht="18" customHeight="1">
      <c r="C70" s="291" t="s">
        <v>1081</v>
      </c>
      <c r="Q70" s="295"/>
    </row>
    <row r="71" spans="3:17" s="291" customFormat="1" ht="18" customHeight="1">
      <c r="Q71" s="295"/>
    </row>
    <row r="72" spans="3:17" s="291" customFormat="1" ht="18" customHeight="1">
      <c r="Q72" s="295"/>
    </row>
    <row r="73" spans="3:17" s="291" customFormat="1" ht="18" customHeight="1">
      <c r="Q73" s="295"/>
    </row>
    <row r="74" spans="3:17" s="291" customFormat="1" ht="18" customHeight="1">
      <c r="Q74" s="295"/>
    </row>
    <row r="75" spans="3:17" s="291" customFormat="1" ht="18" customHeight="1">
      <c r="Q75" s="295"/>
    </row>
    <row r="76" spans="3:17" s="291" customFormat="1" ht="18" customHeight="1">
      <c r="Q76" s="295"/>
    </row>
    <row r="77" spans="3:17" s="291" customFormat="1" ht="18" customHeight="1">
      <c r="Q77" s="295"/>
    </row>
    <row r="78" spans="3:17" s="291" customFormat="1" ht="18" customHeight="1">
      <c r="Q78" s="295"/>
    </row>
    <row r="79" spans="3:17" s="291" customFormat="1" ht="18" customHeight="1">
      <c r="Q79" s="295"/>
    </row>
    <row r="80" spans="3:17" s="291" customFormat="1" ht="18" customHeight="1">
      <c r="Q80" s="295"/>
    </row>
    <row r="81" spans="2:17" s="291" customFormat="1" ht="18" customHeight="1">
      <c r="Q81" s="295"/>
    </row>
    <row r="82" spans="2:17" s="291" customFormat="1" ht="18" customHeight="1">
      <c r="Q82" s="295"/>
    </row>
    <row r="83" spans="2:17" s="291" customFormat="1" ht="18" customHeight="1">
      <c r="Q83" s="295"/>
    </row>
    <row r="84" spans="2:17" s="291" customFormat="1" ht="18" customHeight="1">
      <c r="Q84" s="295"/>
    </row>
    <row r="85" spans="2:17" s="291" customFormat="1" ht="18" customHeight="1">
      <c r="Q85" s="295"/>
    </row>
    <row r="86" spans="2:17" s="291" customFormat="1" ht="18" customHeight="1">
      <c r="Q86" s="295"/>
    </row>
    <row r="87" spans="2:17" s="291" customFormat="1" ht="18" customHeight="1">
      <c r="B87" s="292" t="s">
        <v>854</v>
      </c>
      <c r="Q87" s="295"/>
    </row>
    <row r="88" spans="2:17" s="291" customFormat="1" ht="18" customHeight="1">
      <c r="B88" s="292"/>
      <c r="C88" s="293"/>
      <c r="D88" s="291" t="s">
        <v>275</v>
      </c>
      <c r="Q88" s="295"/>
    </row>
    <row r="89" spans="2:17" s="291" customFormat="1" ht="18" customHeight="1">
      <c r="Q89" s="295"/>
    </row>
    <row r="90" spans="2:17" s="291" customFormat="1" ht="18" customHeight="1">
      <c r="B90" s="292" t="s">
        <v>279</v>
      </c>
      <c r="Q90" s="295"/>
    </row>
    <row r="91" spans="2:17" s="291" customFormat="1" ht="18" customHeight="1">
      <c r="C91" s="293"/>
      <c r="D91" s="291" t="s">
        <v>281</v>
      </c>
      <c r="Q91" s="295"/>
    </row>
    <row r="92" spans="2:17" s="517" customFormat="1" ht="18" customHeight="1">
      <c r="C92" s="518" t="s">
        <v>855</v>
      </c>
      <c r="Q92" s="468"/>
    </row>
    <row r="93" spans="2:17" s="517" customFormat="1" ht="18" customHeight="1">
      <c r="C93" s="518" t="s">
        <v>515</v>
      </c>
      <c r="Q93" s="468"/>
    </row>
    <row r="94" spans="2:17" s="291" customFormat="1" ht="18" customHeight="1">
      <c r="Q94" s="295"/>
    </row>
    <row r="95" spans="2:17" s="291" customFormat="1" ht="18" customHeight="1">
      <c r="B95" s="292" t="s">
        <v>280</v>
      </c>
      <c r="Q95" s="295"/>
    </row>
    <row r="96" spans="2:17" s="291" customFormat="1" ht="18" customHeight="1">
      <c r="C96" s="293"/>
      <c r="D96" s="291" t="s">
        <v>281</v>
      </c>
      <c r="Q96" s="295"/>
    </row>
    <row r="97" spans="3:17" s="291" customFormat="1" ht="18" customHeight="1">
      <c r="C97" s="291" t="s">
        <v>393</v>
      </c>
      <c r="Q97" s="295"/>
    </row>
    <row r="98" spans="3:17" s="498" customFormat="1" ht="18" customHeight="1">
      <c r="C98" s="500" t="s">
        <v>852</v>
      </c>
      <c r="Q98" s="499"/>
    </row>
    <row r="99" spans="3:17" s="498" customFormat="1" ht="18" customHeight="1">
      <c r="C99" s="500" t="s">
        <v>857</v>
      </c>
      <c r="Q99" s="499"/>
    </row>
    <row r="100" spans="3:17" s="498" customFormat="1" ht="18" customHeight="1">
      <c r="C100" s="606" t="s">
        <v>856</v>
      </c>
      <c r="D100" s="467"/>
      <c r="E100" s="467"/>
      <c r="F100" s="467"/>
      <c r="G100" s="467"/>
      <c r="H100" s="467"/>
      <c r="Q100" s="499"/>
    </row>
    <row r="101" spans="3:17" s="498" customFormat="1" ht="18" customHeight="1">
      <c r="C101" s="500" t="s">
        <v>1082</v>
      </c>
      <c r="Q101" s="499"/>
    </row>
    <row r="102" spans="3:17" s="498" customFormat="1" ht="18" customHeight="1">
      <c r="C102" s="500" t="s">
        <v>858</v>
      </c>
      <c r="Q102" s="499"/>
    </row>
    <row r="103" spans="3:17" s="498" customFormat="1" ht="18" customHeight="1">
      <c r="C103" s="500" t="s">
        <v>859</v>
      </c>
      <c r="Q103" s="499"/>
    </row>
    <row r="104" spans="3:17" s="498" customFormat="1" ht="18" customHeight="1">
      <c r="C104" s="500" t="s">
        <v>860</v>
      </c>
      <c r="Q104" s="499"/>
    </row>
    <row r="105" spans="3:17" s="498" customFormat="1" ht="18" customHeight="1">
      <c r="C105" s="500" t="s">
        <v>861</v>
      </c>
      <c r="Q105" s="499"/>
    </row>
    <row r="106" spans="3:17" s="498" customFormat="1" ht="18" customHeight="1">
      <c r="C106" s="500" t="s">
        <v>862</v>
      </c>
      <c r="Q106" s="499"/>
    </row>
    <row r="107" spans="3:17" s="498" customFormat="1" ht="18" customHeight="1">
      <c r="C107" s="500" t="s">
        <v>871</v>
      </c>
      <c r="Q107" s="499"/>
    </row>
    <row r="108" spans="3:17" s="498" customFormat="1" ht="18" customHeight="1">
      <c r="C108" s="520" t="s">
        <v>874</v>
      </c>
      <c r="Q108" s="499"/>
    </row>
    <row r="109" spans="3:17" s="291" customFormat="1" ht="18" customHeight="1">
      <c r="C109" s="520" t="s">
        <v>872</v>
      </c>
      <c r="Q109" s="295"/>
    </row>
    <row r="110" spans="3:17" s="291" customFormat="1" ht="18" customHeight="1">
      <c r="C110" s="520" t="s">
        <v>866</v>
      </c>
      <c r="Q110" s="295"/>
    </row>
    <row r="111" spans="3:17" s="291" customFormat="1" ht="18" customHeight="1">
      <c r="C111" s="520"/>
      <c r="Q111" s="295"/>
    </row>
    <row r="112" spans="3:17" s="291" customFormat="1" ht="18" customHeight="1">
      <c r="C112" s="520"/>
      <c r="Q112" s="295"/>
    </row>
    <row r="113" spans="2:17" s="291" customFormat="1" ht="17.55" customHeight="1">
      <c r="C113" s="520"/>
      <c r="Q113" s="295"/>
    </row>
    <row r="114" spans="2:17" s="291" customFormat="1" ht="17.55" customHeight="1">
      <c r="C114" s="520"/>
      <c r="Q114" s="295"/>
    </row>
    <row r="115" spans="2:17" s="291" customFormat="1" ht="17.55" customHeight="1">
      <c r="C115" s="520"/>
      <c r="Q115" s="295"/>
    </row>
    <row r="116" spans="2:17" s="291" customFormat="1" ht="18" customHeight="1">
      <c r="B116" s="292" t="s">
        <v>390</v>
      </c>
      <c r="Q116" s="295"/>
    </row>
    <row r="117" spans="2:17" s="291" customFormat="1" ht="18" customHeight="1">
      <c r="C117" s="293"/>
      <c r="D117" s="291" t="s">
        <v>281</v>
      </c>
      <c r="Q117" s="295"/>
    </row>
    <row r="118" spans="2:17" s="291" customFormat="1" ht="18" customHeight="1">
      <c r="C118" s="291" t="s">
        <v>1083</v>
      </c>
      <c r="Q118" s="295"/>
    </row>
    <row r="119" spans="2:17" s="291" customFormat="1" ht="18" customHeight="1">
      <c r="C119" s="520" t="s">
        <v>1084</v>
      </c>
      <c r="Q119" s="295"/>
    </row>
    <row r="120" spans="2:17" s="498" customFormat="1" ht="18" customHeight="1">
      <c r="C120" s="500" t="s">
        <v>863</v>
      </c>
      <c r="Q120" s="499"/>
    </row>
    <row r="121" spans="2:17" s="291" customFormat="1" ht="18" customHeight="1">
      <c r="Q121" s="295"/>
    </row>
    <row r="122" spans="2:17" s="291" customFormat="1" ht="18" customHeight="1">
      <c r="Q122" s="295"/>
    </row>
    <row r="123" spans="2:17" s="291" customFormat="1" ht="31.05" customHeight="1">
      <c r="Q123" s="295"/>
    </row>
    <row r="124" spans="2:17" s="291" customFormat="1" ht="18" customHeight="1">
      <c r="C124" s="291" t="s">
        <v>865</v>
      </c>
      <c r="Q124" s="295"/>
    </row>
    <row r="125" spans="2:17" s="498" customFormat="1" ht="18" customHeight="1">
      <c r="C125" s="500" t="s">
        <v>864</v>
      </c>
      <c r="Q125" s="499"/>
    </row>
    <row r="126" spans="2:17" s="498" customFormat="1" ht="18" customHeight="1">
      <c r="C126" s="500" t="s">
        <v>1085</v>
      </c>
      <c r="Q126" s="499"/>
    </row>
    <row r="127" spans="2:17" s="498" customFormat="1" ht="18" customHeight="1">
      <c r="C127" s="500"/>
      <c r="Q127" s="499"/>
    </row>
    <row r="128" spans="2:17" s="498" customFormat="1" ht="18" customHeight="1">
      <c r="C128" s="500"/>
      <c r="Q128" s="499"/>
    </row>
    <row r="129" spans="2:17" s="291" customFormat="1" ht="18" customHeight="1">
      <c r="B129" s="292" t="s">
        <v>867</v>
      </c>
      <c r="Q129" s="295"/>
    </row>
    <row r="130" spans="2:17" s="291" customFormat="1" ht="18" customHeight="1">
      <c r="C130" s="294" t="s">
        <v>392</v>
      </c>
      <c r="Q130" s="295"/>
    </row>
    <row r="131" spans="2:17" s="291" customFormat="1" ht="18" customHeight="1">
      <c r="C131" s="294" t="s">
        <v>870</v>
      </c>
      <c r="Q131" s="295"/>
    </row>
    <row r="132" spans="2:17" s="291" customFormat="1" ht="18" customHeight="1">
      <c r="Q132" s="295"/>
    </row>
    <row r="133" spans="2:17" s="291" customFormat="1" ht="18" customHeight="1">
      <c r="B133" s="292" t="s">
        <v>869</v>
      </c>
      <c r="Q133" s="295"/>
    </row>
    <row r="134" spans="2:17" s="498" customFormat="1" ht="18" customHeight="1">
      <c r="C134" s="500" t="s">
        <v>868</v>
      </c>
      <c r="Q134" s="499"/>
    </row>
    <row r="135" spans="2:17" s="291" customFormat="1" ht="18" customHeight="1">
      <c r="Q135" s="295"/>
    </row>
    <row r="136" spans="2:17" s="291" customFormat="1" ht="18" customHeight="1">
      <c r="Q136" s="295"/>
    </row>
    <row r="137" spans="2:17" s="291" customFormat="1" ht="18" customHeight="1">
      <c r="Q137" s="295"/>
    </row>
    <row r="138" spans="2:17" s="291" customFormat="1" ht="18" customHeight="1">
      <c r="Q138" s="295"/>
    </row>
    <row r="139" spans="2:17" s="291" customFormat="1" ht="18" customHeight="1">
      <c r="Q139" s="295"/>
    </row>
    <row r="140" spans="2:17" s="291" customFormat="1" ht="18" customHeight="1">
      <c r="Q140" s="295"/>
    </row>
    <row r="141" spans="2:17" s="291" customFormat="1" ht="18" customHeight="1">
      <c r="Q141" s="295"/>
    </row>
    <row r="142" spans="2:17" s="291" customFormat="1" ht="18" customHeight="1">
      <c r="Q142" s="295"/>
    </row>
    <row r="143" spans="2:17" s="291" customFormat="1" ht="18" customHeight="1">
      <c r="Q143" s="295"/>
    </row>
    <row r="144" spans="2:17" s="291" customFormat="1" ht="18" customHeight="1">
      <c r="Q144" s="295"/>
    </row>
    <row r="145" spans="17:17" s="291" customFormat="1" ht="18" customHeight="1">
      <c r="Q145" s="295"/>
    </row>
    <row r="146" spans="17:17" s="291" customFormat="1" ht="18" customHeight="1">
      <c r="Q146" s="295"/>
    </row>
    <row r="147" spans="17:17" s="291" customFormat="1" ht="18" customHeight="1">
      <c r="Q147" s="295"/>
    </row>
    <row r="148" spans="17:17" s="291" customFormat="1" ht="18" customHeight="1">
      <c r="Q148" s="295"/>
    </row>
    <row r="149" spans="17:17" s="291" customFormat="1" ht="18" customHeight="1">
      <c r="Q149" s="295"/>
    </row>
    <row r="150" spans="17:17" s="291" customFormat="1" ht="18" customHeight="1">
      <c r="Q150" s="295"/>
    </row>
    <row r="151" spans="17:17" s="291" customFormat="1" ht="18" customHeight="1">
      <c r="Q151" s="295"/>
    </row>
    <row r="152" spans="17:17" s="291" customFormat="1" ht="18" customHeight="1">
      <c r="Q152" s="295"/>
    </row>
    <row r="153" spans="17:17" s="291" customFormat="1" ht="18" customHeight="1">
      <c r="Q153" s="295"/>
    </row>
    <row r="154" spans="17:17" s="291" customFormat="1" ht="18" customHeight="1">
      <c r="Q154" s="295"/>
    </row>
    <row r="155" spans="17:17" s="291" customFormat="1" ht="18" customHeight="1">
      <c r="Q155" s="295"/>
    </row>
    <row r="156" spans="17:17" s="291" customFormat="1" ht="18" customHeight="1">
      <c r="Q156" s="295"/>
    </row>
    <row r="157" spans="17:17" s="291" customFormat="1" ht="18" customHeight="1">
      <c r="Q157" s="295"/>
    </row>
    <row r="158" spans="17:17" s="291" customFormat="1" ht="18" customHeight="1">
      <c r="Q158" s="295"/>
    </row>
    <row r="159" spans="17:17" s="291" customFormat="1" ht="18" customHeight="1">
      <c r="Q159" s="295"/>
    </row>
    <row r="160" spans="17:17" s="291" customFormat="1" ht="18" customHeight="1">
      <c r="Q160" s="295"/>
    </row>
    <row r="161" spans="17:17" s="291" customFormat="1" ht="18" customHeight="1">
      <c r="Q161" s="295"/>
    </row>
    <row r="162" spans="17:17" s="291" customFormat="1" ht="18" customHeight="1">
      <c r="Q162" s="295"/>
    </row>
    <row r="163" spans="17:17" s="291" customFormat="1" ht="18" customHeight="1">
      <c r="Q163" s="295"/>
    </row>
    <row r="164" spans="17:17" s="291" customFormat="1" ht="18" customHeight="1">
      <c r="Q164" s="295"/>
    </row>
    <row r="165" spans="17:17" s="291" customFormat="1" ht="18" customHeight="1">
      <c r="Q165" s="295"/>
    </row>
    <row r="166" spans="17:17" s="291" customFormat="1" ht="18" customHeight="1">
      <c r="Q166" s="295"/>
    </row>
    <row r="167" spans="17:17" s="291" customFormat="1" ht="18" customHeight="1">
      <c r="Q167" s="295"/>
    </row>
    <row r="168" spans="17:17" s="291" customFormat="1" ht="18" customHeight="1">
      <c r="Q168" s="295"/>
    </row>
    <row r="169" spans="17:17" s="291" customFormat="1" ht="18" customHeight="1">
      <c r="Q169" s="295"/>
    </row>
    <row r="170" spans="17:17" s="291" customFormat="1" ht="18" customHeight="1">
      <c r="Q170" s="295"/>
    </row>
    <row r="171" spans="17:17" s="291" customFormat="1" ht="18" customHeight="1">
      <c r="Q171" s="295"/>
    </row>
    <row r="172" spans="17:17" s="291" customFormat="1" ht="18" customHeight="1">
      <c r="Q172" s="295"/>
    </row>
    <row r="173" spans="17:17" s="291" customFormat="1" ht="18" customHeight="1">
      <c r="Q173" s="295"/>
    </row>
    <row r="174" spans="17:17" s="291" customFormat="1" ht="18" customHeight="1">
      <c r="Q174" s="295"/>
    </row>
    <row r="175" spans="17:17" s="291" customFormat="1" ht="18" customHeight="1">
      <c r="Q175" s="295"/>
    </row>
    <row r="176" spans="17:17" s="291" customFormat="1" ht="18" customHeight="1">
      <c r="Q176" s="295"/>
    </row>
    <row r="177" spans="17:17" s="291" customFormat="1" ht="18" customHeight="1">
      <c r="Q177" s="295"/>
    </row>
    <row r="178" spans="17:17" s="291" customFormat="1" ht="18" customHeight="1">
      <c r="Q178" s="295"/>
    </row>
    <row r="179" spans="17:17" s="291" customFormat="1" ht="18" customHeight="1">
      <c r="Q179" s="295"/>
    </row>
    <row r="180" spans="17:17" s="291" customFormat="1" ht="18" customHeight="1">
      <c r="Q180" s="295"/>
    </row>
    <row r="181" spans="17:17" s="291" customFormat="1" ht="18" customHeight="1">
      <c r="Q181" s="295"/>
    </row>
    <row r="182" spans="17:17" s="291" customFormat="1" ht="18" customHeight="1">
      <c r="Q182" s="295"/>
    </row>
    <row r="183" spans="17:17" s="291" customFormat="1" ht="18" customHeight="1">
      <c r="Q183" s="295"/>
    </row>
    <row r="184" spans="17:17" s="291" customFormat="1" ht="18" customHeight="1">
      <c r="Q184" s="295"/>
    </row>
    <row r="185" spans="17:17" s="291" customFormat="1" ht="18" customHeight="1">
      <c r="Q185" s="295"/>
    </row>
    <row r="186" spans="17:17" s="291" customFormat="1" ht="18" customHeight="1">
      <c r="Q186" s="295"/>
    </row>
    <row r="187" spans="17:17" s="291" customFormat="1" ht="18" customHeight="1">
      <c r="Q187" s="295"/>
    </row>
    <row r="188" spans="17:17" s="291" customFormat="1" ht="18" customHeight="1">
      <c r="Q188" s="295"/>
    </row>
    <row r="189" spans="17:17" s="291" customFormat="1" ht="18" customHeight="1">
      <c r="Q189" s="295"/>
    </row>
    <row r="190" spans="17:17" s="291" customFormat="1" ht="18" customHeight="1">
      <c r="Q190" s="295"/>
    </row>
    <row r="191" spans="17:17" s="291" customFormat="1" ht="18" customHeight="1">
      <c r="Q191" s="295"/>
    </row>
    <row r="192" spans="17:17" s="291" customFormat="1" ht="18" customHeight="1">
      <c r="Q192" s="295"/>
    </row>
    <row r="193" spans="17:17" s="291" customFormat="1" ht="18" customHeight="1">
      <c r="Q193" s="295"/>
    </row>
    <row r="194" spans="17:17" s="291" customFormat="1" ht="18" customHeight="1">
      <c r="Q194" s="295"/>
    </row>
    <row r="195" spans="17:17" s="291" customFormat="1" ht="18" customHeight="1">
      <c r="Q195" s="295"/>
    </row>
    <row r="196" spans="17:17" s="291" customFormat="1" ht="18" customHeight="1">
      <c r="Q196" s="295"/>
    </row>
    <row r="197" spans="17:17" s="291" customFormat="1" ht="18" customHeight="1">
      <c r="Q197" s="295"/>
    </row>
    <row r="198" spans="17:17" s="291" customFormat="1" ht="18" customHeight="1">
      <c r="Q198" s="295"/>
    </row>
    <row r="199" spans="17:17" s="291" customFormat="1" ht="18" customHeight="1">
      <c r="Q199" s="295"/>
    </row>
    <row r="200" spans="17:17" s="291" customFormat="1" ht="18" customHeight="1">
      <c r="Q200" s="295"/>
    </row>
    <row r="201" spans="17:17" s="291" customFormat="1" ht="18" customHeight="1">
      <c r="Q201" s="295"/>
    </row>
    <row r="202" spans="17:17" s="291" customFormat="1" ht="18" customHeight="1">
      <c r="Q202" s="295"/>
    </row>
    <row r="203" spans="17:17" s="291" customFormat="1" ht="18" customHeight="1">
      <c r="Q203" s="295"/>
    </row>
    <row r="204" spans="17:17" s="291" customFormat="1" ht="18" customHeight="1">
      <c r="Q204" s="295"/>
    </row>
    <row r="205" spans="17:17" s="291" customFormat="1" ht="18" customHeight="1">
      <c r="Q205" s="295"/>
    </row>
    <row r="206" spans="17:17" s="291" customFormat="1" ht="18" customHeight="1">
      <c r="Q206" s="295"/>
    </row>
    <row r="207" spans="17:17" s="291" customFormat="1" ht="18" customHeight="1">
      <c r="Q207" s="295"/>
    </row>
    <row r="208" spans="17:17" s="291" customFormat="1" ht="18" customHeight="1">
      <c r="Q208" s="295"/>
    </row>
    <row r="209" spans="17:17" s="291" customFormat="1" ht="18" customHeight="1">
      <c r="Q209" s="295"/>
    </row>
    <row r="210" spans="17:17" s="291" customFormat="1" ht="18" customHeight="1">
      <c r="Q210" s="295"/>
    </row>
    <row r="211" spans="17:17" s="291" customFormat="1" ht="18" customHeight="1">
      <c r="Q211" s="295"/>
    </row>
    <row r="212" spans="17:17" s="291" customFormat="1" ht="18" customHeight="1">
      <c r="Q212" s="295"/>
    </row>
    <row r="213" spans="17:17" s="291" customFormat="1" ht="18" customHeight="1">
      <c r="Q213" s="295"/>
    </row>
    <row r="214" spans="17:17" s="291" customFormat="1" ht="18" customHeight="1">
      <c r="Q214" s="295"/>
    </row>
    <row r="215" spans="17:17" s="291" customFormat="1" ht="18" customHeight="1">
      <c r="Q215" s="295"/>
    </row>
    <row r="216" spans="17:17" s="291" customFormat="1" ht="18" customHeight="1">
      <c r="Q216" s="295"/>
    </row>
    <row r="217" spans="17:17" s="291" customFormat="1" ht="18" customHeight="1">
      <c r="Q217" s="295"/>
    </row>
    <row r="218" spans="17:17" s="291" customFormat="1" ht="18" customHeight="1">
      <c r="Q218" s="295"/>
    </row>
    <row r="219" spans="17:17" s="291" customFormat="1" ht="18" customHeight="1">
      <c r="Q219" s="295"/>
    </row>
    <row r="220" spans="17:17" s="291" customFormat="1" ht="18" customHeight="1">
      <c r="Q220" s="295"/>
    </row>
    <row r="221" spans="17:17" s="291" customFormat="1" ht="18" customHeight="1">
      <c r="Q221" s="295"/>
    </row>
    <row r="222" spans="17:17" s="291" customFormat="1" ht="18" customHeight="1">
      <c r="Q222" s="295"/>
    </row>
    <row r="223" spans="17:17" s="291" customFormat="1" ht="18" customHeight="1">
      <c r="Q223" s="295"/>
    </row>
    <row r="224" spans="17:17" s="291" customFormat="1" ht="18" customHeight="1">
      <c r="Q224" s="295"/>
    </row>
    <row r="225" spans="17:17" s="291" customFormat="1" ht="18" customHeight="1">
      <c r="Q225" s="295"/>
    </row>
    <row r="226" spans="17:17" s="291" customFormat="1" ht="18" customHeight="1">
      <c r="Q226" s="295"/>
    </row>
    <row r="227" spans="17:17" s="291" customFormat="1" ht="18" customHeight="1">
      <c r="Q227" s="295"/>
    </row>
    <row r="228" spans="17:17" s="291" customFormat="1" ht="18" customHeight="1">
      <c r="Q228" s="295"/>
    </row>
    <row r="229" spans="17:17" s="291" customFormat="1" ht="18" customHeight="1">
      <c r="Q229" s="295"/>
    </row>
    <row r="230" spans="17:17" s="291" customFormat="1" ht="18" customHeight="1">
      <c r="Q230" s="295"/>
    </row>
    <row r="231" spans="17:17" s="291" customFormat="1" ht="18" customHeight="1">
      <c r="Q231" s="295"/>
    </row>
    <row r="232" spans="17:17" s="291" customFormat="1" ht="18" customHeight="1">
      <c r="Q232" s="295"/>
    </row>
    <row r="233" spans="17:17" s="291" customFormat="1" ht="18" customHeight="1">
      <c r="Q233" s="295"/>
    </row>
    <row r="234" spans="17:17" s="291" customFormat="1" ht="18" customHeight="1">
      <c r="Q234" s="295"/>
    </row>
    <row r="235" spans="17:17" s="291" customFormat="1" ht="18" customHeight="1">
      <c r="Q235" s="295"/>
    </row>
    <row r="236" spans="17:17" s="291" customFormat="1" ht="18" customHeight="1">
      <c r="Q236" s="295"/>
    </row>
    <row r="237" spans="17:17" s="291" customFormat="1" ht="18" customHeight="1">
      <c r="Q237" s="295"/>
    </row>
    <row r="238" spans="17:17" s="291" customFormat="1" ht="18" customHeight="1">
      <c r="Q238" s="295"/>
    </row>
    <row r="239" spans="17:17" s="291" customFormat="1" ht="18" customHeight="1">
      <c r="Q239" s="295"/>
    </row>
    <row r="240" spans="17:17" s="291" customFormat="1" ht="18" customHeight="1">
      <c r="Q240" s="295"/>
    </row>
    <row r="241" spans="17:17" s="291" customFormat="1" ht="18" customHeight="1">
      <c r="Q241" s="295"/>
    </row>
    <row r="242" spans="17:17" s="291" customFormat="1" ht="18" customHeight="1">
      <c r="Q242" s="295"/>
    </row>
    <row r="243" spans="17:17" s="291" customFormat="1" ht="18" customHeight="1">
      <c r="Q243" s="295"/>
    </row>
    <row r="244" spans="17:17" s="291" customFormat="1" ht="18" customHeight="1">
      <c r="Q244" s="295"/>
    </row>
    <row r="245" spans="17:17" s="291" customFormat="1" ht="18" customHeight="1">
      <c r="Q245" s="295"/>
    </row>
    <row r="246" spans="17:17" s="291" customFormat="1" ht="18" customHeight="1">
      <c r="Q246" s="295"/>
    </row>
    <row r="247" spans="17:17" s="291" customFormat="1" ht="18" customHeight="1">
      <c r="Q247" s="295"/>
    </row>
    <row r="248" spans="17:17" s="291" customFormat="1" ht="18" customHeight="1">
      <c r="Q248" s="295"/>
    </row>
    <row r="249" spans="17:17" s="291" customFormat="1" ht="18" customHeight="1">
      <c r="Q249" s="295"/>
    </row>
    <row r="250" spans="17:17" s="291" customFormat="1" ht="18" customHeight="1">
      <c r="Q250" s="295"/>
    </row>
    <row r="251" spans="17:17" s="291" customFormat="1" ht="18" customHeight="1">
      <c r="Q251" s="295"/>
    </row>
    <row r="252" spans="17:17" s="291" customFormat="1" ht="18" customHeight="1">
      <c r="Q252" s="295"/>
    </row>
    <row r="253" spans="17:17" s="291" customFormat="1" ht="18" customHeight="1">
      <c r="Q253" s="295"/>
    </row>
    <row r="254" spans="17:17" s="291" customFormat="1" ht="18" customHeight="1">
      <c r="Q254" s="295"/>
    </row>
    <row r="255" spans="17:17" s="291" customFormat="1" ht="18" customHeight="1">
      <c r="Q255" s="295"/>
    </row>
    <row r="256" spans="17:17" s="291" customFormat="1" ht="18" customHeight="1">
      <c r="Q256" s="295"/>
    </row>
    <row r="257" spans="17:17" s="291" customFormat="1" ht="18" customHeight="1">
      <c r="Q257" s="295"/>
    </row>
    <row r="258" spans="17:17" s="291" customFormat="1" ht="18" customHeight="1">
      <c r="Q258" s="295"/>
    </row>
    <row r="259" spans="17:17" s="291" customFormat="1" ht="18" customHeight="1">
      <c r="Q259" s="295"/>
    </row>
    <row r="260" spans="17:17" s="291" customFormat="1" ht="18" customHeight="1">
      <c r="Q260" s="295"/>
    </row>
    <row r="261" spans="17:17" s="291" customFormat="1" ht="18" customHeight="1">
      <c r="Q261" s="295"/>
    </row>
    <row r="262" spans="17:17" s="291" customFormat="1" ht="18" customHeight="1">
      <c r="Q262" s="295"/>
    </row>
    <row r="263" spans="17:17" s="291" customFormat="1" ht="18" customHeight="1">
      <c r="Q263" s="295"/>
    </row>
    <row r="264" spans="17:17" s="291" customFormat="1" ht="18" customHeight="1">
      <c r="Q264" s="295"/>
    </row>
    <row r="265" spans="17:17" s="291" customFormat="1" ht="18" customHeight="1">
      <c r="Q265" s="295"/>
    </row>
    <row r="266" spans="17:17" s="291" customFormat="1" ht="18" customHeight="1">
      <c r="Q266" s="295"/>
    </row>
    <row r="267" spans="17:17" s="291" customFormat="1" ht="18" customHeight="1">
      <c r="Q267" s="295"/>
    </row>
    <row r="268" spans="17:17" s="291" customFormat="1" ht="18" customHeight="1">
      <c r="Q268" s="295"/>
    </row>
    <row r="269" spans="17:17" s="291" customFormat="1" ht="18" customHeight="1">
      <c r="Q269" s="295"/>
    </row>
    <row r="270" spans="17:17" s="291" customFormat="1" ht="18" customHeight="1">
      <c r="Q270" s="295"/>
    </row>
    <row r="271" spans="17:17" s="291" customFormat="1" ht="18" customHeight="1">
      <c r="Q271" s="295"/>
    </row>
    <row r="272" spans="17:17" s="291" customFormat="1" ht="18" customHeight="1">
      <c r="Q272" s="295"/>
    </row>
    <row r="273" spans="17:17" s="291" customFormat="1" ht="18" customHeight="1">
      <c r="Q273" s="295"/>
    </row>
    <row r="274" spans="17:17" s="291" customFormat="1" ht="18" customHeight="1">
      <c r="Q274" s="295"/>
    </row>
    <row r="275" spans="17:17" s="291" customFormat="1" ht="18" customHeight="1">
      <c r="Q275" s="295"/>
    </row>
    <row r="276" spans="17:17" s="291" customFormat="1" ht="18" customHeight="1">
      <c r="Q276" s="295"/>
    </row>
    <row r="277" spans="17:17" s="291" customFormat="1" ht="18" customHeight="1">
      <c r="Q277" s="295"/>
    </row>
    <row r="278" spans="17:17" s="291" customFormat="1" ht="18" customHeight="1">
      <c r="Q278" s="295"/>
    </row>
    <row r="279" spans="17:17" s="291" customFormat="1" ht="18" customHeight="1">
      <c r="Q279" s="295"/>
    </row>
    <row r="280" spans="17:17" s="291" customFormat="1" ht="18" customHeight="1">
      <c r="Q280" s="295"/>
    </row>
    <row r="281" spans="17:17" s="291" customFormat="1" ht="18" customHeight="1">
      <c r="Q281" s="295"/>
    </row>
    <row r="282" spans="17:17" s="291" customFormat="1" ht="18" customHeight="1">
      <c r="Q282" s="295"/>
    </row>
    <row r="283" spans="17:17" s="291" customFormat="1" ht="18" customHeight="1">
      <c r="Q283" s="295"/>
    </row>
    <row r="284" spans="17:17" s="291" customFormat="1" ht="18" customHeight="1">
      <c r="Q284" s="295"/>
    </row>
    <row r="285" spans="17:17" s="291" customFormat="1" ht="18" customHeight="1">
      <c r="Q285" s="295"/>
    </row>
    <row r="286" spans="17:17" s="291" customFormat="1" ht="18" customHeight="1">
      <c r="Q286" s="295"/>
    </row>
    <row r="287" spans="17:17" s="291" customFormat="1" ht="18" customHeight="1">
      <c r="Q287" s="295"/>
    </row>
    <row r="288" spans="17:17" s="291" customFormat="1" ht="18" customHeight="1">
      <c r="Q288" s="295"/>
    </row>
    <row r="289" spans="17:17" s="291" customFormat="1" ht="18" customHeight="1">
      <c r="Q289" s="295"/>
    </row>
    <row r="290" spans="17:17" s="291" customFormat="1" ht="18" customHeight="1">
      <c r="Q290" s="295"/>
    </row>
    <row r="291" spans="17:17" s="291" customFormat="1" ht="18" customHeight="1">
      <c r="Q291" s="295"/>
    </row>
    <row r="292" spans="17:17" s="291" customFormat="1" ht="18" customHeight="1">
      <c r="Q292" s="295"/>
    </row>
    <row r="293" spans="17:17" s="291" customFormat="1" ht="18" customHeight="1">
      <c r="Q293" s="295"/>
    </row>
    <row r="294" spans="17:17" s="291" customFormat="1" ht="18" customHeight="1">
      <c r="Q294" s="295"/>
    </row>
    <row r="295" spans="17:17" s="291" customFormat="1" ht="18" customHeight="1">
      <c r="Q295" s="295"/>
    </row>
    <row r="296" spans="17:17" s="291" customFormat="1" ht="18" customHeight="1">
      <c r="Q296" s="295"/>
    </row>
    <row r="297" spans="17:17" s="291" customFormat="1" ht="18" customHeight="1">
      <c r="Q297" s="295"/>
    </row>
    <row r="298" spans="17:17" s="291" customFormat="1" ht="18" customHeight="1">
      <c r="Q298" s="295"/>
    </row>
    <row r="299" spans="17:17" s="291" customFormat="1" ht="18" customHeight="1">
      <c r="Q299" s="295"/>
    </row>
    <row r="300" spans="17:17" s="291" customFormat="1" ht="18" customHeight="1">
      <c r="Q300" s="295"/>
    </row>
    <row r="301" spans="17:17" s="291" customFormat="1" ht="18" customHeight="1">
      <c r="Q301" s="295"/>
    </row>
    <row r="302" spans="17:17" s="291" customFormat="1" ht="18" customHeight="1">
      <c r="Q302" s="295"/>
    </row>
    <row r="303" spans="17:17" s="291" customFormat="1" ht="18" customHeight="1">
      <c r="Q303" s="295"/>
    </row>
    <row r="304" spans="17:17" s="291" customFormat="1" ht="18" customHeight="1">
      <c r="Q304" s="295"/>
    </row>
    <row r="305" spans="17:17" s="291" customFormat="1" ht="18" customHeight="1">
      <c r="Q305" s="295"/>
    </row>
    <row r="306" spans="17:17" s="291" customFormat="1" ht="18" customHeight="1">
      <c r="Q306" s="295"/>
    </row>
    <row r="307" spans="17:17" s="291" customFormat="1" ht="18" customHeight="1">
      <c r="Q307" s="295"/>
    </row>
    <row r="308" spans="17:17" s="291" customFormat="1" ht="18" customHeight="1">
      <c r="Q308" s="295"/>
    </row>
    <row r="309" spans="17:17" s="291" customFormat="1" ht="18" customHeight="1">
      <c r="Q309" s="295"/>
    </row>
    <row r="310" spans="17:17" s="291" customFormat="1" ht="18" customHeight="1">
      <c r="Q310" s="295"/>
    </row>
    <row r="311" spans="17:17" s="291" customFormat="1" ht="18" customHeight="1">
      <c r="Q311" s="295"/>
    </row>
    <row r="312" spans="17:17" s="291" customFormat="1" ht="18" customHeight="1">
      <c r="Q312" s="295"/>
    </row>
    <row r="313" spans="17:17" s="291" customFormat="1" ht="18" customHeight="1">
      <c r="Q313" s="295"/>
    </row>
    <row r="314" spans="17:17" s="291" customFormat="1" ht="18" customHeight="1">
      <c r="Q314" s="295"/>
    </row>
    <row r="315" spans="17:17" s="291" customFormat="1" ht="18" customHeight="1">
      <c r="Q315" s="295"/>
    </row>
    <row r="316" spans="17:17" s="291" customFormat="1" ht="18" customHeight="1">
      <c r="Q316" s="295"/>
    </row>
    <row r="317" spans="17:17" s="291" customFormat="1" ht="18" customHeight="1">
      <c r="Q317" s="295"/>
    </row>
    <row r="318" spans="17:17" s="291" customFormat="1" ht="18" customHeight="1">
      <c r="Q318" s="295"/>
    </row>
    <row r="319" spans="17:17" s="291" customFormat="1" ht="18" customHeight="1">
      <c r="Q319" s="295"/>
    </row>
    <row r="320" spans="17:17" s="291" customFormat="1" ht="18" customHeight="1">
      <c r="Q320" s="295"/>
    </row>
    <row r="321" spans="17:17" s="291" customFormat="1" ht="18" customHeight="1">
      <c r="Q321" s="295"/>
    </row>
    <row r="322" spans="17:17" s="291" customFormat="1" ht="18" customHeight="1">
      <c r="Q322" s="295"/>
    </row>
    <row r="323" spans="17:17" s="291" customFormat="1" ht="18" customHeight="1">
      <c r="Q323" s="295"/>
    </row>
    <row r="324" spans="17:17" s="291" customFormat="1" ht="18" customHeight="1">
      <c r="Q324" s="295"/>
    </row>
    <row r="325" spans="17:17" s="291" customFormat="1" ht="18" customHeight="1">
      <c r="Q325" s="295"/>
    </row>
    <row r="326" spans="17:17" s="291" customFormat="1" ht="18" customHeight="1">
      <c r="Q326" s="295"/>
    </row>
    <row r="327" spans="17:17" s="291" customFormat="1" ht="18" customHeight="1">
      <c r="Q327" s="295"/>
    </row>
    <row r="328" spans="17:17" s="291" customFormat="1" ht="18" customHeight="1">
      <c r="Q328" s="295"/>
    </row>
    <row r="329" spans="17:17" s="291" customFormat="1" ht="18" customHeight="1">
      <c r="Q329" s="295"/>
    </row>
    <row r="330" spans="17:17" s="291" customFormat="1" ht="18" customHeight="1">
      <c r="Q330" s="295"/>
    </row>
    <row r="331" spans="17:17" s="291" customFormat="1" ht="18" customHeight="1">
      <c r="Q331" s="295"/>
    </row>
    <row r="332" spans="17:17" s="291" customFormat="1" ht="18" customHeight="1">
      <c r="Q332" s="295"/>
    </row>
    <row r="333" spans="17:17" s="291" customFormat="1" ht="18" customHeight="1">
      <c r="Q333" s="295"/>
    </row>
    <row r="334" spans="17:17" s="291" customFormat="1" ht="18" customHeight="1">
      <c r="Q334" s="295"/>
    </row>
    <row r="335" spans="17:17" s="291" customFormat="1" ht="18" customHeight="1">
      <c r="Q335" s="295"/>
    </row>
    <row r="336" spans="17:17" s="291" customFormat="1" ht="18" customHeight="1">
      <c r="Q336" s="295"/>
    </row>
    <row r="337" spans="17:17" s="291" customFormat="1" ht="18" customHeight="1">
      <c r="Q337" s="295"/>
    </row>
    <row r="338" spans="17:17" s="291" customFormat="1" ht="18" customHeight="1">
      <c r="Q338" s="295"/>
    </row>
    <row r="339" spans="17:17" s="291" customFormat="1" ht="18" customHeight="1">
      <c r="Q339" s="295"/>
    </row>
    <row r="340" spans="17:17" s="291" customFormat="1" ht="18" customHeight="1">
      <c r="Q340" s="295"/>
    </row>
    <row r="341" spans="17:17" s="291" customFormat="1" ht="18" customHeight="1">
      <c r="Q341" s="295"/>
    </row>
    <row r="342" spans="17:17" s="291" customFormat="1" ht="18" customHeight="1">
      <c r="Q342" s="295"/>
    </row>
    <row r="343" spans="17:17" s="291" customFormat="1" ht="18" customHeight="1">
      <c r="Q343" s="295"/>
    </row>
    <row r="344" spans="17:17" s="291" customFormat="1" ht="18" customHeight="1">
      <c r="Q344" s="295"/>
    </row>
    <row r="345" spans="17:17" s="291" customFormat="1" ht="18" customHeight="1">
      <c r="Q345" s="295"/>
    </row>
    <row r="346" spans="17:17" s="291" customFormat="1" ht="18" customHeight="1">
      <c r="Q346" s="295"/>
    </row>
    <row r="347" spans="17:17" s="291" customFormat="1" ht="18" customHeight="1">
      <c r="Q347" s="295"/>
    </row>
    <row r="348" spans="17:17" s="291" customFormat="1" ht="18" customHeight="1">
      <c r="Q348" s="295"/>
    </row>
    <row r="349" spans="17:17" s="291" customFormat="1" ht="18" customHeight="1">
      <c r="Q349" s="295"/>
    </row>
    <row r="350" spans="17:17" s="291" customFormat="1" ht="18" customHeight="1">
      <c r="Q350" s="295"/>
    </row>
    <row r="351" spans="17:17" s="291" customFormat="1" ht="18" customHeight="1">
      <c r="Q351" s="295"/>
    </row>
    <row r="352" spans="17:17" s="291" customFormat="1" ht="18" customHeight="1">
      <c r="Q352" s="295"/>
    </row>
    <row r="353" spans="17:17" s="291" customFormat="1" ht="18" customHeight="1">
      <c r="Q353" s="295"/>
    </row>
    <row r="354" spans="17:17" s="291" customFormat="1" ht="18" customHeight="1">
      <c r="Q354" s="295"/>
    </row>
    <row r="355" spans="17:17" s="291" customFormat="1" ht="18" customHeight="1">
      <c r="Q355" s="295"/>
    </row>
    <row r="356" spans="17:17" s="291" customFormat="1" ht="18" customHeight="1">
      <c r="Q356" s="295"/>
    </row>
    <row r="357" spans="17:17" s="291" customFormat="1" ht="18" customHeight="1">
      <c r="Q357" s="295"/>
    </row>
    <row r="358" spans="17:17" s="291" customFormat="1" ht="18" customHeight="1">
      <c r="Q358" s="295"/>
    </row>
    <row r="359" spans="17:17" s="291" customFormat="1" ht="18" customHeight="1">
      <c r="Q359" s="295"/>
    </row>
    <row r="360" spans="17:17" s="291" customFormat="1" ht="18" customHeight="1">
      <c r="Q360" s="295"/>
    </row>
    <row r="361" spans="17:17" s="291" customFormat="1" ht="18" customHeight="1">
      <c r="Q361" s="295"/>
    </row>
    <row r="362" spans="17:17" s="291" customFormat="1" ht="18" customHeight="1">
      <c r="Q362" s="295"/>
    </row>
    <row r="363" spans="17:17" s="291" customFormat="1" ht="18" customHeight="1">
      <c r="Q363" s="295"/>
    </row>
    <row r="364" spans="17:17" s="291" customFormat="1" ht="18" customHeight="1">
      <c r="Q364" s="295"/>
    </row>
    <row r="365" spans="17:17" s="291" customFormat="1" ht="18" customHeight="1">
      <c r="Q365" s="295"/>
    </row>
    <row r="366" spans="17:17" s="291" customFormat="1" ht="18" customHeight="1">
      <c r="Q366" s="295"/>
    </row>
    <row r="367" spans="17:17" s="291" customFormat="1" ht="18" customHeight="1">
      <c r="Q367" s="295"/>
    </row>
    <row r="368" spans="17:17" s="291" customFormat="1" ht="18" customHeight="1">
      <c r="Q368" s="295"/>
    </row>
    <row r="369" spans="17:17" s="291" customFormat="1" ht="18" customHeight="1">
      <c r="Q369" s="295"/>
    </row>
    <row r="370" spans="17:17" s="291" customFormat="1" ht="18" customHeight="1">
      <c r="Q370" s="295"/>
    </row>
    <row r="371" spans="17:17" s="291" customFormat="1" ht="18" customHeight="1">
      <c r="Q371" s="295"/>
    </row>
    <row r="372" spans="17:17" s="291" customFormat="1" ht="18" customHeight="1">
      <c r="Q372" s="295"/>
    </row>
    <row r="373" spans="17:17" s="291" customFormat="1" ht="18" customHeight="1">
      <c r="Q373" s="295"/>
    </row>
    <row r="374" spans="17:17" s="291" customFormat="1" ht="18" customHeight="1">
      <c r="Q374" s="295"/>
    </row>
    <row r="375" spans="17:17" s="291" customFormat="1" ht="18" customHeight="1">
      <c r="Q375" s="295"/>
    </row>
    <row r="376" spans="17:17" s="291" customFormat="1" ht="18" customHeight="1">
      <c r="Q376" s="295"/>
    </row>
    <row r="377" spans="17:17" s="291" customFormat="1" ht="18" customHeight="1">
      <c r="Q377" s="295"/>
    </row>
    <row r="378" spans="17:17" s="291" customFormat="1" ht="18" customHeight="1">
      <c r="Q378" s="295"/>
    </row>
    <row r="379" spans="17:17" s="291" customFormat="1" ht="18" customHeight="1">
      <c r="Q379" s="295"/>
    </row>
    <row r="380" spans="17:17" s="291" customFormat="1" ht="18" customHeight="1">
      <c r="Q380" s="295"/>
    </row>
    <row r="381" spans="17:17" s="291" customFormat="1" ht="18" customHeight="1">
      <c r="Q381" s="295"/>
    </row>
    <row r="382" spans="17:17" s="291" customFormat="1" ht="18" customHeight="1">
      <c r="Q382" s="295"/>
    </row>
    <row r="383" spans="17:17" s="291" customFormat="1" ht="18" customHeight="1">
      <c r="Q383" s="295"/>
    </row>
    <row r="384" spans="17:17" s="291" customFormat="1" ht="18" customHeight="1">
      <c r="Q384" s="295"/>
    </row>
    <row r="385" spans="17:17" s="291" customFormat="1" ht="18" customHeight="1">
      <c r="Q385" s="295"/>
    </row>
    <row r="386" spans="17:17" s="291" customFormat="1" ht="18" customHeight="1">
      <c r="Q386" s="295"/>
    </row>
    <row r="387" spans="17:17" s="291" customFormat="1" ht="18" customHeight="1">
      <c r="Q387" s="295"/>
    </row>
    <row r="388" spans="17:17" s="291" customFormat="1" ht="18" customHeight="1">
      <c r="Q388" s="295"/>
    </row>
    <row r="389" spans="17:17" s="291" customFormat="1" ht="18" customHeight="1">
      <c r="Q389" s="295"/>
    </row>
    <row r="390" spans="17:17" s="291" customFormat="1" ht="18" customHeight="1">
      <c r="Q390" s="295"/>
    </row>
    <row r="391" spans="17:17" s="291" customFormat="1" ht="18" customHeight="1">
      <c r="Q391" s="295"/>
    </row>
    <row r="392" spans="17:17" s="291" customFormat="1" ht="18" customHeight="1">
      <c r="Q392" s="295"/>
    </row>
    <row r="393" spans="17:17" s="291" customFormat="1" ht="18" customHeight="1">
      <c r="Q393" s="295"/>
    </row>
    <row r="394" spans="17:17" s="291" customFormat="1" ht="18" customHeight="1">
      <c r="Q394" s="295"/>
    </row>
    <row r="395" spans="17:17" s="291" customFormat="1" ht="18" customHeight="1">
      <c r="Q395" s="295"/>
    </row>
    <row r="396" spans="17:17" s="291" customFormat="1" ht="18" customHeight="1">
      <c r="Q396" s="295"/>
    </row>
    <row r="397" spans="17:17" s="291" customFormat="1" ht="18" customHeight="1">
      <c r="Q397" s="295"/>
    </row>
    <row r="398" spans="17:17" s="291" customFormat="1" ht="18" customHeight="1">
      <c r="Q398" s="295"/>
    </row>
    <row r="399" spans="17:17" s="291" customFormat="1" ht="18" customHeight="1">
      <c r="Q399" s="295"/>
    </row>
    <row r="400" spans="17:17" s="291" customFormat="1" ht="18" customHeight="1">
      <c r="Q400" s="295"/>
    </row>
    <row r="401" spans="17:17" s="291" customFormat="1" ht="18" customHeight="1">
      <c r="Q401" s="295"/>
    </row>
    <row r="402" spans="17:17" s="291" customFormat="1" ht="18" customHeight="1">
      <c r="Q402" s="295"/>
    </row>
    <row r="403" spans="17:17" s="291" customFormat="1" ht="18" customHeight="1">
      <c r="Q403" s="295"/>
    </row>
  </sheetData>
  <phoneticPr fontId="1" type="noConversion"/>
  <printOptions horizontalCentered="1"/>
  <pageMargins left="0.23622047244094491" right="0.23622047244094491" top="0.39370078740157483" bottom="0.39370078740157483" header="0.31496062992125984" footer="0.31496062992125984"/>
  <pageSetup paperSize="9" scale="71" fitToHeight="10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Views>
    <sheetView showGridLines="0" workbookViewId="0">
      <selection activeCell="D7" sqref="D7"/>
    </sheetView>
  </sheetViews>
  <sheetFormatPr defaultRowHeight="18.75" customHeight="1" outlineLevelRow="1"/>
  <cols>
    <col min="1" max="1" width="2.8125" customWidth="1"/>
    <col min="2" max="2" width="36.5625" bestFit="1" customWidth="1"/>
    <col min="3" max="5" width="20.8125" customWidth="1"/>
    <col min="6" max="7" width="20.8125" hidden="1" customWidth="1"/>
    <col min="8" max="8" width="20.3125" bestFit="1" customWidth="1"/>
    <col min="9" max="9" width="17.3125" customWidth="1"/>
  </cols>
  <sheetData>
    <row r="2" spans="2:8" ht="18.75" customHeight="1">
      <c r="B2" s="397" t="s">
        <v>424</v>
      </c>
    </row>
    <row r="3" spans="2:8" ht="18.75" customHeight="1">
      <c r="H3" s="339"/>
    </row>
    <row r="4" spans="2:8" ht="18.75" customHeight="1">
      <c r="B4" s="389" t="s">
        <v>438</v>
      </c>
      <c r="C4" s="390" t="s">
        <v>439</v>
      </c>
      <c r="D4" s="390" t="s">
        <v>440</v>
      </c>
      <c r="E4" s="390" t="s">
        <v>441</v>
      </c>
      <c r="F4" s="390" t="s">
        <v>442</v>
      </c>
      <c r="G4" s="400" t="s">
        <v>443</v>
      </c>
      <c r="H4" s="407"/>
    </row>
    <row r="5" spans="2:8" ht="18.75" customHeight="1">
      <c r="B5" s="392" t="s">
        <v>425</v>
      </c>
      <c r="C5" s="393">
        <f>SUM(D5:E5)</f>
        <v>24600000</v>
      </c>
      <c r="D5" s="393">
        <f>+손익시뮬레이션!G12-손익시뮬레이션!S12</f>
        <v>24600000</v>
      </c>
      <c r="E5" s="393">
        <f>+손익시뮬레이션!S12</f>
        <v>0</v>
      </c>
      <c r="F5" s="393">
        <v>0</v>
      </c>
      <c r="G5" s="401">
        <v>0</v>
      </c>
      <c r="H5" s="408"/>
    </row>
    <row r="6" spans="2:8" ht="18.75" customHeight="1">
      <c r="B6" s="399" t="s">
        <v>426</v>
      </c>
      <c r="C6" s="398">
        <f t="shared" ref="C6:C15" si="0">SUM(D6:E6)</f>
        <v>0</v>
      </c>
      <c r="D6" s="399">
        <v>0</v>
      </c>
      <c r="E6" s="398">
        <f>+손익시뮬레이션!S13</f>
        <v>0</v>
      </c>
      <c r="F6" s="386">
        <v>0</v>
      </c>
      <c r="G6" s="402">
        <v>0</v>
      </c>
      <c r="H6" s="409"/>
    </row>
    <row r="7" spans="2:8" ht="18.75" customHeight="1">
      <c r="B7" s="399" t="s">
        <v>427</v>
      </c>
      <c r="C7" s="398">
        <f t="shared" si="0"/>
        <v>9220418</v>
      </c>
      <c r="D7" s="398">
        <f>+손익시뮬레이션!G14</f>
        <v>9220418</v>
      </c>
      <c r="E7" s="399">
        <v>0</v>
      </c>
      <c r="F7" s="391">
        <v>0</v>
      </c>
      <c r="G7" s="403">
        <v>0</v>
      </c>
      <c r="H7" s="339"/>
    </row>
    <row r="8" spans="2:8" ht="18.75" customHeight="1">
      <c r="B8" s="399" t="s">
        <v>428</v>
      </c>
      <c r="C8" s="398">
        <f t="shared" si="0"/>
        <v>0</v>
      </c>
      <c r="D8" s="398">
        <f>+손익시뮬레이션!G25</f>
        <v>0</v>
      </c>
      <c r="E8" s="399">
        <v>0</v>
      </c>
      <c r="F8" s="386">
        <v>0</v>
      </c>
      <c r="G8" s="402">
        <v>0</v>
      </c>
      <c r="H8" s="339"/>
    </row>
    <row r="9" spans="2:8" ht="18.75" customHeight="1">
      <c r="B9" s="399" t="s">
        <v>429</v>
      </c>
      <c r="C9" s="398">
        <f t="shared" si="0"/>
        <v>4362567</v>
      </c>
      <c r="D9" s="398">
        <f>SUM(D10:D11)</f>
        <v>4362567</v>
      </c>
      <c r="E9" s="399">
        <v>0</v>
      </c>
      <c r="F9" s="391">
        <v>0</v>
      </c>
      <c r="G9" s="403">
        <v>0</v>
      </c>
      <c r="H9" s="339"/>
    </row>
    <row r="10" spans="2:8" ht="18.75" customHeight="1" outlineLevel="1">
      <c r="B10" s="412" t="s">
        <v>252</v>
      </c>
      <c r="C10" s="413">
        <f t="shared" si="0"/>
        <v>817567</v>
      </c>
      <c r="D10" s="413">
        <f>+손익시뮬레이션!G24</f>
        <v>817567</v>
      </c>
      <c r="E10" s="414">
        <v>0</v>
      </c>
      <c r="F10" s="391"/>
      <c r="G10" s="403"/>
      <c r="H10" s="339"/>
    </row>
    <row r="11" spans="2:8" ht="18.75" customHeight="1" outlineLevel="1">
      <c r="B11" s="415" t="s">
        <v>253</v>
      </c>
      <c r="C11" s="416">
        <f t="shared" si="0"/>
        <v>3545000</v>
      </c>
      <c r="D11" s="416">
        <f>+손익시뮬레이션!G26</f>
        <v>3545000</v>
      </c>
      <c r="E11" s="417">
        <v>0</v>
      </c>
      <c r="F11" s="391"/>
      <c r="G11" s="403"/>
      <c r="H11" s="339"/>
    </row>
    <row r="12" spans="2:8" ht="18.75" customHeight="1">
      <c r="B12" s="386" t="s">
        <v>430</v>
      </c>
      <c r="C12" s="387">
        <f t="shared" si="0"/>
        <v>246000</v>
      </c>
      <c r="D12" s="387">
        <f>+손익시뮬레이션!J28+손익시뮬레이션!O28</f>
        <v>246000</v>
      </c>
      <c r="E12" s="716">
        <f>+손익시뮬레이션!S28</f>
        <v>0</v>
      </c>
      <c r="F12" s="386">
        <v>0</v>
      </c>
      <c r="G12" s="402">
        <v>0</v>
      </c>
      <c r="H12" s="339"/>
    </row>
    <row r="13" spans="2:8" ht="18.75" customHeight="1">
      <c r="B13" s="399" t="s">
        <v>431</v>
      </c>
      <c r="C13" s="399">
        <f t="shared" si="0"/>
        <v>0</v>
      </c>
      <c r="D13" s="399">
        <v>0</v>
      </c>
      <c r="E13" s="399">
        <v>0</v>
      </c>
      <c r="F13" s="391">
        <v>0</v>
      </c>
      <c r="G13" s="403">
        <v>0</v>
      </c>
      <c r="H13" s="339"/>
    </row>
    <row r="14" spans="2:8" ht="18.75" customHeight="1">
      <c r="B14" s="392" t="s">
        <v>432</v>
      </c>
      <c r="C14" s="393">
        <f t="shared" si="0"/>
        <v>13828985</v>
      </c>
      <c r="D14" s="393">
        <f>SUM(D6:D9,D12,D13)</f>
        <v>13828985</v>
      </c>
      <c r="E14" s="393">
        <f>SUM(E6:E9,E12,E13)</f>
        <v>0</v>
      </c>
      <c r="F14" s="392">
        <v>0</v>
      </c>
      <c r="G14" s="401">
        <v>0</v>
      </c>
      <c r="H14" s="408"/>
    </row>
    <row r="15" spans="2:8" ht="18.75" customHeight="1">
      <c r="B15" s="394" t="s">
        <v>433</v>
      </c>
      <c r="C15" s="395">
        <f t="shared" si="0"/>
        <v>10771015</v>
      </c>
      <c r="D15" s="395">
        <f>D5-D14</f>
        <v>10771015</v>
      </c>
      <c r="E15" s="395">
        <f>E5-E14</f>
        <v>0</v>
      </c>
      <c r="F15" s="395"/>
      <c r="G15" s="404">
        <v>0</v>
      </c>
      <c r="H15" s="409"/>
    </row>
    <row r="16" spans="2:8" ht="18.75" customHeight="1">
      <c r="B16" s="394" t="s">
        <v>434</v>
      </c>
      <c r="C16" s="396">
        <f>C15/C5</f>
        <v>0.43784613821138213</v>
      </c>
      <c r="D16" s="396">
        <f>D15/D5</f>
        <v>0.43784613821138213</v>
      </c>
      <c r="E16" s="396" t="e">
        <f>E15/E5</f>
        <v>#DIV/0!</v>
      </c>
      <c r="F16" s="396">
        <v>1</v>
      </c>
      <c r="G16" s="405">
        <v>0</v>
      </c>
      <c r="H16" s="410"/>
    </row>
    <row r="17" spans="2:8" ht="18.75" customHeight="1">
      <c r="B17" s="386" t="s">
        <v>435</v>
      </c>
      <c r="C17" s="387">
        <f>SUM(D17:E17)</f>
        <v>0</v>
      </c>
      <c r="D17" s="387">
        <f>+손익시뮬레이션!G32</f>
        <v>0</v>
      </c>
      <c r="E17" s="386">
        <v>0</v>
      </c>
      <c r="F17" s="386">
        <v>0</v>
      </c>
      <c r="G17" s="402">
        <v>0</v>
      </c>
      <c r="H17" s="339"/>
    </row>
    <row r="18" spans="2:8" ht="18.75" customHeight="1" outlineLevel="1">
      <c r="B18" s="418" t="s">
        <v>444</v>
      </c>
      <c r="C18" s="419">
        <f>SUM(D18:E18)</f>
        <v>7550186</v>
      </c>
      <c r="D18" s="419">
        <f>+손익시뮬레이션!J44+손익시뮬레이션!O44</f>
        <v>7550186</v>
      </c>
      <c r="E18" s="420">
        <f>+손익시뮬레이션!S44</f>
        <v>0</v>
      </c>
      <c r="F18" s="386"/>
      <c r="G18" s="402"/>
      <c r="H18" s="339"/>
    </row>
    <row r="19" spans="2:8" ht="18.75" customHeight="1">
      <c r="B19" s="386" t="s">
        <v>436</v>
      </c>
      <c r="C19" s="387">
        <f>SUM(D19:E19)</f>
        <v>3220829</v>
      </c>
      <c r="D19" s="387">
        <f>D15-D17-D18</f>
        <v>3220829</v>
      </c>
      <c r="E19" s="387">
        <f>E15-E17-E18</f>
        <v>0</v>
      </c>
      <c r="F19" s="387"/>
      <c r="G19" s="402">
        <v>0</v>
      </c>
      <c r="H19" s="409"/>
    </row>
    <row r="20" spans="2:8" ht="18.75" customHeight="1">
      <c r="B20" s="386" t="s">
        <v>437</v>
      </c>
      <c r="C20" s="388">
        <f>C19/C5</f>
        <v>0.13092800813008129</v>
      </c>
      <c r="D20" s="388">
        <f>D19/D5</f>
        <v>0.13092800813008129</v>
      </c>
      <c r="E20" s="388" t="e">
        <f>E19/E5</f>
        <v>#DIV/0!</v>
      </c>
      <c r="F20" s="388">
        <v>1</v>
      </c>
      <c r="G20" s="406">
        <v>0</v>
      </c>
      <c r="H20" s="411"/>
    </row>
    <row r="21" spans="2:8" ht="18.75" customHeight="1">
      <c r="H21" s="339"/>
    </row>
    <row r="22" spans="2:8" ht="18.75" customHeight="1">
      <c r="H22" s="339"/>
    </row>
    <row r="23" spans="2:8" ht="18.75" customHeight="1">
      <c r="H23" s="339"/>
    </row>
    <row r="24" spans="2:8" ht="18.75" customHeight="1">
      <c r="H24" s="33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>
    <tabColor rgb="FF0000FF"/>
    <pageSetUpPr fitToPage="1"/>
  </sheetPr>
  <dimension ref="B1:Y59"/>
  <sheetViews>
    <sheetView showGridLines="0" tabSelected="1" zoomScale="85" zoomScaleNormal="85" workbookViewId="0">
      <pane xSplit="7" ySplit="11" topLeftCell="H12" activePane="bottomRight" state="frozen"/>
      <selection activeCell="G80" sqref="G80"/>
      <selection pane="topRight" activeCell="G80" sqref="G80"/>
      <selection pane="bottomLeft" activeCell="G80" sqref="G80"/>
      <selection pane="bottomRight" activeCell="U37" sqref="U37"/>
    </sheetView>
  </sheetViews>
  <sheetFormatPr defaultRowHeight="16.899999999999999" outlineLevelRow="1" outlineLevelCol="1"/>
  <cols>
    <col min="1" max="2" width="1.5625" customWidth="1"/>
    <col min="3" max="3" width="6.5" customWidth="1"/>
    <col min="4" max="4" width="3.0625" customWidth="1"/>
    <col min="5" max="5" width="10.5625" customWidth="1"/>
    <col min="6" max="6" width="8" customWidth="1"/>
    <col min="7" max="10" width="14.0625" customWidth="1"/>
    <col min="11" max="14" width="14.0625" hidden="1" customWidth="1" outlineLevel="1"/>
    <col min="15" max="15" width="14.0625" customWidth="1" collapsed="1"/>
    <col min="16" max="17" width="14.0625" customWidth="1"/>
    <col min="18" max="18" width="14.8125" customWidth="1"/>
    <col min="19" max="19" width="14.0625" customWidth="1"/>
    <col min="20" max="20" width="3.3125" style="340" customWidth="1"/>
    <col min="21" max="21" width="10.5" bestFit="1" customWidth="1"/>
    <col min="22" max="22" width="10.8125" customWidth="1"/>
    <col min="23" max="23" width="12.0625" customWidth="1"/>
    <col min="24" max="24" width="9" customWidth="1"/>
    <col min="25" max="25" width="12.75" bestFit="1" customWidth="1"/>
  </cols>
  <sheetData>
    <row r="1" spans="2:25" ht="6.7" customHeight="1" thickBot="1"/>
    <row r="2" spans="2:25" ht="31.45" customHeight="1" thickBot="1">
      <c r="B2" s="283"/>
      <c r="C2" s="284" t="s">
        <v>286</v>
      </c>
      <c r="D2" s="283"/>
      <c r="E2" s="283"/>
      <c r="F2" s="283"/>
      <c r="G2" s="196" t="s">
        <v>308</v>
      </c>
      <c r="H2" s="558"/>
      <c r="I2" s="280" t="str">
        <f>IFERROR('5. 수주액 상세'!D3&amp; '5. 수주액 상세'!D4&amp;"-"&amp;'5. 수주액 상세'!D5,0)</f>
        <v>MES서비스-국내</v>
      </c>
      <c r="J2" s="605"/>
      <c r="K2" s="338"/>
      <c r="L2" s="338"/>
      <c r="M2" s="285"/>
      <c r="N2" s="283"/>
      <c r="O2" s="285"/>
      <c r="P2" s="285"/>
      <c r="Q2" s="285"/>
      <c r="R2" s="283"/>
      <c r="S2" s="341"/>
      <c r="T2" s="341"/>
    </row>
    <row r="3" spans="2:25" ht="15" customHeight="1">
      <c r="B3" s="283"/>
      <c r="C3" s="286"/>
      <c r="D3" s="283"/>
      <c r="E3" s="283"/>
      <c r="F3" s="283"/>
      <c r="G3" s="283"/>
      <c r="H3" s="283"/>
      <c r="I3" s="283"/>
      <c r="J3" s="283"/>
      <c r="K3" s="283"/>
      <c r="L3" s="283"/>
      <c r="M3" s="285"/>
      <c r="N3" s="285"/>
      <c r="O3" s="283"/>
      <c r="P3" s="283"/>
      <c r="Q3" s="283"/>
      <c r="R3" s="285"/>
      <c r="S3" s="283"/>
      <c r="T3" s="341"/>
    </row>
    <row r="4" spans="2:25" ht="18" customHeight="1">
      <c r="B4" s="283"/>
      <c r="C4" s="1296" t="s">
        <v>285</v>
      </c>
      <c r="D4" s="1296"/>
      <c r="E4" s="1296"/>
      <c r="F4" s="283" t="str">
        <f>'1. 판매품의서'!F6</f>
        <v>[스태츠칩팩코리아] 인천공장 Defect E-Test 자동 분석 시스템 구축 POC</v>
      </c>
      <c r="G4" s="283"/>
      <c r="H4" s="283"/>
      <c r="I4" s="283"/>
      <c r="J4" s="283"/>
      <c r="K4" s="283"/>
      <c r="L4" s="283"/>
      <c r="M4" s="285"/>
      <c r="N4" s="285"/>
      <c r="O4" s="283"/>
      <c r="P4" s="283"/>
      <c r="Q4" s="283"/>
      <c r="R4" s="285"/>
      <c r="S4" s="283"/>
      <c r="T4" s="341"/>
    </row>
    <row r="5" spans="2:25" ht="18" customHeight="1">
      <c r="B5" s="283"/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7"/>
      <c r="N5" s="287"/>
      <c r="O5" s="283"/>
      <c r="P5" s="283"/>
      <c r="Q5" s="283"/>
      <c r="R5" s="287"/>
      <c r="S5" s="283"/>
      <c r="T5" s="341"/>
    </row>
    <row r="6" spans="2:25" ht="16.05" customHeight="1" thickBot="1">
      <c r="B6" s="283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7"/>
      <c r="N6" s="287"/>
      <c r="O6" s="283"/>
      <c r="P6" s="283"/>
      <c r="Q6" s="283"/>
      <c r="R6" s="287"/>
      <c r="S6" s="289" t="s">
        <v>266</v>
      </c>
      <c r="T6" s="341"/>
    </row>
    <row r="7" spans="2:25" ht="7.5" customHeight="1" thickTop="1">
      <c r="B7" s="283"/>
      <c r="C7" s="1299" t="s">
        <v>118</v>
      </c>
      <c r="D7" s="1300"/>
      <c r="E7" s="1300"/>
      <c r="F7" s="1300"/>
      <c r="G7" s="1297" t="s">
        <v>391</v>
      </c>
      <c r="H7" s="575"/>
      <c r="I7" s="1241" t="s">
        <v>695</v>
      </c>
      <c r="J7" s="813"/>
      <c r="K7" s="573"/>
      <c r="L7" s="573"/>
      <c r="M7" s="573"/>
      <c r="N7" s="816"/>
      <c r="O7" s="817"/>
      <c r="P7" s="1087"/>
      <c r="Q7" s="1087"/>
      <c r="R7" s="815"/>
      <c r="S7" s="1255" t="s">
        <v>305</v>
      </c>
      <c r="T7" s="341"/>
    </row>
    <row r="8" spans="2:25" ht="7.5" customHeight="1">
      <c r="B8" s="283"/>
      <c r="C8" s="1301"/>
      <c r="D8" s="1302"/>
      <c r="E8" s="1302"/>
      <c r="F8" s="1302"/>
      <c r="G8" s="1242"/>
      <c r="H8" s="812"/>
      <c r="I8" s="1242"/>
      <c r="J8" s="1245" t="s">
        <v>1013</v>
      </c>
      <c r="K8" s="818"/>
      <c r="L8" s="818"/>
      <c r="M8" s="818"/>
      <c r="N8" s="819"/>
      <c r="O8" s="1265" t="s">
        <v>284</v>
      </c>
      <c r="P8" s="1265" t="s">
        <v>949</v>
      </c>
      <c r="Q8" s="1265" t="s">
        <v>1099</v>
      </c>
      <c r="R8" s="1268" t="str">
        <f>'5. 수주액 상세'!$C$17</f>
        <v>MES CE 구독료</v>
      </c>
      <c r="S8" s="1256"/>
      <c r="T8" s="341"/>
    </row>
    <row r="9" spans="2:25" ht="7.5" customHeight="1" thickBot="1">
      <c r="B9" s="283"/>
      <c r="C9" s="1301"/>
      <c r="D9" s="1302"/>
      <c r="E9" s="1302"/>
      <c r="F9" s="1302"/>
      <c r="G9" s="1242"/>
      <c r="H9" s="630"/>
      <c r="I9" s="1243"/>
      <c r="J9" s="1246"/>
      <c r="K9" s="809"/>
      <c r="L9" s="1252" t="s">
        <v>1014</v>
      </c>
      <c r="M9" s="820"/>
      <c r="N9" s="1258" t="s">
        <v>1015</v>
      </c>
      <c r="O9" s="1266"/>
      <c r="P9" s="1266"/>
      <c r="Q9" s="1266"/>
      <c r="R9" s="1269"/>
      <c r="S9" s="1256"/>
      <c r="T9" s="341"/>
    </row>
    <row r="10" spans="2:25" ht="7.5" customHeight="1">
      <c r="B10" s="283"/>
      <c r="C10" s="1301"/>
      <c r="D10" s="1302"/>
      <c r="E10" s="1302"/>
      <c r="F10" s="1302"/>
      <c r="G10" s="1242"/>
      <c r="H10" s="631"/>
      <c r="I10" s="1243"/>
      <c r="J10" s="1246"/>
      <c r="K10" s="810"/>
      <c r="L10" s="1246"/>
      <c r="M10" s="811"/>
      <c r="N10" s="1259"/>
      <c r="O10" s="1266"/>
      <c r="P10" s="1266"/>
      <c r="Q10" s="1266"/>
      <c r="R10" s="1269"/>
      <c r="S10" s="1256"/>
      <c r="T10" s="341"/>
      <c r="U10" s="1261" t="s">
        <v>513</v>
      </c>
      <c r="V10" s="1262"/>
    </row>
    <row r="11" spans="2:25" ht="27.7" customHeight="1">
      <c r="B11" s="283"/>
      <c r="C11" s="1303"/>
      <c r="D11" s="1304"/>
      <c r="E11" s="1304"/>
      <c r="F11" s="1304"/>
      <c r="G11" s="1298"/>
      <c r="H11" s="632" t="s">
        <v>552</v>
      </c>
      <c r="I11" s="1244"/>
      <c r="J11" s="1247"/>
      <c r="K11" s="1193" t="s">
        <v>552</v>
      </c>
      <c r="L11" s="1247"/>
      <c r="M11" s="821" t="s">
        <v>553</v>
      </c>
      <c r="N11" s="1260"/>
      <c r="O11" s="1267"/>
      <c r="P11" s="1267"/>
      <c r="Q11" s="1267"/>
      <c r="R11" s="1270"/>
      <c r="S11" s="1257"/>
      <c r="T11" s="341"/>
      <c r="U11" s="1263"/>
      <c r="V11" s="1264"/>
    </row>
    <row r="12" spans="2:25" ht="21.7" customHeight="1">
      <c r="B12" s="283"/>
      <c r="C12" s="1277" t="s">
        <v>264</v>
      </c>
      <c r="D12" s="1278"/>
      <c r="E12" s="1278"/>
      <c r="F12" s="1278"/>
      <c r="G12" s="593">
        <f>SUM(I12,S12)</f>
        <v>24600000</v>
      </c>
      <c r="H12" s="832">
        <f t="shared" ref="H12:H29" si="0">G12-M12</f>
        <v>24600000</v>
      </c>
      <c r="I12" s="593">
        <f>SUM(J12,O12,R12,P12,Q12)</f>
        <v>24600000</v>
      </c>
      <c r="J12" s="595">
        <f>L12+N12</f>
        <v>24600000</v>
      </c>
      <c r="K12" s="594">
        <f>J12-M12</f>
        <v>24600000</v>
      </c>
      <c r="L12" s="595">
        <f>'5. 수주액 상세'!D11</f>
        <v>24600000</v>
      </c>
      <c r="M12" s="843">
        <f>'4. 경비(실비정산성경비)'!$E$69</f>
        <v>0</v>
      </c>
      <c r="N12" s="784">
        <f>'5. 수주액 상세'!D12</f>
        <v>0</v>
      </c>
      <c r="O12" s="784">
        <f>'5. 수주액 상세'!D13</f>
        <v>0</v>
      </c>
      <c r="P12" s="784">
        <f>'5. 수주액 상세'!D14</f>
        <v>0</v>
      </c>
      <c r="Q12" s="784">
        <f>'5. 수주액 상세'!D15</f>
        <v>0</v>
      </c>
      <c r="R12" s="797">
        <f>'5. 수주액 상세'!D17</f>
        <v>0</v>
      </c>
      <c r="S12" s="596">
        <f>'5. 수주액 상세'!D16</f>
        <v>0</v>
      </c>
      <c r="T12" s="342"/>
      <c r="U12" s="625" t="s">
        <v>550</v>
      </c>
      <c r="V12" s="626" t="s">
        <v>551</v>
      </c>
      <c r="W12" s="331"/>
      <c r="X12" s="331"/>
      <c r="Y12" s="331"/>
    </row>
    <row r="13" spans="2:25" ht="21.7" customHeight="1" thickBot="1">
      <c r="B13" s="283"/>
      <c r="C13" s="1250" t="s">
        <v>262</v>
      </c>
      <c r="D13" s="1281" t="s">
        <v>265</v>
      </c>
      <c r="E13" s="1282"/>
      <c r="F13" s="1282"/>
      <c r="G13" s="559">
        <f>SUM(I13,S13)</f>
        <v>0</v>
      </c>
      <c r="H13" s="833">
        <f t="shared" si="0"/>
        <v>0</v>
      </c>
      <c r="I13" s="559">
        <f>SUM(J13,O13,R13,P13,Q13)</f>
        <v>0</v>
      </c>
      <c r="J13" s="576">
        <f t="shared" ref="J13:J28" si="1">L13+N13</f>
        <v>0</v>
      </c>
      <c r="K13" s="592">
        <f t="shared" ref="K13:K28" si="2">J13-M13</f>
        <v>0</v>
      </c>
      <c r="L13" s="576">
        <v>0</v>
      </c>
      <c r="M13" s="844"/>
      <c r="N13" s="785">
        <v>0</v>
      </c>
      <c r="O13" s="785">
        <v>0</v>
      </c>
      <c r="P13" s="785">
        <v>0</v>
      </c>
      <c r="Q13" s="785">
        <v>0</v>
      </c>
      <c r="R13" s="798">
        <v>0</v>
      </c>
      <c r="S13" s="580">
        <f>'3. 외주비&amp;재료비'!$J$21</f>
        <v>0</v>
      </c>
      <c r="T13" s="342"/>
      <c r="U13" s="607">
        <f>IFERROR($O$12/$G$12,"0%")</f>
        <v>0</v>
      </c>
      <c r="V13" s="608">
        <f>IFERROR(O12/I12,"0%")</f>
        <v>0</v>
      </c>
      <c r="W13" s="331"/>
      <c r="X13" s="331"/>
      <c r="Y13" s="331"/>
    </row>
    <row r="14" spans="2:25" ht="21.7" customHeight="1">
      <c r="B14" s="283"/>
      <c r="C14" s="1251"/>
      <c r="D14" s="1283" t="s">
        <v>116</v>
      </c>
      <c r="E14" s="1284"/>
      <c r="F14" s="1284"/>
      <c r="G14" s="560">
        <f>SUM(I14,S14)</f>
        <v>9220418</v>
      </c>
      <c r="H14" s="834">
        <f t="shared" si="0"/>
        <v>9220418</v>
      </c>
      <c r="I14" s="560">
        <f>SUM(I15:I18)</f>
        <v>9220418</v>
      </c>
      <c r="J14" s="572">
        <f>L14+N14</f>
        <v>9220418</v>
      </c>
      <c r="K14" s="332">
        <f t="shared" si="2"/>
        <v>9220418</v>
      </c>
      <c r="L14" s="572">
        <f>SUM(L15:L18)</f>
        <v>9220418</v>
      </c>
      <c r="M14" s="845"/>
      <c r="N14" s="786">
        <f t="shared" ref="N14:Q14" si="3">SUM(N15:N18)</f>
        <v>0</v>
      </c>
      <c r="O14" s="786">
        <v>0</v>
      </c>
      <c r="P14" s="786">
        <f t="shared" si="3"/>
        <v>0</v>
      </c>
      <c r="Q14" s="786">
        <f t="shared" si="3"/>
        <v>0</v>
      </c>
      <c r="R14" s="799">
        <f t="shared" ref="R14:S14" si="4">SUM(R15:R18)</f>
        <v>0</v>
      </c>
      <c r="S14" s="581">
        <f t="shared" si="4"/>
        <v>0</v>
      </c>
      <c r="T14" s="342"/>
      <c r="W14" s="331"/>
      <c r="X14" s="331"/>
      <c r="Y14" s="331"/>
    </row>
    <row r="15" spans="2:25" ht="21.7" hidden="1" customHeight="1" outlineLevel="1">
      <c r="B15" s="283"/>
      <c r="C15" s="1251"/>
      <c r="D15" s="185"/>
      <c r="E15" s="440" t="s">
        <v>12</v>
      </c>
      <c r="F15" s="565" t="s">
        <v>82</v>
      </c>
      <c r="G15" s="356">
        <f t="shared" ref="G15:G26" si="5">SUM(I15,S15)</f>
        <v>0</v>
      </c>
      <c r="H15" s="1153">
        <f t="shared" si="0"/>
        <v>0</v>
      </c>
      <c r="I15" s="356">
        <f>SUMIF('2. 인건비'!$F:$F,손익시뮬레이션!$E15,'2. 인건비'!$I:$I)-S15</f>
        <v>0</v>
      </c>
      <c r="J15" s="568">
        <f t="shared" si="1"/>
        <v>0</v>
      </c>
      <c r="K15" s="590">
        <f t="shared" si="2"/>
        <v>0</v>
      </c>
      <c r="L15" s="1129">
        <f>I15-P15-Q15-R15-S15</f>
        <v>0</v>
      </c>
      <c r="M15" s="1160"/>
      <c r="N15" s="787"/>
      <c r="O15" s="807"/>
      <c r="P15" s="1129">
        <f>SUMIFS('2. 인건비'!$I$13:$I$52,'2. 인건비'!$E$13:$E$52,"유지보수",'2. 인건비'!$F$13:$F$52,손익시뮬레이션!$E15)</f>
        <v>0</v>
      </c>
      <c r="Q15" s="1129">
        <f>SUMIFS('2. 인건비'!$I$13:$I$52,'2. 인건비'!$E$13:$E$52,"ITO/원격운영",'2. 인건비'!$F$13:$F$52,손익시뮬레이션!$E15)-R15</f>
        <v>0</v>
      </c>
      <c r="R15" s="1130">
        <f>SUMIFS('2. 인건비'!$I:$I,'2. 인건비'!C:C,"Nexplant MESplus CE",'2. 인건비'!$D:$D,"고객서비스그룹",'2. 인건비'!$E:$E,"ITO/원격운영",'2. 인건비'!$F:$F,손익시뮬레이션!$E15)</f>
        <v>0</v>
      </c>
      <c r="S15" s="582">
        <f>SUMIFS('2. 인건비'!$I:$I,'2. 인건비'!$E:$E,"인프라TA",'2. 인건비'!$F:$F,손익시뮬레이션!$E15)</f>
        <v>0</v>
      </c>
      <c r="T15" s="342"/>
      <c r="W15" s="331"/>
      <c r="X15" s="331"/>
      <c r="Y15" s="331"/>
    </row>
    <row r="16" spans="2:25" ht="21.7" hidden="1" customHeight="1" outlineLevel="1">
      <c r="B16" s="283"/>
      <c r="C16" s="1251"/>
      <c r="D16" s="185"/>
      <c r="E16" s="441" t="s">
        <v>445</v>
      </c>
      <c r="F16" s="566" t="s">
        <v>82</v>
      </c>
      <c r="G16" s="357">
        <f t="shared" si="5"/>
        <v>0</v>
      </c>
      <c r="H16" s="1154">
        <f t="shared" si="0"/>
        <v>0</v>
      </c>
      <c r="I16" s="357">
        <f>SUMIF('2. 인건비'!$F:$F,손익시뮬레이션!$E16,'2. 인건비'!$I:$I)-S16</f>
        <v>0</v>
      </c>
      <c r="J16" s="569">
        <f>L16+N16</f>
        <v>0</v>
      </c>
      <c r="K16" s="591">
        <f t="shared" si="2"/>
        <v>0</v>
      </c>
      <c r="L16" s="1085">
        <f t="shared" ref="L16" si="6">I16-P16-Q16-R16-S16</f>
        <v>0</v>
      </c>
      <c r="M16" s="1161"/>
      <c r="N16" s="788"/>
      <c r="O16" s="808"/>
      <c r="P16" s="1085">
        <f>SUMIFS('2. 인건비'!$I$13:$I$52,'2. 인건비'!$E$13:$E$52,"유지보수",'2. 인건비'!$F$13:$F$52,손익시뮬레이션!$E16)</f>
        <v>0</v>
      </c>
      <c r="Q16" s="808">
        <f>SUMIFS('2. 인건비'!$I$13:$I$52,'2. 인건비'!$E$13:$E$52,"ITO/원격운영",'2. 인건비'!$F$13:$F$52,손익시뮬레이션!$E16)-R16</f>
        <v>0</v>
      </c>
      <c r="R16" s="1131">
        <f>SUMIFS('2. 인건비'!$I:$I,'2. 인건비'!C:C,"Nexplant MESplus CE",'2. 인건비'!$D:$D,"고객서비스그룹",'2. 인건비'!$E:$E,"ITO/원격운영",'2. 인건비'!$F:$F,손익시뮬레이션!$E16)</f>
        <v>0</v>
      </c>
      <c r="S16" s="583">
        <f>SUMIFS('2. 인건비'!$I:$I,'2. 인건비'!$E:$E,"인프라TA",'2. 인건비'!$F:$F,손익시뮬레이션!$E16)</f>
        <v>0</v>
      </c>
      <c r="T16" s="342"/>
      <c r="W16" s="331"/>
      <c r="X16" s="331"/>
      <c r="Y16" s="331"/>
    </row>
    <row r="17" spans="2:25" ht="21.7" hidden="1" customHeight="1" outlineLevel="1">
      <c r="B17" s="283"/>
      <c r="C17" s="1251"/>
      <c r="D17" s="185"/>
      <c r="E17" s="441" t="s">
        <v>455</v>
      </c>
      <c r="F17" s="566" t="s">
        <v>459</v>
      </c>
      <c r="G17" s="357">
        <f t="shared" si="5"/>
        <v>9220418</v>
      </c>
      <c r="H17" s="1154">
        <f t="shared" si="0"/>
        <v>9220418</v>
      </c>
      <c r="I17" s="357">
        <f>SUMIF('2. 인건비'!$F:$F,손익시뮬레이션!$E17,'2. 인건비'!$I:$I)-S17</f>
        <v>9220418</v>
      </c>
      <c r="J17" s="569">
        <f t="shared" ref="J17:J25" si="7">L17+N17</f>
        <v>9220418</v>
      </c>
      <c r="K17" s="591">
        <f t="shared" si="2"/>
        <v>9220418</v>
      </c>
      <c r="L17" s="1085">
        <f>I17-P17-Q17-R17-S17</f>
        <v>9220418</v>
      </c>
      <c r="M17" s="1161"/>
      <c r="N17" s="788"/>
      <c r="O17" s="808"/>
      <c r="P17" s="1085">
        <f>SUMIFS('2. 인건비'!$I$13:$I$52,'2. 인건비'!$E$13:$E$52,"유지보수",'2. 인건비'!$F$13:$F$52,손익시뮬레이션!$E17)</f>
        <v>0</v>
      </c>
      <c r="Q17" s="808">
        <f>SUMIFS('2. 인건비'!$I$13:$I$52,'2. 인건비'!$E$13:$E$52,"ITO/원격운영",'2. 인건비'!$F$13:$F$52,손익시뮬레이션!$E17)-R17</f>
        <v>0</v>
      </c>
      <c r="R17" s="1131">
        <f>SUMIFS('2. 인건비'!$I:$I,'2. 인건비'!C:C,"Nexplant MESplus CE",'2. 인건비'!$D:$D,"고객서비스그룹",'2. 인건비'!$E:$E,"ITO/원격운영",'2. 인건비'!$F:$F,손익시뮬레이션!$E17)</f>
        <v>0</v>
      </c>
      <c r="S17" s="583">
        <f>SUMIFS('2. 인건비'!$I:$I,'2. 인건비'!$E:$E,"인프라TA",'2. 인건비'!$F:$F,손익시뮬레이션!$E17)</f>
        <v>0</v>
      </c>
      <c r="T17" s="342"/>
      <c r="W17" s="331"/>
      <c r="X17" s="331"/>
      <c r="Y17" s="331"/>
    </row>
    <row r="18" spans="2:25" ht="21.7" hidden="1" customHeight="1" outlineLevel="1">
      <c r="B18" s="283"/>
      <c r="C18" s="1251"/>
      <c r="D18" s="185"/>
      <c r="E18" s="441" t="s">
        <v>457</v>
      </c>
      <c r="F18" s="566" t="s">
        <v>461</v>
      </c>
      <c r="G18" s="357">
        <f t="shared" si="5"/>
        <v>0</v>
      </c>
      <c r="H18" s="1154">
        <f t="shared" si="0"/>
        <v>0</v>
      </c>
      <c r="I18" s="357">
        <f>SUMIF('2. 인건비'!$F:$F,손익시뮬레이션!$E18,'2. 인건비'!$I:$I)-S18</f>
        <v>0</v>
      </c>
      <c r="J18" s="569">
        <f t="shared" si="7"/>
        <v>0</v>
      </c>
      <c r="K18" s="591">
        <f t="shared" si="2"/>
        <v>0</v>
      </c>
      <c r="L18" s="1086">
        <f>I18-P18-Q18-R18-S18</f>
        <v>0</v>
      </c>
      <c r="M18" s="1161"/>
      <c r="N18" s="788"/>
      <c r="O18" s="808"/>
      <c r="P18" s="1086">
        <f>SUMIFS('2. 인건비'!$I$13:$I$52,'2. 인건비'!$E$13:$E$52,"유지보수",'2. 인건비'!$F$13:$F$52,손익시뮬레이션!$E18)</f>
        <v>0</v>
      </c>
      <c r="Q18" s="808">
        <f>SUMIFS('2. 인건비'!$I$13:$I$52,'2. 인건비'!$E$13:$E$52,"ITO/원격운영",'2. 인건비'!$F$13:$F$52,손익시뮬레이션!$E18)-R18</f>
        <v>0</v>
      </c>
      <c r="R18" s="1131">
        <f>SUMIFS('2. 인건비'!$I:$I,'2. 인건비'!C:C,"Nexplant MESplus CE",'2. 인건비'!$D:$D,"고객서비스그룹",'2. 인건비'!$E:$E,"ITO/원격운영",'2. 인건비'!$F:$F,손익시뮬레이션!$E18)</f>
        <v>0</v>
      </c>
      <c r="S18" s="583">
        <f>SUMIFS('2. 인건비'!$I:$I,'2. 인건비'!$E:$E,"인프라TA",'2. 인건비'!$F:$F,손익시뮬레이션!$E18)</f>
        <v>0</v>
      </c>
      <c r="T18" s="342"/>
      <c r="W18" s="331"/>
      <c r="X18" s="331"/>
      <c r="Y18" s="331"/>
    </row>
    <row r="19" spans="2:25" ht="21.7" customHeight="1" collapsed="1">
      <c r="B19" s="283"/>
      <c r="C19" s="1251"/>
      <c r="D19" s="185"/>
      <c r="E19" s="183" t="s">
        <v>117</v>
      </c>
      <c r="F19" s="184"/>
      <c r="G19" s="358">
        <f>SUM(I19,S19)</f>
        <v>1</v>
      </c>
      <c r="H19" s="1155">
        <f t="shared" si="0"/>
        <v>1</v>
      </c>
      <c r="I19" s="358">
        <f>SUM(I20:I23)</f>
        <v>1</v>
      </c>
      <c r="J19" s="570">
        <f>L19+N19</f>
        <v>1</v>
      </c>
      <c r="K19" s="335">
        <f>SUM(K20:K23)</f>
        <v>1</v>
      </c>
      <c r="L19" s="570">
        <f t="shared" ref="L19:S19" si="8">SUM(L20:L23)</f>
        <v>1</v>
      </c>
      <c r="M19" s="1162">
        <f t="shared" si="8"/>
        <v>0</v>
      </c>
      <c r="N19" s="789">
        <f>'3. 외주비&amp;재료비'!$H$3</f>
        <v>0</v>
      </c>
      <c r="O19" s="789">
        <f t="shared" si="8"/>
        <v>0</v>
      </c>
      <c r="P19" s="789">
        <f t="shared" si="8"/>
        <v>0</v>
      </c>
      <c r="Q19" s="789">
        <f t="shared" si="8"/>
        <v>0</v>
      </c>
      <c r="R19" s="1132">
        <f t="shared" si="8"/>
        <v>0</v>
      </c>
      <c r="S19" s="584">
        <f t="shared" si="8"/>
        <v>0</v>
      </c>
      <c r="T19" s="343"/>
      <c r="W19" s="331"/>
      <c r="X19" s="331"/>
      <c r="Y19" s="331"/>
    </row>
    <row r="20" spans="2:25" ht="21.7" hidden="1" customHeight="1" outlineLevel="1">
      <c r="B20" s="283"/>
      <c r="C20" s="1251"/>
      <c r="D20" s="186"/>
      <c r="E20" s="441" t="s">
        <v>12</v>
      </c>
      <c r="F20" s="566" t="s">
        <v>82</v>
      </c>
      <c r="G20" s="359">
        <f t="shared" si="5"/>
        <v>0</v>
      </c>
      <c r="H20" s="1156">
        <f t="shared" si="0"/>
        <v>0</v>
      </c>
      <c r="I20" s="359">
        <f>SUM(J20,P20,Q20,R20)</f>
        <v>0</v>
      </c>
      <c r="J20" s="571">
        <f>L20+N20</f>
        <v>0</v>
      </c>
      <c r="K20" s="334">
        <f t="shared" si="2"/>
        <v>0</v>
      </c>
      <c r="L20" s="571">
        <f>SUMIF('2. 인건비'!$F:$F,손익시뮬레이션!$E20,'2. 인건비'!$H:$H)-P20-Q20-R20-S20</f>
        <v>0</v>
      </c>
      <c r="M20" s="1163"/>
      <c r="N20" s="790"/>
      <c r="O20" s="790"/>
      <c r="P20" s="790">
        <f>SUMIFS('2. 인건비'!$H$13:$H$52,'2. 인건비'!$E$13:$E$52,"유지보수",'2. 인건비'!$F$13:$F$52,손익시뮬레이션!$E20)</f>
        <v>0</v>
      </c>
      <c r="Q20" s="790">
        <f>SUMIFS('2. 인건비'!$H$13:$H$52,'2. 인건비'!$E$13:$E$52,"ITO/원격운영",'2. 인건비'!$F$13:$F$52,손익시뮬레이션!$E20)-R20</f>
        <v>0</v>
      </c>
      <c r="R20" s="1133">
        <f>SUMIFS('2. 인건비'!$H:$H,'2. 인건비'!C:C,"Nexplant MESplus CE",'2. 인건비'!$D:$D,"고객서비스그룹",'2. 인건비'!$E:$E,"ITO/원격운영",'2. 인건비'!$F:$F,손익시뮬레이션!$E20)</f>
        <v>0</v>
      </c>
      <c r="S20" s="585">
        <f>SUMIFS('2. 인건비'!$H:$H,'2. 인건비'!$E:$E,"인프라TA",'2. 인건비'!$F:$F,손익시뮬레이션!$E20)</f>
        <v>0</v>
      </c>
      <c r="T20" s="343"/>
      <c r="W20" s="331"/>
      <c r="X20" s="331"/>
      <c r="Y20" s="331"/>
    </row>
    <row r="21" spans="2:25" ht="21.7" hidden="1" customHeight="1" outlineLevel="1">
      <c r="B21" s="283"/>
      <c r="C21" s="1251"/>
      <c r="D21" s="186"/>
      <c r="E21" s="441" t="s">
        <v>445</v>
      </c>
      <c r="F21" s="566" t="s">
        <v>82</v>
      </c>
      <c r="G21" s="359">
        <f t="shared" si="5"/>
        <v>0</v>
      </c>
      <c r="H21" s="1156">
        <f t="shared" si="0"/>
        <v>0</v>
      </c>
      <c r="I21" s="359">
        <f t="shared" ref="I21:I23" si="9">SUM(J21,P21,Q21,R21)</f>
        <v>0</v>
      </c>
      <c r="J21" s="571">
        <f t="shared" si="7"/>
        <v>0</v>
      </c>
      <c r="K21" s="334">
        <f t="shared" si="2"/>
        <v>0</v>
      </c>
      <c r="L21" s="571">
        <f>SUMIF('2. 인건비'!$F:$F,손익시뮬레이션!$E21,'2. 인건비'!$H:$H)-P21-Q21-R21-S21</f>
        <v>0</v>
      </c>
      <c r="M21" s="1163"/>
      <c r="N21" s="790"/>
      <c r="O21" s="790"/>
      <c r="P21" s="790">
        <f>SUMIFS('2. 인건비'!$H$13:$H$52,'2. 인건비'!$E$13:$E$52,"유지보수",'2. 인건비'!$F$13:$F$52,손익시뮬레이션!$E21)</f>
        <v>0</v>
      </c>
      <c r="Q21" s="790">
        <f>SUMIFS('2. 인건비'!$H$13:$H$52,'2. 인건비'!$E$13:$E$52,"ITO/원격운영",'2. 인건비'!$F$13:$F$52,손익시뮬레이션!$E21)-R21</f>
        <v>0</v>
      </c>
      <c r="R21" s="1133">
        <f>SUMIFS('2. 인건비'!$H:$H,'2. 인건비'!C:C,"Nexplant MESplus CE",'2. 인건비'!$D:$D,"고객서비스그룹",'2. 인건비'!$E:$E,"ITO/원격운영",'2. 인건비'!$F:$F,손익시뮬레이션!$E21)</f>
        <v>0</v>
      </c>
      <c r="S21" s="585">
        <f>SUMIFS('2. 인건비'!$H:$H,'2. 인건비'!$E:$E,"인프라TA",'2. 인건비'!$F:$F,손익시뮬레이션!$E21)</f>
        <v>0</v>
      </c>
      <c r="T21" s="343"/>
      <c r="W21" s="331"/>
      <c r="X21" s="331"/>
      <c r="Y21" s="331"/>
    </row>
    <row r="22" spans="2:25" ht="21.7" hidden="1" customHeight="1" outlineLevel="1">
      <c r="B22" s="283"/>
      <c r="C22" s="1251"/>
      <c r="D22" s="186"/>
      <c r="E22" s="441" t="s">
        <v>455</v>
      </c>
      <c r="F22" s="566" t="s">
        <v>459</v>
      </c>
      <c r="G22" s="359">
        <f t="shared" si="5"/>
        <v>1</v>
      </c>
      <c r="H22" s="1156">
        <f t="shared" si="0"/>
        <v>1</v>
      </c>
      <c r="I22" s="359">
        <f t="shared" si="9"/>
        <v>1</v>
      </c>
      <c r="J22" s="571">
        <f t="shared" si="7"/>
        <v>1</v>
      </c>
      <c r="K22" s="334">
        <f t="shared" si="2"/>
        <v>1</v>
      </c>
      <c r="L22" s="571">
        <f>SUMIF('2. 인건비'!$F:$F,손익시뮬레이션!$E22,'2. 인건비'!$H:$H)-P22-Q22-R22-S22</f>
        <v>1</v>
      </c>
      <c r="M22" s="1163"/>
      <c r="N22" s="790"/>
      <c r="O22" s="790"/>
      <c r="P22" s="790">
        <f>SUMIFS('2. 인건비'!$H$13:$H$52,'2. 인건비'!$E$13:$E$52,"유지보수",'2. 인건비'!$F$13:$F$52,손익시뮬레이션!$E22)</f>
        <v>0</v>
      </c>
      <c r="Q22" s="790">
        <f>SUMIFS('2. 인건비'!$H$13:$H$52,'2. 인건비'!$E$13:$E$52,"ITO/원격운영",'2. 인건비'!$F$13:$F$52,손익시뮬레이션!$E22)-R22</f>
        <v>0</v>
      </c>
      <c r="R22" s="800">
        <f>SUMIFS('2. 인건비'!$H:$H,'2. 인건비'!C:C,"Nexplant MESplus CE",'2. 인건비'!$D:$D,"고객서비스그룹",'2. 인건비'!$E:$E,"ITO/원격운영",'2. 인건비'!$F:$F,손익시뮬레이션!$E22)</f>
        <v>0</v>
      </c>
      <c r="S22" s="585">
        <f>SUMIFS('2. 인건비'!$H:$H,'2. 인건비'!$E:$E,"인프라TA",'2. 인건비'!$F:$F,손익시뮬레이션!$E22)</f>
        <v>0</v>
      </c>
      <c r="T22" s="343"/>
      <c r="W22" s="331"/>
      <c r="X22" s="331"/>
      <c r="Y22" s="331"/>
    </row>
    <row r="23" spans="2:25" ht="21.7" hidden="1" customHeight="1" outlineLevel="1">
      <c r="B23" s="283"/>
      <c r="C23" s="1251"/>
      <c r="D23" s="186"/>
      <c r="E23" s="442" t="s">
        <v>457</v>
      </c>
      <c r="F23" s="567" t="s">
        <v>461</v>
      </c>
      <c r="G23" s="359">
        <f t="shared" si="5"/>
        <v>0</v>
      </c>
      <c r="H23" s="1156">
        <f t="shared" si="0"/>
        <v>0</v>
      </c>
      <c r="I23" s="359">
        <f t="shared" si="9"/>
        <v>0</v>
      </c>
      <c r="J23" s="571">
        <f t="shared" si="7"/>
        <v>0</v>
      </c>
      <c r="K23" s="334">
        <f t="shared" si="2"/>
        <v>0</v>
      </c>
      <c r="L23" s="571">
        <f>SUMIF('2. 인건비'!$F:$F,손익시뮬레이션!$E23,'2. 인건비'!$H:$H)-P23-Q23-R23-S23</f>
        <v>0</v>
      </c>
      <c r="M23" s="1163"/>
      <c r="N23" s="790"/>
      <c r="O23" s="790"/>
      <c r="P23" s="790">
        <f>SUMIFS('2. 인건비'!$H$13:$H$52,'2. 인건비'!$E$13:$E$52,"유지보수",'2. 인건비'!$F$13:$F$52,손익시뮬레이션!$E23)</f>
        <v>0</v>
      </c>
      <c r="Q23" s="790">
        <f>SUMIFS('2. 인건비'!$H$13:$H$52,'2. 인건비'!$E$13:$E$52,"ITO/원격운영",'2. 인건비'!$F$13:$F$52,손익시뮬레이션!$E23)-R23</f>
        <v>0</v>
      </c>
      <c r="R23" s="800">
        <f>SUMIFS('2. 인건비'!$H:$H,'2. 인건비'!C:C,"Nexplant MESplus CE",'2. 인건비'!$D:$D,"고객서비스그룹",'2. 인건비'!$E:$E,"ITO/원격운영",'2. 인건비'!$F:$F,손익시뮬레이션!$E23)</f>
        <v>0</v>
      </c>
      <c r="S23" s="585">
        <f>SUMIFS('2. 인건비'!$H:$H,'2. 인건비'!$E:$E,"인프라TA",'2. 인건비'!$F:$F,손익시뮬레이션!$E23)</f>
        <v>0</v>
      </c>
      <c r="T23" s="343"/>
      <c r="W23" s="331"/>
      <c r="X23" s="331"/>
      <c r="Y23" s="331"/>
    </row>
    <row r="24" spans="2:25" ht="21.7" customHeight="1" collapsed="1">
      <c r="B24" s="283"/>
      <c r="C24" s="1251"/>
      <c r="D24" s="1285" t="s">
        <v>252</v>
      </c>
      <c r="E24" s="1286"/>
      <c r="F24" s="1286"/>
      <c r="G24" s="355">
        <f>'2. 인건비'!$J$12</f>
        <v>817567</v>
      </c>
      <c r="H24" s="835">
        <f t="shared" si="0"/>
        <v>817567</v>
      </c>
      <c r="I24" s="355">
        <f>G24-S24</f>
        <v>817567</v>
      </c>
      <c r="J24" s="572">
        <f t="shared" si="7"/>
        <v>817567</v>
      </c>
      <c r="K24" s="332">
        <f t="shared" si="2"/>
        <v>817567</v>
      </c>
      <c r="L24" s="572">
        <f>I24-P24-Q24-R24-S24</f>
        <v>817567</v>
      </c>
      <c r="M24" s="845"/>
      <c r="N24" s="786">
        <v>0</v>
      </c>
      <c r="O24" s="786">
        <v>0</v>
      </c>
      <c r="P24" s="786">
        <f>SUMIF('2. 인건비'!$E$13:$E$52,"유지보수",'2. 인건비'!$J$13:$J$52)</f>
        <v>0</v>
      </c>
      <c r="Q24" s="786">
        <f>SUMIF('2. 인건비'!$E$13:$E$52,"ITO/원격운영",'2. 인건비'!$J$13:$J$52)-R24</f>
        <v>0</v>
      </c>
      <c r="R24" s="799">
        <f>SUMIFS('2. 인건비'!$J:$J,'2. 인건비'!C:C,"Nexplant MESplus CE",'2. 인건비'!$D:$D,"고객서비스그룹",'2. 인건비'!$E:$E,"ITO/원격운영")</f>
        <v>0</v>
      </c>
      <c r="S24" s="581">
        <f>SUMIFS('2. 인건비'!$J:$J,'2. 인건비'!$E:$E,"인프라TA",'2. 인건비'!$F:$F,손익시뮬레이션!$E24)</f>
        <v>0</v>
      </c>
      <c r="T24" s="342"/>
      <c r="W24" s="331"/>
      <c r="X24" s="331"/>
      <c r="Y24" s="331"/>
    </row>
    <row r="25" spans="2:25" ht="21.7" customHeight="1">
      <c r="B25" s="283"/>
      <c r="C25" s="1251"/>
      <c r="D25" s="1285" t="s">
        <v>251</v>
      </c>
      <c r="E25" s="1284"/>
      <c r="F25" s="1284"/>
      <c r="G25" s="355">
        <f>SUM(I25,S25)</f>
        <v>0</v>
      </c>
      <c r="H25" s="835">
        <f t="shared" si="0"/>
        <v>0</v>
      </c>
      <c r="I25" s="355">
        <f>SUM(J25,O25,R25,P25,Q25)</f>
        <v>0</v>
      </c>
      <c r="J25" s="572">
        <f t="shared" si="7"/>
        <v>0</v>
      </c>
      <c r="K25" s="332">
        <f t="shared" si="2"/>
        <v>0</v>
      </c>
      <c r="L25" s="572">
        <v>0</v>
      </c>
      <c r="M25" s="845"/>
      <c r="N25" s="786">
        <f>SUMIF('3. 외주비&amp;재료비'!$E$6:$E$17,"서비스",'3. 외주비&amp;재료비'!$I$6:$I$17)</f>
        <v>0</v>
      </c>
      <c r="O25" s="786">
        <v>0</v>
      </c>
      <c r="P25" s="786">
        <f>SUMIF('3. 외주비&amp;재료비'!$G$6:$G$17,"maintenance",'3. 외주비&amp;재료비'!$I$6:$I$17)</f>
        <v>0</v>
      </c>
      <c r="Q25" s="786">
        <f>SUMIFS('3. 외주비&amp;재료비'!$I$6:$I$17,'3. 외주비&amp;재료비'!$E$6:$E$17,"ITO/원격운영",'3. 외주비&amp;재료비'!$G$6:$G$17,"Development")</f>
        <v>0</v>
      </c>
      <c r="R25" s="799">
        <v>0</v>
      </c>
      <c r="S25" s="581">
        <v>0</v>
      </c>
      <c r="T25" s="342"/>
      <c r="W25" s="331"/>
      <c r="X25" s="331"/>
      <c r="Y25" s="331"/>
    </row>
    <row r="26" spans="2:25" ht="21.7" customHeight="1" thickBot="1">
      <c r="B26" s="283"/>
      <c r="C26" s="1251"/>
      <c r="D26" s="1283" t="s">
        <v>253</v>
      </c>
      <c r="E26" s="1286"/>
      <c r="F26" s="1286"/>
      <c r="G26" s="560">
        <f t="shared" si="5"/>
        <v>3545000</v>
      </c>
      <c r="H26" s="834">
        <f t="shared" si="0"/>
        <v>3545000</v>
      </c>
      <c r="I26" s="560">
        <f>SUM(J26,O26,R26,P26,Q26)</f>
        <v>3545000</v>
      </c>
      <c r="J26" s="572">
        <f t="shared" si="1"/>
        <v>3545000</v>
      </c>
      <c r="K26" s="332">
        <f t="shared" si="2"/>
        <v>3545000</v>
      </c>
      <c r="L26" s="572">
        <f>'4. 경비(실비정산성경비)'!E21-R26-Q26-P26</f>
        <v>3545000</v>
      </c>
      <c r="M26" s="846">
        <f>$M$12</f>
        <v>0</v>
      </c>
      <c r="N26" s="786">
        <v>0</v>
      </c>
      <c r="O26" s="786">
        <v>0</v>
      </c>
      <c r="P26" s="1184">
        <f>IF(AND('5. 수주액 상세'!D4&lt;&gt;"",'5. 수주액 상세'!$D$4="유지보수"),'4. 경비(실비정산성경비)'!$N$21,0)</f>
        <v>0</v>
      </c>
      <c r="Q26" s="1184">
        <f>IF(AND('5. 수주액 상세'!D4&lt;&gt;"",'5. 수주액 상세'!$D$4="ITO/원격운영"),'4. 경비(실비정산성경비)'!$N$21,0)</f>
        <v>0</v>
      </c>
      <c r="R26" s="799" t="b">
        <f>IF($R$12&gt;0,'4. 경비(실비정산성경비)'!$N$21)</f>
        <v>0</v>
      </c>
      <c r="S26" s="581">
        <v>0</v>
      </c>
      <c r="T26" s="342"/>
      <c r="W26" s="331"/>
      <c r="X26" s="331"/>
      <c r="Y26" s="331"/>
    </row>
    <row r="27" spans="2:25" ht="21.7" customHeight="1">
      <c r="B27" s="283"/>
      <c r="C27" s="1251"/>
      <c r="D27" s="557"/>
      <c r="E27" s="1279" t="s">
        <v>477</v>
      </c>
      <c r="F27" s="1280"/>
      <c r="G27" s="561">
        <f>SUM(I27,S27)</f>
        <v>0</v>
      </c>
      <c r="H27" s="836">
        <f t="shared" si="0"/>
        <v>0</v>
      </c>
      <c r="I27" s="561">
        <f t="shared" ref="I27:I28" si="10">SUM(J27,O27,R27,P27,Q27)</f>
        <v>0</v>
      </c>
      <c r="J27" s="577">
        <f t="shared" si="1"/>
        <v>0</v>
      </c>
      <c r="K27" s="421">
        <f t="shared" si="2"/>
        <v>0</v>
      </c>
      <c r="L27" s="577">
        <f>'4. 경비(실비정산성경비)'!$E$22-R27-Q27</f>
        <v>0</v>
      </c>
      <c r="M27" s="847"/>
      <c r="N27" s="791">
        <v>0</v>
      </c>
      <c r="O27" s="791">
        <v>0</v>
      </c>
      <c r="P27" s="791">
        <v>0</v>
      </c>
      <c r="Q27" s="791">
        <f>IF('4. 경비(실비정산성경비)'!$D$22="반영",IFERROR(Q14*3%,0),0)</f>
        <v>0</v>
      </c>
      <c r="R27" s="801">
        <v>0</v>
      </c>
      <c r="S27" s="586">
        <v>0</v>
      </c>
      <c r="T27" s="342"/>
      <c r="U27" s="1253" t="s">
        <v>507</v>
      </c>
      <c r="V27" s="1254"/>
      <c r="W27" s="331"/>
      <c r="X27" s="331"/>
      <c r="Y27" s="331"/>
    </row>
    <row r="28" spans="2:25" ht="21.7" customHeight="1">
      <c r="B28" s="283"/>
      <c r="C28" s="1251"/>
      <c r="D28" s="1275" t="str">
        <f>"위험비용("&amp;(TEXT('5. 수주액 상세'!D43,"0.0%")&amp;")")</f>
        <v>위험비용(1.0%)</v>
      </c>
      <c r="E28" s="1276"/>
      <c r="F28" s="1276"/>
      <c r="G28" s="560">
        <f>SUM(I28,S28)</f>
        <v>246000</v>
      </c>
      <c r="H28" s="834">
        <f t="shared" si="0"/>
        <v>246000</v>
      </c>
      <c r="I28" s="560">
        <f t="shared" si="10"/>
        <v>246000</v>
      </c>
      <c r="J28" s="572">
        <f t="shared" si="1"/>
        <v>246000</v>
      </c>
      <c r="K28" s="332">
        <f t="shared" si="2"/>
        <v>246000</v>
      </c>
      <c r="L28" s="572">
        <f>$L$12*$U$29</f>
        <v>246000</v>
      </c>
      <c r="M28" s="845"/>
      <c r="N28" s="786">
        <f>$N$12*$U$29</f>
        <v>0</v>
      </c>
      <c r="O28" s="786">
        <v>0</v>
      </c>
      <c r="P28" s="786">
        <v>0</v>
      </c>
      <c r="Q28" s="786">
        <f>Q12*U29</f>
        <v>0</v>
      </c>
      <c r="R28" s="799">
        <f>R12*U29</f>
        <v>0</v>
      </c>
      <c r="S28" s="587">
        <f>$S$12*$V$29</f>
        <v>0</v>
      </c>
      <c r="T28" s="342"/>
      <c r="U28" s="627" t="s">
        <v>293</v>
      </c>
      <c r="V28" s="628" t="s">
        <v>193</v>
      </c>
      <c r="W28" s="331"/>
      <c r="X28" s="331"/>
      <c r="Y28" s="331"/>
    </row>
    <row r="29" spans="2:25" ht="21.7" customHeight="1" thickBot="1">
      <c r="B29" s="283"/>
      <c r="C29" s="1248" t="s">
        <v>108</v>
      </c>
      <c r="D29" s="1249"/>
      <c r="E29" s="1249"/>
      <c r="F29" s="1249"/>
      <c r="G29" s="562">
        <f>G28+G26+G25+G24+G14+G13</f>
        <v>13828985</v>
      </c>
      <c r="H29" s="837">
        <f t="shared" si="0"/>
        <v>13828985</v>
      </c>
      <c r="I29" s="562">
        <f>I28+I26+I25+I24+I14+I13</f>
        <v>13828985</v>
      </c>
      <c r="J29" s="578">
        <f t="shared" ref="J29:S29" si="11">J28+J26+J25+J24+J14+J13</f>
        <v>13828985</v>
      </c>
      <c r="K29" s="333">
        <f t="shared" si="11"/>
        <v>13828985</v>
      </c>
      <c r="L29" s="578">
        <f t="shared" si="11"/>
        <v>13828985</v>
      </c>
      <c r="M29" s="848">
        <f>M28+M26+M25+M24+M14+M13</f>
        <v>0</v>
      </c>
      <c r="N29" s="792">
        <f t="shared" si="11"/>
        <v>0</v>
      </c>
      <c r="O29" s="792">
        <f t="shared" si="11"/>
        <v>0</v>
      </c>
      <c r="P29" s="792">
        <f t="shared" si="11"/>
        <v>0</v>
      </c>
      <c r="Q29" s="792">
        <f>Q28+Q26+Q25+Q24+Q14+Q13</f>
        <v>0</v>
      </c>
      <c r="R29" s="802">
        <f t="shared" si="11"/>
        <v>0</v>
      </c>
      <c r="S29" s="588">
        <f t="shared" si="11"/>
        <v>0</v>
      </c>
      <c r="T29" s="342"/>
      <c r="U29" s="858">
        <f>'5. 수주액 상세'!$I$4</f>
        <v>0.01</v>
      </c>
      <c r="V29" s="629">
        <f>'5. 수주액 상세'!$I$5</f>
        <v>0</v>
      </c>
      <c r="W29" s="331"/>
      <c r="X29" s="331"/>
      <c r="Y29" s="331"/>
    </row>
    <row r="30" spans="2:25" ht="21.7" customHeight="1">
      <c r="B30" s="283"/>
      <c r="C30" s="1305" t="s">
        <v>254</v>
      </c>
      <c r="D30" s="1306"/>
      <c r="E30" s="1306"/>
      <c r="F30" s="1306"/>
      <c r="G30" s="597">
        <f>G12-G29</f>
        <v>10771015</v>
      </c>
      <c r="H30" s="838">
        <f t="shared" ref="H30:L30" si="12">H12-H29</f>
        <v>10771015</v>
      </c>
      <c r="I30" s="597">
        <f t="shared" si="12"/>
        <v>10771015</v>
      </c>
      <c r="J30" s="599">
        <f t="shared" si="12"/>
        <v>10771015</v>
      </c>
      <c r="K30" s="598">
        <f t="shared" si="12"/>
        <v>10771015</v>
      </c>
      <c r="L30" s="599">
        <f t="shared" si="12"/>
        <v>10771015</v>
      </c>
      <c r="M30" s="849">
        <f>M12-M29</f>
        <v>0</v>
      </c>
      <c r="N30" s="793">
        <f>N12-N29</f>
        <v>0</v>
      </c>
      <c r="O30" s="793">
        <f>O12-O29</f>
        <v>0</v>
      </c>
      <c r="P30" s="793">
        <f t="shared" ref="P30:Q30" si="13">P12-P29</f>
        <v>0</v>
      </c>
      <c r="Q30" s="793">
        <f t="shared" si="13"/>
        <v>0</v>
      </c>
      <c r="R30" s="803">
        <f>R12-R29</f>
        <v>0</v>
      </c>
      <c r="S30" s="600">
        <f>S12-S29</f>
        <v>0</v>
      </c>
      <c r="T30" s="342"/>
      <c r="W30" s="331"/>
      <c r="X30" s="331"/>
      <c r="Y30" s="331"/>
    </row>
    <row r="31" spans="2:25" ht="21.7" customHeight="1">
      <c r="B31" s="283"/>
      <c r="C31" s="1307" t="s">
        <v>255</v>
      </c>
      <c r="D31" s="1308"/>
      <c r="E31" s="1308"/>
      <c r="F31" s="1308"/>
      <c r="G31" s="601">
        <f>IFERROR(G30/G12,0)</f>
        <v>0.43784613821138213</v>
      </c>
      <c r="H31" s="839">
        <f t="shared" ref="H31:M31" si="14">IFERROR(H30/H12,0)</f>
        <v>0.43784613821138213</v>
      </c>
      <c r="I31" s="601">
        <f t="shared" si="14"/>
        <v>0.43784613821138213</v>
      </c>
      <c r="J31" s="603">
        <f t="shared" si="14"/>
        <v>0.43784613821138213</v>
      </c>
      <c r="K31" s="602">
        <f t="shared" si="14"/>
        <v>0.43784613821138213</v>
      </c>
      <c r="L31" s="603">
        <f t="shared" si="14"/>
        <v>0.43784613821138213</v>
      </c>
      <c r="M31" s="850">
        <f t="shared" si="14"/>
        <v>0</v>
      </c>
      <c r="N31" s="794">
        <f>IFERROR(N30/N12,0)</f>
        <v>0</v>
      </c>
      <c r="O31" s="794">
        <f>IFERROR(O30/O12,0)</f>
        <v>0</v>
      </c>
      <c r="P31" s="794">
        <f t="shared" ref="P31:Q31" si="15">IFERROR(P30/P12,0)</f>
        <v>0</v>
      </c>
      <c r="Q31" s="794">
        <f t="shared" si="15"/>
        <v>0</v>
      </c>
      <c r="R31" s="804">
        <f>IFERROR(R30/R12,0)</f>
        <v>0</v>
      </c>
      <c r="S31" s="604">
        <f>IFERROR(S30/S12,0)</f>
        <v>0</v>
      </c>
      <c r="T31" s="341"/>
      <c r="W31" s="331"/>
      <c r="X31" s="331"/>
      <c r="Y31" s="331"/>
    </row>
    <row r="32" spans="2:25" ht="21.7" customHeight="1">
      <c r="B32" s="283"/>
      <c r="C32" s="1271" t="s">
        <v>256</v>
      </c>
      <c r="D32" s="1272"/>
      <c r="E32" s="1272"/>
      <c r="F32" s="1272"/>
      <c r="G32" s="564">
        <f>SUM(I32,S32)</f>
        <v>0</v>
      </c>
      <c r="H32" s="840">
        <f>G32-M32</f>
        <v>0</v>
      </c>
      <c r="I32" s="564">
        <f>SUM(J32,O32,R32,P32,Q32)</f>
        <v>0</v>
      </c>
      <c r="J32" s="579">
        <f>L32+N32</f>
        <v>0</v>
      </c>
      <c r="K32" s="336">
        <f>J32-M32</f>
        <v>0</v>
      </c>
      <c r="L32" s="579">
        <f>'2-1. 사전영업비'!E2</f>
        <v>0</v>
      </c>
      <c r="M32" s="851">
        <v>0</v>
      </c>
      <c r="N32" s="795">
        <v>0</v>
      </c>
      <c r="O32" s="795">
        <v>0</v>
      </c>
      <c r="P32" s="795">
        <v>0</v>
      </c>
      <c r="Q32" s="795">
        <v>0</v>
      </c>
      <c r="R32" s="805">
        <v>0</v>
      </c>
      <c r="S32" s="589">
        <v>0</v>
      </c>
      <c r="T32" s="342"/>
      <c r="W32" s="331"/>
      <c r="X32" s="331"/>
      <c r="Y32" s="331"/>
    </row>
    <row r="33" spans="2:25" ht="21.7" customHeight="1" outlineLevel="1">
      <c r="B33" s="283"/>
      <c r="C33" s="1287" t="s">
        <v>524</v>
      </c>
      <c r="D33" s="1288"/>
      <c r="E33" s="1288"/>
      <c r="F33" s="1289"/>
      <c r="G33" s="1061">
        <f>SUM(I33,S33)</f>
        <v>3445776</v>
      </c>
      <c r="H33" s="1062">
        <f t="shared" ref="H33:H34" si="16">G33-M33</f>
        <v>3445776</v>
      </c>
      <c r="I33" s="1061">
        <f t="shared" ref="I33:I34" si="17">SUM(J33,O33,R33,P33,Q33)</f>
        <v>3445776</v>
      </c>
      <c r="J33" s="1063">
        <f>L33+N33</f>
        <v>3445776</v>
      </c>
      <c r="K33" s="1064">
        <f>J33-M33</f>
        <v>3445776</v>
      </c>
      <c r="L33" s="1063">
        <f>'간접비 계산'!F23</f>
        <v>3445776</v>
      </c>
      <c r="M33" s="1065">
        <v>0</v>
      </c>
      <c r="N33" s="1066">
        <f>'간접비 계산'!G23</f>
        <v>0</v>
      </c>
      <c r="O33" s="1066">
        <v>0</v>
      </c>
      <c r="P33" s="1066">
        <f>'간접비 계산'!J23</f>
        <v>0</v>
      </c>
      <c r="Q33" s="1066">
        <f>'간접비 계산'!K23</f>
        <v>0</v>
      </c>
      <c r="R33" s="1067">
        <f>'간접비 계산'!L23</f>
        <v>0</v>
      </c>
      <c r="S33" s="1068">
        <f>'간접비 계산'!M23</f>
        <v>0</v>
      </c>
      <c r="T33" s="342"/>
      <c r="W33" s="331"/>
      <c r="X33" s="331"/>
      <c r="Y33" s="331"/>
    </row>
    <row r="34" spans="2:25" ht="21.7" customHeight="1" outlineLevel="1">
      <c r="B34" s="283"/>
      <c r="C34" s="1290" t="s">
        <v>525</v>
      </c>
      <c r="D34" s="1291"/>
      <c r="E34" s="1291"/>
      <c r="F34" s="1292"/>
      <c r="G34" s="1069">
        <f>SUM(I34,S34)</f>
        <v>2214000</v>
      </c>
      <c r="H34" s="1070">
        <f t="shared" si="16"/>
        <v>2214000</v>
      </c>
      <c r="I34" s="1069">
        <f t="shared" si="17"/>
        <v>2214000</v>
      </c>
      <c r="J34" s="1071">
        <f>L34+N34</f>
        <v>2214000</v>
      </c>
      <c r="K34" s="1072">
        <f>J34-M34</f>
        <v>2214000</v>
      </c>
      <c r="L34" s="1071">
        <f>'간접비 계산'!F44</f>
        <v>2214000</v>
      </c>
      <c r="M34" s="1073">
        <v>0</v>
      </c>
      <c r="N34" s="1074">
        <f>'간접비 계산'!G44</f>
        <v>0</v>
      </c>
      <c r="O34" s="1074">
        <v>0</v>
      </c>
      <c r="P34" s="1074">
        <f>'간접비 계산'!J44</f>
        <v>0</v>
      </c>
      <c r="Q34" s="1074">
        <f>'간접비 계산'!K44</f>
        <v>0</v>
      </c>
      <c r="R34" s="1075">
        <f>'간접비 계산'!L44</f>
        <v>0</v>
      </c>
      <c r="S34" s="587">
        <f>'간접비 계산'!M44</f>
        <v>0</v>
      </c>
      <c r="T34" s="342"/>
      <c r="W34" s="331"/>
      <c r="X34" s="331"/>
      <c r="Y34" s="331"/>
    </row>
    <row r="35" spans="2:25" ht="21.7" customHeight="1">
      <c r="B35" s="283"/>
      <c r="C35" s="1305" t="s">
        <v>696</v>
      </c>
      <c r="D35" s="1310"/>
      <c r="E35" s="1310"/>
      <c r="F35" s="1310"/>
      <c r="G35" s="597">
        <f>G30-G32-G33-G34</f>
        <v>5111239</v>
      </c>
      <c r="H35" s="838">
        <f t="shared" ref="H35:S35" si="18">H30-H32-H33-H34</f>
        <v>5111239</v>
      </c>
      <c r="I35" s="597">
        <f t="shared" si="18"/>
        <v>5111239</v>
      </c>
      <c r="J35" s="599">
        <f t="shared" si="18"/>
        <v>5111239</v>
      </c>
      <c r="K35" s="598">
        <f t="shared" si="18"/>
        <v>5111239</v>
      </c>
      <c r="L35" s="599">
        <f t="shared" si="18"/>
        <v>5111239</v>
      </c>
      <c r="M35" s="849">
        <f t="shared" si="18"/>
        <v>0</v>
      </c>
      <c r="N35" s="793">
        <f t="shared" si="18"/>
        <v>0</v>
      </c>
      <c r="O35" s="793">
        <f t="shared" si="18"/>
        <v>0</v>
      </c>
      <c r="P35" s="793">
        <f t="shared" ref="P35" si="19">P30-P32-P33-P34</f>
        <v>0</v>
      </c>
      <c r="Q35" s="793">
        <f>Q30-Q32-Q33-Q34</f>
        <v>0</v>
      </c>
      <c r="R35" s="803">
        <f t="shared" si="18"/>
        <v>0</v>
      </c>
      <c r="S35" s="600">
        <f t="shared" si="18"/>
        <v>0</v>
      </c>
      <c r="T35" s="342"/>
      <c r="W35" s="331"/>
      <c r="X35" s="331"/>
      <c r="Y35" s="331"/>
    </row>
    <row r="36" spans="2:25" ht="21.7" customHeight="1">
      <c r="B36" s="283"/>
      <c r="C36" s="1307" t="s">
        <v>255</v>
      </c>
      <c r="D36" s="1308"/>
      <c r="E36" s="1308"/>
      <c r="F36" s="1308"/>
      <c r="G36" s="783">
        <f t="shared" ref="G36:S36" si="20">IFERROR(G35/G12,0)</f>
        <v>0.2077739430894309</v>
      </c>
      <c r="H36" s="841">
        <f t="shared" si="20"/>
        <v>0.2077739430894309</v>
      </c>
      <c r="I36" s="783">
        <f t="shared" si="20"/>
        <v>0.2077739430894309</v>
      </c>
      <c r="J36" s="603">
        <f t="shared" si="20"/>
        <v>0.2077739430894309</v>
      </c>
      <c r="K36" s="602">
        <f t="shared" si="20"/>
        <v>0.2077739430894309</v>
      </c>
      <c r="L36" s="603">
        <f t="shared" si="20"/>
        <v>0.2077739430894309</v>
      </c>
      <c r="M36" s="850">
        <f t="shared" si="20"/>
        <v>0</v>
      </c>
      <c r="N36" s="794">
        <f t="shared" si="20"/>
        <v>0</v>
      </c>
      <c r="O36" s="794">
        <f t="shared" si="20"/>
        <v>0</v>
      </c>
      <c r="P36" s="794">
        <f t="shared" ref="P36:Q36" si="21">IFERROR(P35/P12,0)</f>
        <v>0</v>
      </c>
      <c r="Q36" s="794">
        <f t="shared" si="21"/>
        <v>0</v>
      </c>
      <c r="R36" s="804">
        <f t="shared" si="20"/>
        <v>0</v>
      </c>
      <c r="S36" s="604">
        <f t="shared" si="20"/>
        <v>0</v>
      </c>
      <c r="T36" s="341"/>
      <c r="W36" s="331"/>
      <c r="X36" s="331"/>
      <c r="Y36" s="331"/>
    </row>
    <row r="37" spans="2:25" ht="21.7" customHeight="1">
      <c r="B37" s="283"/>
      <c r="C37" s="1293" t="s">
        <v>526</v>
      </c>
      <c r="D37" s="1294"/>
      <c r="E37" s="1294"/>
      <c r="F37" s="1295"/>
      <c r="G37" s="1069">
        <f>SUM(I37,S37)</f>
        <v>1890410</v>
      </c>
      <c r="H37" s="1070">
        <f t="shared" ref="H37:H38" si="22">G37-M37</f>
        <v>1890410</v>
      </c>
      <c r="I37" s="1069">
        <f>SUM(J37,O37,R37,P37,Q37)</f>
        <v>1890410</v>
      </c>
      <c r="J37" s="1071">
        <f>L37+N37</f>
        <v>1890410</v>
      </c>
      <c r="K37" s="1072">
        <f>J37-M37</f>
        <v>1890410</v>
      </c>
      <c r="L37" s="1071">
        <f>'간접비 계산'!F65</f>
        <v>1890410</v>
      </c>
      <c r="M37" s="1073">
        <v>0</v>
      </c>
      <c r="N37" s="1074">
        <f>'간접비 계산'!G65+'간접비 계산'!H65</f>
        <v>0</v>
      </c>
      <c r="O37" s="1074">
        <v>0</v>
      </c>
      <c r="P37" s="1074">
        <f>'간접비 계산'!J65</f>
        <v>0</v>
      </c>
      <c r="Q37" s="1074">
        <f>'간접비 계산'!K65</f>
        <v>0</v>
      </c>
      <c r="R37" s="1075">
        <f>'간접비 계산'!L65</f>
        <v>0</v>
      </c>
      <c r="S37" s="587">
        <f>'간접비 계산'!M65</f>
        <v>0</v>
      </c>
      <c r="T37" s="342"/>
      <c r="W37" s="331"/>
      <c r="X37" s="331"/>
      <c r="Y37" s="331"/>
    </row>
    <row r="38" spans="2:25" ht="21.7" customHeight="1">
      <c r="B38" s="283"/>
      <c r="C38" s="1290" t="s">
        <v>1127</v>
      </c>
      <c r="D38" s="1291"/>
      <c r="E38" s="1291"/>
      <c r="F38" s="1292"/>
      <c r="G38" s="1076">
        <f>SUM(I38,S38)</f>
        <v>0</v>
      </c>
      <c r="H38" s="1077">
        <f t="shared" si="22"/>
        <v>0</v>
      </c>
      <c r="I38" s="1076">
        <f>SUM(J38,O38,R38,P38,Q38)</f>
        <v>0</v>
      </c>
      <c r="J38" s="1078">
        <v>0</v>
      </c>
      <c r="K38" s="1079">
        <v>0</v>
      </c>
      <c r="L38" s="1078">
        <v>0</v>
      </c>
      <c r="M38" s="1080">
        <v>0</v>
      </c>
      <c r="N38" s="1081">
        <v>0</v>
      </c>
      <c r="O38" s="1081">
        <f>O12*0.28</f>
        <v>0</v>
      </c>
      <c r="P38" s="1081">
        <v>0</v>
      </c>
      <c r="Q38" s="1081">
        <v>0</v>
      </c>
      <c r="R38" s="1082">
        <f>(R12-R14-R24-R26)*0.28</f>
        <v>0</v>
      </c>
      <c r="S38" s="1083">
        <v>0</v>
      </c>
      <c r="T38" s="341"/>
      <c r="W38" s="331"/>
      <c r="X38" s="331"/>
      <c r="Y38" s="331"/>
    </row>
    <row r="39" spans="2:25" ht="21.7" customHeight="1">
      <c r="B39" s="283"/>
      <c r="C39" s="1305" t="s">
        <v>258</v>
      </c>
      <c r="D39" s="1310"/>
      <c r="E39" s="1310"/>
      <c r="F39" s="1310"/>
      <c r="G39" s="597">
        <f>G35-G38-G37</f>
        <v>3220829</v>
      </c>
      <c r="H39" s="838">
        <f t="shared" ref="H39:S39" si="23">H35-H38-H37</f>
        <v>3220829</v>
      </c>
      <c r="I39" s="597">
        <f t="shared" si="23"/>
        <v>3220829</v>
      </c>
      <c r="J39" s="599">
        <f t="shared" si="23"/>
        <v>3220829</v>
      </c>
      <c r="K39" s="598">
        <f t="shared" si="23"/>
        <v>3220829</v>
      </c>
      <c r="L39" s="599">
        <f t="shared" si="23"/>
        <v>3220829</v>
      </c>
      <c r="M39" s="849">
        <f t="shared" si="23"/>
        <v>0</v>
      </c>
      <c r="N39" s="793">
        <f t="shared" si="23"/>
        <v>0</v>
      </c>
      <c r="O39" s="793">
        <f t="shared" si="23"/>
        <v>0</v>
      </c>
      <c r="P39" s="793">
        <f t="shared" si="23"/>
        <v>0</v>
      </c>
      <c r="Q39" s="793">
        <f t="shared" si="23"/>
        <v>0</v>
      </c>
      <c r="R39" s="803">
        <f t="shared" si="23"/>
        <v>0</v>
      </c>
      <c r="S39" s="600">
        <f t="shared" si="23"/>
        <v>0</v>
      </c>
      <c r="T39" s="342"/>
      <c r="W39" s="331"/>
      <c r="X39" s="331"/>
      <c r="Y39" s="331"/>
    </row>
    <row r="40" spans="2:25" ht="21.7" customHeight="1" thickBot="1">
      <c r="B40" s="283"/>
      <c r="C40" s="1311" t="s">
        <v>255</v>
      </c>
      <c r="D40" s="1312"/>
      <c r="E40" s="1312"/>
      <c r="F40" s="1312"/>
      <c r="G40" s="776">
        <f t="shared" ref="G40:S40" si="24">IFERROR(G39/G12,0)</f>
        <v>0.13092800813008129</v>
      </c>
      <c r="H40" s="842">
        <f t="shared" si="24"/>
        <v>0.13092800813008129</v>
      </c>
      <c r="I40" s="814">
        <f t="shared" si="24"/>
        <v>0.13092800813008129</v>
      </c>
      <c r="J40" s="746">
        <f t="shared" si="24"/>
        <v>0.13092800813008129</v>
      </c>
      <c r="K40" s="745">
        <f t="shared" si="24"/>
        <v>0.13092800813008129</v>
      </c>
      <c r="L40" s="746">
        <f t="shared" si="24"/>
        <v>0.13092800813008129</v>
      </c>
      <c r="M40" s="852">
        <f t="shared" si="24"/>
        <v>0</v>
      </c>
      <c r="N40" s="796">
        <f t="shared" si="24"/>
        <v>0</v>
      </c>
      <c r="O40" s="796">
        <f t="shared" si="24"/>
        <v>0</v>
      </c>
      <c r="P40" s="796">
        <f t="shared" si="24"/>
        <v>0</v>
      </c>
      <c r="Q40" s="796">
        <f t="shared" si="24"/>
        <v>0</v>
      </c>
      <c r="R40" s="806">
        <f t="shared" si="24"/>
        <v>0</v>
      </c>
      <c r="S40" s="747">
        <f t="shared" si="24"/>
        <v>0</v>
      </c>
      <c r="T40" s="341"/>
      <c r="W40" s="331"/>
      <c r="X40" s="331"/>
      <c r="Y40" s="331"/>
    </row>
    <row r="41" spans="2:25" ht="21.7" customHeight="1" outlineLevel="1">
      <c r="B41" s="283"/>
      <c r="C41" s="190"/>
      <c r="D41" s="1273" t="s">
        <v>697</v>
      </c>
      <c r="E41" s="1274"/>
      <c r="F41" s="1274"/>
      <c r="G41" s="563">
        <f t="shared" ref="G41:N41" si="25">G39+G38</f>
        <v>3220829</v>
      </c>
      <c r="H41" s="574">
        <f t="shared" si="25"/>
        <v>3220829</v>
      </c>
      <c r="I41" s="337">
        <f t="shared" si="25"/>
        <v>3220829</v>
      </c>
      <c r="J41" s="829">
        <f t="shared" si="25"/>
        <v>3220829</v>
      </c>
      <c r="K41" s="829">
        <f t="shared" si="25"/>
        <v>3220829</v>
      </c>
      <c r="L41" s="829">
        <f t="shared" si="25"/>
        <v>3220829</v>
      </c>
      <c r="M41" s="1229">
        <f t="shared" si="25"/>
        <v>0</v>
      </c>
      <c r="N41" s="829">
        <f t="shared" si="25"/>
        <v>0</v>
      </c>
      <c r="O41" s="829">
        <f>O39+O38</f>
        <v>0</v>
      </c>
      <c r="P41" s="1088">
        <f t="shared" ref="P41:Q41" si="26">P39+P38</f>
        <v>0</v>
      </c>
      <c r="Q41" s="1088">
        <f t="shared" si="26"/>
        <v>0</v>
      </c>
      <c r="R41" s="830">
        <f>R39+R38</f>
        <v>0</v>
      </c>
      <c r="S41" s="822">
        <f>S39+S38</f>
        <v>0</v>
      </c>
      <c r="T41" s="341"/>
      <c r="W41" s="331"/>
      <c r="X41" s="331"/>
      <c r="Y41" s="331"/>
    </row>
    <row r="42" spans="2:25" ht="21.7" customHeight="1" outlineLevel="1" thickBot="1">
      <c r="B42" s="283"/>
      <c r="C42" s="823"/>
      <c r="D42" s="1313" t="s">
        <v>307</v>
      </c>
      <c r="E42" s="1314"/>
      <c r="F42" s="1314"/>
      <c r="G42" s="824">
        <f t="shared" ref="G42:O42" si="27">G41/G12</f>
        <v>0.13092800813008129</v>
      </c>
      <c r="H42" s="825">
        <f t="shared" si="27"/>
        <v>0.13092800813008129</v>
      </c>
      <c r="I42" s="826">
        <f t="shared" si="27"/>
        <v>0.13092800813008129</v>
      </c>
      <c r="J42" s="827">
        <f t="shared" si="27"/>
        <v>0.13092800813008129</v>
      </c>
      <c r="K42" s="827">
        <f t="shared" si="27"/>
        <v>0.13092800813008129</v>
      </c>
      <c r="L42" s="827">
        <f t="shared" si="27"/>
        <v>0.13092800813008129</v>
      </c>
      <c r="M42" s="1230" t="e">
        <f t="shared" si="27"/>
        <v>#DIV/0!</v>
      </c>
      <c r="N42" s="827" t="e">
        <f t="shared" si="27"/>
        <v>#DIV/0!</v>
      </c>
      <c r="O42" s="827" t="e">
        <f t="shared" si="27"/>
        <v>#DIV/0!</v>
      </c>
      <c r="P42" s="1089" t="e">
        <f t="shared" ref="P42:Q42" si="28">P41/P12</f>
        <v>#DIV/0!</v>
      </c>
      <c r="Q42" s="1089" t="e">
        <f t="shared" si="28"/>
        <v>#DIV/0!</v>
      </c>
      <c r="R42" s="831" t="e">
        <f>R41/R12</f>
        <v>#DIV/0!</v>
      </c>
      <c r="S42" s="828" t="e">
        <f>S41/S12</f>
        <v>#DIV/0!</v>
      </c>
      <c r="T42" s="341"/>
      <c r="W42" s="331"/>
      <c r="X42" s="331"/>
      <c r="Y42" s="331"/>
    </row>
    <row r="43" spans="2:25" ht="21.7" customHeight="1"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341"/>
      <c r="W43" s="331"/>
      <c r="X43" s="331"/>
      <c r="Y43" s="331"/>
    </row>
    <row r="44" spans="2:25" ht="21.7" customHeight="1">
      <c r="B44" s="339"/>
      <c r="C44" s="1309" t="s">
        <v>257</v>
      </c>
      <c r="D44" s="1309"/>
      <c r="E44" s="1309"/>
      <c r="F44" s="1309"/>
      <c r="G44" s="1052">
        <f>SUM(G32,G33,G34,G38,G37)</f>
        <v>7550186</v>
      </c>
      <c r="H44" s="1053">
        <f t="shared" ref="H44:S44" si="29">SUM(H32,H33,H34,H38,H37)</f>
        <v>7550186</v>
      </c>
      <c r="I44" s="1052">
        <f t="shared" si="29"/>
        <v>7550186</v>
      </c>
      <c r="J44" s="1051">
        <f t="shared" si="29"/>
        <v>7550186</v>
      </c>
      <c r="K44" s="1051">
        <f t="shared" si="29"/>
        <v>7550186</v>
      </c>
      <c r="L44" s="1051">
        <f t="shared" si="29"/>
        <v>7550186</v>
      </c>
      <c r="M44" s="1054">
        <f t="shared" si="29"/>
        <v>0</v>
      </c>
      <c r="N44" s="1051">
        <f t="shared" si="29"/>
        <v>0</v>
      </c>
      <c r="O44" s="1051">
        <f t="shared" si="29"/>
        <v>0</v>
      </c>
      <c r="P44" s="1051">
        <f t="shared" si="29"/>
        <v>0</v>
      </c>
      <c r="Q44" s="1051">
        <f t="shared" si="29"/>
        <v>0</v>
      </c>
      <c r="R44" s="1051">
        <f t="shared" si="29"/>
        <v>0</v>
      </c>
      <c r="S44" s="1051">
        <f t="shared" si="29"/>
        <v>0</v>
      </c>
      <c r="T44" s="1051"/>
      <c r="W44" s="331"/>
      <c r="X44" s="331"/>
      <c r="Y44" s="331"/>
    </row>
    <row r="45" spans="2:25" ht="14.55" customHeight="1">
      <c r="C45" s="176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W45" s="331"/>
      <c r="X45" s="331"/>
      <c r="Y45" s="331"/>
    </row>
    <row r="46" spans="2:25">
      <c r="G46" s="658"/>
      <c r="J46" s="181"/>
      <c r="K46" s="181"/>
      <c r="L46" s="181"/>
      <c r="M46" s="177"/>
      <c r="N46" s="179"/>
      <c r="R46" s="179"/>
      <c r="W46" s="331"/>
      <c r="X46" s="331"/>
      <c r="Y46" s="331"/>
    </row>
    <row r="47" spans="2:25">
      <c r="G47" s="331"/>
      <c r="J47" s="181"/>
      <c r="K47" s="181"/>
      <c r="L47" s="181"/>
      <c r="M47" s="177"/>
      <c r="N47" s="179"/>
      <c r="R47" s="179"/>
      <c r="W47" s="331"/>
      <c r="X47" s="331"/>
      <c r="Y47" s="331"/>
    </row>
    <row r="48" spans="2:25">
      <c r="W48" s="331"/>
      <c r="X48" s="331"/>
      <c r="Y48" s="331"/>
    </row>
    <row r="49" spans="10:25">
      <c r="W49" s="331"/>
      <c r="X49" s="331"/>
      <c r="Y49" s="331"/>
    </row>
    <row r="50" spans="10:25">
      <c r="W50" s="331"/>
      <c r="X50" s="331"/>
      <c r="Y50" s="331"/>
    </row>
    <row r="51" spans="10:25" ht="24.75">
      <c r="R51" s="773"/>
      <c r="W51" s="331"/>
      <c r="X51" s="331"/>
      <c r="Y51" s="331"/>
    </row>
    <row r="52" spans="10:25">
      <c r="W52" s="331"/>
      <c r="X52" s="331"/>
      <c r="Y52" s="331"/>
    </row>
    <row r="53" spans="10:25">
      <c r="W53" s="331"/>
      <c r="X53" s="331"/>
      <c r="Y53" s="331"/>
    </row>
    <row r="54" spans="10:25">
      <c r="W54" s="331"/>
      <c r="X54" s="331"/>
      <c r="Y54" s="331"/>
    </row>
    <row r="55" spans="10:25">
      <c r="W55" s="331"/>
      <c r="X55" s="331"/>
      <c r="Y55" s="331"/>
    </row>
    <row r="56" spans="10:25">
      <c r="W56" s="331"/>
      <c r="X56" s="331"/>
      <c r="Y56" s="331"/>
    </row>
    <row r="57" spans="10:25">
      <c r="W57" s="331"/>
      <c r="X57" s="331"/>
      <c r="Y57" s="331"/>
    </row>
    <row r="58" spans="10:25">
      <c r="J58" t="s">
        <v>688</v>
      </c>
      <c r="W58" s="331"/>
      <c r="X58" s="331"/>
      <c r="Y58" s="331"/>
    </row>
    <row r="59" spans="10:25">
      <c r="W59" s="331"/>
      <c r="X59" s="331"/>
      <c r="Y59" s="331"/>
    </row>
  </sheetData>
  <mergeCells count="38">
    <mergeCell ref="C44:F44"/>
    <mergeCell ref="C39:F39"/>
    <mergeCell ref="C40:F40"/>
    <mergeCell ref="C35:F35"/>
    <mergeCell ref="C36:F36"/>
    <mergeCell ref="C38:F38"/>
    <mergeCell ref="D42:F42"/>
    <mergeCell ref="C4:E4"/>
    <mergeCell ref="G7:G11"/>
    <mergeCell ref="C7:F11"/>
    <mergeCell ref="C30:F30"/>
    <mergeCell ref="C31:F31"/>
    <mergeCell ref="C32:F32"/>
    <mergeCell ref="D41:F41"/>
    <mergeCell ref="D28:F28"/>
    <mergeCell ref="C12:F12"/>
    <mergeCell ref="E27:F27"/>
    <mergeCell ref="D13:F13"/>
    <mergeCell ref="D14:F14"/>
    <mergeCell ref="D24:F24"/>
    <mergeCell ref="D25:F25"/>
    <mergeCell ref="D26:F26"/>
    <mergeCell ref="C33:F33"/>
    <mergeCell ref="C34:F34"/>
    <mergeCell ref="C37:F37"/>
    <mergeCell ref="U27:V27"/>
    <mergeCell ref="S7:S11"/>
    <mergeCell ref="N9:N11"/>
    <mergeCell ref="U10:V11"/>
    <mergeCell ref="O8:O11"/>
    <mergeCell ref="R8:R11"/>
    <mergeCell ref="P8:P11"/>
    <mergeCell ref="Q8:Q11"/>
    <mergeCell ref="I7:I11"/>
    <mergeCell ref="J8:J11"/>
    <mergeCell ref="C29:F29"/>
    <mergeCell ref="C13:C28"/>
    <mergeCell ref="L9:L11"/>
  </mergeCells>
  <phoneticPr fontId="1" type="noConversion"/>
  <conditionalFormatting sqref="G4:I4">
    <cfRule type="expression" dxfId="7" priority="14">
      <formula>$F$4=0</formula>
    </cfRule>
  </conditionalFormatting>
  <printOptions horizontalCentered="1"/>
  <pageMargins left="0.23622047244094491" right="0.23622047244094491" top="0.47244094488188981" bottom="0.47244094488188981" header="0.31496062992125984" footer="0.31496062992125984"/>
  <pageSetup paperSize="9" scale="75" orientation="landscape" r:id="rId1"/>
  <ignoredErrors>
    <ignoredError sqref="L19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80" sqref="G80"/>
    </sheetView>
  </sheetViews>
  <sheetFormatPr defaultRowHeight="16.899999999999999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B1:AN47"/>
  <sheetViews>
    <sheetView showGridLines="0" topLeftCell="A28" workbookViewId="0">
      <selection activeCell="L42" sqref="L42"/>
    </sheetView>
  </sheetViews>
  <sheetFormatPr defaultRowHeight="16.899999999999999"/>
  <cols>
    <col min="1" max="1" width="3.0625" customWidth="1"/>
    <col min="2" max="5" width="3.5625" style="149" customWidth="1"/>
    <col min="6" max="7" width="4.0625" style="149" customWidth="1"/>
    <col min="8" max="17" width="3.75" style="149" customWidth="1"/>
    <col min="18" max="31" width="3.5625" style="149" customWidth="1"/>
  </cols>
  <sheetData>
    <row r="1" spans="2:31" ht="9.75" customHeight="1"/>
    <row r="2" spans="2:31" ht="31.15">
      <c r="B2" s="1447" t="s">
        <v>151</v>
      </c>
      <c r="C2" s="1447"/>
      <c r="D2" s="1447"/>
      <c r="E2" s="1447"/>
      <c r="F2" s="1447"/>
      <c r="G2" s="1447"/>
      <c r="H2" s="1447"/>
      <c r="I2" s="1447"/>
      <c r="J2" s="1447"/>
      <c r="K2" s="1447"/>
      <c r="L2" s="1447"/>
      <c r="M2" s="1447"/>
      <c r="N2" s="1447"/>
      <c r="O2" s="1447"/>
      <c r="P2" s="1447"/>
      <c r="Q2" s="1447"/>
      <c r="R2" s="1447"/>
      <c r="S2" s="1447"/>
      <c r="T2" s="1447"/>
      <c r="U2" s="1447"/>
      <c r="V2" s="1447"/>
      <c r="W2" s="1447"/>
      <c r="X2" s="1447"/>
      <c r="Y2" s="1447"/>
      <c r="Z2" s="1447"/>
      <c r="AA2" s="1447"/>
      <c r="AB2" s="1447"/>
      <c r="AC2" s="1447"/>
      <c r="AD2" s="1447"/>
      <c r="AE2" s="1447"/>
    </row>
    <row r="3" spans="2:31" ht="17.55" customHeight="1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</row>
    <row r="4" spans="2:31" ht="17.25" thickBot="1">
      <c r="B4" s="148" t="s">
        <v>152</v>
      </c>
    </row>
    <row r="5" spans="2:31" s="290" customFormat="1" ht="19.45" customHeight="1">
      <c r="B5" s="1448" t="s">
        <v>153</v>
      </c>
      <c r="C5" s="1449"/>
      <c r="D5" s="1449"/>
      <c r="E5" s="1450"/>
      <c r="F5" s="1451" t="s">
        <v>1158</v>
      </c>
      <c r="G5" s="1452"/>
      <c r="H5" s="1452"/>
      <c r="I5" s="1452"/>
      <c r="J5" s="1452"/>
      <c r="K5" s="1452"/>
      <c r="L5" s="1452"/>
      <c r="M5" s="1452"/>
      <c r="N5" s="1453"/>
      <c r="O5" s="1454" t="s">
        <v>191</v>
      </c>
      <c r="P5" s="1449"/>
      <c r="Q5" s="1449"/>
      <c r="R5" s="1449"/>
      <c r="S5" s="1449"/>
      <c r="T5" s="1450"/>
      <c r="U5" s="1451" t="s">
        <v>1159</v>
      </c>
      <c r="V5" s="1452"/>
      <c r="W5" s="1452"/>
      <c r="X5" s="1452"/>
      <c r="Y5" s="1452"/>
      <c r="Z5" s="1452"/>
      <c r="AA5" s="1452"/>
      <c r="AB5" s="1452"/>
      <c r="AC5" s="1452"/>
      <c r="AD5" s="1452"/>
      <c r="AE5" s="1455"/>
    </row>
    <row r="6" spans="2:31" s="290" customFormat="1" ht="35.65" customHeight="1">
      <c r="B6" s="1456" t="s">
        <v>154</v>
      </c>
      <c r="C6" s="1336"/>
      <c r="D6" s="1336"/>
      <c r="E6" s="1426"/>
      <c r="F6" s="1457" t="s">
        <v>1160</v>
      </c>
      <c r="G6" s="1458"/>
      <c r="H6" s="1458"/>
      <c r="I6" s="1458"/>
      <c r="J6" s="1458"/>
      <c r="K6" s="1458"/>
      <c r="L6" s="1458"/>
      <c r="M6" s="1458"/>
      <c r="N6" s="1459"/>
      <c r="O6" s="1460" t="s">
        <v>155</v>
      </c>
      <c r="P6" s="1461"/>
      <c r="Q6" s="1461"/>
      <c r="R6" s="1461"/>
      <c r="S6" s="1461"/>
      <c r="T6" s="1462"/>
      <c r="U6" s="1463" t="s">
        <v>1162</v>
      </c>
      <c r="V6" s="1464"/>
      <c r="W6" s="1464"/>
      <c r="X6" s="1464"/>
      <c r="Y6" s="1464"/>
      <c r="Z6" s="1464"/>
      <c r="AA6" s="1464"/>
      <c r="AB6" s="1464"/>
      <c r="AC6" s="1464"/>
      <c r="AD6" s="1464"/>
      <c r="AE6" s="1465"/>
    </row>
    <row r="7" spans="2:31" s="290" customFormat="1" ht="19.45" customHeight="1">
      <c r="B7" s="1456" t="s">
        <v>156</v>
      </c>
      <c r="C7" s="1336"/>
      <c r="D7" s="1336"/>
      <c r="E7" s="1426"/>
      <c r="F7" s="1475" t="s">
        <v>1163</v>
      </c>
      <c r="G7" s="1476"/>
      <c r="H7" s="1476"/>
      <c r="I7" s="281"/>
      <c r="J7" s="775" t="s">
        <v>157</v>
      </c>
      <c r="K7" s="775"/>
      <c r="L7" s="1476" t="s">
        <v>1164</v>
      </c>
      <c r="M7" s="1476"/>
      <c r="N7" s="1477"/>
      <c r="O7" s="1335" t="s">
        <v>158</v>
      </c>
      <c r="P7" s="1336"/>
      <c r="Q7" s="1336"/>
      <c r="R7" s="1336"/>
      <c r="S7" s="1336"/>
      <c r="T7" s="1426"/>
      <c r="U7" s="1427" t="s">
        <v>1161</v>
      </c>
      <c r="V7" s="1428"/>
      <c r="W7" s="1428"/>
      <c r="X7" s="1428"/>
      <c r="Y7" s="1428"/>
      <c r="Z7" s="1428"/>
      <c r="AA7" s="1428"/>
      <c r="AB7" s="1428"/>
      <c r="AC7" s="1428"/>
      <c r="AD7" s="1428"/>
      <c r="AE7" s="1429"/>
    </row>
    <row r="8" spans="2:31" s="290" customFormat="1" ht="19.45" customHeight="1" thickBot="1">
      <c r="B8" s="1430" t="s">
        <v>192</v>
      </c>
      <c r="C8" s="1431"/>
      <c r="D8" s="1431"/>
      <c r="E8" s="1432"/>
      <c r="F8" s="1433" t="s">
        <v>973</v>
      </c>
      <c r="G8" s="1434"/>
      <c r="H8" s="1434"/>
      <c r="I8" s="1434"/>
      <c r="J8" s="1434"/>
      <c r="K8" s="1434"/>
      <c r="L8" s="1434"/>
      <c r="M8" s="1434"/>
      <c r="N8" s="1435"/>
      <c r="O8" s="1395" t="s">
        <v>194</v>
      </c>
      <c r="P8" s="1396"/>
      <c r="Q8" s="1396"/>
      <c r="R8" s="1396"/>
      <c r="S8" s="1396"/>
      <c r="T8" s="1436"/>
      <c r="U8" s="1437" t="s">
        <v>1157</v>
      </c>
      <c r="V8" s="1438"/>
      <c r="W8" s="1438"/>
      <c r="X8" s="1438"/>
      <c r="Y8" s="1438"/>
      <c r="Z8" s="1438"/>
      <c r="AA8" s="1438"/>
      <c r="AB8" s="1438"/>
      <c r="AC8" s="1438"/>
      <c r="AD8" s="1438"/>
      <c r="AE8" s="1439"/>
    </row>
    <row r="9" spans="2:31" s="290" customFormat="1" ht="17.25" thickBot="1">
      <c r="B9" s="149" t="s">
        <v>159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</row>
    <row r="10" spans="2:31" s="290" customFormat="1">
      <c r="B10" s="1466" t="s">
        <v>200</v>
      </c>
      <c r="C10" s="1467"/>
      <c r="D10" s="1467"/>
      <c r="E10" s="1467"/>
      <c r="F10" s="1468"/>
      <c r="G10" s="1469" t="s">
        <v>160</v>
      </c>
      <c r="H10" s="1467"/>
      <c r="I10" s="1467"/>
      <c r="J10" s="1467"/>
      <c r="K10" s="1467"/>
      <c r="L10" s="1467"/>
      <c r="M10" s="1468"/>
      <c r="N10" s="1469" t="s">
        <v>161</v>
      </c>
      <c r="O10" s="1467"/>
      <c r="P10" s="1467"/>
      <c r="Q10" s="1467"/>
      <c r="R10" s="1467"/>
      <c r="S10" s="1468"/>
      <c r="T10" s="1469" t="s">
        <v>162</v>
      </c>
      <c r="U10" s="1467"/>
      <c r="V10" s="1467"/>
      <c r="W10" s="1467"/>
      <c r="X10" s="1467"/>
      <c r="Y10" s="1467"/>
      <c r="Z10" s="1467"/>
      <c r="AA10" s="1467"/>
      <c r="AB10" s="1467"/>
      <c r="AC10" s="1467"/>
      <c r="AD10" s="1467"/>
      <c r="AE10" s="1470"/>
    </row>
    <row r="11" spans="2:31" s="290" customFormat="1">
      <c r="B11" s="1471" t="s">
        <v>163</v>
      </c>
      <c r="C11" s="1472"/>
      <c r="D11" s="1472"/>
      <c r="E11" s="1472"/>
      <c r="F11" s="1473"/>
      <c r="G11" s="1427" t="s">
        <v>1166</v>
      </c>
      <c r="H11" s="1428"/>
      <c r="I11" s="1428"/>
      <c r="J11" s="1428"/>
      <c r="K11" s="1428"/>
      <c r="L11" s="1428"/>
      <c r="M11" s="1474"/>
      <c r="N11" s="1427"/>
      <c r="O11" s="1428"/>
      <c r="P11" s="1428"/>
      <c r="Q11" s="1428"/>
      <c r="R11" s="1428"/>
      <c r="S11" s="1474"/>
      <c r="T11" s="1427" t="s">
        <v>1167</v>
      </c>
      <c r="U11" s="1428"/>
      <c r="V11" s="1428"/>
      <c r="W11" s="1428"/>
      <c r="X11" s="1428"/>
      <c r="Y11" s="1428"/>
      <c r="Z11" s="1428"/>
      <c r="AA11" s="1428"/>
      <c r="AB11" s="1428"/>
      <c r="AC11" s="1428"/>
      <c r="AD11" s="1428"/>
      <c r="AE11" s="1429"/>
    </row>
    <row r="12" spans="2:31" s="290" customFormat="1" ht="17.25" thickBot="1">
      <c r="B12" s="1440" t="s">
        <v>164</v>
      </c>
      <c r="C12" s="1441"/>
      <c r="D12" s="1441"/>
      <c r="E12" s="1441"/>
      <c r="F12" s="1442"/>
      <c r="G12" s="1443" t="s">
        <v>1165</v>
      </c>
      <c r="H12" s="1444"/>
      <c r="I12" s="1444"/>
      <c r="J12" s="1444"/>
      <c r="K12" s="1444"/>
      <c r="L12" s="1444"/>
      <c r="M12" s="1445"/>
      <c r="N12" s="1238"/>
      <c r="O12" s="1239"/>
      <c r="P12" s="1239"/>
      <c r="Q12" s="1239"/>
      <c r="R12" s="1239"/>
      <c r="S12" s="1240"/>
      <c r="T12" s="1443" t="s">
        <v>1167</v>
      </c>
      <c r="U12" s="1444"/>
      <c r="V12" s="1444"/>
      <c r="W12" s="1444"/>
      <c r="X12" s="1444"/>
      <c r="Y12" s="1444"/>
      <c r="Z12" s="1444"/>
      <c r="AA12" s="1444"/>
      <c r="AB12" s="1444"/>
      <c r="AC12" s="1444"/>
      <c r="AD12" s="1444"/>
      <c r="AE12" s="1446"/>
    </row>
    <row r="14" spans="2:31" ht="17.25" thickBot="1">
      <c r="B14" s="148" t="s">
        <v>165</v>
      </c>
    </row>
    <row r="15" spans="2:31" s="290" customFormat="1" ht="17.25" thickBot="1">
      <c r="B15" s="1398" t="s">
        <v>166</v>
      </c>
      <c r="C15" s="1399"/>
      <c r="D15" s="1399"/>
      <c r="E15" s="1399"/>
      <c r="F15" s="1400"/>
      <c r="G15" s="1403" t="s">
        <v>167</v>
      </c>
      <c r="H15" s="1404"/>
      <c r="I15" s="1404"/>
      <c r="J15" s="1404"/>
      <c r="K15" s="1404"/>
      <c r="L15" s="1404"/>
      <c r="M15" s="1405"/>
      <c r="N15" s="1403" t="s">
        <v>168</v>
      </c>
      <c r="O15" s="1404"/>
      <c r="P15" s="1404"/>
      <c r="Q15" s="1404"/>
      <c r="R15" s="1404"/>
      <c r="S15" s="1405"/>
      <c r="T15" s="1403" t="s">
        <v>413</v>
      </c>
      <c r="U15" s="1404"/>
      <c r="V15" s="1405"/>
      <c r="W15" s="1403" t="s">
        <v>169</v>
      </c>
      <c r="X15" s="1404"/>
      <c r="Y15" s="1404"/>
      <c r="Z15" s="1404"/>
      <c r="AA15" s="1404"/>
      <c r="AB15" s="1404"/>
      <c r="AC15" s="1404"/>
      <c r="AD15" s="1404"/>
      <c r="AE15" s="1406"/>
    </row>
    <row r="16" spans="2:31" s="290" customFormat="1" ht="17.649999999999999" thickTop="1" thickBot="1">
      <c r="B16" s="1401"/>
      <c r="C16" s="1402"/>
      <c r="D16" s="1402"/>
      <c r="E16" s="1402"/>
      <c r="F16" s="1402"/>
      <c r="G16" s="1407">
        <f>SUM(G17:M22)</f>
        <v>24600000</v>
      </c>
      <c r="H16" s="1408"/>
      <c r="I16" s="1408"/>
      <c r="J16" s="1408"/>
      <c r="K16" s="1408"/>
      <c r="L16" s="1408"/>
      <c r="M16" s="1409"/>
      <c r="N16" s="1410">
        <f>SUM(N17:S22)</f>
        <v>10771015</v>
      </c>
      <c r="O16" s="1408"/>
      <c r="P16" s="1408"/>
      <c r="Q16" s="1408"/>
      <c r="R16" s="1408"/>
      <c r="S16" s="1409"/>
      <c r="T16" s="1411">
        <f>IFERROR(N16/G16,0)</f>
        <v>0.43784613821138213</v>
      </c>
      <c r="U16" s="1412"/>
      <c r="V16" s="1413"/>
      <c r="W16" s="1414"/>
      <c r="X16" s="1415"/>
      <c r="Y16" s="1415"/>
      <c r="Z16" s="1415"/>
      <c r="AA16" s="1415"/>
      <c r="AB16" s="1415"/>
      <c r="AC16" s="1415"/>
      <c r="AD16" s="1415"/>
      <c r="AE16" s="1416"/>
    </row>
    <row r="17" spans="2:31" s="290" customFormat="1" ht="17.25" thickTop="1">
      <c r="B17" s="150"/>
      <c r="C17" s="1375" t="s">
        <v>909</v>
      </c>
      <c r="D17" s="1376"/>
      <c r="E17" s="1376"/>
      <c r="F17" s="1377"/>
      <c r="G17" s="1417">
        <f>손익시뮬레이션!O12</f>
        <v>0</v>
      </c>
      <c r="H17" s="1418"/>
      <c r="I17" s="1418"/>
      <c r="J17" s="1418"/>
      <c r="K17" s="1418"/>
      <c r="L17" s="1418"/>
      <c r="M17" s="1419"/>
      <c r="N17" s="1417">
        <f>손익시뮬레이션!O30</f>
        <v>0</v>
      </c>
      <c r="O17" s="1418"/>
      <c r="P17" s="1418"/>
      <c r="Q17" s="1418"/>
      <c r="R17" s="1418"/>
      <c r="S17" s="1419"/>
      <c r="T17" s="1420">
        <f>IFERROR(N17/G17,0)</f>
        <v>0</v>
      </c>
      <c r="U17" s="1421"/>
      <c r="V17" s="1422"/>
      <c r="W17" s="1423" t="s">
        <v>170</v>
      </c>
      <c r="X17" s="1424"/>
      <c r="Y17" s="1424"/>
      <c r="Z17" s="1424"/>
      <c r="AA17" s="1424"/>
      <c r="AB17" s="1424"/>
      <c r="AC17" s="1424"/>
      <c r="AD17" s="1424"/>
      <c r="AE17" s="1425"/>
    </row>
    <row r="18" spans="2:31" s="290" customFormat="1">
      <c r="B18" s="150"/>
      <c r="C18" s="1375" t="s">
        <v>910</v>
      </c>
      <c r="D18" s="1376"/>
      <c r="E18" s="1376"/>
      <c r="F18" s="1377"/>
      <c r="G18" s="1329">
        <f>손익시뮬레이션!J12</f>
        <v>24600000</v>
      </c>
      <c r="H18" s="1330"/>
      <c r="I18" s="1330"/>
      <c r="J18" s="1330"/>
      <c r="K18" s="1330"/>
      <c r="L18" s="1330"/>
      <c r="M18" s="1331"/>
      <c r="N18" s="1329">
        <f>손익시뮬레이션!J30</f>
        <v>10771015</v>
      </c>
      <c r="O18" s="1330"/>
      <c r="P18" s="1330"/>
      <c r="Q18" s="1330"/>
      <c r="R18" s="1330"/>
      <c r="S18" s="1331"/>
      <c r="T18" s="1332">
        <f t="shared" ref="T18:T22" si="0">IFERROR(N18/G18,0)</f>
        <v>0.43784613821138213</v>
      </c>
      <c r="U18" s="1333"/>
      <c r="V18" s="1334"/>
      <c r="W18" s="1335" t="s">
        <v>171</v>
      </c>
      <c r="X18" s="1336"/>
      <c r="Y18" s="1336"/>
      <c r="Z18" s="1336"/>
      <c r="AA18" s="1336"/>
      <c r="AB18" s="1336"/>
      <c r="AC18" s="1336"/>
      <c r="AD18" s="1336"/>
      <c r="AE18" s="1337"/>
    </row>
    <row r="19" spans="2:31" s="290" customFormat="1">
      <c r="B19" s="150"/>
      <c r="C19" s="1375" t="s">
        <v>997</v>
      </c>
      <c r="D19" s="1376"/>
      <c r="E19" s="1376"/>
      <c r="F19" s="1377"/>
      <c r="G19" s="1329">
        <f>손익시뮬레이션!P12</f>
        <v>0</v>
      </c>
      <c r="H19" s="1330"/>
      <c r="I19" s="1330"/>
      <c r="J19" s="1330"/>
      <c r="K19" s="1330"/>
      <c r="L19" s="1330"/>
      <c r="M19" s="1331"/>
      <c r="N19" s="1329">
        <f>손익시뮬레이션!P30</f>
        <v>0</v>
      </c>
      <c r="O19" s="1330"/>
      <c r="P19" s="1330"/>
      <c r="Q19" s="1330"/>
      <c r="R19" s="1330"/>
      <c r="S19" s="1331"/>
      <c r="T19" s="1332">
        <f t="shared" ref="T19:T20" si="1">IFERROR(N19/G19,0)</f>
        <v>0</v>
      </c>
      <c r="U19" s="1333"/>
      <c r="V19" s="1334"/>
      <c r="W19" s="1335" t="s">
        <v>1021</v>
      </c>
      <c r="X19" s="1336"/>
      <c r="Y19" s="1336"/>
      <c r="Z19" s="1336"/>
      <c r="AA19" s="1336"/>
      <c r="AB19" s="1336"/>
      <c r="AC19" s="1336"/>
      <c r="AD19" s="1336"/>
      <c r="AE19" s="1337"/>
    </row>
    <row r="20" spans="2:31" s="290" customFormat="1">
      <c r="B20" s="150"/>
      <c r="C20" s="1375" t="s">
        <v>998</v>
      </c>
      <c r="D20" s="1376"/>
      <c r="E20" s="1376"/>
      <c r="F20" s="1377"/>
      <c r="G20" s="1329">
        <f>손익시뮬레이션!Q12</f>
        <v>0</v>
      </c>
      <c r="H20" s="1330"/>
      <c r="I20" s="1330"/>
      <c r="J20" s="1330"/>
      <c r="K20" s="1330"/>
      <c r="L20" s="1330"/>
      <c r="M20" s="1331"/>
      <c r="N20" s="1329">
        <f>손익시뮬레이션!Q30</f>
        <v>0</v>
      </c>
      <c r="O20" s="1330"/>
      <c r="P20" s="1330"/>
      <c r="Q20" s="1330"/>
      <c r="R20" s="1330"/>
      <c r="S20" s="1331"/>
      <c r="T20" s="1332">
        <f t="shared" si="1"/>
        <v>0</v>
      </c>
      <c r="U20" s="1333"/>
      <c r="V20" s="1334"/>
      <c r="W20" s="1335" t="s">
        <v>1022</v>
      </c>
      <c r="X20" s="1336"/>
      <c r="Y20" s="1336"/>
      <c r="Z20" s="1336"/>
      <c r="AA20" s="1336"/>
      <c r="AB20" s="1336"/>
      <c r="AC20" s="1336"/>
      <c r="AD20" s="1336"/>
      <c r="AE20" s="1337"/>
    </row>
    <row r="21" spans="2:31" s="290" customFormat="1">
      <c r="B21" s="150"/>
      <c r="C21" s="1375" t="s">
        <v>911</v>
      </c>
      <c r="D21" s="1376"/>
      <c r="E21" s="1376"/>
      <c r="F21" s="1377"/>
      <c r="G21" s="1329">
        <f>손익시뮬레이션!S12</f>
        <v>0</v>
      </c>
      <c r="H21" s="1330"/>
      <c r="I21" s="1330"/>
      <c r="J21" s="1330"/>
      <c r="K21" s="1330"/>
      <c r="L21" s="1330"/>
      <c r="M21" s="1331"/>
      <c r="N21" s="1329">
        <f>손익시뮬레이션!S30</f>
        <v>0</v>
      </c>
      <c r="O21" s="1330"/>
      <c r="P21" s="1330"/>
      <c r="Q21" s="1330"/>
      <c r="R21" s="1330"/>
      <c r="S21" s="1331"/>
      <c r="T21" s="1332">
        <f t="shared" si="0"/>
        <v>0</v>
      </c>
      <c r="U21" s="1333"/>
      <c r="V21" s="1334"/>
      <c r="W21" s="1335" t="s">
        <v>172</v>
      </c>
      <c r="X21" s="1336"/>
      <c r="Y21" s="1336"/>
      <c r="Z21" s="1336"/>
      <c r="AA21" s="1336"/>
      <c r="AB21" s="1336"/>
      <c r="AC21" s="1336"/>
      <c r="AD21" s="1336"/>
      <c r="AE21" s="1337"/>
    </row>
    <row r="22" spans="2:31" s="290" customFormat="1" ht="17.25" thickBot="1">
      <c r="B22" s="774"/>
      <c r="C22" s="1386" t="str">
        <f>손익시뮬레이션!$R$8</f>
        <v>MES CE 구독료</v>
      </c>
      <c r="D22" s="1387"/>
      <c r="E22" s="1387"/>
      <c r="F22" s="1388"/>
      <c r="G22" s="1389">
        <f>손익시뮬레이션!R12</f>
        <v>0</v>
      </c>
      <c r="H22" s="1390"/>
      <c r="I22" s="1390"/>
      <c r="J22" s="1390"/>
      <c r="K22" s="1390"/>
      <c r="L22" s="1390"/>
      <c r="M22" s="1391"/>
      <c r="N22" s="1389">
        <f>손익시뮬레이션!R30</f>
        <v>0</v>
      </c>
      <c r="O22" s="1390"/>
      <c r="P22" s="1390"/>
      <c r="Q22" s="1390"/>
      <c r="R22" s="1390"/>
      <c r="S22" s="1391"/>
      <c r="T22" s="1392">
        <f t="shared" si="0"/>
        <v>0</v>
      </c>
      <c r="U22" s="1393"/>
      <c r="V22" s="1394"/>
      <c r="W22" s="1395" t="s">
        <v>1023</v>
      </c>
      <c r="X22" s="1396"/>
      <c r="Y22" s="1396"/>
      <c r="Z22" s="1396"/>
      <c r="AA22" s="1396"/>
      <c r="AB22" s="1396"/>
      <c r="AC22" s="1396"/>
      <c r="AD22" s="1396"/>
      <c r="AE22" s="1397"/>
    </row>
    <row r="24" spans="2:31" ht="17.25" thickBot="1">
      <c r="B24" s="148" t="s">
        <v>173</v>
      </c>
    </row>
    <row r="25" spans="2:31" s="290" customFormat="1">
      <c r="B25" s="1368" t="s">
        <v>174</v>
      </c>
      <c r="C25" s="1373"/>
      <c r="D25" s="1373"/>
      <c r="E25" s="1373"/>
      <c r="F25" s="1341"/>
      <c r="G25" s="1340" t="s">
        <v>175</v>
      </c>
      <c r="H25" s="1373"/>
      <c r="I25" s="1373"/>
      <c r="J25" s="1373"/>
      <c r="K25" s="1373"/>
      <c r="L25" s="1373"/>
      <c r="M25" s="1341"/>
      <c r="N25" s="1340" t="s">
        <v>176</v>
      </c>
      <c r="O25" s="1373"/>
      <c r="P25" s="1373"/>
      <c r="Q25" s="1373"/>
      <c r="R25" s="1373"/>
      <c r="S25" s="1373"/>
      <c r="T25" s="1341"/>
      <c r="U25" s="1378" t="s">
        <v>177</v>
      </c>
      <c r="V25" s="1380" t="s">
        <v>272</v>
      </c>
      <c r="W25" s="1381"/>
      <c r="X25" s="1381"/>
      <c r="Y25" s="1381"/>
      <c r="Z25" s="1381"/>
      <c r="AA25" s="1381"/>
      <c r="AB25" s="1381"/>
      <c r="AC25" s="1381"/>
      <c r="AD25" s="1381"/>
      <c r="AE25" s="1382"/>
    </row>
    <row r="26" spans="2:31" s="290" customFormat="1" ht="17.25" thickBot="1">
      <c r="B26" s="1369" t="s">
        <v>1168</v>
      </c>
      <c r="C26" s="1370"/>
      <c r="D26" s="1370"/>
      <c r="E26" s="1370"/>
      <c r="F26" s="1371"/>
      <c r="G26" s="1372">
        <v>60</v>
      </c>
      <c r="H26" s="1370"/>
      <c r="I26" s="1370"/>
      <c r="J26" s="1370"/>
      <c r="K26" s="1370"/>
      <c r="L26" s="1371"/>
      <c r="M26" s="360" t="s">
        <v>178</v>
      </c>
      <c r="N26" s="1372" t="s">
        <v>1169</v>
      </c>
      <c r="O26" s="1370"/>
      <c r="P26" s="1370"/>
      <c r="Q26" s="1370"/>
      <c r="R26" s="1370"/>
      <c r="S26" s="1370"/>
      <c r="T26" s="1371"/>
      <c r="U26" s="1379"/>
      <c r="V26" s="1383"/>
      <c r="W26" s="1384"/>
      <c r="X26" s="1384"/>
      <c r="Y26" s="1384"/>
      <c r="Z26" s="1384"/>
      <c r="AA26" s="1384"/>
      <c r="AB26" s="1384"/>
      <c r="AC26" s="1384"/>
      <c r="AD26" s="1384"/>
      <c r="AE26" s="1385"/>
    </row>
    <row r="27" spans="2:31">
      <c r="B27" s="151"/>
      <c r="C27" s="151"/>
      <c r="D27" s="151"/>
      <c r="E27" s="151"/>
      <c r="F27" s="152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</row>
    <row r="28" spans="2:31" ht="17.25" thickBot="1">
      <c r="B28" s="148" t="s">
        <v>179</v>
      </c>
    </row>
    <row r="29" spans="2:31" s="290" customFormat="1">
      <c r="B29" s="1368" t="s">
        <v>180</v>
      </c>
      <c r="C29" s="1373"/>
      <c r="D29" s="1373"/>
      <c r="E29" s="1373"/>
      <c r="F29" s="1341"/>
      <c r="G29" s="1340" t="s">
        <v>181</v>
      </c>
      <c r="H29" s="1373"/>
      <c r="I29" s="1373"/>
      <c r="J29" s="1373"/>
      <c r="K29" s="1373"/>
      <c r="L29" s="1373"/>
      <c r="M29" s="1373"/>
      <c r="N29" s="1373"/>
      <c r="O29" s="1373"/>
      <c r="P29" s="1373"/>
      <c r="Q29" s="1373"/>
      <c r="R29" s="1341"/>
      <c r="S29" s="1340" t="s">
        <v>182</v>
      </c>
      <c r="T29" s="1373"/>
      <c r="U29" s="1373"/>
      <c r="V29" s="1373"/>
      <c r="W29" s="1373"/>
      <c r="X29" s="1373"/>
      <c r="Y29" s="1373"/>
      <c r="Z29" s="1373"/>
      <c r="AA29" s="1373"/>
      <c r="AB29" s="1373"/>
      <c r="AC29" s="1373"/>
      <c r="AD29" s="1373"/>
      <c r="AE29" s="1374"/>
    </row>
    <row r="30" spans="2:31" s="290" customFormat="1">
      <c r="B30" s="1315" t="s">
        <v>183</v>
      </c>
      <c r="C30" s="1316"/>
      <c r="D30" s="1316"/>
      <c r="E30" s="1316"/>
      <c r="F30" s="1317"/>
      <c r="G30" s="1358"/>
      <c r="H30" s="1359"/>
      <c r="I30" s="1359"/>
      <c r="J30" s="1359"/>
      <c r="K30" s="1359"/>
      <c r="L30" s="1359"/>
      <c r="M30" s="1359"/>
      <c r="N30" s="1359"/>
      <c r="O30" s="1359"/>
      <c r="P30" s="1359"/>
      <c r="Q30" s="1359"/>
      <c r="R30" s="1360"/>
      <c r="S30" s="1358"/>
      <c r="T30" s="1359"/>
      <c r="U30" s="1359"/>
      <c r="V30" s="1359"/>
      <c r="W30" s="1359"/>
      <c r="X30" s="1359"/>
      <c r="Y30" s="1359"/>
      <c r="Z30" s="1359"/>
      <c r="AA30" s="1359"/>
      <c r="AB30" s="1359"/>
      <c r="AC30" s="1359"/>
      <c r="AD30" s="1359"/>
      <c r="AE30" s="1361"/>
    </row>
    <row r="31" spans="2:31" s="290" customFormat="1" ht="17.25" thickBot="1">
      <c r="B31" s="1318" t="s">
        <v>184</v>
      </c>
      <c r="C31" s="1319"/>
      <c r="D31" s="1319"/>
      <c r="E31" s="1319"/>
      <c r="F31" s="1320"/>
      <c r="G31" s="1362"/>
      <c r="H31" s="1363"/>
      <c r="I31" s="1363"/>
      <c r="J31" s="1363"/>
      <c r="K31" s="1363"/>
      <c r="L31" s="1363"/>
      <c r="M31" s="1363"/>
      <c r="N31" s="1363"/>
      <c r="O31" s="1363"/>
      <c r="P31" s="1363"/>
      <c r="Q31" s="1363"/>
      <c r="R31" s="1364"/>
      <c r="S31" s="1362"/>
      <c r="T31" s="1363"/>
      <c r="U31" s="1363"/>
      <c r="V31" s="1363"/>
      <c r="W31" s="1363"/>
      <c r="X31" s="1363"/>
      <c r="Y31" s="1363"/>
      <c r="Z31" s="1363"/>
      <c r="AA31" s="1363"/>
      <c r="AB31" s="1363"/>
      <c r="AC31" s="1363"/>
      <c r="AD31" s="1363"/>
      <c r="AE31" s="1365"/>
    </row>
    <row r="33" spans="2:40" ht="17.25" thickBot="1">
      <c r="B33" s="148" t="s">
        <v>185</v>
      </c>
      <c r="H33" s="175" t="s">
        <v>522</v>
      </c>
      <c r="I33" s="175"/>
      <c r="J33" s="175" t="s">
        <v>678</v>
      </c>
      <c r="K33" s="175"/>
      <c r="L33" s="175" t="s">
        <v>679</v>
      </c>
      <c r="M33" s="175"/>
      <c r="N33" s="175" t="s">
        <v>680</v>
      </c>
      <c r="O33" s="175"/>
      <c r="P33" s="175" t="s">
        <v>682</v>
      </c>
      <c r="Q33" s="175"/>
      <c r="R33" s="175" t="s">
        <v>681</v>
      </c>
      <c r="S33" s="175"/>
      <c r="T33" s="175" t="s">
        <v>619</v>
      </c>
      <c r="U33" s="175"/>
      <c r="V33" s="175" t="s">
        <v>1106</v>
      </c>
      <c r="W33" s="175"/>
      <c r="X33" s="175" t="s">
        <v>1067</v>
      </c>
      <c r="Y33" s="175"/>
      <c r="Z33" s="175" t="s">
        <v>975</v>
      </c>
      <c r="AA33" s="175"/>
      <c r="AB33" s="175" t="s">
        <v>1116</v>
      </c>
      <c r="AC33" s="175"/>
      <c r="AD33" s="175"/>
      <c r="AE33" s="175"/>
      <c r="AL33" s="288"/>
      <c r="AN33" s="1100"/>
    </row>
    <row r="34" spans="2:40" s="290" customFormat="1" ht="17" customHeight="1">
      <c r="B34" s="1368" t="s">
        <v>186</v>
      </c>
      <c r="C34" s="1341"/>
      <c r="D34" s="1340" t="s">
        <v>187</v>
      </c>
      <c r="E34" s="1341"/>
      <c r="F34" s="1342" t="s">
        <v>188</v>
      </c>
      <c r="G34" s="1342"/>
      <c r="H34" s="1321" t="s">
        <v>1065</v>
      </c>
      <c r="I34" s="1322"/>
      <c r="J34" s="1321" t="s">
        <v>1069</v>
      </c>
      <c r="K34" s="1322"/>
      <c r="L34" s="1321" t="s">
        <v>1070</v>
      </c>
      <c r="M34" s="1322"/>
      <c r="N34" s="1321" t="s">
        <v>1071</v>
      </c>
      <c r="O34" s="1322"/>
      <c r="P34" s="1321" t="s">
        <v>1072</v>
      </c>
      <c r="Q34" s="1322"/>
      <c r="R34" s="1321" t="s">
        <v>1073</v>
      </c>
      <c r="S34" s="1322"/>
      <c r="T34" s="1321" t="s">
        <v>1074</v>
      </c>
      <c r="U34" s="1322"/>
      <c r="V34" s="1321" t="s">
        <v>1105</v>
      </c>
      <c r="W34" s="1322"/>
      <c r="X34" s="1321" t="s">
        <v>1067</v>
      </c>
      <c r="Y34" s="1322"/>
      <c r="Z34" s="1321" t="s">
        <v>1066</v>
      </c>
      <c r="AA34" s="1322"/>
      <c r="AB34" s="1321" t="s">
        <v>1068</v>
      </c>
      <c r="AC34" s="1322"/>
      <c r="AD34" s="1321" t="s">
        <v>1117</v>
      </c>
      <c r="AE34" s="1338"/>
      <c r="AL34"/>
      <c r="AN34" s="1100"/>
    </row>
    <row r="35" spans="2:40" s="290" customFormat="1">
      <c r="B35" s="1366" t="s">
        <v>189</v>
      </c>
      <c r="C35" s="1367"/>
      <c r="D35" s="1358" t="s">
        <v>1170</v>
      </c>
      <c r="E35" s="1360"/>
      <c r="F35" s="1343"/>
      <c r="G35" s="1343"/>
      <c r="H35" s="1323"/>
      <c r="I35" s="1324"/>
      <c r="J35" s="1323"/>
      <c r="K35" s="1324"/>
      <c r="L35" s="1323"/>
      <c r="M35" s="1324"/>
      <c r="N35" s="1323"/>
      <c r="O35" s="1324"/>
      <c r="P35" s="1323"/>
      <c r="Q35" s="1324"/>
      <c r="R35" s="1323"/>
      <c r="S35" s="1324"/>
      <c r="T35" s="1323"/>
      <c r="U35" s="1324"/>
      <c r="V35" s="1323"/>
      <c r="W35" s="1324"/>
      <c r="X35" s="1323"/>
      <c r="Y35" s="1324"/>
      <c r="Z35" s="1323"/>
      <c r="AA35" s="1324"/>
      <c r="AB35" s="1323"/>
      <c r="AC35" s="1324"/>
      <c r="AD35" s="1323"/>
      <c r="AE35" s="1339"/>
      <c r="AL35"/>
      <c r="AN35" s="1100"/>
    </row>
    <row r="36" spans="2:40" s="290" customFormat="1">
      <c r="B36" s="1315" t="s">
        <v>676</v>
      </c>
      <c r="C36" s="1316"/>
      <c r="D36" s="1316"/>
      <c r="E36" s="1317"/>
      <c r="F36" s="1325">
        <f>SUM(H36:AE36)</f>
        <v>1</v>
      </c>
      <c r="G36" s="1326"/>
      <c r="H36" s="1325">
        <f>SUMIF('2. 인건비'!$C$13:$C$52,'1. 판매품의서'!H$33,'2. 인건비'!$H$13:$H$52)</f>
        <v>0</v>
      </c>
      <c r="I36" s="1326"/>
      <c r="J36" s="1325">
        <f>SUMIF('2. 인건비'!$C$13:$C$52,'1. 판매품의서'!J$33,'2. 인건비'!$H$13:$H$52)</f>
        <v>0</v>
      </c>
      <c r="K36" s="1326"/>
      <c r="L36" s="1325">
        <f>SUMIF('2. 인건비'!$C$13:$C$52,'1. 판매품의서'!L$33,'2. 인건비'!$H$13:$H$52)</f>
        <v>0</v>
      </c>
      <c r="M36" s="1326"/>
      <c r="N36" s="1325">
        <f>SUMIF('2. 인건비'!$C$13:$C$52,'1. 판매품의서'!N$33,'2. 인건비'!$H$13:$H$52)</f>
        <v>1</v>
      </c>
      <c r="O36" s="1326"/>
      <c r="P36" s="1325">
        <f>SUMIF('2. 인건비'!$C$13:$C$52,'1. 판매품의서'!P$33,'2. 인건비'!$H$13:$H$52)</f>
        <v>0</v>
      </c>
      <c r="Q36" s="1326"/>
      <c r="R36" s="1325">
        <f>SUMIF('2. 인건비'!$C$13:$C$52,'1. 판매품의서'!R$33,'2. 인건비'!$H$13:$H$52)</f>
        <v>0</v>
      </c>
      <c r="S36" s="1326"/>
      <c r="T36" s="1325">
        <f>SUMIF('2. 인건비'!$C$13:$C$52,'1. 판매품의서'!T$33,'2. 인건비'!$H$13:$H$52)</f>
        <v>0</v>
      </c>
      <c r="U36" s="1326"/>
      <c r="V36" s="1325">
        <f>SUMIF('2. 인건비'!$C$13:$C$52,'1. 판매품의서'!V$33,'2. 인건비'!$H$13:$H$52)</f>
        <v>0</v>
      </c>
      <c r="W36" s="1326"/>
      <c r="X36" s="1325">
        <f>SUMIF('2. 인건비'!$C$13:$C$52,'1. 판매품의서'!X$33,'2. 인건비'!$H$13:$H$52)</f>
        <v>0</v>
      </c>
      <c r="Y36" s="1326"/>
      <c r="Z36" s="1325">
        <f>SUMIF('2. 인건비'!$C$13:$C$52,'1. 판매품의서'!Z$33,'2. 인건비'!$H$13:$H$52)</f>
        <v>0</v>
      </c>
      <c r="AA36" s="1326"/>
      <c r="AB36" s="1325">
        <f>SUMIF('2. 인건비'!$C$13:$C$52,'1. 판매품의서'!AB$33,'2. 인건비'!$H$13:$H$52)</f>
        <v>0</v>
      </c>
      <c r="AC36" s="1326"/>
      <c r="AD36" s="1325">
        <f>SUMIF('2. 인건비'!$C$13:$C$52,'1. 판매품의서'!AD$33,'2. 인건비'!$H$13:$H$52)</f>
        <v>0</v>
      </c>
      <c r="AE36" s="1344"/>
      <c r="AL36" s="288"/>
      <c r="AN36" s="1100"/>
    </row>
    <row r="37" spans="2:40" s="290" customFormat="1" ht="17.25" thickBot="1">
      <c r="B37" s="1318" t="s">
        <v>677</v>
      </c>
      <c r="C37" s="1319"/>
      <c r="D37" s="1319"/>
      <c r="E37" s="1320"/>
      <c r="F37" s="1349">
        <f>SUM(H37:AE37)</f>
        <v>0</v>
      </c>
      <c r="G37" s="1350"/>
      <c r="H37" s="1327">
        <f>SUMIF('3. 외주비&amp;재료비'!$C$6:$C$17,'1. 판매품의서'!H$33,'3. 외주비&amp;재료비'!$H$6:$H$17)</f>
        <v>0</v>
      </c>
      <c r="I37" s="1328"/>
      <c r="J37" s="1327">
        <f>SUMIF('3. 외주비&amp;재료비'!$C$6:$C$17,'1. 판매품의서'!J$33,'3. 외주비&amp;재료비'!$H$6:$H$17)</f>
        <v>0</v>
      </c>
      <c r="K37" s="1328"/>
      <c r="L37" s="1327">
        <f>SUMIF('3. 외주비&amp;재료비'!$C$6:$C$17,'1. 판매품의서'!L$33,'3. 외주비&amp;재료비'!$H$6:$H$17)</f>
        <v>0</v>
      </c>
      <c r="M37" s="1328"/>
      <c r="N37" s="1327">
        <f>SUMIF('3. 외주비&amp;재료비'!$C$6:$C$17,'1. 판매품의서'!N$33,'3. 외주비&amp;재료비'!$H$6:$H$17)</f>
        <v>0</v>
      </c>
      <c r="O37" s="1328"/>
      <c r="P37" s="1327">
        <f>SUMIF('3. 외주비&amp;재료비'!$C$6:$C$17,'1. 판매품의서'!P$33,'3. 외주비&amp;재료비'!$H$6:$H$17)</f>
        <v>0</v>
      </c>
      <c r="Q37" s="1328"/>
      <c r="R37" s="1327">
        <f>SUMIF('3. 외주비&amp;재료비'!$C$6:$C$17,'1. 판매품의서'!R$33,'3. 외주비&amp;재료비'!$H$6:$H$17)</f>
        <v>0</v>
      </c>
      <c r="S37" s="1328"/>
      <c r="T37" s="1327">
        <f>SUMIF('3. 외주비&amp;재료비'!$C$6:$C$17,'1. 판매품의서'!T$33,'3. 외주비&amp;재료비'!$H$6:$H$17)</f>
        <v>0</v>
      </c>
      <c r="U37" s="1328"/>
      <c r="V37" s="1327">
        <f>SUMIF('3. 외주비&amp;재료비'!$C$6:$C$17,'1. 판매품의서'!V$33,'3. 외주비&amp;재료비'!$H$6:$H$17)</f>
        <v>0</v>
      </c>
      <c r="W37" s="1328"/>
      <c r="X37" s="1327">
        <f>SUMIF('3. 외주비&amp;재료비'!$C$6:$C$17,'1. 판매품의서'!X$33,'3. 외주비&amp;재료비'!$H$6:$H$17)</f>
        <v>0</v>
      </c>
      <c r="Y37" s="1328"/>
      <c r="Z37" s="1327">
        <f>SUMIF('3. 외주비&amp;재료비'!$C$6:$C$17,'1. 판매품의서'!Z$33,'3. 외주비&amp;재료비'!$H$6:$H$17)</f>
        <v>0</v>
      </c>
      <c r="AA37" s="1328"/>
      <c r="AB37" s="1327">
        <f>SUMIF('3. 외주비&amp;재료비'!$C$6:$C$17,'1. 판매품의서'!AB$33,'3. 외주비&amp;재료비'!$H$6:$H$17)</f>
        <v>0</v>
      </c>
      <c r="AC37" s="1328"/>
      <c r="AD37" s="1327">
        <f>SUMIF('3. 외주비&amp;재료비'!$C$6:$C$17,'1. 판매품의서'!AD$33,'3. 외주비&amp;재료비'!$H$6:$H$17)</f>
        <v>0</v>
      </c>
      <c r="AE37" s="1348"/>
      <c r="AL37" s="288"/>
      <c r="AN37" s="1100"/>
    </row>
    <row r="38" spans="2:40" s="290" customFormat="1">
      <c r="B38" s="151"/>
      <c r="C38" s="151"/>
      <c r="D38" s="151"/>
      <c r="E38" s="151"/>
      <c r="F38" s="1181"/>
      <c r="G38" s="1181"/>
      <c r="H38" s="1182"/>
      <c r="I38" s="1182"/>
      <c r="J38" s="1182"/>
      <c r="K38" s="1182"/>
      <c r="L38" s="1182"/>
      <c r="M38" s="1182"/>
      <c r="N38" s="1182"/>
      <c r="O38" s="1182"/>
      <c r="P38" s="1182"/>
      <c r="Q38" s="1182"/>
      <c r="R38" s="1182"/>
      <c r="S38" s="1182"/>
      <c r="T38" s="1182"/>
      <c r="U38" s="1182"/>
      <c r="V38" s="1182"/>
      <c r="W38" s="1182"/>
      <c r="X38" s="1182"/>
      <c r="Y38" s="1182"/>
      <c r="Z38" s="1182"/>
      <c r="AA38" s="1182"/>
      <c r="AB38" s="1182"/>
      <c r="AC38" s="1182"/>
      <c r="AD38" s="1182"/>
      <c r="AE38" s="1182"/>
      <c r="AL38" s="288"/>
      <c r="AN38" s="1100"/>
    </row>
    <row r="39" spans="2:40" s="290" customFormat="1">
      <c r="B39" s="151"/>
      <c r="C39" s="151"/>
      <c r="D39" s="151"/>
      <c r="E39" s="151"/>
      <c r="F39" s="1181"/>
      <c r="G39" s="1181"/>
      <c r="H39" s="1182"/>
      <c r="I39" s="1182"/>
      <c r="J39" s="1182"/>
      <c r="K39" s="1182"/>
      <c r="L39" s="1182"/>
      <c r="M39" s="1182"/>
      <c r="N39" s="1182"/>
      <c r="O39" s="1182"/>
      <c r="P39" s="1182"/>
      <c r="Q39" s="1182"/>
      <c r="R39" s="1182"/>
      <c r="S39" s="1182"/>
      <c r="T39" s="1182"/>
      <c r="U39" s="1182"/>
      <c r="V39" s="1182"/>
      <c r="W39" s="1182"/>
      <c r="X39" s="1182"/>
      <c r="Y39" s="1182"/>
      <c r="Z39" s="1182"/>
      <c r="AA39" s="1182"/>
      <c r="AB39" s="1182"/>
      <c r="AC39" s="1182"/>
      <c r="AD39" s="1182"/>
      <c r="AE39" s="1182"/>
      <c r="AL39" s="288"/>
      <c r="AN39" s="1100"/>
    </row>
    <row r="40" spans="2:40" ht="17.25" thickBot="1">
      <c r="B40" s="148" t="s">
        <v>190</v>
      </c>
      <c r="AL40" s="288"/>
      <c r="AN40" s="1100"/>
    </row>
    <row r="41" spans="2:40" s="290" customFormat="1" ht="17.25" thickBot="1">
      <c r="B41" s="1351" t="s">
        <v>1167</v>
      </c>
      <c r="C41" s="1352"/>
      <c r="D41" s="1352"/>
      <c r="E41" s="1352"/>
      <c r="F41" s="1352"/>
      <c r="G41" s="1352"/>
      <c r="H41" s="1352"/>
      <c r="I41" s="1352"/>
      <c r="J41" s="1352"/>
      <c r="K41" s="1352"/>
      <c r="L41" s="1352"/>
      <c r="M41" s="1352"/>
      <c r="N41" s="1352"/>
      <c r="O41" s="1352"/>
      <c r="P41" s="1352"/>
      <c r="Q41" s="1352"/>
      <c r="R41" s="1352"/>
      <c r="S41" s="1352"/>
      <c r="T41" s="1352"/>
      <c r="U41" s="1352"/>
      <c r="V41" s="1352"/>
      <c r="W41" s="1352"/>
      <c r="X41" s="1352"/>
      <c r="Y41" s="1352"/>
      <c r="Z41" s="1352"/>
      <c r="AA41" s="1352"/>
      <c r="AB41" s="1352"/>
      <c r="AC41" s="1352"/>
      <c r="AD41" s="1352"/>
      <c r="AE41" s="1353"/>
      <c r="AL41" s="288"/>
      <c r="AN41" s="1100"/>
    </row>
    <row r="42" spans="2:40">
      <c r="B42" s="151"/>
      <c r="C42" s="151"/>
      <c r="D42" s="151"/>
      <c r="E42" s="151"/>
      <c r="F42" s="151"/>
      <c r="G42" s="154"/>
      <c r="H42" s="151"/>
      <c r="I42" s="151"/>
      <c r="J42" s="151"/>
      <c r="K42" s="151"/>
      <c r="L42" s="155"/>
      <c r="M42" s="155"/>
      <c r="N42" s="154"/>
      <c r="O42" s="151"/>
      <c r="P42" s="151"/>
      <c r="Q42" s="151"/>
      <c r="R42" s="151"/>
      <c r="S42" s="156"/>
      <c r="T42" s="155"/>
      <c r="U42" s="155"/>
      <c r="V42" s="154"/>
      <c r="W42" s="151"/>
      <c r="X42" s="151"/>
      <c r="Y42" s="151"/>
      <c r="Z42" s="151"/>
      <c r="AA42" s="151"/>
      <c r="AB42" s="151"/>
      <c r="AC42" s="154"/>
      <c r="AD42" s="151"/>
      <c r="AE42" s="151"/>
      <c r="AL42" s="288"/>
      <c r="AN42" s="1100"/>
    </row>
    <row r="43" spans="2:40" ht="17.25" thickBot="1">
      <c r="B43" s="148" t="s">
        <v>912</v>
      </c>
      <c r="AL43" s="288"/>
      <c r="AN43" s="1100"/>
    </row>
    <row r="44" spans="2:40" s="290" customFormat="1">
      <c r="B44" s="157" t="s">
        <v>415</v>
      </c>
      <c r="C44" s="158"/>
      <c r="D44" s="158"/>
      <c r="E44" s="158"/>
      <c r="F44" s="158"/>
      <c r="G44" s="158"/>
      <c r="H44" s="158"/>
      <c r="I44" s="158"/>
      <c r="J44" s="158"/>
      <c r="K44" s="158"/>
      <c r="L44" s="1354">
        <v>70</v>
      </c>
      <c r="M44" s="1354"/>
      <c r="N44" s="1354"/>
      <c r="O44" s="159" t="s">
        <v>414</v>
      </c>
      <c r="P44" s="159"/>
      <c r="Q44" s="159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60"/>
      <c r="AL44" s="288"/>
    </row>
    <row r="45" spans="2:40" s="290" customFormat="1">
      <c r="B45" s="161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3"/>
      <c r="AL45" s="288"/>
    </row>
    <row r="46" spans="2:40" s="290" customFormat="1">
      <c r="B46" s="1355"/>
      <c r="C46" s="1356"/>
      <c r="D46" s="1356"/>
      <c r="E46" s="1356"/>
      <c r="F46" s="1356"/>
      <c r="G46" s="1356"/>
      <c r="H46" s="1356"/>
      <c r="I46" s="1356"/>
      <c r="J46" s="1356"/>
      <c r="K46" s="1356"/>
      <c r="L46" s="1356"/>
      <c r="M46" s="1356"/>
      <c r="N46" s="1356"/>
      <c r="O46" s="1356"/>
      <c r="P46" s="1356"/>
      <c r="Q46" s="1356"/>
      <c r="R46" s="1356"/>
      <c r="S46" s="1356"/>
      <c r="T46" s="1356"/>
      <c r="U46" s="1356"/>
      <c r="V46" s="1356"/>
      <c r="W46" s="1356"/>
      <c r="X46" s="1356"/>
      <c r="Y46" s="1356"/>
      <c r="Z46" s="1356"/>
      <c r="AA46" s="1356"/>
      <c r="AB46" s="1356"/>
      <c r="AC46" s="1356"/>
      <c r="AD46" s="1356"/>
      <c r="AE46" s="1357"/>
      <c r="AL46" s="288"/>
    </row>
    <row r="47" spans="2:40" s="290" customFormat="1" ht="17.25" thickBot="1">
      <c r="B47" s="1345"/>
      <c r="C47" s="1346"/>
      <c r="D47" s="1346"/>
      <c r="E47" s="1346"/>
      <c r="F47" s="1346"/>
      <c r="G47" s="1346"/>
      <c r="H47" s="1346"/>
      <c r="I47" s="1346"/>
      <c r="J47" s="1346"/>
      <c r="K47" s="1346"/>
      <c r="L47" s="1346"/>
      <c r="M47" s="1346"/>
      <c r="N47" s="1346"/>
      <c r="O47" s="1346"/>
      <c r="P47" s="1346"/>
      <c r="Q47" s="1346"/>
      <c r="R47" s="1346"/>
      <c r="S47" s="1346"/>
      <c r="T47" s="1346"/>
      <c r="U47" s="1346"/>
      <c r="V47" s="1346"/>
      <c r="W47" s="1346"/>
      <c r="X47" s="1346"/>
      <c r="Y47" s="1346"/>
      <c r="Z47" s="1346"/>
      <c r="AA47" s="1346"/>
      <c r="AB47" s="1346"/>
      <c r="AC47" s="1346"/>
      <c r="AD47" s="1346"/>
      <c r="AE47" s="1347"/>
    </row>
  </sheetData>
  <mergeCells count="134">
    <mergeCell ref="C19:F19"/>
    <mergeCell ref="C20:F20"/>
    <mergeCell ref="G19:M19"/>
    <mergeCell ref="G20:M20"/>
    <mergeCell ref="B2:AE2"/>
    <mergeCell ref="B5:E5"/>
    <mergeCell ref="F5:N5"/>
    <mergeCell ref="O5:T5"/>
    <mergeCell ref="U5:AE5"/>
    <mergeCell ref="B6:E6"/>
    <mergeCell ref="F6:N6"/>
    <mergeCell ref="O6:T6"/>
    <mergeCell ref="U6:AE6"/>
    <mergeCell ref="B10:F10"/>
    <mergeCell ref="G10:M10"/>
    <mergeCell ref="N10:S10"/>
    <mergeCell ref="T10:AE10"/>
    <mergeCell ref="B11:F11"/>
    <mergeCell ref="G11:M11"/>
    <mergeCell ref="N11:S11"/>
    <mergeCell ref="T11:AE11"/>
    <mergeCell ref="B7:E7"/>
    <mergeCell ref="F7:H7"/>
    <mergeCell ref="L7:N7"/>
    <mergeCell ref="O7:T7"/>
    <mergeCell ref="U7:AE7"/>
    <mergeCell ref="B8:E8"/>
    <mergeCell ref="F8:N8"/>
    <mergeCell ref="O8:T8"/>
    <mergeCell ref="U8:AE8"/>
    <mergeCell ref="B12:F12"/>
    <mergeCell ref="G12:M12"/>
    <mergeCell ref="T12:AE12"/>
    <mergeCell ref="B15:F16"/>
    <mergeCell ref="G15:M15"/>
    <mergeCell ref="N15:S15"/>
    <mergeCell ref="T15:V15"/>
    <mergeCell ref="W15:AE15"/>
    <mergeCell ref="G16:M16"/>
    <mergeCell ref="C18:F18"/>
    <mergeCell ref="G18:M18"/>
    <mergeCell ref="N18:S18"/>
    <mergeCell ref="T18:V18"/>
    <mergeCell ref="W18:AE18"/>
    <mergeCell ref="N16:S16"/>
    <mergeCell ref="T16:V16"/>
    <mergeCell ref="W16:AE16"/>
    <mergeCell ref="C17:F17"/>
    <mergeCell ref="G17:M17"/>
    <mergeCell ref="N17:S17"/>
    <mergeCell ref="T17:V17"/>
    <mergeCell ref="W17:AE17"/>
    <mergeCell ref="B26:F26"/>
    <mergeCell ref="G26:L26"/>
    <mergeCell ref="N26:T26"/>
    <mergeCell ref="B29:F29"/>
    <mergeCell ref="G29:R29"/>
    <mergeCell ref="S29:AE29"/>
    <mergeCell ref="C21:F21"/>
    <mergeCell ref="G21:M21"/>
    <mergeCell ref="N21:S21"/>
    <mergeCell ref="T21:V21"/>
    <mergeCell ref="W21:AE21"/>
    <mergeCell ref="B25:F25"/>
    <mergeCell ref="G25:M25"/>
    <mergeCell ref="N25:T25"/>
    <mergeCell ref="U25:U26"/>
    <mergeCell ref="V25:AE26"/>
    <mergeCell ref="C22:F22"/>
    <mergeCell ref="G22:M22"/>
    <mergeCell ref="N22:S22"/>
    <mergeCell ref="T22:V22"/>
    <mergeCell ref="W22:AE22"/>
    <mergeCell ref="R34:S35"/>
    <mergeCell ref="P34:Q35"/>
    <mergeCell ref="J34:K35"/>
    <mergeCell ref="B30:F30"/>
    <mergeCell ref="G30:R30"/>
    <mergeCell ref="S30:AE30"/>
    <mergeCell ref="B31:F31"/>
    <mergeCell ref="G31:R31"/>
    <mergeCell ref="S31:AE31"/>
    <mergeCell ref="B35:C35"/>
    <mergeCell ref="D35:E35"/>
    <mergeCell ref="B34:C34"/>
    <mergeCell ref="B47:AE47"/>
    <mergeCell ref="N37:O37"/>
    <mergeCell ref="R37:S37"/>
    <mergeCell ref="T37:U37"/>
    <mergeCell ref="V37:W37"/>
    <mergeCell ref="AB37:AC37"/>
    <mergeCell ref="AD37:AE37"/>
    <mergeCell ref="P37:Q37"/>
    <mergeCell ref="Z37:AA37"/>
    <mergeCell ref="F37:G37"/>
    <mergeCell ref="H37:I37"/>
    <mergeCell ref="L37:M37"/>
    <mergeCell ref="B41:AE41"/>
    <mergeCell ref="L44:N44"/>
    <mergeCell ref="B46:AE46"/>
    <mergeCell ref="T36:U36"/>
    <mergeCell ref="V36:W36"/>
    <mergeCell ref="AB36:AC36"/>
    <mergeCell ref="AD36:AE36"/>
    <mergeCell ref="F36:G36"/>
    <mergeCell ref="H36:I36"/>
    <mergeCell ref="L36:M36"/>
    <mergeCell ref="N36:O36"/>
    <mergeCell ref="P36:Q36"/>
    <mergeCell ref="Z36:AA36"/>
    <mergeCell ref="B36:E36"/>
    <mergeCell ref="B37:E37"/>
    <mergeCell ref="X34:Y35"/>
    <mergeCell ref="X36:Y36"/>
    <mergeCell ref="X37:Y37"/>
    <mergeCell ref="N19:S19"/>
    <mergeCell ref="N20:S20"/>
    <mergeCell ref="T19:V19"/>
    <mergeCell ref="T20:V20"/>
    <mergeCell ref="W19:AE19"/>
    <mergeCell ref="W20:AE20"/>
    <mergeCell ref="V34:W35"/>
    <mergeCell ref="Z34:AA35"/>
    <mergeCell ref="AB34:AC35"/>
    <mergeCell ref="AD34:AE35"/>
    <mergeCell ref="T34:U35"/>
    <mergeCell ref="J36:K36"/>
    <mergeCell ref="J37:K37"/>
    <mergeCell ref="D34:E34"/>
    <mergeCell ref="F34:G35"/>
    <mergeCell ref="H34:I35"/>
    <mergeCell ref="L34:M35"/>
    <mergeCell ref="N34:O35"/>
    <mergeCell ref="R36:S36"/>
  </mergeCells>
  <phoneticPr fontId="16" type="noConversion"/>
  <dataValidations count="4">
    <dataValidation type="list" showInputMessage="1" showErrorMessage="1" sqref="U983051:AE983051 U65547:AE65547 U131083:AE131083 U196619:AE196619 U262155:AE262155 U327691:AE327691 U393227:AE393227 U458763:AE458763 U524299:AE524299 U589835:AE589835 U655371:AE655371 U720907:AE720907 U786443:AE786443 U851979:AE851979 U917515:AE917515">
      <formula1>$AG$7:$AG$8</formula1>
    </dataValidation>
    <dataValidation type="list" showInputMessage="1" showErrorMessage="1" sqref="G983067:L983067 G65563:L65563 G131099:L131099 G196635:L196635 G262171:L262171 G327707:L327707 G393243:L393243 G458779:L458779 G524315:L524315 G589851:L589851 G655387:L655387 G720923:L720923 G786459:L786459 G851995:L851995 G917531:L917531">
      <formula1>$AH$9:$AH$13</formula1>
    </dataValidation>
    <dataValidation type="list" showInputMessage="1" showErrorMessage="1" sqref="B983067:F983067 B65563:F65563 B131099:F131099 B196635:F196635 B262171:F262171 B327707:F327707 B393243:F393243 B458779:F458779 B524315:F524315 B589851:F589851 B655387:F655387 B720923:F720923 B786459:F786459 B851995:F851995 B917531:F917531">
      <formula1>$AH$7:$AH$8</formula1>
    </dataValidation>
    <dataValidation type="list" showInputMessage="1" showErrorMessage="1" sqref="N917531:T917531 N983067:T983067 N65563:T65563 N131099:T131099 N196635:T196635 N262171:T262171 N327707:T327707 N393243:T393243 N458779:T458779 N524315:T524315 N589851:T589851 N655387:T655387 N720923:T720923 N786459:T786459 N851995:T851995">
      <formula1>$AI$7:$AI$8</formula1>
    </dataValidation>
  </dataValidations>
  <printOptions horizontalCentered="1" verticalCentered="1"/>
  <pageMargins left="0.23622047244094491" right="0.23622047244094491" top="0.47244094488188981" bottom="0.47244094488188981" header="0.31496062992125984" footer="0.31496062992125984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>
          <x14:formula1>
            <xm:f>Master!$E$1:$E$3</xm:f>
          </x14:formula1>
          <xm:sqref>U8:AE8</xm:sqref>
        </x14:dataValidation>
        <x14:dataValidation type="list" showInputMessage="1" showErrorMessage="1">
          <x14:formula1>
            <xm:f>Master!$G$1:$G$2</xm:f>
          </x14:formula1>
          <xm:sqref>B26:F26</xm:sqref>
        </x14:dataValidation>
        <x14:dataValidation type="list" showInputMessage="1" showErrorMessage="1">
          <x14:formula1>
            <xm:f>Master!$H$1:$H$4</xm:f>
          </x14:formula1>
          <xm:sqref>G26:L26</xm:sqref>
        </x14:dataValidation>
        <x14:dataValidation type="list" showInputMessage="1" showErrorMessage="1">
          <x14:formula1>
            <xm:f>Master!$I$1:$I$2</xm:f>
          </x14:formula1>
          <xm:sqref>N26:T26</xm:sqref>
        </x14:dataValidation>
        <x14:dataValidation type="list" allowBlank="1" showInputMessage="1" showErrorMessage="1">
          <x14:formula1>
            <xm:f>Master!$D$1:$D$6</xm:f>
          </x14:formula1>
          <xm:sqref>F8:N8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FN109"/>
  <sheetViews>
    <sheetView showGridLines="0" zoomScale="98" zoomScaleNormal="98" workbookViewId="0">
      <pane xSplit="8" ySplit="12" topLeftCell="I13" activePane="bottomRight" state="frozen"/>
      <selection activeCell="G80" sqref="G80"/>
      <selection pane="topRight" activeCell="G80" sqref="G80"/>
      <selection pane="bottomLeft" activeCell="G80" sqref="G80"/>
      <selection pane="bottomRight" activeCell="C13" sqref="C13"/>
    </sheetView>
  </sheetViews>
  <sheetFormatPr defaultColWidth="8.5625" defaultRowHeight="16.899999999999999"/>
  <cols>
    <col min="1" max="1" width="0.5625" style="5" customWidth="1"/>
    <col min="2" max="2" width="4.3125" style="5" customWidth="1"/>
    <col min="3" max="3" width="17.8125" style="6" customWidth="1"/>
    <col min="4" max="4" width="13.0625" style="1185" customWidth="1"/>
    <col min="5" max="5" width="11.25" style="1159" customWidth="1"/>
    <col min="6" max="6" width="12.8125" style="6" customWidth="1"/>
    <col min="7" max="7" width="11.5625" style="6" customWidth="1"/>
    <col min="8" max="8" width="6.8125" style="10" customWidth="1"/>
    <col min="9" max="9" width="13" style="5" customWidth="1"/>
    <col min="10" max="10" width="11.8125" style="5" customWidth="1"/>
    <col min="11" max="11" width="20.5625" style="9" customWidth="1"/>
    <col min="12" max="12" width="2.0625" customWidth="1"/>
    <col min="13" max="24" width="5.75" style="5" customWidth="1"/>
    <col min="25" max="25" width="5.6875" style="5" customWidth="1"/>
    <col min="26" max="31" width="5" style="5" customWidth="1"/>
    <col min="32" max="36" width="4.5" style="5" customWidth="1"/>
    <col min="37" max="37" width="4.3125" style="5" customWidth="1"/>
    <col min="38" max="49" width="4.5" style="5" customWidth="1"/>
    <col min="50" max="50" width="4.3125" style="5" customWidth="1"/>
    <col min="51" max="62" width="4.5" style="5" customWidth="1"/>
    <col min="63" max="63" width="4.3125" style="5" customWidth="1"/>
    <col min="64" max="64" width="4.5" style="5" customWidth="1"/>
    <col min="65" max="65" width="7.6875" customWidth="1"/>
    <col min="66" max="77" width="8.5625" style="5" customWidth="1"/>
    <col min="78" max="78" width="11.75" style="5" bestFit="1" customWidth="1"/>
    <col min="79" max="80" width="8.5625" style="5" customWidth="1"/>
    <col min="81" max="81" width="10.75" style="5" bestFit="1" customWidth="1"/>
    <col min="82" max="117" width="8.5625" style="5" customWidth="1"/>
    <col min="118" max="118" width="3.25" style="5" customWidth="1"/>
    <col min="119" max="130" width="8.5625" style="5" customWidth="1"/>
    <col min="131" max="131" width="10.75" style="5" bestFit="1" customWidth="1"/>
    <col min="132" max="143" width="8.5625" style="5" customWidth="1"/>
    <col min="144" max="144" width="10.75" style="5" bestFit="1" customWidth="1"/>
    <col min="145" max="170" width="8.5625" style="5" customWidth="1"/>
    <col min="171" max="16384" width="8.5625" style="5"/>
  </cols>
  <sheetData>
    <row r="1" spans="2:170" ht="22.45" customHeight="1">
      <c r="B1" s="7" t="s">
        <v>273</v>
      </c>
      <c r="F1" s="5"/>
      <c r="G1" s="5"/>
      <c r="H1" s="5"/>
      <c r="K1" s="10"/>
    </row>
    <row r="2" spans="2:170" ht="15.75" customHeight="1">
      <c r="B2" s="1478" t="s">
        <v>118</v>
      </c>
      <c r="C2" s="1479"/>
      <c r="D2" s="296" t="s">
        <v>117</v>
      </c>
      <c r="E2" s="306" t="s">
        <v>116</v>
      </c>
      <c r="F2" s="301" t="s">
        <v>150</v>
      </c>
      <c r="H2" s="510"/>
      <c r="I2" s="510"/>
      <c r="J2" s="510"/>
      <c r="K2" s="510"/>
      <c r="L2" s="510"/>
    </row>
    <row r="3" spans="2:170" ht="15.75" customHeight="1">
      <c r="B3" s="1480" t="s">
        <v>1010</v>
      </c>
      <c r="C3" s="1481"/>
      <c r="D3" s="1175">
        <f>D7-D4-D6-D5</f>
        <v>1</v>
      </c>
      <c r="E3" s="1169">
        <f>E7-E4-E6</f>
        <v>9220418</v>
      </c>
      <c r="F3" s="302">
        <f>F7-F4-F6</f>
        <v>817567</v>
      </c>
    </row>
    <row r="4" spans="2:170" ht="15.75" customHeight="1">
      <c r="B4" s="1482" t="s">
        <v>968</v>
      </c>
      <c r="C4" s="1483"/>
      <c r="D4" s="1176">
        <f>SUMIF($D$13:$D$52,$B$4,$H$13:$H$52)</f>
        <v>0</v>
      </c>
      <c r="E4" s="1170">
        <f>SUMIF($D$13:$D$52,$B$4,$I$13:$I$52)</f>
        <v>0</v>
      </c>
      <c r="F4" s="303">
        <f>SUMIF($D$13:$D$52,$B$4,$J$13:$J$52)</f>
        <v>0</v>
      </c>
      <c r="DC4" s="5" t="s">
        <v>908</v>
      </c>
    </row>
    <row r="5" spans="2:170" ht="15.75" customHeight="1">
      <c r="B5" s="1482"/>
      <c r="C5" s="1483"/>
      <c r="D5" s="1177">
        <v>0</v>
      </c>
      <c r="E5" s="1171"/>
      <c r="F5" s="1084"/>
      <c r="DC5" s="1060">
        <v>0.05</v>
      </c>
    </row>
    <row r="6" spans="2:170" ht="15.75" customHeight="1">
      <c r="B6" s="1484"/>
      <c r="C6" s="1485"/>
      <c r="D6" s="1178">
        <f>SUMIF($D$13:$D$52,$B$6,$H$13:$H$52)</f>
        <v>0</v>
      </c>
      <c r="E6" s="1172"/>
      <c r="F6" s="304"/>
    </row>
    <row r="7" spans="2:170" ht="15.75" customHeight="1">
      <c r="B7" s="1486" t="s">
        <v>394</v>
      </c>
      <c r="C7" s="1487"/>
      <c r="D7" s="1179">
        <f>SUBTOTAL(9,H13:H52)</f>
        <v>1</v>
      </c>
      <c r="E7" s="1173">
        <f>SUBTOTAL(9,$I13:$I52)</f>
        <v>9220418</v>
      </c>
      <c r="F7" s="305">
        <f>SUBTOTAL(9,$J13:$J52)</f>
        <v>817567</v>
      </c>
    </row>
    <row r="8" spans="2:170">
      <c r="B8" s="69"/>
      <c r="C8" s="70"/>
      <c r="D8" s="1174"/>
      <c r="E8" s="1174"/>
      <c r="F8" s="5"/>
      <c r="BN8" s="73" t="s">
        <v>609</v>
      </c>
      <c r="DO8" s="73" t="s">
        <v>150</v>
      </c>
    </row>
    <row r="9" spans="2:170" ht="15" customHeight="1">
      <c r="B9" s="8"/>
      <c r="C9" s="72" t="s">
        <v>119</v>
      </c>
      <c r="F9" s="5"/>
      <c r="G9" s="5"/>
      <c r="H9" s="5"/>
      <c r="J9" s="164" t="s">
        <v>199</v>
      </c>
      <c r="K9" s="10"/>
      <c r="M9" s="5" t="s">
        <v>478</v>
      </c>
      <c r="BN9" s="68">
        <v>202601</v>
      </c>
      <c r="BO9" s="68">
        <v>202602</v>
      </c>
      <c r="BP9" s="68">
        <v>202603</v>
      </c>
      <c r="BQ9" s="68">
        <v>202604</v>
      </c>
      <c r="BR9" s="68">
        <v>202605</v>
      </c>
      <c r="BS9" s="68">
        <v>202606</v>
      </c>
      <c r="BT9" s="68">
        <v>202607</v>
      </c>
      <c r="BU9" s="68">
        <v>202608</v>
      </c>
      <c r="BV9" s="68">
        <v>202609</v>
      </c>
      <c r="BW9" s="68">
        <v>202610</v>
      </c>
      <c r="BX9" s="68">
        <v>202611</v>
      </c>
      <c r="BY9" s="68">
        <v>202612</v>
      </c>
      <c r="CA9" s="68">
        <v>202701</v>
      </c>
      <c r="CB9" s="68">
        <v>202702</v>
      </c>
      <c r="CC9" s="68">
        <v>202703</v>
      </c>
      <c r="CD9" s="68">
        <v>202704</v>
      </c>
      <c r="CE9" s="68">
        <v>202705</v>
      </c>
      <c r="CF9" s="68">
        <v>202706</v>
      </c>
      <c r="CG9" s="68">
        <v>202707</v>
      </c>
      <c r="CH9" s="68">
        <v>202708</v>
      </c>
      <c r="CI9" s="68">
        <v>202709</v>
      </c>
      <c r="CJ9" s="68">
        <v>202710</v>
      </c>
      <c r="CK9" s="68">
        <v>202711</v>
      </c>
      <c r="CL9" s="68">
        <v>202712</v>
      </c>
      <c r="CN9" s="68">
        <v>202801</v>
      </c>
      <c r="CO9" s="68">
        <v>202802</v>
      </c>
      <c r="CP9" s="68">
        <v>202803</v>
      </c>
      <c r="CQ9" s="68">
        <v>202804</v>
      </c>
      <c r="CR9" s="68">
        <v>202805</v>
      </c>
      <c r="CS9" s="68">
        <v>202806</v>
      </c>
      <c r="CT9" s="68">
        <v>202807</v>
      </c>
      <c r="CU9" s="68">
        <v>202808</v>
      </c>
      <c r="CV9" s="68">
        <v>202809</v>
      </c>
      <c r="CW9" s="68">
        <v>202810</v>
      </c>
      <c r="CX9" s="68">
        <v>202811</v>
      </c>
      <c r="CY9" s="68">
        <v>202812</v>
      </c>
      <c r="DA9" s="68">
        <v>202812</v>
      </c>
      <c r="DB9" s="68">
        <v>202812</v>
      </c>
      <c r="DC9" s="68">
        <v>202812</v>
      </c>
      <c r="DD9" s="68">
        <v>202812</v>
      </c>
      <c r="DE9" s="68">
        <v>202812</v>
      </c>
      <c r="DF9" s="68">
        <v>202812</v>
      </c>
      <c r="DG9" s="68">
        <v>202812</v>
      </c>
      <c r="DH9" s="68">
        <v>202812</v>
      </c>
      <c r="DI9" s="68">
        <v>202812</v>
      </c>
      <c r="DJ9" s="68">
        <v>202812</v>
      </c>
      <c r="DK9" s="68">
        <v>202812</v>
      </c>
      <c r="DL9" s="68">
        <v>202812</v>
      </c>
      <c r="DO9" s="68">
        <v>202601</v>
      </c>
      <c r="DP9" s="68">
        <v>202602</v>
      </c>
      <c r="DQ9" s="68">
        <v>202603</v>
      </c>
      <c r="DR9" s="68">
        <v>202604</v>
      </c>
      <c r="DS9" s="68">
        <v>202605</v>
      </c>
      <c r="DT9" s="68">
        <v>202606</v>
      </c>
      <c r="DU9" s="68">
        <v>202607</v>
      </c>
      <c r="DV9" s="68">
        <v>202608</v>
      </c>
      <c r="DW9" s="68">
        <v>202609</v>
      </c>
      <c r="DX9" s="68">
        <v>202610</v>
      </c>
      <c r="DY9" s="68">
        <v>202611</v>
      </c>
      <c r="DZ9" s="68">
        <v>202612</v>
      </c>
      <c r="EB9" s="68">
        <v>202701</v>
      </c>
      <c r="EC9" s="68">
        <v>202702</v>
      </c>
      <c r="ED9" s="68">
        <v>202703</v>
      </c>
      <c r="EE9" s="68">
        <v>202704</v>
      </c>
      <c r="EF9" s="68">
        <v>202705</v>
      </c>
      <c r="EG9" s="68">
        <v>202706</v>
      </c>
      <c r="EH9" s="68">
        <v>202707</v>
      </c>
      <c r="EI9" s="68">
        <v>202708</v>
      </c>
      <c r="EJ9" s="68">
        <v>202709</v>
      </c>
      <c r="EK9" s="68">
        <v>202710</v>
      </c>
      <c r="EL9" s="68">
        <v>202711</v>
      </c>
      <c r="EM9" s="68">
        <v>202712</v>
      </c>
      <c r="EO9" s="68">
        <v>202801</v>
      </c>
      <c r="EP9" s="68">
        <v>202802</v>
      </c>
      <c r="EQ9" s="68">
        <v>202803</v>
      </c>
      <c r="ER9" s="68">
        <v>202804</v>
      </c>
      <c r="ES9" s="68">
        <v>202805</v>
      </c>
      <c r="ET9" s="68">
        <v>202806</v>
      </c>
      <c r="EU9" s="68">
        <v>202807</v>
      </c>
      <c r="EV9" s="68">
        <v>202808</v>
      </c>
      <c r="EW9" s="68">
        <v>202809</v>
      </c>
      <c r="EX9" s="68">
        <v>202810</v>
      </c>
      <c r="EY9" s="68">
        <v>202811</v>
      </c>
      <c r="EZ9" s="68">
        <v>202812</v>
      </c>
      <c r="FB9" s="68">
        <v>202812</v>
      </c>
      <c r="FC9" s="68">
        <v>202812</v>
      </c>
      <c r="FD9" s="68">
        <v>202812</v>
      </c>
      <c r="FE9" s="68">
        <v>202812</v>
      </c>
      <c r="FF9" s="68">
        <v>202812</v>
      </c>
      <c r="FG9" s="68">
        <v>202812</v>
      </c>
      <c r="FH9" s="68">
        <v>202812</v>
      </c>
      <c r="FI9" s="68">
        <v>202812</v>
      </c>
      <c r="FJ9" s="68">
        <v>202812</v>
      </c>
      <c r="FK9" s="68">
        <v>202812</v>
      </c>
      <c r="FL9" s="68">
        <v>202812</v>
      </c>
      <c r="FM9" s="68">
        <v>202812</v>
      </c>
    </row>
    <row r="10" spans="2:170" s="76" customFormat="1" ht="15.7" customHeight="1">
      <c r="B10" s="1493" t="s">
        <v>101</v>
      </c>
      <c r="C10" s="1493" t="s">
        <v>984</v>
      </c>
      <c r="D10" s="1493" t="s">
        <v>85</v>
      </c>
      <c r="E10" s="1505" t="s">
        <v>1012</v>
      </c>
      <c r="F10" s="1495" t="s">
        <v>464</v>
      </c>
      <c r="G10" s="1497" t="s">
        <v>83</v>
      </c>
      <c r="H10" s="1491" t="s">
        <v>107</v>
      </c>
      <c r="I10" s="1502" t="s">
        <v>474</v>
      </c>
      <c r="J10" s="1504" t="s">
        <v>475</v>
      </c>
      <c r="K10" s="1493" t="s">
        <v>99</v>
      </c>
      <c r="M10" s="680">
        <v>2026</v>
      </c>
      <c r="N10" s="681"/>
      <c r="O10" s="681"/>
      <c r="P10" s="681"/>
      <c r="Q10" s="681"/>
      <c r="R10" s="681"/>
      <c r="S10" s="681"/>
      <c r="T10" s="681"/>
      <c r="U10" s="681"/>
      <c r="V10" s="681"/>
      <c r="W10" s="681"/>
      <c r="X10" s="681"/>
      <c r="Y10" s="682"/>
      <c r="Z10" s="680">
        <v>2027</v>
      </c>
      <c r="AA10" s="681"/>
      <c r="AB10" s="681"/>
      <c r="AC10" s="681"/>
      <c r="AD10" s="681"/>
      <c r="AE10" s="681"/>
      <c r="AF10" s="681"/>
      <c r="AG10" s="681"/>
      <c r="AH10" s="681"/>
      <c r="AI10" s="681"/>
      <c r="AJ10" s="681"/>
      <c r="AK10" s="681"/>
      <c r="AL10" s="682"/>
      <c r="AM10" s="680">
        <v>2028</v>
      </c>
      <c r="AN10" s="681"/>
      <c r="AO10" s="681"/>
      <c r="AP10" s="681"/>
      <c r="AQ10" s="681"/>
      <c r="AR10" s="681"/>
      <c r="AS10" s="681"/>
      <c r="AT10" s="681"/>
      <c r="AU10" s="681"/>
      <c r="AV10" s="681"/>
      <c r="AW10" s="681"/>
      <c r="AX10" s="681"/>
      <c r="AY10" s="682"/>
      <c r="AZ10" s="1499">
        <f>AM10+1</f>
        <v>2029</v>
      </c>
      <c r="BA10" s="1500"/>
      <c r="BB10" s="1500"/>
      <c r="BC10" s="1500"/>
      <c r="BD10" s="1500"/>
      <c r="BE10" s="1500"/>
      <c r="BF10" s="1500"/>
      <c r="BG10" s="1500"/>
      <c r="BH10" s="1500"/>
      <c r="BI10" s="1500"/>
      <c r="BJ10" s="1500"/>
      <c r="BK10" s="1500"/>
      <c r="BL10" s="1501"/>
      <c r="BN10" s="1092">
        <v>2026</v>
      </c>
      <c r="BO10" s="1093"/>
      <c r="BP10" s="1093"/>
      <c r="BQ10" s="1093"/>
      <c r="BR10" s="1093"/>
      <c r="BS10" s="1093"/>
      <c r="BT10" s="1093"/>
      <c r="BU10" s="1093"/>
      <c r="BV10" s="1093"/>
      <c r="BW10" s="1093"/>
      <c r="BX10" s="1093"/>
      <c r="BY10" s="1093"/>
      <c r="BZ10" s="1094"/>
      <c r="CA10" s="1092">
        <v>2027</v>
      </c>
      <c r="CB10" s="1093"/>
      <c r="CC10" s="1093"/>
      <c r="CD10" s="1093"/>
      <c r="CE10" s="1093"/>
      <c r="CF10" s="1093"/>
      <c r="CG10" s="1093"/>
      <c r="CH10" s="1093"/>
      <c r="CI10" s="1093"/>
      <c r="CJ10" s="1093"/>
      <c r="CK10" s="1093"/>
      <c r="CL10" s="1093"/>
      <c r="CM10" s="1094"/>
      <c r="CN10" s="1092">
        <v>2028</v>
      </c>
      <c r="CO10" s="1093"/>
      <c r="CP10" s="1093"/>
      <c r="CQ10" s="1093"/>
      <c r="CR10" s="1093"/>
      <c r="CS10" s="1093"/>
      <c r="CT10" s="1093"/>
      <c r="CU10" s="1093"/>
      <c r="CV10" s="1093"/>
      <c r="CW10" s="1093"/>
      <c r="CX10" s="1093"/>
      <c r="CY10" s="1093"/>
      <c r="CZ10" s="1094"/>
      <c r="DA10" s="1092">
        <v>2029</v>
      </c>
      <c r="DB10" s="1093"/>
      <c r="DC10" s="1093"/>
      <c r="DD10" s="1093"/>
      <c r="DE10" s="1093"/>
      <c r="DF10" s="1093"/>
      <c r="DG10" s="1093"/>
      <c r="DH10" s="1093"/>
      <c r="DI10" s="1093"/>
      <c r="DJ10" s="1093"/>
      <c r="DK10" s="1093"/>
      <c r="DL10" s="1093"/>
      <c r="DM10" s="1094"/>
      <c r="DN10" s="5"/>
      <c r="DO10" s="141"/>
      <c r="DP10" s="142"/>
      <c r="DQ10" s="142"/>
      <c r="DR10" s="142"/>
      <c r="DS10" s="142"/>
      <c r="DT10" s="142"/>
      <c r="DU10" s="142">
        <v>2026</v>
      </c>
      <c r="DV10" s="142"/>
      <c r="DW10" s="142"/>
      <c r="DX10" s="142"/>
      <c r="DY10" s="142"/>
      <c r="DZ10" s="142"/>
      <c r="EA10" s="143"/>
      <c r="EB10" s="141"/>
      <c r="EC10" s="142"/>
      <c r="ED10" s="142"/>
      <c r="EE10" s="142"/>
      <c r="EF10" s="142"/>
      <c r="EG10" s="142"/>
      <c r="EH10" s="142">
        <v>2027</v>
      </c>
      <c r="EI10" s="142"/>
      <c r="EJ10" s="142"/>
      <c r="EK10" s="142"/>
      <c r="EL10" s="142"/>
      <c r="EM10" s="142"/>
      <c r="EN10" s="143"/>
      <c r="EO10" s="141"/>
      <c r="EP10" s="142"/>
      <c r="EQ10" s="142"/>
      <c r="ER10" s="142"/>
      <c r="ES10" s="142"/>
      <c r="ET10" s="142"/>
      <c r="EU10" s="142">
        <f>EH10+1</f>
        <v>2028</v>
      </c>
      <c r="EV10" s="142"/>
      <c r="EW10" s="142"/>
      <c r="EX10" s="142"/>
      <c r="EY10" s="142"/>
      <c r="EZ10" s="142"/>
      <c r="FA10" s="143"/>
      <c r="FB10" s="141"/>
      <c r="FC10" s="142"/>
      <c r="FD10" s="142"/>
      <c r="FE10" s="142"/>
      <c r="FF10" s="142"/>
      <c r="FG10" s="142"/>
      <c r="FH10" s="142">
        <f>EU10+1</f>
        <v>2029</v>
      </c>
      <c r="FI10" s="142"/>
      <c r="FJ10" s="142"/>
      <c r="FK10" s="142"/>
      <c r="FL10" s="142"/>
      <c r="FM10" s="142"/>
      <c r="FN10" s="143"/>
    </row>
    <row r="11" spans="2:170" s="6" customFormat="1" ht="15.7" customHeight="1">
      <c r="B11" s="1494"/>
      <c r="C11" s="1494"/>
      <c r="D11" s="1494"/>
      <c r="E11" s="1506"/>
      <c r="F11" s="1496"/>
      <c r="G11" s="1498"/>
      <c r="H11" s="1492"/>
      <c r="I11" s="1503"/>
      <c r="J11" s="1503"/>
      <c r="K11" s="1494"/>
      <c r="L11" s="76"/>
      <c r="M11" s="85" t="s">
        <v>87</v>
      </c>
      <c r="N11" s="86" t="s">
        <v>88</v>
      </c>
      <c r="O11" s="86" t="s">
        <v>89</v>
      </c>
      <c r="P11" s="86" t="s">
        <v>90</v>
      </c>
      <c r="Q11" s="86" t="s">
        <v>91</v>
      </c>
      <c r="R11" s="86" t="s">
        <v>92</v>
      </c>
      <c r="S11" s="86" t="s">
        <v>93</v>
      </c>
      <c r="T11" s="86" t="s">
        <v>94</v>
      </c>
      <c r="U11" s="86" t="s">
        <v>95</v>
      </c>
      <c r="V11" s="86" t="s">
        <v>96</v>
      </c>
      <c r="W11" s="86" t="s">
        <v>97</v>
      </c>
      <c r="X11" s="86" t="s">
        <v>98</v>
      </c>
      <c r="Y11" s="87" t="s">
        <v>108</v>
      </c>
      <c r="Z11" s="85" t="s">
        <v>87</v>
      </c>
      <c r="AA11" s="86" t="s">
        <v>88</v>
      </c>
      <c r="AB11" s="86" t="s">
        <v>89</v>
      </c>
      <c r="AC11" s="86" t="s">
        <v>90</v>
      </c>
      <c r="AD11" s="86" t="s">
        <v>91</v>
      </c>
      <c r="AE11" s="86" t="s">
        <v>92</v>
      </c>
      <c r="AF11" s="86" t="s">
        <v>93</v>
      </c>
      <c r="AG11" s="86" t="s">
        <v>94</v>
      </c>
      <c r="AH11" s="86" t="s">
        <v>95</v>
      </c>
      <c r="AI11" s="86" t="s">
        <v>96</v>
      </c>
      <c r="AJ11" s="86" t="s">
        <v>97</v>
      </c>
      <c r="AK11" s="86" t="s">
        <v>98</v>
      </c>
      <c r="AL11" s="87" t="s">
        <v>108</v>
      </c>
      <c r="AM11" s="85" t="s">
        <v>87</v>
      </c>
      <c r="AN11" s="86" t="s">
        <v>88</v>
      </c>
      <c r="AO11" s="86" t="s">
        <v>89</v>
      </c>
      <c r="AP11" s="86" t="s">
        <v>90</v>
      </c>
      <c r="AQ11" s="86" t="s">
        <v>91</v>
      </c>
      <c r="AR11" s="86" t="s">
        <v>92</v>
      </c>
      <c r="AS11" s="86" t="s">
        <v>93</v>
      </c>
      <c r="AT11" s="86" t="s">
        <v>94</v>
      </c>
      <c r="AU11" s="86" t="s">
        <v>95</v>
      </c>
      <c r="AV11" s="86" t="s">
        <v>96</v>
      </c>
      <c r="AW11" s="86" t="s">
        <v>97</v>
      </c>
      <c r="AX11" s="86" t="s">
        <v>98</v>
      </c>
      <c r="AY11" s="87" t="s">
        <v>108</v>
      </c>
      <c r="AZ11" s="85" t="s">
        <v>87</v>
      </c>
      <c r="BA11" s="86" t="s">
        <v>88</v>
      </c>
      <c r="BB11" s="86" t="s">
        <v>89</v>
      </c>
      <c r="BC11" s="86" t="s">
        <v>90</v>
      </c>
      <c r="BD11" s="86" t="s">
        <v>91</v>
      </c>
      <c r="BE11" s="86" t="s">
        <v>92</v>
      </c>
      <c r="BF11" s="86" t="s">
        <v>93</v>
      </c>
      <c r="BG11" s="86" t="s">
        <v>94</v>
      </c>
      <c r="BH11" s="86" t="s">
        <v>95</v>
      </c>
      <c r="BI11" s="86" t="s">
        <v>96</v>
      </c>
      <c r="BJ11" s="86" t="s">
        <v>97</v>
      </c>
      <c r="BK11" s="86" t="s">
        <v>98</v>
      </c>
      <c r="BL11" s="87" t="s">
        <v>108</v>
      </c>
      <c r="BM11" s="76"/>
      <c r="BN11" s="458" t="s">
        <v>87</v>
      </c>
      <c r="BO11" s="460" t="s">
        <v>88</v>
      </c>
      <c r="BP11" s="460" t="s">
        <v>89</v>
      </c>
      <c r="BQ11" s="460" t="s">
        <v>90</v>
      </c>
      <c r="BR11" s="460" t="s">
        <v>91</v>
      </c>
      <c r="BS11" s="460" t="s">
        <v>92</v>
      </c>
      <c r="BT11" s="460" t="s">
        <v>93</v>
      </c>
      <c r="BU11" s="460" t="s">
        <v>94</v>
      </c>
      <c r="BV11" s="460" t="s">
        <v>95</v>
      </c>
      <c r="BW11" s="460" t="s">
        <v>96</v>
      </c>
      <c r="BX11" s="460" t="s">
        <v>97</v>
      </c>
      <c r="BY11" s="460" t="s">
        <v>98</v>
      </c>
      <c r="BZ11" s="459" t="s">
        <v>108</v>
      </c>
      <c r="CA11" s="458" t="s">
        <v>87</v>
      </c>
      <c r="CB11" s="460" t="s">
        <v>88</v>
      </c>
      <c r="CC11" s="460" t="s">
        <v>89</v>
      </c>
      <c r="CD11" s="460" t="s">
        <v>90</v>
      </c>
      <c r="CE11" s="460" t="s">
        <v>91</v>
      </c>
      <c r="CF11" s="460" t="s">
        <v>92</v>
      </c>
      <c r="CG11" s="460" t="s">
        <v>93</v>
      </c>
      <c r="CH11" s="460" t="s">
        <v>94</v>
      </c>
      <c r="CI11" s="460" t="s">
        <v>95</v>
      </c>
      <c r="CJ11" s="460" t="s">
        <v>96</v>
      </c>
      <c r="CK11" s="460" t="s">
        <v>97</v>
      </c>
      <c r="CL11" s="460" t="s">
        <v>98</v>
      </c>
      <c r="CM11" s="459" t="s">
        <v>108</v>
      </c>
      <c r="CN11" s="458" t="s">
        <v>87</v>
      </c>
      <c r="CO11" s="460" t="s">
        <v>88</v>
      </c>
      <c r="CP11" s="460" t="s">
        <v>89</v>
      </c>
      <c r="CQ11" s="460" t="s">
        <v>90</v>
      </c>
      <c r="CR11" s="460" t="s">
        <v>91</v>
      </c>
      <c r="CS11" s="460" t="s">
        <v>92</v>
      </c>
      <c r="CT11" s="460" t="s">
        <v>93</v>
      </c>
      <c r="CU11" s="460" t="s">
        <v>94</v>
      </c>
      <c r="CV11" s="460" t="s">
        <v>95</v>
      </c>
      <c r="CW11" s="460" t="s">
        <v>96</v>
      </c>
      <c r="CX11" s="460" t="s">
        <v>97</v>
      </c>
      <c r="CY11" s="460" t="s">
        <v>98</v>
      </c>
      <c r="CZ11" s="459" t="s">
        <v>108</v>
      </c>
      <c r="DA11" s="458" t="s">
        <v>87</v>
      </c>
      <c r="DB11" s="460" t="s">
        <v>88</v>
      </c>
      <c r="DC11" s="460" t="s">
        <v>89</v>
      </c>
      <c r="DD11" s="460" t="s">
        <v>90</v>
      </c>
      <c r="DE11" s="460" t="s">
        <v>91</v>
      </c>
      <c r="DF11" s="460" t="s">
        <v>92</v>
      </c>
      <c r="DG11" s="460" t="s">
        <v>93</v>
      </c>
      <c r="DH11" s="460" t="s">
        <v>94</v>
      </c>
      <c r="DI11" s="460" t="s">
        <v>95</v>
      </c>
      <c r="DJ11" s="460" t="s">
        <v>96</v>
      </c>
      <c r="DK11" s="460" t="s">
        <v>97</v>
      </c>
      <c r="DL11" s="460" t="s">
        <v>98</v>
      </c>
      <c r="DM11" s="459" t="s">
        <v>108</v>
      </c>
      <c r="DN11" s="423"/>
      <c r="DO11" s="144" t="s">
        <v>87</v>
      </c>
      <c r="DP11" s="145" t="s">
        <v>88</v>
      </c>
      <c r="DQ11" s="145" t="s">
        <v>89</v>
      </c>
      <c r="DR11" s="145" t="s">
        <v>90</v>
      </c>
      <c r="DS11" s="145" t="s">
        <v>91</v>
      </c>
      <c r="DT11" s="145" t="s">
        <v>92</v>
      </c>
      <c r="DU11" s="145" t="s">
        <v>93</v>
      </c>
      <c r="DV11" s="145" t="s">
        <v>94</v>
      </c>
      <c r="DW11" s="145" t="s">
        <v>95</v>
      </c>
      <c r="DX11" s="145" t="s">
        <v>96</v>
      </c>
      <c r="DY11" s="145" t="s">
        <v>97</v>
      </c>
      <c r="DZ11" s="145" t="s">
        <v>98</v>
      </c>
      <c r="EA11" s="146" t="s">
        <v>108</v>
      </c>
      <c r="EB11" s="144" t="s">
        <v>87</v>
      </c>
      <c r="EC11" s="145" t="s">
        <v>88</v>
      </c>
      <c r="ED11" s="145" t="s">
        <v>89</v>
      </c>
      <c r="EE11" s="145" t="s">
        <v>90</v>
      </c>
      <c r="EF11" s="145" t="s">
        <v>91</v>
      </c>
      <c r="EG11" s="145" t="s">
        <v>92</v>
      </c>
      <c r="EH11" s="145" t="s">
        <v>93</v>
      </c>
      <c r="EI11" s="145" t="s">
        <v>94</v>
      </c>
      <c r="EJ11" s="145" t="s">
        <v>95</v>
      </c>
      <c r="EK11" s="145" t="s">
        <v>96</v>
      </c>
      <c r="EL11" s="145" t="s">
        <v>97</v>
      </c>
      <c r="EM11" s="145" t="s">
        <v>98</v>
      </c>
      <c r="EN11" s="146" t="s">
        <v>108</v>
      </c>
      <c r="EO11" s="144" t="s">
        <v>87</v>
      </c>
      <c r="EP11" s="145" t="s">
        <v>88</v>
      </c>
      <c r="EQ11" s="145" t="s">
        <v>89</v>
      </c>
      <c r="ER11" s="145" t="s">
        <v>90</v>
      </c>
      <c r="ES11" s="145" t="s">
        <v>91</v>
      </c>
      <c r="ET11" s="145" t="s">
        <v>92</v>
      </c>
      <c r="EU11" s="145" t="s">
        <v>93</v>
      </c>
      <c r="EV11" s="145" t="s">
        <v>94</v>
      </c>
      <c r="EW11" s="145" t="s">
        <v>95</v>
      </c>
      <c r="EX11" s="145" t="s">
        <v>96</v>
      </c>
      <c r="EY11" s="145" t="s">
        <v>97</v>
      </c>
      <c r="EZ11" s="145" t="s">
        <v>98</v>
      </c>
      <c r="FA11" s="146" t="s">
        <v>108</v>
      </c>
      <c r="FB11" s="144" t="s">
        <v>87</v>
      </c>
      <c r="FC11" s="145" t="s">
        <v>88</v>
      </c>
      <c r="FD11" s="145" t="s">
        <v>89</v>
      </c>
      <c r="FE11" s="145" t="s">
        <v>90</v>
      </c>
      <c r="FF11" s="145" t="s">
        <v>91</v>
      </c>
      <c r="FG11" s="145" t="s">
        <v>92</v>
      </c>
      <c r="FH11" s="145" t="s">
        <v>93</v>
      </c>
      <c r="FI11" s="145" t="s">
        <v>94</v>
      </c>
      <c r="FJ11" s="145" t="s">
        <v>95</v>
      </c>
      <c r="FK11" s="145" t="s">
        <v>96</v>
      </c>
      <c r="FL11" s="145" t="s">
        <v>97</v>
      </c>
      <c r="FM11" s="145" t="s">
        <v>98</v>
      </c>
      <c r="FN11" s="146" t="s">
        <v>108</v>
      </c>
    </row>
    <row r="12" spans="2:170" s="454" customFormat="1" ht="15.7" customHeight="1">
      <c r="B12" s="1488" t="s">
        <v>473</v>
      </c>
      <c r="C12" s="1489"/>
      <c r="D12" s="1490"/>
      <c r="E12" s="1128"/>
      <c r="F12" s="445"/>
      <c r="G12" s="446"/>
      <c r="H12" s="447">
        <f>SUM(H13:H52)</f>
        <v>1</v>
      </c>
      <c r="I12" s="448">
        <f>SUM(I13:I52)</f>
        <v>9220418</v>
      </c>
      <c r="J12" s="448">
        <f>SUM(J13:J52)</f>
        <v>817567</v>
      </c>
      <c r="K12" s="443"/>
      <c r="L12" s="73"/>
      <c r="M12" s="447">
        <f>SUM(M13:M52)</f>
        <v>0</v>
      </c>
      <c r="N12" s="451">
        <f t="shared" ref="N12:Y12" si="0">SUM(N13:N52)</f>
        <v>0</v>
      </c>
      <c r="O12" s="451">
        <f t="shared" si="0"/>
        <v>0</v>
      </c>
      <c r="P12" s="451">
        <f t="shared" si="0"/>
        <v>0</v>
      </c>
      <c r="Q12" s="451">
        <f t="shared" si="0"/>
        <v>0</v>
      </c>
      <c r="R12" s="451">
        <f t="shared" si="0"/>
        <v>0</v>
      </c>
      <c r="S12" s="451">
        <f t="shared" si="0"/>
        <v>0</v>
      </c>
      <c r="T12" s="451">
        <f t="shared" si="0"/>
        <v>0</v>
      </c>
      <c r="U12" s="451">
        <f t="shared" si="0"/>
        <v>0</v>
      </c>
      <c r="V12" s="451">
        <f t="shared" si="0"/>
        <v>1</v>
      </c>
      <c r="W12" s="451">
        <f t="shared" si="0"/>
        <v>0</v>
      </c>
      <c r="X12" s="451">
        <f t="shared" si="0"/>
        <v>0</v>
      </c>
      <c r="Y12" s="452">
        <f t="shared" si="0"/>
        <v>1</v>
      </c>
      <c r="Z12" s="450">
        <f>SUM(Z13:Z52)</f>
        <v>0</v>
      </c>
      <c r="AA12" s="451">
        <f t="shared" ref="AA12:AL12" si="1">SUM(AA13:AA52)</f>
        <v>0</v>
      </c>
      <c r="AB12" s="451">
        <f t="shared" si="1"/>
        <v>0</v>
      </c>
      <c r="AC12" s="451">
        <f t="shared" si="1"/>
        <v>0</v>
      </c>
      <c r="AD12" s="451">
        <f t="shared" si="1"/>
        <v>0</v>
      </c>
      <c r="AE12" s="451">
        <f t="shared" si="1"/>
        <v>0</v>
      </c>
      <c r="AF12" s="451">
        <f t="shared" si="1"/>
        <v>0</v>
      </c>
      <c r="AG12" s="451">
        <f t="shared" si="1"/>
        <v>0</v>
      </c>
      <c r="AH12" s="451">
        <f t="shared" si="1"/>
        <v>0</v>
      </c>
      <c r="AI12" s="451">
        <f t="shared" si="1"/>
        <v>0</v>
      </c>
      <c r="AJ12" s="451">
        <f t="shared" si="1"/>
        <v>0</v>
      </c>
      <c r="AK12" s="451">
        <f t="shared" si="1"/>
        <v>0</v>
      </c>
      <c r="AL12" s="452">
        <f t="shared" si="1"/>
        <v>0</v>
      </c>
      <c r="AM12" s="450">
        <f>SUM(AM13:AM52)</f>
        <v>0</v>
      </c>
      <c r="AN12" s="451">
        <f t="shared" ref="AN12:AY12" si="2">SUM(AN13:AN52)</f>
        <v>0</v>
      </c>
      <c r="AO12" s="451">
        <f t="shared" si="2"/>
        <v>0</v>
      </c>
      <c r="AP12" s="451">
        <f t="shared" si="2"/>
        <v>0</v>
      </c>
      <c r="AQ12" s="451">
        <f t="shared" si="2"/>
        <v>0</v>
      </c>
      <c r="AR12" s="451">
        <f t="shared" si="2"/>
        <v>0</v>
      </c>
      <c r="AS12" s="451">
        <f t="shared" si="2"/>
        <v>0</v>
      </c>
      <c r="AT12" s="451">
        <f t="shared" si="2"/>
        <v>0</v>
      </c>
      <c r="AU12" s="451">
        <f t="shared" si="2"/>
        <v>0</v>
      </c>
      <c r="AV12" s="451">
        <f t="shared" si="2"/>
        <v>0</v>
      </c>
      <c r="AW12" s="451">
        <f t="shared" si="2"/>
        <v>0</v>
      </c>
      <c r="AX12" s="451">
        <f t="shared" si="2"/>
        <v>0</v>
      </c>
      <c r="AY12" s="452">
        <f t="shared" si="2"/>
        <v>0</v>
      </c>
      <c r="AZ12" s="450">
        <f>SUM(AZ13:AZ52)</f>
        <v>0</v>
      </c>
      <c r="BA12" s="451">
        <f t="shared" ref="BA12:BL12" si="3">SUM(BA13:BA52)</f>
        <v>0</v>
      </c>
      <c r="BB12" s="451">
        <f t="shared" si="3"/>
        <v>0</v>
      </c>
      <c r="BC12" s="451">
        <f t="shared" si="3"/>
        <v>0</v>
      </c>
      <c r="BD12" s="451">
        <f t="shared" si="3"/>
        <v>0</v>
      </c>
      <c r="BE12" s="451">
        <f t="shared" si="3"/>
        <v>0</v>
      </c>
      <c r="BF12" s="451">
        <f t="shared" si="3"/>
        <v>0</v>
      </c>
      <c r="BG12" s="451">
        <f t="shared" si="3"/>
        <v>0</v>
      </c>
      <c r="BH12" s="451">
        <f t="shared" si="3"/>
        <v>0</v>
      </c>
      <c r="BI12" s="451">
        <f t="shared" si="3"/>
        <v>0</v>
      </c>
      <c r="BJ12" s="451">
        <f t="shared" si="3"/>
        <v>0</v>
      </c>
      <c r="BK12" s="451">
        <f t="shared" si="3"/>
        <v>0</v>
      </c>
      <c r="BL12" s="452">
        <f t="shared" si="3"/>
        <v>0</v>
      </c>
      <c r="BM12" s="73"/>
      <c r="BN12" s="453">
        <f>SUM(BN13:BN52)</f>
        <v>0</v>
      </c>
      <c r="BO12" s="448">
        <f t="shared" ref="BO12:BZ12" si="4">SUM(BO13:BO52)</f>
        <v>0</v>
      </c>
      <c r="BP12" s="448">
        <f t="shared" si="4"/>
        <v>0</v>
      </c>
      <c r="BQ12" s="448">
        <f t="shared" si="4"/>
        <v>0</v>
      </c>
      <c r="BR12" s="448">
        <f t="shared" si="4"/>
        <v>0</v>
      </c>
      <c r="BS12" s="448">
        <f t="shared" si="4"/>
        <v>0</v>
      </c>
      <c r="BT12" s="448">
        <f t="shared" si="4"/>
        <v>0</v>
      </c>
      <c r="BU12" s="448">
        <f t="shared" si="4"/>
        <v>0</v>
      </c>
      <c r="BV12" s="448">
        <f t="shared" si="4"/>
        <v>0</v>
      </c>
      <c r="BW12" s="448">
        <f t="shared" si="4"/>
        <v>9220418</v>
      </c>
      <c r="BX12" s="448">
        <f t="shared" si="4"/>
        <v>0</v>
      </c>
      <c r="BY12" s="448">
        <f t="shared" si="4"/>
        <v>0</v>
      </c>
      <c r="BZ12" s="449">
        <f t="shared" si="4"/>
        <v>9220418</v>
      </c>
      <c r="CA12" s="453">
        <f>SUM(CA13:CA52)</f>
        <v>0</v>
      </c>
      <c r="CB12" s="448">
        <f t="shared" ref="CB12:CM12" si="5">SUM(CB13:CB52)</f>
        <v>0</v>
      </c>
      <c r="CC12" s="448">
        <f t="shared" si="5"/>
        <v>0</v>
      </c>
      <c r="CD12" s="448">
        <f t="shared" si="5"/>
        <v>0</v>
      </c>
      <c r="CE12" s="448">
        <f t="shared" si="5"/>
        <v>0</v>
      </c>
      <c r="CF12" s="448">
        <f t="shared" si="5"/>
        <v>0</v>
      </c>
      <c r="CG12" s="448">
        <f t="shared" si="5"/>
        <v>0</v>
      </c>
      <c r="CH12" s="448">
        <f t="shared" si="5"/>
        <v>0</v>
      </c>
      <c r="CI12" s="448">
        <f t="shared" si="5"/>
        <v>0</v>
      </c>
      <c r="CJ12" s="448">
        <f t="shared" si="5"/>
        <v>0</v>
      </c>
      <c r="CK12" s="448">
        <f t="shared" si="5"/>
        <v>0</v>
      </c>
      <c r="CL12" s="448">
        <f t="shared" si="5"/>
        <v>0</v>
      </c>
      <c r="CM12" s="449">
        <f t="shared" si="5"/>
        <v>0</v>
      </c>
      <c r="CN12" s="453">
        <f>SUM(CN13:CN52)</f>
        <v>0</v>
      </c>
      <c r="CO12" s="448">
        <f t="shared" ref="CO12:CZ12" si="6">SUM(CO13:CO52)</f>
        <v>0</v>
      </c>
      <c r="CP12" s="448">
        <f t="shared" si="6"/>
        <v>0</v>
      </c>
      <c r="CQ12" s="448">
        <f t="shared" si="6"/>
        <v>0</v>
      </c>
      <c r="CR12" s="448">
        <f t="shared" si="6"/>
        <v>0</v>
      </c>
      <c r="CS12" s="448">
        <f t="shared" si="6"/>
        <v>0</v>
      </c>
      <c r="CT12" s="448">
        <f t="shared" si="6"/>
        <v>0</v>
      </c>
      <c r="CU12" s="448">
        <f t="shared" si="6"/>
        <v>0</v>
      </c>
      <c r="CV12" s="448">
        <f t="shared" si="6"/>
        <v>0</v>
      </c>
      <c r="CW12" s="448">
        <f t="shared" si="6"/>
        <v>0</v>
      </c>
      <c r="CX12" s="448">
        <f t="shared" si="6"/>
        <v>0</v>
      </c>
      <c r="CY12" s="448">
        <f t="shared" si="6"/>
        <v>0</v>
      </c>
      <c r="CZ12" s="449">
        <f t="shared" si="6"/>
        <v>0</v>
      </c>
      <c r="DA12" s="453">
        <f>SUM(DA13:DA52)</f>
        <v>0</v>
      </c>
      <c r="DB12" s="448">
        <f t="shared" ref="DB12:DM12" si="7">SUM(DB13:DB52)</f>
        <v>0</v>
      </c>
      <c r="DC12" s="448">
        <f t="shared" si="7"/>
        <v>0</v>
      </c>
      <c r="DD12" s="448">
        <f t="shared" si="7"/>
        <v>0</v>
      </c>
      <c r="DE12" s="448">
        <f t="shared" si="7"/>
        <v>0</v>
      </c>
      <c r="DF12" s="448">
        <f t="shared" si="7"/>
        <v>0</v>
      </c>
      <c r="DG12" s="448">
        <f t="shared" si="7"/>
        <v>0</v>
      </c>
      <c r="DH12" s="448">
        <f t="shared" si="7"/>
        <v>0</v>
      </c>
      <c r="DI12" s="448">
        <f t="shared" si="7"/>
        <v>0</v>
      </c>
      <c r="DJ12" s="448">
        <f t="shared" si="7"/>
        <v>0</v>
      </c>
      <c r="DK12" s="448">
        <f t="shared" si="7"/>
        <v>0</v>
      </c>
      <c r="DL12" s="448">
        <f t="shared" si="7"/>
        <v>0</v>
      </c>
      <c r="DM12" s="449">
        <f t="shared" si="7"/>
        <v>0</v>
      </c>
      <c r="DO12" s="453">
        <f>SUM(DO13:DO52)</f>
        <v>0</v>
      </c>
      <c r="DP12" s="448">
        <f t="shared" ref="DP12:EA12" si="8">SUM(DP13:DP52)</f>
        <v>0</v>
      </c>
      <c r="DQ12" s="448">
        <f t="shared" si="8"/>
        <v>0</v>
      </c>
      <c r="DR12" s="448">
        <f t="shared" si="8"/>
        <v>0</v>
      </c>
      <c r="DS12" s="448">
        <f t="shared" si="8"/>
        <v>0</v>
      </c>
      <c r="DT12" s="448">
        <f t="shared" si="8"/>
        <v>0</v>
      </c>
      <c r="DU12" s="448">
        <f t="shared" si="8"/>
        <v>0</v>
      </c>
      <c r="DV12" s="448">
        <f t="shared" si="8"/>
        <v>0</v>
      </c>
      <c r="DW12" s="448">
        <f t="shared" si="8"/>
        <v>0</v>
      </c>
      <c r="DX12" s="448">
        <f t="shared" si="8"/>
        <v>817567</v>
      </c>
      <c r="DY12" s="448">
        <f t="shared" si="8"/>
        <v>0</v>
      </c>
      <c r="DZ12" s="448">
        <f t="shared" si="8"/>
        <v>0</v>
      </c>
      <c r="EA12" s="449">
        <f t="shared" si="8"/>
        <v>817567</v>
      </c>
      <c r="EB12" s="453">
        <f>SUM(EB13:EB52)</f>
        <v>0</v>
      </c>
      <c r="EC12" s="448">
        <f t="shared" ref="EC12:EN12" si="9">SUM(EC13:EC52)</f>
        <v>0</v>
      </c>
      <c r="ED12" s="448">
        <f t="shared" si="9"/>
        <v>0</v>
      </c>
      <c r="EE12" s="448">
        <f t="shared" si="9"/>
        <v>0</v>
      </c>
      <c r="EF12" s="448">
        <f t="shared" si="9"/>
        <v>0</v>
      </c>
      <c r="EG12" s="448">
        <f t="shared" si="9"/>
        <v>0</v>
      </c>
      <c r="EH12" s="448">
        <f t="shared" si="9"/>
        <v>0</v>
      </c>
      <c r="EI12" s="448">
        <f t="shared" si="9"/>
        <v>0</v>
      </c>
      <c r="EJ12" s="448">
        <f t="shared" si="9"/>
        <v>0</v>
      </c>
      <c r="EK12" s="448">
        <f t="shared" si="9"/>
        <v>0</v>
      </c>
      <c r="EL12" s="448">
        <f t="shared" si="9"/>
        <v>0</v>
      </c>
      <c r="EM12" s="448">
        <f t="shared" si="9"/>
        <v>0</v>
      </c>
      <c r="EN12" s="449">
        <f t="shared" si="9"/>
        <v>0</v>
      </c>
      <c r="EO12" s="453">
        <f>SUM(EO13:EO52)</f>
        <v>0</v>
      </c>
      <c r="EP12" s="448">
        <f t="shared" ref="EP12:FA12" si="10">SUM(EP13:EP52)</f>
        <v>0</v>
      </c>
      <c r="EQ12" s="448">
        <f t="shared" si="10"/>
        <v>0</v>
      </c>
      <c r="ER12" s="448">
        <f t="shared" si="10"/>
        <v>0</v>
      </c>
      <c r="ES12" s="448">
        <f t="shared" si="10"/>
        <v>0</v>
      </c>
      <c r="ET12" s="448">
        <f t="shared" si="10"/>
        <v>0</v>
      </c>
      <c r="EU12" s="448">
        <f t="shared" si="10"/>
        <v>0</v>
      </c>
      <c r="EV12" s="448">
        <f t="shared" si="10"/>
        <v>0</v>
      </c>
      <c r="EW12" s="448">
        <f t="shared" si="10"/>
        <v>0</v>
      </c>
      <c r="EX12" s="448">
        <f t="shared" si="10"/>
        <v>0</v>
      </c>
      <c r="EY12" s="448">
        <f t="shared" si="10"/>
        <v>0</v>
      </c>
      <c r="EZ12" s="448">
        <f t="shared" si="10"/>
        <v>0</v>
      </c>
      <c r="FA12" s="449">
        <f t="shared" si="10"/>
        <v>0</v>
      </c>
      <c r="FB12" s="453">
        <f>SUM(FB13:FB52)</f>
        <v>0</v>
      </c>
      <c r="FC12" s="448">
        <f t="shared" ref="FC12:FN12" si="11">SUM(FC13:FC52)</f>
        <v>0</v>
      </c>
      <c r="FD12" s="448">
        <f t="shared" si="11"/>
        <v>0</v>
      </c>
      <c r="FE12" s="448">
        <f t="shared" si="11"/>
        <v>0</v>
      </c>
      <c r="FF12" s="448">
        <f t="shared" si="11"/>
        <v>0</v>
      </c>
      <c r="FG12" s="448">
        <f t="shared" si="11"/>
        <v>0</v>
      </c>
      <c r="FH12" s="448">
        <f t="shared" si="11"/>
        <v>0</v>
      </c>
      <c r="FI12" s="448">
        <f t="shared" si="11"/>
        <v>0</v>
      </c>
      <c r="FJ12" s="448">
        <f t="shared" si="11"/>
        <v>0</v>
      </c>
      <c r="FK12" s="448">
        <f t="shared" si="11"/>
        <v>0</v>
      </c>
      <c r="FL12" s="448">
        <f t="shared" si="11"/>
        <v>0</v>
      </c>
      <c r="FM12" s="448">
        <f t="shared" si="11"/>
        <v>0</v>
      </c>
      <c r="FN12" s="449">
        <f t="shared" si="11"/>
        <v>0</v>
      </c>
    </row>
    <row r="13" spans="2:170" s="12" customFormat="1" ht="15" customHeight="1">
      <c r="B13" s="88">
        <v>1</v>
      </c>
      <c r="C13" s="89" t="s">
        <v>680</v>
      </c>
      <c r="D13" s="97" t="s">
        <v>1025</v>
      </c>
      <c r="E13" s="1157" t="s">
        <v>1156</v>
      </c>
      <c r="F13" s="425" t="s">
        <v>455</v>
      </c>
      <c r="G13" s="94" t="str">
        <f>IFERROR(VLOOKUP($F13,Master!$B$1:$C$7,2,0),"-")</f>
        <v>고급II-특급II</v>
      </c>
      <c r="H13" s="91">
        <f>Y13+AL13+AY13+BL13</f>
        <v>1</v>
      </c>
      <c r="I13" s="138">
        <f>SUM(BZ13,CM13,CZ13,DM13)</f>
        <v>9220418</v>
      </c>
      <c r="J13" s="138">
        <f>SUM(,EA13,EN13,FA13,FN13)</f>
        <v>817567</v>
      </c>
      <c r="K13" s="92"/>
      <c r="L13"/>
      <c r="M13" s="58"/>
      <c r="N13" s="59"/>
      <c r="O13" s="59"/>
      <c r="P13" s="59"/>
      <c r="Q13" s="59"/>
      <c r="R13" s="59"/>
      <c r="S13" s="59"/>
      <c r="T13" s="59"/>
      <c r="U13" s="56"/>
      <c r="V13" s="56">
        <v>1</v>
      </c>
      <c r="W13" s="56"/>
      <c r="X13" s="59"/>
      <c r="Y13" s="57">
        <f>SUM(M13:X13)</f>
        <v>1</v>
      </c>
      <c r="Z13" s="58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7">
        <f>SUM(Z13:AK13)</f>
        <v>0</v>
      </c>
      <c r="AM13" s="55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7">
        <f>SUM(AM13:AX13)</f>
        <v>0</v>
      </c>
      <c r="AZ13" s="55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7">
        <f>SUM(AZ13:BK13)</f>
        <v>0</v>
      </c>
      <c r="BM13"/>
      <c r="BN13" s="64">
        <f>ROUND(IFERROR(INDEX('Labor Cost_Master'!$G$4:$BC$135,MATCH($DN13,'Labor Cost_Master'!$BD$4:$BD$135,0),MATCH(BN$9,'Labor Cost_Master'!$G$3:$BC$3,0)),0)*M13,0)</f>
        <v>0</v>
      </c>
      <c r="BO13" s="64">
        <f>ROUND(IFERROR(INDEX('Labor Cost_Master'!$G$4:$BC$135,MATCH($DN13,'Labor Cost_Master'!$BD$4:$BD$135,0),MATCH(BO$9,'Labor Cost_Master'!$G$3:$BC$3,0)),0)*N13,0)</f>
        <v>0</v>
      </c>
      <c r="BP13" s="64">
        <f>ROUND(IFERROR(INDEX('Labor Cost_Master'!$G$4:$BC$135,MATCH($DN13,'Labor Cost_Master'!$BD$4:$BD$135,0),MATCH(BP$9,'Labor Cost_Master'!$G$3:$BC$3,0)),0)*O13,0)</f>
        <v>0</v>
      </c>
      <c r="BQ13" s="64">
        <f>ROUND(IFERROR(INDEX('Labor Cost_Master'!$G$4:$BC$135,MATCH($DN13,'Labor Cost_Master'!$BD$4:$BD$135,0),MATCH(BQ$9,'Labor Cost_Master'!$G$3:$BC$3,0)),0)*P13,0)</f>
        <v>0</v>
      </c>
      <c r="BR13" s="64">
        <f>ROUND(IFERROR(INDEX('Labor Cost_Master'!$G$4:$BC$135,MATCH($DN13,'Labor Cost_Master'!$BD$4:$BD$135,0),MATCH(BR$9,'Labor Cost_Master'!$G$3:$BC$3,0)),0)*Q13,0)</f>
        <v>0</v>
      </c>
      <c r="BS13" s="64">
        <f>ROUND(IFERROR(INDEX('Labor Cost_Master'!$G$4:$BC$135,MATCH($DN13,'Labor Cost_Master'!$BD$4:$BD$135,0),MATCH(BS$9,'Labor Cost_Master'!$G$3:$BC$3,0)),0)*R13,0)</f>
        <v>0</v>
      </c>
      <c r="BT13" s="64">
        <f>ROUND(IFERROR(INDEX('Labor Cost_Master'!$G$4:$BC$135,MATCH($DN13,'Labor Cost_Master'!$BD$4:$BD$135,0),MATCH(BT$9,'Labor Cost_Master'!$G$3:$BC$3,0)),0)*S13,0)</f>
        <v>0</v>
      </c>
      <c r="BU13" s="64">
        <f>ROUND(IFERROR(INDEX('Labor Cost_Master'!$G$4:$BC$135,MATCH($DN13,'Labor Cost_Master'!$BD$4:$BD$135,0),MATCH(BU$9,'Labor Cost_Master'!$G$3:$BC$3,0)),0)*T13,0)</f>
        <v>0</v>
      </c>
      <c r="BV13" s="64">
        <f>ROUND(IFERROR(INDEX('Labor Cost_Master'!$G$4:$BC$135,MATCH($DN13,'Labor Cost_Master'!$BD$4:$BD$135,0),MATCH(BV$9,'Labor Cost_Master'!$G$3:$BC$3,0)),0)*U13,0)</f>
        <v>0</v>
      </c>
      <c r="BW13" s="64">
        <f>ROUND(IFERROR(INDEX('Labor Cost_Master'!$G$4:$BC$135,MATCH($DN13,'Labor Cost_Master'!$BD$4:$BD$135,0),MATCH(BW$9,'Labor Cost_Master'!$G$3:$BC$3,0)),0)*V13,0)</f>
        <v>9220418</v>
      </c>
      <c r="BX13" s="64">
        <f>ROUND(IFERROR(INDEX('Labor Cost_Master'!$G$4:$BC$135,MATCH($DN13,'Labor Cost_Master'!$BD$4:$BD$135,0),MATCH(BX$9,'Labor Cost_Master'!$G$3:$BC$3,0)),0)*W13,0)</f>
        <v>0</v>
      </c>
      <c r="BY13" s="64">
        <f>ROUND(IFERROR(INDEX('Labor Cost_Master'!$G$4:$BC$135,MATCH($DN13,'Labor Cost_Master'!$BD$4:$BD$135,0),MATCH(BY$9,'Labor Cost_Master'!$G$3:$BC$3,0)),0)*X13,0)</f>
        <v>0</v>
      </c>
      <c r="BZ13" s="65">
        <f>SUM(BN13:BY13)</f>
        <v>9220418</v>
      </c>
      <c r="CA13" s="64">
        <f>ROUND(IFERROR(INDEX('Labor Cost_Master'!$G$4:$BC$135,MATCH($DN13,'Labor Cost_Master'!$BD$4:$BD$135,0),MATCH(CA$9,'Labor Cost_Master'!$G$3:$BC$3,0)),0)*Z13,0)</f>
        <v>0</v>
      </c>
      <c r="CB13" s="64">
        <f>ROUND(IFERROR(INDEX('Labor Cost_Master'!$G$4:$BC$135,MATCH($DN13,'Labor Cost_Master'!$BD$4:$BD$135,0),MATCH(CB$9,'Labor Cost_Master'!$G$3:$BC$3,0)),0)*AA13,0)</f>
        <v>0</v>
      </c>
      <c r="CC13" s="64">
        <f>ROUND(IFERROR(INDEX('Labor Cost_Master'!$G$4:$BC$135,MATCH($DN13,'Labor Cost_Master'!$BD$4:$BD$135,0),MATCH(CC$9,'Labor Cost_Master'!$G$3:$BC$3,0)),0)*AB13,0)</f>
        <v>0</v>
      </c>
      <c r="CD13" s="64">
        <f>ROUND(IFERROR(INDEX('Labor Cost_Master'!$G$4:$BC$135,MATCH($DN13,'Labor Cost_Master'!$BD$4:$BD$135,0),MATCH(CD$9,'Labor Cost_Master'!$G$3:$BC$3,0)),0)*AC13,0)</f>
        <v>0</v>
      </c>
      <c r="CE13" s="64">
        <f>ROUND(IFERROR(INDEX('Labor Cost_Master'!$G$4:$BC$135,MATCH($DN13,'Labor Cost_Master'!$BD$4:$BD$135,0),MATCH(CE$9,'Labor Cost_Master'!$G$3:$BC$3,0)),0)*AD13,0)</f>
        <v>0</v>
      </c>
      <c r="CF13" s="64">
        <f>ROUND(IFERROR(INDEX('Labor Cost_Master'!$G$4:$BC$135,MATCH($DN13,'Labor Cost_Master'!$BD$4:$BD$135,0),MATCH(CF$9,'Labor Cost_Master'!$G$3:$BC$3,0)),0)*AE13,0)</f>
        <v>0</v>
      </c>
      <c r="CG13" s="64">
        <f>ROUND(IFERROR(INDEX('Labor Cost_Master'!$G$4:$BC$135,MATCH($DN13,'Labor Cost_Master'!$BD$4:$BD$135,0),MATCH(CG$9,'Labor Cost_Master'!$G$3:$BC$3,0)),0)*AF13,0)</f>
        <v>0</v>
      </c>
      <c r="CH13" s="64">
        <f>ROUND(IFERROR(INDEX('Labor Cost_Master'!$G$4:$BC$135,MATCH($DN13,'Labor Cost_Master'!$BD$4:$BD$135,0),MATCH(CH$9,'Labor Cost_Master'!$G$3:$BC$3,0)),0)*AG13,0)</f>
        <v>0</v>
      </c>
      <c r="CI13" s="64">
        <f>ROUND(IFERROR(INDEX('Labor Cost_Master'!$G$4:$BC$135,MATCH($DN13,'Labor Cost_Master'!$BD$4:$BD$135,0),MATCH(CI$9,'Labor Cost_Master'!$G$3:$BC$3,0)),0)*AH13,0)</f>
        <v>0</v>
      </c>
      <c r="CJ13" s="64">
        <f>ROUND(IFERROR(INDEX('Labor Cost_Master'!$G$4:$BC$135,MATCH($DN13,'Labor Cost_Master'!$BD$4:$BD$135,0),MATCH(CJ$9,'Labor Cost_Master'!$G$3:$BC$3,0)),0)*AI13,0)</f>
        <v>0</v>
      </c>
      <c r="CK13" s="64">
        <f>ROUND(IFERROR(INDEX('Labor Cost_Master'!$G$4:$BC$135,MATCH($DN13,'Labor Cost_Master'!$BD$4:$BD$135,0),MATCH(CK$9,'Labor Cost_Master'!$G$3:$BC$3,0)),0)*AJ13,0)</f>
        <v>0</v>
      </c>
      <c r="CL13" s="64">
        <f>ROUND(IFERROR(INDEX('Labor Cost_Master'!$G$4:$BC$135,MATCH($DN13,'Labor Cost_Master'!$BD$4:$BD$135,0),MATCH(CL$9,'Labor Cost_Master'!$G$3:$BC$3,0)),0)*AK13,0)</f>
        <v>0</v>
      </c>
      <c r="CM13" s="65">
        <f>SUM(CA13:CL13)</f>
        <v>0</v>
      </c>
      <c r="CN13" s="64">
        <f>ROUND(IFERROR(INDEX('Labor Cost_Master'!$G$4:$BC$135,MATCH($DN13,'Labor Cost_Master'!$BD$4:$BD$135,0),MATCH(CN$9,'Labor Cost_Master'!$G$3:$BC$3,0)),0)*AM13,0)</f>
        <v>0</v>
      </c>
      <c r="CO13" s="64">
        <f>ROUND(IFERROR(INDEX('Labor Cost_Master'!$G$4:$BC$135,MATCH($DN13,'Labor Cost_Master'!$BD$4:$BD$135,0),MATCH(CO$9,'Labor Cost_Master'!$G$3:$BC$3,0)),0)*AN13,0)</f>
        <v>0</v>
      </c>
      <c r="CP13" s="64">
        <f>ROUND(IFERROR(INDEX('Labor Cost_Master'!$G$4:$BC$135,MATCH($DN13,'Labor Cost_Master'!$BD$4:$BD$135,0),MATCH(CP$9,'Labor Cost_Master'!$G$3:$BC$3,0)),0)*AO13,0)</f>
        <v>0</v>
      </c>
      <c r="CQ13" s="64">
        <f>ROUND(IFERROR(INDEX('Labor Cost_Master'!$G$4:$BC$135,MATCH($DN13,'Labor Cost_Master'!$BD$4:$BD$135,0),MATCH(CQ$9,'Labor Cost_Master'!$G$3:$BC$3,0)),0)*AP13,0)</f>
        <v>0</v>
      </c>
      <c r="CR13" s="64">
        <f>ROUND(IFERROR(INDEX('Labor Cost_Master'!$G$4:$BC$135,MATCH($DN13,'Labor Cost_Master'!$BD$4:$BD$135,0),MATCH(CR$9,'Labor Cost_Master'!$G$3:$BC$3,0)),0)*AQ13,0)</f>
        <v>0</v>
      </c>
      <c r="CS13" s="64">
        <f>ROUND(IFERROR(INDEX('Labor Cost_Master'!$G$4:$BC$135,MATCH($DN13,'Labor Cost_Master'!$BD$4:$BD$135,0),MATCH(CS$9,'Labor Cost_Master'!$G$3:$BC$3,0)),0)*AR13,0)</f>
        <v>0</v>
      </c>
      <c r="CT13" s="64">
        <f>ROUND(IFERROR(INDEX('Labor Cost_Master'!$G$4:$BC$135,MATCH($DN13,'Labor Cost_Master'!$BD$4:$BD$135,0),MATCH(CT$9,'Labor Cost_Master'!$G$3:$BC$3,0)),0)*AS13,0)</f>
        <v>0</v>
      </c>
      <c r="CU13" s="64">
        <f>ROUND(IFERROR(INDEX('Labor Cost_Master'!$G$4:$BC$135,MATCH($DN13,'Labor Cost_Master'!$BD$4:$BD$135,0),MATCH(CU$9,'Labor Cost_Master'!$G$3:$BC$3,0)),0)*AT13,0)</f>
        <v>0</v>
      </c>
      <c r="CV13" s="64">
        <f>ROUND(IFERROR(INDEX('Labor Cost_Master'!$G$4:$BC$135,MATCH($DN13,'Labor Cost_Master'!$BD$4:$BD$135,0),MATCH(CV$9,'Labor Cost_Master'!$G$3:$BC$3,0)),0)*AU13,0)</f>
        <v>0</v>
      </c>
      <c r="CW13" s="64">
        <f>ROUND(IFERROR(INDEX('Labor Cost_Master'!$G$4:$BC$135,MATCH($DN13,'Labor Cost_Master'!$BD$4:$BD$135,0),MATCH(CW$9,'Labor Cost_Master'!$G$3:$BC$3,0)),0)*AV13,0)</f>
        <v>0</v>
      </c>
      <c r="CX13" s="64">
        <f>ROUND(IFERROR(INDEX('Labor Cost_Master'!$G$4:$BC$135,MATCH($DN13,'Labor Cost_Master'!$BD$4:$BD$135,0),MATCH(CX$9,'Labor Cost_Master'!$G$3:$BC$3,0)),0)*AW13,0)</f>
        <v>0</v>
      </c>
      <c r="CY13" s="64">
        <f>ROUND(IFERROR(INDEX('Labor Cost_Master'!$G$4:$BC$135,MATCH($DN13,'Labor Cost_Master'!$BD$4:$BD$135,0),MATCH(CY$9,'Labor Cost_Master'!$G$3:$BC$3,0)),0)*AX13,0)</f>
        <v>0</v>
      </c>
      <c r="CZ13" s="65">
        <f>SUM(CN13:CY13)</f>
        <v>0</v>
      </c>
      <c r="DA13" s="64">
        <f>ROUND(IFERROR(INDEX('Labor Cost_Master'!$G$4:$BC$135,MATCH($DN13,'Labor Cost_Master'!$BD$4:$BD$135,0),MATCH(DA$9,'Labor Cost_Master'!$G$3:$BC$3,0)),0)*AZ13,0)</f>
        <v>0</v>
      </c>
      <c r="DB13" s="64">
        <f>ROUND(IFERROR(INDEX('Labor Cost_Master'!$G$4:$BC$135,MATCH($DN13,'Labor Cost_Master'!$BD$4:$BD$135,0),MATCH(DB$9,'Labor Cost_Master'!$G$3:$BC$3,0)),0)*BA13,0)</f>
        <v>0</v>
      </c>
      <c r="DC13" s="1166">
        <f>ROUND(IFERROR(INDEX('Labor Cost_Master'!$G$4:$BC$135,MATCH($DN13,'Labor Cost_Master'!$BD$4:$BD$135,0),MATCH(DC$9,'Labor Cost_Master'!$G$3:$BC$3,0)),0)*BB13,0)*1.05</f>
        <v>0</v>
      </c>
      <c r="DD13" s="64">
        <f>ROUND(IFERROR(INDEX('Labor Cost_Master'!$G$4:$BC$135,MATCH($DN13,'Labor Cost_Master'!$BD$4:$BD$135,0),MATCH(DD$9,'Labor Cost_Master'!$G$3:$BC$3,0)),0)*BC13,0)*1.05</f>
        <v>0</v>
      </c>
      <c r="DE13" s="64">
        <f>ROUND(IFERROR(INDEX('Labor Cost_Master'!$G$4:$BC$135,MATCH($DN13,'Labor Cost_Master'!$BD$4:$BD$135,0),MATCH(DE$9,'Labor Cost_Master'!$G$3:$BC$3,0)),0)*BD13,0)*1.05</f>
        <v>0</v>
      </c>
      <c r="DF13" s="64">
        <f>ROUND(IFERROR(INDEX('Labor Cost_Master'!$G$4:$BC$135,MATCH($DN13,'Labor Cost_Master'!$BD$4:$BD$135,0),MATCH(DF$9,'Labor Cost_Master'!$G$3:$BC$3,0)),0)*BE13,0)*1.05</f>
        <v>0</v>
      </c>
      <c r="DG13" s="64">
        <f>ROUND(IFERROR(INDEX('Labor Cost_Master'!$G$4:$BC$135,MATCH($DN13,'Labor Cost_Master'!$BD$4:$BD$135,0),MATCH(DG$9,'Labor Cost_Master'!$G$3:$BC$3,0)),0)*BF13,0)*1.05</f>
        <v>0</v>
      </c>
      <c r="DH13" s="64">
        <f>ROUND(IFERROR(INDEX('Labor Cost_Master'!$G$4:$BC$135,MATCH($DN13,'Labor Cost_Master'!$BD$4:$BD$135,0),MATCH(DH$9,'Labor Cost_Master'!$G$3:$BC$3,0)),0)*BG13,0)*1.05</f>
        <v>0</v>
      </c>
      <c r="DI13" s="64">
        <f>ROUND(IFERROR(INDEX('Labor Cost_Master'!$G$4:$BC$135,MATCH($DN13,'Labor Cost_Master'!$BD$4:$BD$135,0),MATCH(DI$9,'Labor Cost_Master'!$G$3:$BC$3,0)),0)*BH13,0)*1.05</f>
        <v>0</v>
      </c>
      <c r="DJ13" s="64">
        <f>ROUND(IFERROR(INDEX('Labor Cost_Master'!$G$4:$BC$135,MATCH($DN13,'Labor Cost_Master'!$BD$4:$BD$135,0),MATCH(DJ$9,'Labor Cost_Master'!$G$3:$BC$3,0)),0)*BI13,0)*1.05</f>
        <v>0</v>
      </c>
      <c r="DK13" s="64">
        <f>ROUND(IFERROR(INDEX('Labor Cost_Master'!$G$4:$BC$135,MATCH($DN13,'Labor Cost_Master'!$BD$4:$BD$135,0),MATCH(DK$9,'Labor Cost_Master'!$G$3:$BC$3,0)),0)*BJ13,0)*1.05</f>
        <v>0</v>
      </c>
      <c r="DL13" s="64">
        <f>ROUND(IFERROR(INDEX('Labor Cost_Master'!$G$4:$BC$135,MATCH($DN13,'Labor Cost_Master'!$BD$4:$BD$135,0),MATCH(DL$9,'Labor Cost_Master'!$G$3:$BC$3,0)),0)*BK13,0)*1.05</f>
        <v>0</v>
      </c>
      <c r="DM13" s="65">
        <f>SUM(DA13:DL13)</f>
        <v>0</v>
      </c>
      <c r="DN13" s="80" t="str">
        <f>D13&amp;F13</f>
        <v>MES실행그룹CL3(책임-수석보)</v>
      </c>
      <c r="DO13" s="64">
        <f>ROUND(IFERROR(INDEX(Benefit_Master!$G$4:$BC$135,MATCH($DN13,Benefit_Master!$BD$4:$BD$135,0),MATCH(DO$9,Benefit_Master!$G$3:$BC$3,0)),0)*M13,0)</f>
        <v>0</v>
      </c>
      <c r="DP13" s="64">
        <f>ROUND(IFERROR(INDEX(Benefit_Master!$G$4:$BC$135,MATCH($DN13,Benefit_Master!$BD$4:$BD$135,0),MATCH(DP$9,Benefit_Master!$G$3:$BC$3,0)),0)*N13,0)</f>
        <v>0</v>
      </c>
      <c r="DQ13" s="64">
        <f>ROUND(IFERROR(INDEX(Benefit_Master!$G$4:$BC$135,MATCH($DN13,Benefit_Master!$BD$4:$BD$135,0),MATCH(DQ$9,Benefit_Master!$G$3:$BC$3,0)),0)*O13,0)</f>
        <v>0</v>
      </c>
      <c r="DR13" s="64">
        <f>ROUND(IFERROR(INDEX(Benefit_Master!$G$4:$BC$135,MATCH($DN13,Benefit_Master!$BD$4:$BD$135,0),MATCH(DR$9,Benefit_Master!$G$3:$BC$3,0)),0)*P13,0)</f>
        <v>0</v>
      </c>
      <c r="DS13" s="64">
        <f>ROUND(IFERROR(INDEX(Benefit_Master!$G$4:$BC$135,MATCH($DN13,Benefit_Master!$BD$4:$BD$135,0),MATCH(DS$9,Benefit_Master!$G$3:$BC$3,0)),0)*Q13,0)</f>
        <v>0</v>
      </c>
      <c r="DT13" s="64">
        <f>ROUND(IFERROR(INDEX(Benefit_Master!$G$4:$BC$135,MATCH($DN13,Benefit_Master!$BD$4:$BD$135,0),MATCH(DT$9,Benefit_Master!$G$3:$BC$3,0)),0)*R13,0)</f>
        <v>0</v>
      </c>
      <c r="DU13" s="64">
        <f>ROUND(IFERROR(INDEX(Benefit_Master!$G$4:$BC$135,MATCH($DN13,Benefit_Master!$BD$4:$BD$135,0),MATCH(DU$9,Benefit_Master!$G$3:$BC$3,0)),0)*S13,0)</f>
        <v>0</v>
      </c>
      <c r="DV13" s="64">
        <f>ROUND(IFERROR(INDEX(Benefit_Master!$G$4:$BC$135,MATCH($DN13,Benefit_Master!$BD$4:$BD$135,0),MATCH(DV$9,Benefit_Master!$G$3:$BC$3,0)),0)*T13,0)</f>
        <v>0</v>
      </c>
      <c r="DW13" s="64">
        <f>ROUND(IFERROR(INDEX(Benefit_Master!$G$4:$BC$135,MATCH($DN13,Benefit_Master!$BD$4:$BD$135,0),MATCH(DW$9,Benefit_Master!$G$3:$BC$3,0)),0)*U13,0)</f>
        <v>0</v>
      </c>
      <c r="DX13" s="64">
        <f>ROUND(IFERROR(INDEX(Benefit_Master!$G$4:$BC$135,MATCH($DN13,Benefit_Master!$BD$4:$BD$135,0),MATCH(DX$9,Benefit_Master!$G$3:$BC$3,0)),0)*V13,0)</f>
        <v>817567</v>
      </c>
      <c r="DY13" s="64">
        <f>ROUND(IFERROR(INDEX(Benefit_Master!$G$4:$BC$135,MATCH($DN13,Benefit_Master!$BD$4:$BD$135,0),MATCH(DY$9,Benefit_Master!$G$3:$BC$3,0)),0)*W13,0)</f>
        <v>0</v>
      </c>
      <c r="DZ13" s="64">
        <f>ROUND(IFERROR(INDEX(Benefit_Master!$G$4:$BC$135,MATCH($DN13,Benefit_Master!$BD$4:$BD$135,0),MATCH(DZ$9,Benefit_Master!$G$3:$BC$3,0)),0)*X13,0)</f>
        <v>0</v>
      </c>
      <c r="EA13" s="65">
        <f>SUM(DO13:DZ13)</f>
        <v>817567</v>
      </c>
      <c r="EB13" s="64">
        <f>ROUND(IFERROR(INDEX(Benefit_Master!$G$4:$BC$135,MATCH($DN13,Benefit_Master!$BD$4:$BD$135,0),MATCH(EB$9,Benefit_Master!$G$3:$BC$3,0)),0)*Z13,0)</f>
        <v>0</v>
      </c>
      <c r="EC13" s="64">
        <f>ROUND(IFERROR(INDEX(Benefit_Master!$G$4:$BC$135,MATCH($DN13,Benefit_Master!$BD$4:$BD$135,0),MATCH(EC$9,Benefit_Master!$G$3:$BC$3,0)),0)*AA13,0)</f>
        <v>0</v>
      </c>
      <c r="ED13" s="64">
        <f>ROUND(IFERROR(INDEX(Benefit_Master!$G$4:$BC$135,MATCH($DN13,Benefit_Master!$BD$4:$BD$135,0),MATCH(ED$9,Benefit_Master!$G$3:$BC$3,0)),0)*AB13,0)</f>
        <v>0</v>
      </c>
      <c r="EE13" s="64">
        <f>ROUND(IFERROR(INDEX(Benefit_Master!$G$4:$BC$135,MATCH($DN13,Benefit_Master!$BD$4:$BD$135,0),MATCH(EE$9,Benefit_Master!$G$3:$BC$3,0)),0)*AC13,0)</f>
        <v>0</v>
      </c>
      <c r="EF13" s="64">
        <f>ROUND(IFERROR(INDEX(Benefit_Master!$G$4:$BC$135,MATCH($DN13,Benefit_Master!$BD$4:$BD$135,0),MATCH(EF$9,Benefit_Master!$G$3:$BC$3,0)),0)*AD13,0)</f>
        <v>0</v>
      </c>
      <c r="EG13" s="64">
        <f>ROUND(IFERROR(INDEX(Benefit_Master!$G$4:$BC$135,MATCH($DN13,Benefit_Master!$BD$4:$BD$135,0),MATCH(EG$9,Benefit_Master!$G$3:$BC$3,0)),0)*AE13,0)</f>
        <v>0</v>
      </c>
      <c r="EH13" s="64">
        <f>ROUND(IFERROR(INDEX(Benefit_Master!$G$4:$BC$135,MATCH($DN13,Benefit_Master!$BD$4:$BD$135,0),MATCH(EH$9,Benefit_Master!$G$3:$BC$3,0)),0)*AF13,0)</f>
        <v>0</v>
      </c>
      <c r="EI13" s="64">
        <f>ROUND(IFERROR(INDEX(Benefit_Master!$G$4:$BC$135,MATCH($DN13,Benefit_Master!$BD$4:$BD$135,0),MATCH(EI$9,Benefit_Master!$G$3:$BC$3,0)),0)*AG13,0)</f>
        <v>0</v>
      </c>
      <c r="EJ13" s="64">
        <f>ROUND(IFERROR(INDEX(Benefit_Master!$G$4:$BC$135,MATCH($DN13,Benefit_Master!$BD$4:$BD$135,0),MATCH(EJ$9,Benefit_Master!$G$3:$BC$3,0)),0)*AH13,0)</f>
        <v>0</v>
      </c>
      <c r="EK13" s="64">
        <f>ROUND(IFERROR(INDEX(Benefit_Master!$G$4:$BC$135,MATCH($DN13,Benefit_Master!$BD$4:$BD$135,0),MATCH(EK$9,Benefit_Master!$G$3:$BC$3,0)),0)*AI13,0)</f>
        <v>0</v>
      </c>
      <c r="EL13" s="64">
        <f>ROUND(IFERROR(INDEX(Benefit_Master!$G$4:$BC$135,MATCH($DN13,Benefit_Master!$BD$4:$BD$135,0),MATCH(EL$9,Benefit_Master!$G$3:$BC$3,0)),0)*AJ13,0)</f>
        <v>0</v>
      </c>
      <c r="EM13" s="64">
        <f>ROUND(IFERROR(INDEX(Benefit_Master!$G$4:$BC$135,MATCH($DN13,Benefit_Master!$BD$4:$BD$135,0),MATCH(EM$9,Benefit_Master!$G$3:$BC$3,0)),0)*AK13,0)</f>
        <v>0</v>
      </c>
      <c r="EN13" s="65">
        <f>SUM(EB13:EM13)</f>
        <v>0</v>
      </c>
      <c r="EO13" s="64">
        <f>ROUND(IFERROR(INDEX(Benefit_Master!$G$4:$BC$135,MATCH($DN13,Benefit_Master!$BD$4:$BD$135,0),MATCH(EO$9,Benefit_Master!$G$3:$BC$3,0)),0)*AM13,0)</f>
        <v>0</v>
      </c>
      <c r="EP13" s="64">
        <f>ROUND(IFERROR(INDEX(Benefit_Master!$G$4:$BC$135,MATCH($DN13,Benefit_Master!$BD$4:$BD$135,0),MATCH(EP$9,Benefit_Master!$G$3:$BC$3,0)),0)*AN13,0)</f>
        <v>0</v>
      </c>
      <c r="EQ13" s="64">
        <f>ROUND(IFERROR(INDEX(Benefit_Master!$G$4:$BC$135,MATCH($DN13,Benefit_Master!$BD$4:$BD$135,0),MATCH(EQ$9,Benefit_Master!$G$3:$BC$3,0)),0)*AO13,0)</f>
        <v>0</v>
      </c>
      <c r="ER13" s="64">
        <f>ROUND(IFERROR(INDEX(Benefit_Master!$G$4:$BC$135,MATCH($DN13,Benefit_Master!$BD$4:$BD$135,0),MATCH(ER$9,Benefit_Master!$G$3:$BC$3,0)),0)*AP13,0)</f>
        <v>0</v>
      </c>
      <c r="ES13" s="64">
        <f>ROUND(IFERROR(INDEX(Benefit_Master!$G$4:$BC$135,MATCH($DN13,Benefit_Master!$BD$4:$BD$135,0),MATCH(ES$9,Benefit_Master!$G$3:$BC$3,0)),0)*AQ13,0)</f>
        <v>0</v>
      </c>
      <c r="ET13" s="64">
        <f>ROUND(IFERROR(INDEX(Benefit_Master!$G$4:$BC$135,MATCH($DN13,Benefit_Master!$BD$4:$BD$135,0),MATCH(ET$9,Benefit_Master!$G$3:$BC$3,0)),0)*AR13,0)</f>
        <v>0</v>
      </c>
      <c r="EU13" s="64">
        <f>ROUND(IFERROR(INDEX(Benefit_Master!$G$4:$BC$135,MATCH($DN13,Benefit_Master!$BD$4:$BD$135,0),MATCH(EU$9,Benefit_Master!$G$3:$BC$3,0)),0)*AS13,0)</f>
        <v>0</v>
      </c>
      <c r="EV13" s="64">
        <f>ROUND(IFERROR(INDEX(Benefit_Master!$G$4:$BC$135,MATCH($DN13,Benefit_Master!$BD$4:$BD$135,0),MATCH(EV$9,Benefit_Master!$G$3:$BC$3,0)),0)*AT13,0)</f>
        <v>0</v>
      </c>
      <c r="EW13" s="64">
        <f>ROUND(IFERROR(INDEX(Benefit_Master!$G$4:$BC$135,MATCH($DN13,Benefit_Master!$BD$4:$BD$135,0),MATCH(EW$9,Benefit_Master!$G$3:$BC$3,0)),0)*AU13,0)</f>
        <v>0</v>
      </c>
      <c r="EX13" s="64">
        <f>ROUND(IFERROR(INDEX(Benefit_Master!$G$4:$BC$135,MATCH($DN13,Benefit_Master!$BD$4:$BD$135,0),MATCH(EX$9,Benefit_Master!$G$3:$BC$3,0)),0)*AV13,0)</f>
        <v>0</v>
      </c>
      <c r="EY13" s="64">
        <f>ROUND(IFERROR(INDEX(Benefit_Master!$G$4:$BC$135,MATCH($DN13,Benefit_Master!$BD$4:$BD$135,0),MATCH(EY$9,Benefit_Master!$G$3:$BC$3,0)),0)*AW13,0)</f>
        <v>0</v>
      </c>
      <c r="EZ13" s="64">
        <f>ROUND(IFERROR(INDEX(Benefit_Master!$G$4:$BC$135,MATCH($DN13,Benefit_Master!$BD$4:$BD$135,0),MATCH(EZ$9,Benefit_Master!$G$3:$BC$3,0)),0)*AX13,0)</f>
        <v>0</v>
      </c>
      <c r="FA13" s="65">
        <f>SUM(EO13:EZ13)</f>
        <v>0</v>
      </c>
      <c r="FB13" s="64">
        <f>ROUND(IFERROR(INDEX(Benefit_Master!$G$4:$BC$135,MATCH($DN13,Benefit_Master!$BD$4:$BD$135,0),MATCH(FB$9,Benefit_Master!$G$3:$BC$3,0)),0)*AZ13,0)</f>
        <v>0</v>
      </c>
      <c r="FC13" s="64">
        <f>ROUND(IFERROR(INDEX(Benefit_Master!$G$4:$BC$135,MATCH($DN13,Benefit_Master!$BD$4:$BD$135,0),MATCH(FC$9,Benefit_Master!$G$3:$BC$3,0)),0)*BA13,0)</f>
        <v>0</v>
      </c>
      <c r="FD13" s="64">
        <f>ROUND(IFERROR(INDEX(Benefit_Master!$G$4:$BC$135,MATCH($DN13,Benefit_Master!$BD$4:$BD$135,0),MATCH(FD$9,Benefit_Master!$G$3:$BC$3,0)),0)*BB13,0)</f>
        <v>0</v>
      </c>
      <c r="FE13" s="64">
        <f>ROUND(IFERROR(INDEX(Benefit_Master!$G$4:$BC$135,MATCH($DN13,Benefit_Master!$BD$4:$BD$135,0),MATCH(FE$9,Benefit_Master!$G$3:$BC$3,0)),0)*BC13,0)</f>
        <v>0</v>
      </c>
      <c r="FF13" s="64">
        <f>ROUND(IFERROR(INDEX(Benefit_Master!$G$4:$BC$135,MATCH($DN13,Benefit_Master!$BD$4:$BD$135,0),MATCH(FF$9,Benefit_Master!$G$3:$BC$3,0)),0)*BD13,0)</f>
        <v>0</v>
      </c>
      <c r="FG13" s="64">
        <f>ROUND(IFERROR(INDEX(Benefit_Master!$G$4:$BC$135,MATCH($DN13,Benefit_Master!$BD$4:$BD$135,0),MATCH(FG$9,Benefit_Master!$G$3:$BC$3,0)),0)*BE13,0)</f>
        <v>0</v>
      </c>
      <c r="FH13" s="64">
        <f>ROUND(IFERROR(INDEX(Benefit_Master!$G$4:$BC$135,MATCH($DN13,Benefit_Master!$BD$4:$BD$135,0),MATCH(FH$9,Benefit_Master!$G$3:$BC$3,0)),0)*BF13,0)</f>
        <v>0</v>
      </c>
      <c r="FI13" s="64">
        <f>ROUND(IFERROR(INDEX(Benefit_Master!$G$4:$BC$135,MATCH($DN13,Benefit_Master!$BD$4:$BD$135,0),MATCH(FI$9,Benefit_Master!$G$3:$BC$3,0)),0)*BG13,0)</f>
        <v>0</v>
      </c>
      <c r="FJ13" s="64">
        <f>ROUND(IFERROR(INDEX(Benefit_Master!$G$4:$BC$135,MATCH($DN13,Benefit_Master!$BD$4:$BD$135,0),MATCH(FJ$9,Benefit_Master!$G$3:$BC$3,0)),0)*BH13,0)</f>
        <v>0</v>
      </c>
      <c r="FK13" s="64">
        <f>ROUND(IFERROR(INDEX(Benefit_Master!$G$4:$BC$135,MATCH($DN13,Benefit_Master!$BD$4:$BD$135,0),MATCH(FK$9,Benefit_Master!$G$3:$BC$3,0)),0)*BI13,0)</f>
        <v>0</v>
      </c>
      <c r="FL13" s="64">
        <f>ROUND(IFERROR(INDEX(Benefit_Master!$G$4:$BC$135,MATCH($DN13,Benefit_Master!$BD$4:$BD$135,0),MATCH(FL$9,Benefit_Master!$G$3:$BC$3,0)),0)*BJ13,0)</f>
        <v>0</v>
      </c>
      <c r="FM13" s="64">
        <f>ROUND(IFERROR(INDEX(Benefit_Master!$G$4:$BC$135,MATCH($DN13,Benefit_Master!$BD$4:$BD$135,0),MATCH(FM$9,Benefit_Master!$G$3:$BC$3,0)),0)*BK13,0)</f>
        <v>0</v>
      </c>
      <c r="FN13" s="65">
        <f>SUM(FB13:FM13)</f>
        <v>0</v>
      </c>
    </row>
    <row r="14" spans="2:170" s="12" customFormat="1" ht="15" customHeight="1">
      <c r="B14" s="93">
        <f>+B13+1</f>
        <v>2</v>
      </c>
      <c r="C14" s="89"/>
      <c r="D14" s="97"/>
      <c r="E14" s="1164"/>
      <c r="F14" s="425"/>
      <c r="G14" s="94" t="str">
        <f>IFERROR(VLOOKUP($F14,Master!$B$1:$C$7,2,0),"-")</f>
        <v>-</v>
      </c>
      <c r="H14" s="95">
        <f t="shared" ref="H14:H52" si="12">Y14+AL14+AY14+BL14</f>
        <v>0</v>
      </c>
      <c r="I14" s="138">
        <f t="shared" ref="I14:I52" si="13">SUM(BZ14,CM14,CZ14,DM14)</f>
        <v>0</v>
      </c>
      <c r="J14" s="138">
        <f t="shared" ref="J14:J52" si="14">SUM(,EA14,EN14,FA14,FN14)</f>
        <v>0</v>
      </c>
      <c r="K14" s="96"/>
      <c r="L14"/>
      <c r="M14" s="58"/>
      <c r="N14" s="59"/>
      <c r="O14" s="59"/>
      <c r="P14" s="1191"/>
      <c r="Q14" s="59"/>
      <c r="R14" s="59"/>
      <c r="S14" s="59"/>
      <c r="T14" s="59"/>
      <c r="U14" s="863"/>
      <c r="V14" s="56"/>
      <c r="W14" s="56"/>
      <c r="X14" s="56"/>
      <c r="Y14" s="60">
        <f t="shared" ref="Y14:Y52" si="15">SUM(M14:X14)</f>
        <v>0</v>
      </c>
      <c r="Z14" s="55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60">
        <f t="shared" ref="AL14:AL52" si="16">SUM(Z14:AK14)</f>
        <v>0</v>
      </c>
      <c r="AM14" s="58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60">
        <f t="shared" ref="AY14:AY52" si="17">SUM(AM14:AX14)</f>
        <v>0</v>
      </c>
      <c r="AZ14" s="58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60">
        <f t="shared" ref="BL14:BL52" si="18">SUM(AZ14:BK14)</f>
        <v>0</v>
      </c>
      <c r="BM14"/>
      <c r="BN14" s="64">
        <f>ROUND(IFERROR(INDEX('Labor Cost_Master'!$G$4:$BC$135,MATCH($DN14,'Labor Cost_Master'!$BD$4:$BD$135,0),MATCH(BN$9,'Labor Cost_Master'!$G$3:$BC$3,0)),0)*M14,0)</f>
        <v>0</v>
      </c>
      <c r="BO14" s="64">
        <f>ROUND(IFERROR(INDEX('Labor Cost_Master'!$G$4:$BC$135,MATCH($DN14,'Labor Cost_Master'!$BD$4:$BD$135,0),MATCH(BO$9,'Labor Cost_Master'!$G$3:$BC$3,0)),0)*N14,0)</f>
        <v>0</v>
      </c>
      <c r="BP14" s="64">
        <f>ROUND(IFERROR(INDEX('Labor Cost_Master'!$G$4:$BC$135,MATCH($DN14,'Labor Cost_Master'!$BD$4:$BD$135,0),MATCH(BP$9,'Labor Cost_Master'!$G$3:$BC$3,0)),0)*O14,0)</f>
        <v>0</v>
      </c>
      <c r="BQ14" s="64">
        <f>ROUND(IFERROR(INDEX('Labor Cost_Master'!$G$4:$BC$135,MATCH($DN14,'Labor Cost_Master'!$BD$4:$BD$135,0),MATCH(BQ$9,'Labor Cost_Master'!$G$3:$BC$3,0)),0)*P14,0)</f>
        <v>0</v>
      </c>
      <c r="BR14" s="64">
        <f>ROUND(IFERROR(INDEX('Labor Cost_Master'!$G$4:$BC$135,MATCH($DN14,'Labor Cost_Master'!$BD$4:$BD$135,0),MATCH(BR$9,'Labor Cost_Master'!$G$3:$BC$3,0)),0)*Q14,0)</f>
        <v>0</v>
      </c>
      <c r="BS14" s="64">
        <f>ROUND(IFERROR(INDEX('Labor Cost_Master'!$G$4:$BC$135,MATCH($DN14,'Labor Cost_Master'!$BD$4:$BD$135,0),MATCH(BS$9,'Labor Cost_Master'!$G$3:$BC$3,0)),0)*R14,0)</f>
        <v>0</v>
      </c>
      <c r="BT14" s="64">
        <f>ROUND(IFERROR(INDEX('Labor Cost_Master'!$G$4:$BC$135,MATCH($DN14,'Labor Cost_Master'!$BD$4:$BD$135,0),MATCH(BT$9,'Labor Cost_Master'!$G$3:$BC$3,0)),0)*S14,0)</f>
        <v>0</v>
      </c>
      <c r="BU14" s="64">
        <f>ROUND(IFERROR(INDEX('Labor Cost_Master'!$G$4:$BC$135,MATCH($DN14,'Labor Cost_Master'!$BD$4:$BD$135,0),MATCH(BU$9,'Labor Cost_Master'!$G$3:$BC$3,0)),0)*T14,0)</f>
        <v>0</v>
      </c>
      <c r="BV14" s="64">
        <f>ROUND(IFERROR(INDEX('Labor Cost_Master'!$G$4:$BC$135,MATCH($DN14,'Labor Cost_Master'!$BD$4:$BD$135,0),MATCH(BV$9,'Labor Cost_Master'!$G$3:$BC$3,0)),0)*U14,0)</f>
        <v>0</v>
      </c>
      <c r="BW14" s="64">
        <f>ROUND(IFERROR(INDEX('Labor Cost_Master'!$G$4:$BC$135,MATCH($DN14,'Labor Cost_Master'!$BD$4:$BD$135,0),MATCH(BW$9,'Labor Cost_Master'!$G$3:$BC$3,0)),0)*V14,0)</f>
        <v>0</v>
      </c>
      <c r="BX14" s="64">
        <f>ROUND(IFERROR(INDEX('Labor Cost_Master'!$G$4:$BC$135,MATCH($DN14,'Labor Cost_Master'!$BD$4:$BD$135,0),MATCH(BX$9,'Labor Cost_Master'!$G$3:$BC$3,0)),0)*W14,0)</f>
        <v>0</v>
      </c>
      <c r="BY14" s="64">
        <f>ROUND(IFERROR(INDEX('Labor Cost_Master'!$G$4:$BC$135,MATCH($DN14,'Labor Cost_Master'!$BD$4:$BD$135,0),MATCH(BY$9,'Labor Cost_Master'!$G$3:$BC$3,0)),0)*X14,0)</f>
        <v>0</v>
      </c>
      <c r="BZ14" s="66">
        <f t="shared" ref="BZ14:BZ40" si="19">SUM(BN14:BY14)</f>
        <v>0</v>
      </c>
      <c r="CA14" s="64">
        <f>ROUND(IFERROR(INDEX('Labor Cost_Master'!$G$4:$BC$135,MATCH($DN14,'Labor Cost_Master'!$BD$4:$BD$135,0),MATCH(CA$9,'Labor Cost_Master'!$G$3:$BC$3,0)),0)*Z14,0)</f>
        <v>0</v>
      </c>
      <c r="CB14" s="64">
        <f>ROUND(IFERROR(INDEX('Labor Cost_Master'!$G$4:$BC$135,MATCH($DN14,'Labor Cost_Master'!$BD$4:$BD$135,0),MATCH(CB$9,'Labor Cost_Master'!$G$3:$BC$3,0)),0)*AA14,0)</f>
        <v>0</v>
      </c>
      <c r="CC14" s="64">
        <f>ROUND(IFERROR(INDEX('Labor Cost_Master'!$G$4:$BC$135,MATCH($DN14,'Labor Cost_Master'!$BD$4:$BD$135,0),MATCH(CC$9,'Labor Cost_Master'!$G$3:$BC$3,0)),0)*AB14,0)</f>
        <v>0</v>
      </c>
      <c r="CD14" s="64">
        <f>ROUND(IFERROR(INDEX('Labor Cost_Master'!$G$4:$BC$135,MATCH($DN14,'Labor Cost_Master'!$BD$4:$BD$135,0),MATCH(CD$9,'Labor Cost_Master'!$G$3:$BC$3,0)),0)*AC14,0)</f>
        <v>0</v>
      </c>
      <c r="CE14" s="64">
        <f>ROUND(IFERROR(INDEX('Labor Cost_Master'!$G$4:$BC$135,MATCH($DN14,'Labor Cost_Master'!$BD$4:$BD$135,0),MATCH(CE$9,'Labor Cost_Master'!$G$3:$BC$3,0)),0)*AD14,0)</f>
        <v>0</v>
      </c>
      <c r="CF14" s="64">
        <f>ROUND(IFERROR(INDEX('Labor Cost_Master'!$G$4:$BC$135,MATCH($DN14,'Labor Cost_Master'!$BD$4:$BD$135,0),MATCH(CF$9,'Labor Cost_Master'!$G$3:$BC$3,0)),0)*AE14,0)</f>
        <v>0</v>
      </c>
      <c r="CG14" s="64">
        <f>ROUND(IFERROR(INDEX('Labor Cost_Master'!$G$4:$BC$135,MATCH($DN14,'Labor Cost_Master'!$BD$4:$BD$135,0),MATCH(CG$9,'Labor Cost_Master'!$G$3:$BC$3,0)),0)*AF14,0)</f>
        <v>0</v>
      </c>
      <c r="CH14" s="64">
        <f>ROUND(IFERROR(INDEX('Labor Cost_Master'!$G$4:$BC$135,MATCH($DN14,'Labor Cost_Master'!$BD$4:$BD$135,0),MATCH(CH$9,'Labor Cost_Master'!$G$3:$BC$3,0)),0)*AG14,0)</f>
        <v>0</v>
      </c>
      <c r="CI14" s="64">
        <f>ROUND(IFERROR(INDEX('Labor Cost_Master'!$G$4:$BC$135,MATCH($DN14,'Labor Cost_Master'!$BD$4:$BD$135,0),MATCH(CI$9,'Labor Cost_Master'!$G$3:$BC$3,0)),0)*AH14,0)</f>
        <v>0</v>
      </c>
      <c r="CJ14" s="64">
        <f>ROUND(IFERROR(INDEX('Labor Cost_Master'!$G$4:$BC$135,MATCH($DN14,'Labor Cost_Master'!$BD$4:$BD$135,0),MATCH(CJ$9,'Labor Cost_Master'!$G$3:$BC$3,0)),0)*AI14,0)</f>
        <v>0</v>
      </c>
      <c r="CK14" s="64">
        <f>ROUND(IFERROR(INDEX('Labor Cost_Master'!$G$4:$BC$135,MATCH($DN14,'Labor Cost_Master'!$BD$4:$BD$135,0),MATCH(CK$9,'Labor Cost_Master'!$G$3:$BC$3,0)),0)*AJ14,0)</f>
        <v>0</v>
      </c>
      <c r="CL14" s="64">
        <f>ROUND(IFERROR(INDEX('Labor Cost_Master'!$G$4:$BC$135,MATCH($DN14,'Labor Cost_Master'!$BD$4:$BD$135,0),MATCH(CL$9,'Labor Cost_Master'!$G$3:$BC$3,0)),0)*AK14,0)</f>
        <v>0</v>
      </c>
      <c r="CM14" s="66">
        <f t="shared" ref="CM14:CM40" si="20">SUM(CA14:CL14)</f>
        <v>0</v>
      </c>
      <c r="CN14" s="64">
        <f>ROUND(IFERROR(INDEX('Labor Cost_Master'!$G$4:$BC$135,MATCH($DN14,'Labor Cost_Master'!$BD$4:$BD$135,0),MATCH(CN$9,'Labor Cost_Master'!$G$3:$BC$3,0)),0)*AM14,0)</f>
        <v>0</v>
      </c>
      <c r="CO14" s="64">
        <f>ROUND(IFERROR(INDEX('Labor Cost_Master'!$G$4:$BC$135,MATCH($DN14,'Labor Cost_Master'!$BD$4:$BD$135,0),MATCH(CO$9,'Labor Cost_Master'!$G$3:$BC$3,0)),0)*AN14,0)</f>
        <v>0</v>
      </c>
      <c r="CP14" s="64">
        <f>ROUND(IFERROR(INDEX('Labor Cost_Master'!$G$4:$BC$135,MATCH($DN14,'Labor Cost_Master'!$BD$4:$BD$135,0),MATCH(CP$9,'Labor Cost_Master'!$G$3:$BC$3,0)),0)*AO14,0)</f>
        <v>0</v>
      </c>
      <c r="CQ14" s="64">
        <f>ROUND(IFERROR(INDEX('Labor Cost_Master'!$G$4:$BC$135,MATCH($DN14,'Labor Cost_Master'!$BD$4:$BD$135,0),MATCH(CQ$9,'Labor Cost_Master'!$G$3:$BC$3,0)),0)*AP14,0)</f>
        <v>0</v>
      </c>
      <c r="CR14" s="64">
        <f>ROUND(IFERROR(INDEX('Labor Cost_Master'!$G$4:$BC$135,MATCH($DN14,'Labor Cost_Master'!$BD$4:$BD$135,0),MATCH(CR$9,'Labor Cost_Master'!$G$3:$BC$3,0)),0)*AQ14,0)</f>
        <v>0</v>
      </c>
      <c r="CS14" s="64">
        <f>ROUND(IFERROR(INDEX('Labor Cost_Master'!$G$4:$BC$135,MATCH($DN14,'Labor Cost_Master'!$BD$4:$BD$135,0),MATCH(CS$9,'Labor Cost_Master'!$G$3:$BC$3,0)),0)*AR14,0)</f>
        <v>0</v>
      </c>
      <c r="CT14" s="64">
        <f>ROUND(IFERROR(INDEX('Labor Cost_Master'!$G$4:$BC$135,MATCH($DN14,'Labor Cost_Master'!$BD$4:$BD$135,0),MATCH(CT$9,'Labor Cost_Master'!$G$3:$BC$3,0)),0)*AS14,0)</f>
        <v>0</v>
      </c>
      <c r="CU14" s="64">
        <f>ROUND(IFERROR(INDEX('Labor Cost_Master'!$G$4:$BC$135,MATCH($DN14,'Labor Cost_Master'!$BD$4:$BD$135,0),MATCH(CU$9,'Labor Cost_Master'!$G$3:$BC$3,0)),0)*AT14,0)</f>
        <v>0</v>
      </c>
      <c r="CV14" s="64">
        <f>ROUND(IFERROR(INDEX('Labor Cost_Master'!$G$4:$BC$135,MATCH($DN14,'Labor Cost_Master'!$BD$4:$BD$135,0),MATCH(CV$9,'Labor Cost_Master'!$G$3:$BC$3,0)),0)*AU14,0)</f>
        <v>0</v>
      </c>
      <c r="CW14" s="64">
        <f>ROUND(IFERROR(INDEX('Labor Cost_Master'!$G$4:$BC$135,MATCH($DN14,'Labor Cost_Master'!$BD$4:$BD$135,0),MATCH(CW$9,'Labor Cost_Master'!$G$3:$BC$3,0)),0)*AV14,0)</f>
        <v>0</v>
      </c>
      <c r="CX14" s="64">
        <f>ROUND(IFERROR(INDEX('Labor Cost_Master'!$G$4:$BC$135,MATCH($DN14,'Labor Cost_Master'!$BD$4:$BD$135,0),MATCH(CX$9,'Labor Cost_Master'!$G$3:$BC$3,0)),0)*AW14,0)</f>
        <v>0</v>
      </c>
      <c r="CY14" s="64">
        <f>ROUND(IFERROR(INDEX('Labor Cost_Master'!$G$4:$BC$135,MATCH($DN14,'Labor Cost_Master'!$BD$4:$BD$135,0),MATCH(CY$9,'Labor Cost_Master'!$G$3:$BC$3,0)),0)*AX14,0)</f>
        <v>0</v>
      </c>
      <c r="CZ14" s="66">
        <f t="shared" ref="CZ14:CZ40" si="21">SUM(CN14:CY14)</f>
        <v>0</v>
      </c>
      <c r="DA14" s="64">
        <f>ROUND(IFERROR(INDEX('Labor Cost_Master'!$G$4:$BC$135,MATCH($DN14,'Labor Cost_Master'!$BD$4:$BD$135,0),MATCH(DA$9,'Labor Cost_Master'!$G$3:$BC$3,0)),0)*AZ14,0)</f>
        <v>0</v>
      </c>
      <c r="DB14" s="64">
        <f>ROUND(IFERROR(INDEX('Labor Cost_Master'!$G$4:$BC$135,MATCH($DN14,'Labor Cost_Master'!$BD$4:$BD$135,0),MATCH(DB$9,'Labor Cost_Master'!$G$3:$BC$3,0)),0)*BA14,0)</f>
        <v>0</v>
      </c>
      <c r="DC14" s="1166">
        <f>ROUND(IFERROR(INDEX('Labor Cost_Master'!$G$4:$BC$135,MATCH($DN14,'Labor Cost_Master'!$BD$4:$BD$135,0),MATCH(DC$9,'Labor Cost_Master'!$G$3:$BC$3,0)),0)*BB14,0)*1.05</f>
        <v>0</v>
      </c>
      <c r="DD14" s="64">
        <f>ROUND(IFERROR(INDEX('Labor Cost_Master'!$G$4:$BC$135,MATCH($DN14,'Labor Cost_Master'!$BD$4:$BD$135,0),MATCH(DD$9,'Labor Cost_Master'!$G$3:$BC$3,0)),0)*BC14,0)*1.05</f>
        <v>0</v>
      </c>
      <c r="DE14" s="64">
        <f>ROUND(IFERROR(INDEX('Labor Cost_Master'!$G$4:$BC$135,MATCH($DN14,'Labor Cost_Master'!$BD$4:$BD$135,0),MATCH(DE$9,'Labor Cost_Master'!$G$3:$BC$3,0)),0)*BD14,0)*1.05</f>
        <v>0</v>
      </c>
      <c r="DF14" s="64">
        <f>ROUND(IFERROR(INDEX('Labor Cost_Master'!$G$4:$BC$135,MATCH($DN14,'Labor Cost_Master'!$BD$4:$BD$135,0),MATCH(DF$9,'Labor Cost_Master'!$G$3:$BC$3,0)),0)*BE14,0)*1.05</f>
        <v>0</v>
      </c>
      <c r="DG14" s="64">
        <f>ROUND(IFERROR(INDEX('Labor Cost_Master'!$G$4:$BC$135,MATCH($DN14,'Labor Cost_Master'!$BD$4:$BD$135,0),MATCH(DG$9,'Labor Cost_Master'!$G$3:$BC$3,0)),0)*BF14,0)*1.05</f>
        <v>0</v>
      </c>
      <c r="DH14" s="64">
        <f>ROUND(IFERROR(INDEX('Labor Cost_Master'!$G$4:$BC$135,MATCH($DN14,'Labor Cost_Master'!$BD$4:$BD$135,0),MATCH(DH$9,'Labor Cost_Master'!$G$3:$BC$3,0)),0)*BG14,0)*1.05</f>
        <v>0</v>
      </c>
      <c r="DI14" s="64">
        <f>ROUND(IFERROR(INDEX('Labor Cost_Master'!$G$4:$BC$135,MATCH($DN14,'Labor Cost_Master'!$BD$4:$BD$135,0),MATCH(DI$9,'Labor Cost_Master'!$G$3:$BC$3,0)),0)*BH14,0)*1.05</f>
        <v>0</v>
      </c>
      <c r="DJ14" s="64">
        <f>ROUND(IFERROR(INDEX('Labor Cost_Master'!$G$4:$BC$135,MATCH($DN14,'Labor Cost_Master'!$BD$4:$BD$135,0),MATCH(DJ$9,'Labor Cost_Master'!$G$3:$BC$3,0)),0)*BI14,0)*1.05</f>
        <v>0</v>
      </c>
      <c r="DK14" s="64">
        <f>ROUND(IFERROR(INDEX('Labor Cost_Master'!$G$4:$BC$135,MATCH($DN14,'Labor Cost_Master'!$BD$4:$BD$135,0),MATCH(DK$9,'Labor Cost_Master'!$G$3:$BC$3,0)),0)*BJ14,0)*1.05</f>
        <v>0</v>
      </c>
      <c r="DL14" s="64">
        <f>ROUND(IFERROR(INDEX('Labor Cost_Master'!$G$4:$BC$135,MATCH($DN14,'Labor Cost_Master'!$BD$4:$BD$135,0),MATCH(DL$9,'Labor Cost_Master'!$G$3:$BC$3,0)),0)*BK14,0)*1.05</f>
        <v>0</v>
      </c>
      <c r="DM14" s="66">
        <f t="shared" ref="DM14:DM40" si="22">SUM(DA14:DL14)</f>
        <v>0</v>
      </c>
      <c r="DN14" s="80" t="str">
        <f t="shared" ref="DN14:DN52" si="23">D14&amp;F14</f>
        <v/>
      </c>
      <c r="DO14" s="64">
        <f>ROUND(IFERROR(INDEX(Benefit_Master!$G$4:$BC$135,MATCH($DN14,Benefit_Master!$BD$4:$BD$135,0),MATCH(DO$9,Benefit_Master!$G$3:$BC$3,0)),0)*M14,0)</f>
        <v>0</v>
      </c>
      <c r="DP14" s="64">
        <f>ROUND(IFERROR(INDEX(Benefit_Master!$G$4:$BC$135,MATCH($DN14,Benefit_Master!$BD$4:$BD$135,0),MATCH(DP$9,Benefit_Master!$G$3:$BC$3,0)),0)*N14,0)</f>
        <v>0</v>
      </c>
      <c r="DQ14" s="64">
        <f>ROUND(IFERROR(INDEX(Benefit_Master!$G$4:$BC$135,MATCH($DN14,Benefit_Master!$BD$4:$BD$135,0),MATCH(DQ$9,Benefit_Master!$G$3:$BC$3,0)),0)*O14,0)</f>
        <v>0</v>
      </c>
      <c r="DR14" s="64">
        <f>ROUND(IFERROR(INDEX(Benefit_Master!$G$4:$BC$135,MATCH($DN14,Benefit_Master!$BD$4:$BD$135,0),MATCH(DR$9,Benefit_Master!$G$3:$BC$3,0)),0)*P14,0)</f>
        <v>0</v>
      </c>
      <c r="DS14" s="64">
        <f>ROUND(IFERROR(INDEX(Benefit_Master!$G$4:$BC$135,MATCH($DN14,Benefit_Master!$BD$4:$BD$135,0),MATCH(DS$9,Benefit_Master!$G$3:$BC$3,0)),0)*Q14,0)</f>
        <v>0</v>
      </c>
      <c r="DT14" s="64">
        <f>ROUND(IFERROR(INDEX(Benefit_Master!$G$4:$BC$135,MATCH($DN14,Benefit_Master!$BD$4:$BD$135,0),MATCH(DT$9,Benefit_Master!$G$3:$BC$3,0)),0)*R14,0)</f>
        <v>0</v>
      </c>
      <c r="DU14" s="64">
        <f>ROUND(IFERROR(INDEX(Benefit_Master!$G$4:$BC$135,MATCH($DN14,Benefit_Master!$BD$4:$BD$135,0),MATCH(DU$9,Benefit_Master!$G$3:$BC$3,0)),0)*S14,0)</f>
        <v>0</v>
      </c>
      <c r="DV14" s="64">
        <f>ROUND(IFERROR(INDEX(Benefit_Master!$G$4:$BC$135,MATCH($DN14,Benefit_Master!$BD$4:$BD$135,0),MATCH(DV$9,Benefit_Master!$G$3:$BC$3,0)),0)*T14,0)</f>
        <v>0</v>
      </c>
      <c r="DW14" s="64">
        <f>ROUND(IFERROR(INDEX(Benefit_Master!$G$4:$BC$135,MATCH($DN14,Benefit_Master!$BD$4:$BD$135,0),MATCH(DW$9,Benefit_Master!$G$3:$BC$3,0)),0)*U14,0)</f>
        <v>0</v>
      </c>
      <c r="DX14" s="64">
        <f>ROUND(IFERROR(INDEX(Benefit_Master!$G$4:$BC$135,MATCH($DN14,Benefit_Master!$BD$4:$BD$135,0),MATCH(DX$9,Benefit_Master!$G$3:$BC$3,0)),0)*V14,0)</f>
        <v>0</v>
      </c>
      <c r="DY14" s="64">
        <f>ROUND(IFERROR(INDEX(Benefit_Master!$G$4:$BC$135,MATCH($DN14,Benefit_Master!$BD$4:$BD$135,0),MATCH(DY$9,Benefit_Master!$G$3:$BC$3,0)),0)*W14,0)</f>
        <v>0</v>
      </c>
      <c r="DZ14" s="64">
        <f>ROUND(IFERROR(INDEX(Benefit_Master!$G$4:$BC$135,MATCH($DN14,Benefit_Master!$BD$4:$BD$135,0),MATCH(DZ$9,Benefit_Master!$G$3:$BC$3,0)),0)*X14,0)</f>
        <v>0</v>
      </c>
      <c r="EA14" s="66">
        <f t="shared" ref="EA14:EA40" si="24">SUM(DO14:DZ14)</f>
        <v>0</v>
      </c>
      <c r="EB14" s="64">
        <f>ROUND(IFERROR(INDEX(Benefit_Master!$G$4:$BC$135,MATCH($DN14,Benefit_Master!$BD$4:$BD$135,0),MATCH(EB$9,Benefit_Master!$G$3:$BC$3,0)),0)*Z14,0)</f>
        <v>0</v>
      </c>
      <c r="EC14" s="64">
        <f>ROUND(IFERROR(INDEX(Benefit_Master!$G$4:$BC$135,MATCH($DN14,Benefit_Master!$BD$4:$BD$135,0),MATCH(EC$9,Benefit_Master!$G$3:$BC$3,0)),0)*AA14,0)</f>
        <v>0</v>
      </c>
      <c r="ED14" s="64">
        <f>ROUND(IFERROR(INDEX(Benefit_Master!$G$4:$BC$135,MATCH($DN14,Benefit_Master!$BD$4:$BD$135,0),MATCH(ED$9,Benefit_Master!$G$3:$BC$3,0)),0)*AB14,0)</f>
        <v>0</v>
      </c>
      <c r="EE14" s="64">
        <f>ROUND(IFERROR(INDEX(Benefit_Master!$G$4:$BC$135,MATCH($DN14,Benefit_Master!$BD$4:$BD$135,0),MATCH(EE$9,Benefit_Master!$G$3:$BC$3,0)),0)*AC14,0)</f>
        <v>0</v>
      </c>
      <c r="EF14" s="64">
        <f>ROUND(IFERROR(INDEX(Benefit_Master!$G$4:$BC$135,MATCH($DN14,Benefit_Master!$BD$4:$BD$135,0),MATCH(EF$9,Benefit_Master!$G$3:$BC$3,0)),0)*AD14,0)</f>
        <v>0</v>
      </c>
      <c r="EG14" s="64">
        <f>ROUND(IFERROR(INDEX(Benefit_Master!$G$4:$BC$135,MATCH($DN14,Benefit_Master!$BD$4:$BD$135,0),MATCH(EG$9,Benefit_Master!$G$3:$BC$3,0)),0)*AE14,0)</f>
        <v>0</v>
      </c>
      <c r="EH14" s="64">
        <f>ROUND(IFERROR(INDEX(Benefit_Master!$G$4:$BC$135,MATCH($DN14,Benefit_Master!$BD$4:$BD$135,0),MATCH(EH$9,Benefit_Master!$G$3:$BC$3,0)),0)*AF14,0)</f>
        <v>0</v>
      </c>
      <c r="EI14" s="64">
        <f>ROUND(IFERROR(INDEX(Benefit_Master!$G$4:$BC$135,MATCH($DN14,Benefit_Master!$BD$4:$BD$135,0),MATCH(EI$9,Benefit_Master!$G$3:$BC$3,0)),0)*AG14,0)</f>
        <v>0</v>
      </c>
      <c r="EJ14" s="64">
        <f>ROUND(IFERROR(INDEX(Benefit_Master!$G$4:$BC$135,MATCH($DN14,Benefit_Master!$BD$4:$BD$135,0),MATCH(EJ$9,Benefit_Master!$G$3:$BC$3,0)),0)*AH14,0)</f>
        <v>0</v>
      </c>
      <c r="EK14" s="64">
        <f>ROUND(IFERROR(INDEX(Benefit_Master!$G$4:$BC$135,MATCH($DN14,Benefit_Master!$BD$4:$BD$135,0),MATCH(EK$9,Benefit_Master!$G$3:$BC$3,0)),0)*AI14,0)</f>
        <v>0</v>
      </c>
      <c r="EL14" s="64">
        <f>ROUND(IFERROR(INDEX(Benefit_Master!$G$4:$BC$135,MATCH($DN14,Benefit_Master!$BD$4:$BD$135,0),MATCH(EL$9,Benefit_Master!$G$3:$BC$3,0)),0)*AJ14,0)</f>
        <v>0</v>
      </c>
      <c r="EM14" s="64">
        <f>ROUND(IFERROR(INDEX(Benefit_Master!$G$4:$BC$135,MATCH($DN14,Benefit_Master!$BD$4:$BD$135,0),MATCH(EM$9,Benefit_Master!$G$3:$BC$3,0)),0)*AK14,0)</f>
        <v>0</v>
      </c>
      <c r="EN14" s="66">
        <f t="shared" ref="EN14:EN40" si="25">SUM(EB14:EM14)</f>
        <v>0</v>
      </c>
      <c r="EO14" s="64">
        <f>ROUND(IFERROR(INDEX(Benefit_Master!$G$4:$BC$135,MATCH($DN14,Benefit_Master!$BD$4:$BD$135,0),MATCH(EO$9,Benefit_Master!$G$3:$BC$3,0)),0)*AM14,0)</f>
        <v>0</v>
      </c>
      <c r="EP14" s="64">
        <f>ROUND(IFERROR(INDEX(Benefit_Master!$G$4:$BC$135,MATCH($DN14,Benefit_Master!$BD$4:$BD$135,0),MATCH(EP$9,Benefit_Master!$G$3:$BC$3,0)),0)*AN14,0)</f>
        <v>0</v>
      </c>
      <c r="EQ14" s="64">
        <f>ROUND(IFERROR(INDEX(Benefit_Master!$G$4:$BC$135,MATCH($DN14,Benefit_Master!$BD$4:$BD$135,0),MATCH(EQ$9,Benefit_Master!$G$3:$BC$3,0)),0)*AO14,0)</f>
        <v>0</v>
      </c>
      <c r="ER14" s="64">
        <f>ROUND(IFERROR(INDEX(Benefit_Master!$G$4:$BC$135,MATCH($DN14,Benefit_Master!$BD$4:$BD$135,0),MATCH(ER$9,Benefit_Master!$G$3:$BC$3,0)),0)*AP14,0)</f>
        <v>0</v>
      </c>
      <c r="ES14" s="64">
        <f>ROUND(IFERROR(INDEX(Benefit_Master!$G$4:$BC$135,MATCH($DN14,Benefit_Master!$BD$4:$BD$135,0),MATCH(ES$9,Benefit_Master!$G$3:$BC$3,0)),0)*AQ14,0)</f>
        <v>0</v>
      </c>
      <c r="ET14" s="64">
        <f>ROUND(IFERROR(INDEX(Benefit_Master!$G$4:$BC$135,MATCH($DN14,Benefit_Master!$BD$4:$BD$135,0),MATCH(ET$9,Benefit_Master!$G$3:$BC$3,0)),0)*AR14,0)</f>
        <v>0</v>
      </c>
      <c r="EU14" s="64">
        <f>ROUND(IFERROR(INDEX(Benefit_Master!$G$4:$BC$135,MATCH($DN14,Benefit_Master!$BD$4:$BD$135,0),MATCH(EU$9,Benefit_Master!$G$3:$BC$3,0)),0)*AS14,0)</f>
        <v>0</v>
      </c>
      <c r="EV14" s="64">
        <f>ROUND(IFERROR(INDEX(Benefit_Master!$G$4:$BC$135,MATCH($DN14,Benefit_Master!$BD$4:$BD$135,0),MATCH(EV$9,Benefit_Master!$G$3:$BC$3,0)),0)*AT14,0)</f>
        <v>0</v>
      </c>
      <c r="EW14" s="64">
        <f>ROUND(IFERROR(INDEX(Benefit_Master!$G$4:$BC$135,MATCH($DN14,Benefit_Master!$BD$4:$BD$135,0),MATCH(EW$9,Benefit_Master!$G$3:$BC$3,0)),0)*AU14,0)</f>
        <v>0</v>
      </c>
      <c r="EX14" s="64">
        <f>ROUND(IFERROR(INDEX(Benefit_Master!$G$4:$BC$135,MATCH($DN14,Benefit_Master!$BD$4:$BD$135,0),MATCH(EX$9,Benefit_Master!$G$3:$BC$3,0)),0)*AV14,0)</f>
        <v>0</v>
      </c>
      <c r="EY14" s="64">
        <f>ROUND(IFERROR(INDEX(Benefit_Master!$G$4:$BC$135,MATCH($DN14,Benefit_Master!$BD$4:$BD$135,0),MATCH(EY$9,Benefit_Master!$G$3:$BC$3,0)),0)*AW14,0)</f>
        <v>0</v>
      </c>
      <c r="EZ14" s="64">
        <f>ROUND(IFERROR(INDEX(Benefit_Master!$G$4:$BC$135,MATCH($DN14,Benefit_Master!$BD$4:$BD$135,0),MATCH(EZ$9,Benefit_Master!$G$3:$BC$3,0)),0)*AX14,0)</f>
        <v>0</v>
      </c>
      <c r="FA14" s="66">
        <f t="shared" ref="FA14:FA40" si="26">SUM(EO14:EZ14)</f>
        <v>0</v>
      </c>
      <c r="FB14" s="64">
        <f>ROUND(IFERROR(INDEX(Benefit_Master!$G$4:$BC$135,MATCH($DN14,Benefit_Master!$BD$4:$BD$135,0),MATCH(FB$9,Benefit_Master!$G$3:$BC$3,0)),0)*AZ14,0)</f>
        <v>0</v>
      </c>
      <c r="FC14" s="64">
        <f>ROUND(IFERROR(INDEX(Benefit_Master!$G$4:$BC$135,MATCH($DN14,Benefit_Master!$BD$4:$BD$135,0),MATCH(FC$9,Benefit_Master!$G$3:$BC$3,0)),0)*BA14,0)</f>
        <v>0</v>
      </c>
      <c r="FD14" s="64">
        <f>ROUND(IFERROR(INDEX(Benefit_Master!$G$4:$BC$135,MATCH($DN14,Benefit_Master!$BD$4:$BD$135,0),MATCH(FD$9,Benefit_Master!$G$3:$BC$3,0)),0)*BB14,0)</f>
        <v>0</v>
      </c>
      <c r="FE14" s="64">
        <f>ROUND(IFERROR(INDEX(Benefit_Master!$G$4:$BC$135,MATCH($DN14,Benefit_Master!$BD$4:$BD$135,0),MATCH(FE$9,Benefit_Master!$G$3:$BC$3,0)),0)*BC14,0)</f>
        <v>0</v>
      </c>
      <c r="FF14" s="64">
        <f>ROUND(IFERROR(INDEX(Benefit_Master!$G$4:$BC$135,MATCH($DN14,Benefit_Master!$BD$4:$BD$135,0),MATCH(FF$9,Benefit_Master!$G$3:$BC$3,0)),0)*BD14,0)</f>
        <v>0</v>
      </c>
      <c r="FG14" s="64">
        <f>ROUND(IFERROR(INDEX(Benefit_Master!$G$4:$BC$135,MATCH($DN14,Benefit_Master!$BD$4:$BD$135,0),MATCH(FG$9,Benefit_Master!$G$3:$BC$3,0)),0)*BE14,0)</f>
        <v>0</v>
      </c>
      <c r="FH14" s="64">
        <f>ROUND(IFERROR(INDEX(Benefit_Master!$G$4:$BC$135,MATCH($DN14,Benefit_Master!$BD$4:$BD$135,0),MATCH(FH$9,Benefit_Master!$G$3:$BC$3,0)),0)*BF14,0)</f>
        <v>0</v>
      </c>
      <c r="FI14" s="64">
        <f>ROUND(IFERROR(INDEX(Benefit_Master!$G$4:$BC$135,MATCH($DN14,Benefit_Master!$BD$4:$BD$135,0),MATCH(FI$9,Benefit_Master!$G$3:$BC$3,0)),0)*BG14,0)</f>
        <v>0</v>
      </c>
      <c r="FJ14" s="64">
        <f>ROUND(IFERROR(INDEX(Benefit_Master!$G$4:$BC$135,MATCH($DN14,Benefit_Master!$BD$4:$BD$135,0),MATCH(FJ$9,Benefit_Master!$G$3:$BC$3,0)),0)*BH14,0)</f>
        <v>0</v>
      </c>
      <c r="FK14" s="64">
        <f>ROUND(IFERROR(INDEX(Benefit_Master!$G$4:$BC$135,MATCH($DN14,Benefit_Master!$BD$4:$BD$135,0),MATCH(FK$9,Benefit_Master!$G$3:$BC$3,0)),0)*BI14,0)</f>
        <v>0</v>
      </c>
      <c r="FL14" s="64">
        <f>ROUND(IFERROR(INDEX(Benefit_Master!$G$4:$BC$135,MATCH($DN14,Benefit_Master!$BD$4:$BD$135,0),MATCH(FL$9,Benefit_Master!$G$3:$BC$3,0)),0)*BJ14,0)</f>
        <v>0</v>
      </c>
      <c r="FM14" s="64">
        <f>ROUND(IFERROR(INDEX(Benefit_Master!$G$4:$BC$135,MATCH($DN14,Benefit_Master!$BD$4:$BD$135,0),MATCH(FM$9,Benefit_Master!$G$3:$BC$3,0)),0)*BK14,0)</f>
        <v>0</v>
      </c>
      <c r="FN14" s="66">
        <f t="shared" ref="FN14:FN40" si="27">SUM(FB14:FM14)</f>
        <v>0</v>
      </c>
    </row>
    <row r="15" spans="2:170" s="12" customFormat="1" ht="15" customHeight="1">
      <c r="B15" s="93">
        <f t="shared" ref="B15:B52" si="28">+B14+1</f>
        <v>3</v>
      </c>
      <c r="C15" s="89"/>
      <c r="D15" s="97"/>
      <c r="E15" s="1157"/>
      <c r="F15" s="425"/>
      <c r="G15" s="94" t="str">
        <f>IFERROR(VLOOKUP($F15,Master!$B$1:$C$7,2,0),"-")</f>
        <v>-</v>
      </c>
      <c r="H15" s="95">
        <f t="shared" si="12"/>
        <v>0</v>
      </c>
      <c r="I15" s="138">
        <f t="shared" si="13"/>
        <v>0</v>
      </c>
      <c r="J15" s="138">
        <f t="shared" si="14"/>
        <v>0</v>
      </c>
      <c r="K15" s="96"/>
      <c r="L15"/>
      <c r="M15" s="58"/>
      <c r="N15" s="59"/>
      <c r="O15" s="59"/>
      <c r="P15" s="59"/>
      <c r="Q15" s="59"/>
      <c r="R15" s="59"/>
      <c r="S15" s="59"/>
      <c r="T15" s="59"/>
      <c r="U15" s="679"/>
      <c r="V15" s="56"/>
      <c r="W15" s="56"/>
      <c r="X15" s="56"/>
      <c r="Y15" s="60">
        <f t="shared" si="15"/>
        <v>0</v>
      </c>
      <c r="Z15" s="55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60">
        <f t="shared" si="16"/>
        <v>0</v>
      </c>
      <c r="AM15" s="58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60">
        <f t="shared" si="17"/>
        <v>0</v>
      </c>
      <c r="AZ15" s="58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60">
        <f t="shared" si="18"/>
        <v>0</v>
      </c>
      <c r="BM15"/>
      <c r="BN15" s="64">
        <f>ROUND(IFERROR(INDEX('Labor Cost_Master'!$G$4:$BC$135,MATCH($DN15,'Labor Cost_Master'!$BD$4:$BD$135,0),MATCH(BN$9,'Labor Cost_Master'!$G$3:$BC$3,0)),0)*M15,0)</f>
        <v>0</v>
      </c>
      <c r="BO15" s="64">
        <f>ROUND(IFERROR(INDEX('Labor Cost_Master'!$G$4:$BC$135,MATCH($DN15,'Labor Cost_Master'!$BD$4:$BD$135,0),MATCH(BO$9,'Labor Cost_Master'!$G$3:$BC$3,0)),0)*N15,0)</f>
        <v>0</v>
      </c>
      <c r="BP15" s="64">
        <f>ROUND(IFERROR(INDEX('Labor Cost_Master'!$G$4:$BC$135,MATCH($DN15,'Labor Cost_Master'!$BD$4:$BD$135,0),MATCH(BP$9,'Labor Cost_Master'!$G$3:$BC$3,0)),0)*O15,0)</f>
        <v>0</v>
      </c>
      <c r="BQ15" s="64">
        <f>ROUND(IFERROR(INDEX('Labor Cost_Master'!$G$4:$BC$135,MATCH($DN15,'Labor Cost_Master'!$BD$4:$BD$135,0),MATCH(BQ$9,'Labor Cost_Master'!$G$3:$BC$3,0)),0)*P15,0)</f>
        <v>0</v>
      </c>
      <c r="BR15" s="64">
        <f>ROUND(IFERROR(INDEX('Labor Cost_Master'!$G$4:$BC$135,MATCH($DN15,'Labor Cost_Master'!$BD$4:$BD$135,0),MATCH(BR$9,'Labor Cost_Master'!$G$3:$BC$3,0)),0)*Q15,0)</f>
        <v>0</v>
      </c>
      <c r="BS15" s="64">
        <f>ROUND(IFERROR(INDEX('Labor Cost_Master'!$G$4:$BC$135,MATCH($DN15,'Labor Cost_Master'!$BD$4:$BD$135,0),MATCH(BS$9,'Labor Cost_Master'!$G$3:$BC$3,0)),0)*R15,0)</f>
        <v>0</v>
      </c>
      <c r="BT15" s="64">
        <f>ROUND(IFERROR(INDEX('Labor Cost_Master'!$G$4:$BC$135,MATCH($DN15,'Labor Cost_Master'!$BD$4:$BD$135,0),MATCH(BT$9,'Labor Cost_Master'!$G$3:$BC$3,0)),0)*S15,0)</f>
        <v>0</v>
      </c>
      <c r="BU15" s="64">
        <f>ROUND(IFERROR(INDEX('Labor Cost_Master'!$G$4:$BC$135,MATCH($DN15,'Labor Cost_Master'!$BD$4:$BD$135,0),MATCH(BU$9,'Labor Cost_Master'!$G$3:$BC$3,0)),0)*T15,0)</f>
        <v>0</v>
      </c>
      <c r="BV15" s="64">
        <f>ROUND(IFERROR(INDEX('Labor Cost_Master'!$G$4:$BC$135,MATCH($DN15,'Labor Cost_Master'!$BD$4:$BD$135,0),MATCH(BV$9,'Labor Cost_Master'!$G$3:$BC$3,0)),0)*U15,0)</f>
        <v>0</v>
      </c>
      <c r="BW15" s="64">
        <f>ROUND(IFERROR(INDEX('Labor Cost_Master'!$G$4:$BC$135,MATCH($DN15,'Labor Cost_Master'!$BD$4:$BD$135,0),MATCH(BW$9,'Labor Cost_Master'!$G$3:$BC$3,0)),0)*V15,0)</f>
        <v>0</v>
      </c>
      <c r="BX15" s="64">
        <f>ROUND(IFERROR(INDEX('Labor Cost_Master'!$G$4:$BC$135,MATCH($DN15,'Labor Cost_Master'!$BD$4:$BD$135,0),MATCH(BX$9,'Labor Cost_Master'!$G$3:$BC$3,0)),0)*W15,0)</f>
        <v>0</v>
      </c>
      <c r="BY15" s="64">
        <f>ROUND(IFERROR(INDEX('Labor Cost_Master'!$G$4:$BC$135,MATCH($DN15,'Labor Cost_Master'!$BD$4:$BD$135,0),MATCH(BY$9,'Labor Cost_Master'!$G$3:$BC$3,0)),0)*X15,0)</f>
        <v>0</v>
      </c>
      <c r="BZ15" s="66">
        <f t="shared" si="19"/>
        <v>0</v>
      </c>
      <c r="CA15" s="64">
        <f>ROUND(IFERROR(INDEX('Labor Cost_Master'!$G$4:$BC$135,MATCH($DN15,'Labor Cost_Master'!$BD$4:$BD$135,0),MATCH(CA$9,'Labor Cost_Master'!$G$3:$BC$3,0)),0)*Z15,0)</f>
        <v>0</v>
      </c>
      <c r="CB15" s="64">
        <f>ROUND(IFERROR(INDEX('Labor Cost_Master'!$G$4:$BC$135,MATCH($DN15,'Labor Cost_Master'!$BD$4:$BD$135,0),MATCH(CB$9,'Labor Cost_Master'!$G$3:$BC$3,0)),0)*AA15,0)</f>
        <v>0</v>
      </c>
      <c r="CC15" s="64">
        <f>ROUND(IFERROR(INDEX('Labor Cost_Master'!$G$4:$BC$135,MATCH($DN15,'Labor Cost_Master'!$BD$4:$BD$135,0),MATCH(CC$9,'Labor Cost_Master'!$G$3:$BC$3,0)),0)*AB15,0)</f>
        <v>0</v>
      </c>
      <c r="CD15" s="64">
        <f>ROUND(IFERROR(INDEX('Labor Cost_Master'!$G$4:$BC$135,MATCH($DN15,'Labor Cost_Master'!$BD$4:$BD$135,0),MATCH(CD$9,'Labor Cost_Master'!$G$3:$BC$3,0)),0)*AC15,0)</f>
        <v>0</v>
      </c>
      <c r="CE15" s="64">
        <f>ROUND(IFERROR(INDEX('Labor Cost_Master'!$G$4:$BC$135,MATCH($DN15,'Labor Cost_Master'!$BD$4:$BD$135,0),MATCH(CE$9,'Labor Cost_Master'!$G$3:$BC$3,0)),0)*AD15,0)</f>
        <v>0</v>
      </c>
      <c r="CF15" s="64">
        <f>ROUND(IFERROR(INDEX('Labor Cost_Master'!$G$4:$BC$135,MATCH($DN15,'Labor Cost_Master'!$BD$4:$BD$135,0),MATCH(CF$9,'Labor Cost_Master'!$G$3:$BC$3,0)),0)*AE15,0)</f>
        <v>0</v>
      </c>
      <c r="CG15" s="64">
        <f>ROUND(IFERROR(INDEX('Labor Cost_Master'!$G$4:$BC$135,MATCH($DN15,'Labor Cost_Master'!$BD$4:$BD$135,0),MATCH(CG$9,'Labor Cost_Master'!$G$3:$BC$3,0)),0)*AF15,0)</f>
        <v>0</v>
      </c>
      <c r="CH15" s="64">
        <f>ROUND(IFERROR(INDEX('Labor Cost_Master'!$G$4:$BC$135,MATCH($DN15,'Labor Cost_Master'!$BD$4:$BD$135,0),MATCH(CH$9,'Labor Cost_Master'!$G$3:$BC$3,0)),0)*AG15,0)</f>
        <v>0</v>
      </c>
      <c r="CI15" s="64">
        <f>ROUND(IFERROR(INDEX('Labor Cost_Master'!$G$4:$BC$135,MATCH($DN15,'Labor Cost_Master'!$BD$4:$BD$135,0),MATCH(CI$9,'Labor Cost_Master'!$G$3:$BC$3,0)),0)*AH15,0)</f>
        <v>0</v>
      </c>
      <c r="CJ15" s="64">
        <f>ROUND(IFERROR(INDEX('Labor Cost_Master'!$G$4:$BC$135,MATCH($DN15,'Labor Cost_Master'!$BD$4:$BD$135,0),MATCH(CJ$9,'Labor Cost_Master'!$G$3:$BC$3,0)),0)*AI15,0)</f>
        <v>0</v>
      </c>
      <c r="CK15" s="64">
        <f>ROUND(IFERROR(INDEX('Labor Cost_Master'!$G$4:$BC$135,MATCH($DN15,'Labor Cost_Master'!$BD$4:$BD$135,0),MATCH(CK$9,'Labor Cost_Master'!$G$3:$BC$3,0)),0)*AJ15,0)</f>
        <v>0</v>
      </c>
      <c r="CL15" s="64">
        <f>ROUND(IFERROR(INDEX('Labor Cost_Master'!$G$4:$BC$135,MATCH($DN15,'Labor Cost_Master'!$BD$4:$BD$135,0),MATCH(CL$9,'Labor Cost_Master'!$G$3:$BC$3,0)),0)*AK15,0)</f>
        <v>0</v>
      </c>
      <c r="CM15" s="66">
        <f t="shared" si="20"/>
        <v>0</v>
      </c>
      <c r="CN15" s="64">
        <f>ROUND(IFERROR(INDEX('Labor Cost_Master'!$G$4:$BC$135,MATCH($DN15,'Labor Cost_Master'!$BD$4:$BD$135,0),MATCH(CN$9,'Labor Cost_Master'!$G$3:$BC$3,0)),0)*AM15,0)</f>
        <v>0</v>
      </c>
      <c r="CO15" s="64">
        <f>ROUND(IFERROR(INDEX('Labor Cost_Master'!$G$4:$BC$135,MATCH($DN15,'Labor Cost_Master'!$BD$4:$BD$135,0),MATCH(CO$9,'Labor Cost_Master'!$G$3:$BC$3,0)),0)*AN15,0)</f>
        <v>0</v>
      </c>
      <c r="CP15" s="64">
        <f>ROUND(IFERROR(INDEX('Labor Cost_Master'!$G$4:$BC$135,MATCH($DN15,'Labor Cost_Master'!$BD$4:$BD$135,0),MATCH(CP$9,'Labor Cost_Master'!$G$3:$BC$3,0)),0)*AO15,0)</f>
        <v>0</v>
      </c>
      <c r="CQ15" s="64">
        <f>ROUND(IFERROR(INDEX('Labor Cost_Master'!$G$4:$BC$135,MATCH($DN15,'Labor Cost_Master'!$BD$4:$BD$135,0),MATCH(CQ$9,'Labor Cost_Master'!$G$3:$BC$3,0)),0)*AP15,0)</f>
        <v>0</v>
      </c>
      <c r="CR15" s="64">
        <f>ROUND(IFERROR(INDEX('Labor Cost_Master'!$G$4:$BC$135,MATCH($DN15,'Labor Cost_Master'!$BD$4:$BD$135,0),MATCH(CR$9,'Labor Cost_Master'!$G$3:$BC$3,0)),0)*AQ15,0)</f>
        <v>0</v>
      </c>
      <c r="CS15" s="64">
        <f>ROUND(IFERROR(INDEX('Labor Cost_Master'!$G$4:$BC$135,MATCH($DN15,'Labor Cost_Master'!$BD$4:$BD$135,0),MATCH(CS$9,'Labor Cost_Master'!$G$3:$BC$3,0)),0)*AR15,0)</f>
        <v>0</v>
      </c>
      <c r="CT15" s="64">
        <f>ROUND(IFERROR(INDEX('Labor Cost_Master'!$G$4:$BC$135,MATCH($DN15,'Labor Cost_Master'!$BD$4:$BD$135,0),MATCH(CT$9,'Labor Cost_Master'!$G$3:$BC$3,0)),0)*AS15,0)</f>
        <v>0</v>
      </c>
      <c r="CU15" s="64">
        <f>ROUND(IFERROR(INDEX('Labor Cost_Master'!$G$4:$BC$135,MATCH($DN15,'Labor Cost_Master'!$BD$4:$BD$135,0),MATCH(CU$9,'Labor Cost_Master'!$G$3:$BC$3,0)),0)*AT15,0)</f>
        <v>0</v>
      </c>
      <c r="CV15" s="64">
        <f>ROUND(IFERROR(INDEX('Labor Cost_Master'!$G$4:$BC$135,MATCH($DN15,'Labor Cost_Master'!$BD$4:$BD$135,0),MATCH(CV$9,'Labor Cost_Master'!$G$3:$BC$3,0)),0)*AU15,0)</f>
        <v>0</v>
      </c>
      <c r="CW15" s="64">
        <f>ROUND(IFERROR(INDEX('Labor Cost_Master'!$G$4:$BC$135,MATCH($DN15,'Labor Cost_Master'!$BD$4:$BD$135,0),MATCH(CW$9,'Labor Cost_Master'!$G$3:$BC$3,0)),0)*AV15,0)</f>
        <v>0</v>
      </c>
      <c r="CX15" s="64">
        <f>ROUND(IFERROR(INDEX('Labor Cost_Master'!$G$4:$BC$135,MATCH($DN15,'Labor Cost_Master'!$BD$4:$BD$135,0),MATCH(CX$9,'Labor Cost_Master'!$G$3:$BC$3,0)),0)*AW15,0)</f>
        <v>0</v>
      </c>
      <c r="CY15" s="64">
        <f>ROUND(IFERROR(INDEX('Labor Cost_Master'!$G$4:$BC$135,MATCH($DN15,'Labor Cost_Master'!$BD$4:$BD$135,0),MATCH(CY$9,'Labor Cost_Master'!$G$3:$BC$3,0)),0)*AX15,0)</f>
        <v>0</v>
      </c>
      <c r="CZ15" s="66">
        <f t="shared" si="21"/>
        <v>0</v>
      </c>
      <c r="DA15" s="64">
        <f>ROUND(IFERROR(INDEX('Labor Cost_Master'!$G$4:$BC$135,MATCH($DN15,'Labor Cost_Master'!$BD$4:$BD$135,0),MATCH(DA$9,'Labor Cost_Master'!$G$3:$BC$3,0)),0)*AZ15,0)</f>
        <v>0</v>
      </c>
      <c r="DB15" s="64">
        <f>ROUND(IFERROR(INDEX('Labor Cost_Master'!$G$4:$BC$135,MATCH($DN15,'Labor Cost_Master'!$BD$4:$BD$135,0),MATCH(DB$9,'Labor Cost_Master'!$G$3:$BC$3,0)),0)*BA15,0)</f>
        <v>0</v>
      </c>
      <c r="DC15" s="1166">
        <f>ROUND(IFERROR(INDEX('Labor Cost_Master'!$G$4:$BC$135,MATCH($DN15,'Labor Cost_Master'!$BD$4:$BD$135,0),MATCH(DC$9,'Labor Cost_Master'!$G$3:$BC$3,0)),0)*BB15,0)*1.05</f>
        <v>0</v>
      </c>
      <c r="DD15" s="64">
        <f>ROUND(IFERROR(INDEX('Labor Cost_Master'!$G$4:$BC$135,MATCH($DN15,'Labor Cost_Master'!$BD$4:$BD$135,0),MATCH(DD$9,'Labor Cost_Master'!$G$3:$BC$3,0)),0)*BC15,0)*1.05</f>
        <v>0</v>
      </c>
      <c r="DE15" s="64">
        <f>ROUND(IFERROR(INDEX('Labor Cost_Master'!$G$4:$BC$135,MATCH($DN15,'Labor Cost_Master'!$BD$4:$BD$135,0),MATCH(DE$9,'Labor Cost_Master'!$G$3:$BC$3,0)),0)*BD15,0)*1.05</f>
        <v>0</v>
      </c>
      <c r="DF15" s="64">
        <f>ROUND(IFERROR(INDEX('Labor Cost_Master'!$G$4:$BC$135,MATCH($DN15,'Labor Cost_Master'!$BD$4:$BD$135,0),MATCH(DF$9,'Labor Cost_Master'!$G$3:$BC$3,0)),0)*BE15,0)*1.05</f>
        <v>0</v>
      </c>
      <c r="DG15" s="64">
        <f>ROUND(IFERROR(INDEX('Labor Cost_Master'!$G$4:$BC$135,MATCH($DN15,'Labor Cost_Master'!$BD$4:$BD$135,0),MATCH(DG$9,'Labor Cost_Master'!$G$3:$BC$3,0)),0)*BF15,0)*1.05</f>
        <v>0</v>
      </c>
      <c r="DH15" s="64">
        <f>ROUND(IFERROR(INDEX('Labor Cost_Master'!$G$4:$BC$135,MATCH($DN15,'Labor Cost_Master'!$BD$4:$BD$135,0),MATCH(DH$9,'Labor Cost_Master'!$G$3:$BC$3,0)),0)*BG15,0)*1.05</f>
        <v>0</v>
      </c>
      <c r="DI15" s="64">
        <f>ROUND(IFERROR(INDEX('Labor Cost_Master'!$G$4:$BC$135,MATCH($DN15,'Labor Cost_Master'!$BD$4:$BD$135,0),MATCH(DI$9,'Labor Cost_Master'!$G$3:$BC$3,0)),0)*BH15,0)*1.05</f>
        <v>0</v>
      </c>
      <c r="DJ15" s="64">
        <f>ROUND(IFERROR(INDEX('Labor Cost_Master'!$G$4:$BC$135,MATCH($DN15,'Labor Cost_Master'!$BD$4:$BD$135,0),MATCH(DJ$9,'Labor Cost_Master'!$G$3:$BC$3,0)),0)*BI15,0)*1.05</f>
        <v>0</v>
      </c>
      <c r="DK15" s="64">
        <f>ROUND(IFERROR(INDEX('Labor Cost_Master'!$G$4:$BC$135,MATCH($DN15,'Labor Cost_Master'!$BD$4:$BD$135,0),MATCH(DK$9,'Labor Cost_Master'!$G$3:$BC$3,0)),0)*BJ15,0)*1.05</f>
        <v>0</v>
      </c>
      <c r="DL15" s="64">
        <f>ROUND(IFERROR(INDEX('Labor Cost_Master'!$G$4:$BC$135,MATCH($DN15,'Labor Cost_Master'!$BD$4:$BD$135,0),MATCH(DL$9,'Labor Cost_Master'!$G$3:$BC$3,0)),0)*BK15,0)*1.05</f>
        <v>0</v>
      </c>
      <c r="DM15" s="66">
        <f t="shared" si="22"/>
        <v>0</v>
      </c>
      <c r="DN15" s="80" t="str">
        <f t="shared" si="23"/>
        <v/>
      </c>
      <c r="DO15" s="64">
        <f>ROUND(IFERROR(INDEX(Benefit_Master!$G$4:$BC$135,MATCH($DN15,Benefit_Master!$BD$4:$BD$135,0),MATCH(DO$9,Benefit_Master!$G$3:$BC$3,0)),0)*M15,0)</f>
        <v>0</v>
      </c>
      <c r="DP15" s="64">
        <f>ROUND(IFERROR(INDEX(Benefit_Master!$G$4:$BC$135,MATCH($DN15,Benefit_Master!$BD$4:$BD$135,0),MATCH(DP$9,Benefit_Master!$G$3:$BC$3,0)),0)*N15,0)</f>
        <v>0</v>
      </c>
      <c r="DQ15" s="64">
        <f>ROUND(IFERROR(INDEX(Benefit_Master!$G$4:$BC$135,MATCH($DN15,Benefit_Master!$BD$4:$BD$135,0),MATCH(DQ$9,Benefit_Master!$G$3:$BC$3,0)),0)*O15,0)</f>
        <v>0</v>
      </c>
      <c r="DR15" s="64">
        <f>ROUND(IFERROR(INDEX(Benefit_Master!$G$4:$BC$135,MATCH($DN15,Benefit_Master!$BD$4:$BD$135,0),MATCH(DR$9,Benefit_Master!$G$3:$BC$3,0)),0)*P15,0)</f>
        <v>0</v>
      </c>
      <c r="DS15" s="64">
        <f>ROUND(IFERROR(INDEX(Benefit_Master!$G$4:$BC$135,MATCH($DN15,Benefit_Master!$BD$4:$BD$135,0),MATCH(DS$9,Benefit_Master!$G$3:$BC$3,0)),0)*Q15,0)</f>
        <v>0</v>
      </c>
      <c r="DT15" s="64">
        <f>ROUND(IFERROR(INDEX(Benefit_Master!$G$4:$BC$135,MATCH($DN15,Benefit_Master!$BD$4:$BD$135,0),MATCH(DT$9,Benefit_Master!$G$3:$BC$3,0)),0)*R15,0)</f>
        <v>0</v>
      </c>
      <c r="DU15" s="64">
        <f>ROUND(IFERROR(INDEX(Benefit_Master!$G$4:$BC$135,MATCH($DN15,Benefit_Master!$BD$4:$BD$135,0),MATCH(DU$9,Benefit_Master!$G$3:$BC$3,0)),0)*S15,0)</f>
        <v>0</v>
      </c>
      <c r="DV15" s="64">
        <f>ROUND(IFERROR(INDEX(Benefit_Master!$G$4:$BC$135,MATCH($DN15,Benefit_Master!$BD$4:$BD$135,0),MATCH(DV$9,Benefit_Master!$G$3:$BC$3,0)),0)*T15,0)</f>
        <v>0</v>
      </c>
      <c r="DW15" s="64">
        <f>ROUND(IFERROR(INDEX(Benefit_Master!$G$4:$BC$135,MATCH($DN15,Benefit_Master!$BD$4:$BD$135,0),MATCH(DW$9,Benefit_Master!$G$3:$BC$3,0)),0)*U15,0)</f>
        <v>0</v>
      </c>
      <c r="DX15" s="64">
        <f>ROUND(IFERROR(INDEX(Benefit_Master!$G$4:$BC$135,MATCH($DN15,Benefit_Master!$BD$4:$BD$135,0),MATCH(DX$9,Benefit_Master!$G$3:$BC$3,0)),0)*V15,0)</f>
        <v>0</v>
      </c>
      <c r="DY15" s="64">
        <f>ROUND(IFERROR(INDEX(Benefit_Master!$G$4:$BC$135,MATCH($DN15,Benefit_Master!$BD$4:$BD$135,0),MATCH(DY$9,Benefit_Master!$G$3:$BC$3,0)),0)*W15,0)</f>
        <v>0</v>
      </c>
      <c r="DZ15" s="64">
        <f>ROUND(IFERROR(INDEX(Benefit_Master!$G$4:$BC$135,MATCH($DN15,Benefit_Master!$BD$4:$BD$135,0),MATCH(DZ$9,Benefit_Master!$G$3:$BC$3,0)),0)*X15,0)</f>
        <v>0</v>
      </c>
      <c r="EA15" s="66">
        <f t="shared" si="24"/>
        <v>0</v>
      </c>
      <c r="EB15" s="64">
        <f>ROUND(IFERROR(INDEX(Benefit_Master!$G$4:$BC$135,MATCH($DN15,Benefit_Master!$BD$4:$BD$135,0),MATCH(EB$9,Benefit_Master!$G$3:$BC$3,0)),0)*Z15,0)</f>
        <v>0</v>
      </c>
      <c r="EC15" s="64">
        <f>ROUND(IFERROR(INDEX(Benefit_Master!$G$4:$BC$135,MATCH($DN15,Benefit_Master!$BD$4:$BD$135,0),MATCH(EC$9,Benefit_Master!$G$3:$BC$3,0)),0)*AA15,0)</f>
        <v>0</v>
      </c>
      <c r="ED15" s="64">
        <f>ROUND(IFERROR(INDEX(Benefit_Master!$G$4:$BC$135,MATCH($DN15,Benefit_Master!$BD$4:$BD$135,0),MATCH(ED$9,Benefit_Master!$G$3:$BC$3,0)),0)*AB15,0)</f>
        <v>0</v>
      </c>
      <c r="EE15" s="64">
        <f>ROUND(IFERROR(INDEX(Benefit_Master!$G$4:$BC$135,MATCH($DN15,Benefit_Master!$BD$4:$BD$135,0),MATCH(EE$9,Benefit_Master!$G$3:$BC$3,0)),0)*AC15,0)</f>
        <v>0</v>
      </c>
      <c r="EF15" s="64">
        <f>ROUND(IFERROR(INDEX(Benefit_Master!$G$4:$BC$135,MATCH($DN15,Benefit_Master!$BD$4:$BD$135,0),MATCH(EF$9,Benefit_Master!$G$3:$BC$3,0)),0)*AD15,0)</f>
        <v>0</v>
      </c>
      <c r="EG15" s="64">
        <f>ROUND(IFERROR(INDEX(Benefit_Master!$G$4:$BC$135,MATCH($DN15,Benefit_Master!$BD$4:$BD$135,0),MATCH(EG$9,Benefit_Master!$G$3:$BC$3,0)),0)*AE15,0)</f>
        <v>0</v>
      </c>
      <c r="EH15" s="64">
        <f>ROUND(IFERROR(INDEX(Benefit_Master!$G$4:$BC$135,MATCH($DN15,Benefit_Master!$BD$4:$BD$135,0),MATCH(EH$9,Benefit_Master!$G$3:$BC$3,0)),0)*AF15,0)</f>
        <v>0</v>
      </c>
      <c r="EI15" s="64">
        <f>ROUND(IFERROR(INDEX(Benefit_Master!$G$4:$BC$135,MATCH($DN15,Benefit_Master!$BD$4:$BD$135,0),MATCH(EI$9,Benefit_Master!$G$3:$BC$3,0)),0)*AG15,0)</f>
        <v>0</v>
      </c>
      <c r="EJ15" s="64">
        <f>ROUND(IFERROR(INDEX(Benefit_Master!$G$4:$BC$135,MATCH($DN15,Benefit_Master!$BD$4:$BD$135,0),MATCH(EJ$9,Benefit_Master!$G$3:$BC$3,0)),0)*AH15,0)</f>
        <v>0</v>
      </c>
      <c r="EK15" s="64">
        <f>ROUND(IFERROR(INDEX(Benefit_Master!$G$4:$BC$135,MATCH($DN15,Benefit_Master!$BD$4:$BD$135,0),MATCH(EK$9,Benefit_Master!$G$3:$BC$3,0)),0)*AI15,0)</f>
        <v>0</v>
      </c>
      <c r="EL15" s="64">
        <f>ROUND(IFERROR(INDEX(Benefit_Master!$G$4:$BC$135,MATCH($DN15,Benefit_Master!$BD$4:$BD$135,0),MATCH(EL$9,Benefit_Master!$G$3:$BC$3,0)),0)*AJ15,0)</f>
        <v>0</v>
      </c>
      <c r="EM15" s="64">
        <f>ROUND(IFERROR(INDEX(Benefit_Master!$G$4:$BC$135,MATCH($DN15,Benefit_Master!$BD$4:$BD$135,0),MATCH(EM$9,Benefit_Master!$G$3:$BC$3,0)),0)*AK15,0)</f>
        <v>0</v>
      </c>
      <c r="EN15" s="66">
        <f t="shared" si="25"/>
        <v>0</v>
      </c>
      <c r="EO15" s="64">
        <f>ROUND(IFERROR(INDEX(Benefit_Master!$G$4:$BC$135,MATCH($DN15,Benefit_Master!$BD$4:$BD$135,0),MATCH(EO$9,Benefit_Master!$G$3:$BC$3,0)),0)*AM15,0)</f>
        <v>0</v>
      </c>
      <c r="EP15" s="64">
        <f>ROUND(IFERROR(INDEX(Benefit_Master!$G$4:$BC$135,MATCH($DN15,Benefit_Master!$BD$4:$BD$135,0),MATCH(EP$9,Benefit_Master!$G$3:$BC$3,0)),0)*AN15,0)</f>
        <v>0</v>
      </c>
      <c r="EQ15" s="64">
        <f>ROUND(IFERROR(INDEX(Benefit_Master!$G$4:$BC$135,MATCH($DN15,Benefit_Master!$BD$4:$BD$135,0),MATCH(EQ$9,Benefit_Master!$G$3:$BC$3,0)),0)*AO15,0)</f>
        <v>0</v>
      </c>
      <c r="ER15" s="64">
        <f>ROUND(IFERROR(INDEX(Benefit_Master!$G$4:$BC$135,MATCH($DN15,Benefit_Master!$BD$4:$BD$135,0),MATCH(ER$9,Benefit_Master!$G$3:$BC$3,0)),0)*AP15,0)</f>
        <v>0</v>
      </c>
      <c r="ES15" s="64">
        <f>ROUND(IFERROR(INDEX(Benefit_Master!$G$4:$BC$135,MATCH($DN15,Benefit_Master!$BD$4:$BD$135,0),MATCH(ES$9,Benefit_Master!$G$3:$BC$3,0)),0)*AQ15,0)</f>
        <v>0</v>
      </c>
      <c r="ET15" s="64">
        <f>ROUND(IFERROR(INDEX(Benefit_Master!$G$4:$BC$135,MATCH($DN15,Benefit_Master!$BD$4:$BD$135,0),MATCH(ET$9,Benefit_Master!$G$3:$BC$3,0)),0)*AR15,0)</f>
        <v>0</v>
      </c>
      <c r="EU15" s="64">
        <f>ROUND(IFERROR(INDEX(Benefit_Master!$G$4:$BC$135,MATCH($DN15,Benefit_Master!$BD$4:$BD$135,0),MATCH(EU$9,Benefit_Master!$G$3:$BC$3,0)),0)*AS15,0)</f>
        <v>0</v>
      </c>
      <c r="EV15" s="64">
        <f>ROUND(IFERROR(INDEX(Benefit_Master!$G$4:$BC$135,MATCH($DN15,Benefit_Master!$BD$4:$BD$135,0),MATCH(EV$9,Benefit_Master!$G$3:$BC$3,0)),0)*AT15,0)</f>
        <v>0</v>
      </c>
      <c r="EW15" s="64">
        <f>ROUND(IFERROR(INDEX(Benefit_Master!$G$4:$BC$135,MATCH($DN15,Benefit_Master!$BD$4:$BD$135,0),MATCH(EW$9,Benefit_Master!$G$3:$BC$3,0)),0)*AU15,0)</f>
        <v>0</v>
      </c>
      <c r="EX15" s="64">
        <f>ROUND(IFERROR(INDEX(Benefit_Master!$G$4:$BC$135,MATCH($DN15,Benefit_Master!$BD$4:$BD$135,0),MATCH(EX$9,Benefit_Master!$G$3:$BC$3,0)),0)*AV15,0)</f>
        <v>0</v>
      </c>
      <c r="EY15" s="64">
        <f>ROUND(IFERROR(INDEX(Benefit_Master!$G$4:$BC$135,MATCH($DN15,Benefit_Master!$BD$4:$BD$135,0),MATCH(EY$9,Benefit_Master!$G$3:$BC$3,0)),0)*AW15,0)</f>
        <v>0</v>
      </c>
      <c r="EZ15" s="64">
        <f>ROUND(IFERROR(INDEX(Benefit_Master!$G$4:$BC$135,MATCH($DN15,Benefit_Master!$BD$4:$BD$135,0),MATCH(EZ$9,Benefit_Master!$G$3:$BC$3,0)),0)*AX15,0)</f>
        <v>0</v>
      </c>
      <c r="FA15" s="66">
        <f t="shared" si="26"/>
        <v>0</v>
      </c>
      <c r="FB15" s="64">
        <f>ROUND(IFERROR(INDEX(Benefit_Master!$G$4:$BC$135,MATCH($DN15,Benefit_Master!$BD$4:$BD$135,0),MATCH(FB$9,Benefit_Master!$G$3:$BC$3,0)),0)*AZ15,0)</f>
        <v>0</v>
      </c>
      <c r="FC15" s="64">
        <f>ROUND(IFERROR(INDEX(Benefit_Master!$G$4:$BC$135,MATCH($DN15,Benefit_Master!$BD$4:$BD$135,0),MATCH(FC$9,Benefit_Master!$G$3:$BC$3,0)),0)*BA15,0)</f>
        <v>0</v>
      </c>
      <c r="FD15" s="64">
        <f>ROUND(IFERROR(INDEX(Benefit_Master!$G$4:$BC$135,MATCH($DN15,Benefit_Master!$BD$4:$BD$135,0),MATCH(FD$9,Benefit_Master!$G$3:$BC$3,0)),0)*BB15,0)</f>
        <v>0</v>
      </c>
      <c r="FE15" s="64">
        <f>ROUND(IFERROR(INDEX(Benefit_Master!$G$4:$BC$135,MATCH($DN15,Benefit_Master!$BD$4:$BD$135,0),MATCH(FE$9,Benefit_Master!$G$3:$BC$3,0)),0)*BC15,0)</f>
        <v>0</v>
      </c>
      <c r="FF15" s="64">
        <f>ROUND(IFERROR(INDEX(Benefit_Master!$G$4:$BC$135,MATCH($DN15,Benefit_Master!$BD$4:$BD$135,0),MATCH(FF$9,Benefit_Master!$G$3:$BC$3,0)),0)*BD15,0)</f>
        <v>0</v>
      </c>
      <c r="FG15" s="64">
        <f>ROUND(IFERROR(INDEX(Benefit_Master!$G$4:$BC$135,MATCH($DN15,Benefit_Master!$BD$4:$BD$135,0),MATCH(FG$9,Benefit_Master!$G$3:$BC$3,0)),0)*BE15,0)</f>
        <v>0</v>
      </c>
      <c r="FH15" s="64">
        <f>ROUND(IFERROR(INDEX(Benefit_Master!$G$4:$BC$135,MATCH($DN15,Benefit_Master!$BD$4:$BD$135,0),MATCH(FH$9,Benefit_Master!$G$3:$BC$3,0)),0)*BF15,0)</f>
        <v>0</v>
      </c>
      <c r="FI15" s="64">
        <f>ROUND(IFERROR(INDEX(Benefit_Master!$G$4:$BC$135,MATCH($DN15,Benefit_Master!$BD$4:$BD$135,0),MATCH(FI$9,Benefit_Master!$G$3:$BC$3,0)),0)*BG15,0)</f>
        <v>0</v>
      </c>
      <c r="FJ15" s="64">
        <f>ROUND(IFERROR(INDEX(Benefit_Master!$G$4:$BC$135,MATCH($DN15,Benefit_Master!$BD$4:$BD$135,0),MATCH(FJ$9,Benefit_Master!$G$3:$BC$3,0)),0)*BH15,0)</f>
        <v>0</v>
      </c>
      <c r="FK15" s="64">
        <f>ROUND(IFERROR(INDEX(Benefit_Master!$G$4:$BC$135,MATCH($DN15,Benefit_Master!$BD$4:$BD$135,0),MATCH(FK$9,Benefit_Master!$G$3:$BC$3,0)),0)*BI15,0)</f>
        <v>0</v>
      </c>
      <c r="FL15" s="64">
        <f>ROUND(IFERROR(INDEX(Benefit_Master!$G$4:$BC$135,MATCH($DN15,Benefit_Master!$BD$4:$BD$135,0),MATCH(FL$9,Benefit_Master!$G$3:$BC$3,0)),0)*BJ15,0)</f>
        <v>0</v>
      </c>
      <c r="FM15" s="64">
        <f>ROUND(IFERROR(INDEX(Benefit_Master!$G$4:$BC$135,MATCH($DN15,Benefit_Master!$BD$4:$BD$135,0),MATCH(FM$9,Benefit_Master!$G$3:$BC$3,0)),0)*BK15,0)</f>
        <v>0</v>
      </c>
      <c r="FN15" s="66">
        <f t="shared" si="27"/>
        <v>0</v>
      </c>
    </row>
    <row r="16" spans="2:170" s="12" customFormat="1" ht="15" customHeight="1">
      <c r="B16" s="93">
        <f t="shared" si="28"/>
        <v>4</v>
      </c>
      <c r="C16" s="89"/>
      <c r="D16" s="97"/>
      <c r="E16" s="1157"/>
      <c r="F16" s="425"/>
      <c r="G16" s="94" t="str">
        <f>IFERROR(VLOOKUP($F16,Master!$B$1:$C$7,2,0),"-")</f>
        <v>-</v>
      </c>
      <c r="H16" s="95">
        <f t="shared" si="12"/>
        <v>0</v>
      </c>
      <c r="I16" s="138">
        <f t="shared" si="13"/>
        <v>0</v>
      </c>
      <c r="J16" s="138">
        <f t="shared" si="14"/>
        <v>0</v>
      </c>
      <c r="K16" s="96"/>
      <c r="L16"/>
      <c r="M16" s="58"/>
      <c r="N16" s="59"/>
      <c r="O16" s="59"/>
      <c r="P16" s="59"/>
      <c r="Q16" s="59"/>
      <c r="R16" s="59"/>
      <c r="S16" s="59"/>
      <c r="T16" s="59"/>
      <c r="U16" s="679"/>
      <c r="V16" s="56"/>
      <c r="W16" s="56"/>
      <c r="X16" s="56"/>
      <c r="Y16" s="60">
        <f t="shared" si="15"/>
        <v>0</v>
      </c>
      <c r="Z16" s="55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60">
        <f t="shared" si="16"/>
        <v>0</v>
      </c>
      <c r="AM16" s="58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60">
        <f t="shared" si="17"/>
        <v>0</v>
      </c>
      <c r="AZ16" s="58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60">
        <f t="shared" si="18"/>
        <v>0</v>
      </c>
      <c r="BM16"/>
      <c r="BN16" s="64">
        <f>ROUND(IFERROR(INDEX('Labor Cost_Master'!$G$4:$BC$135,MATCH($DN16,'Labor Cost_Master'!$BD$4:$BD$135,0),MATCH(BN$9,'Labor Cost_Master'!$G$3:$BC$3,0)),0)*M16,0)</f>
        <v>0</v>
      </c>
      <c r="BO16" s="64">
        <f>ROUND(IFERROR(INDEX('Labor Cost_Master'!$G$4:$BC$135,MATCH($DN16,'Labor Cost_Master'!$BD$4:$BD$135,0),MATCH(BO$9,'Labor Cost_Master'!$G$3:$BC$3,0)),0)*N16,0)</f>
        <v>0</v>
      </c>
      <c r="BP16" s="64">
        <f>ROUND(IFERROR(INDEX('Labor Cost_Master'!$G$4:$BC$135,MATCH($DN16,'Labor Cost_Master'!$BD$4:$BD$135,0),MATCH(BP$9,'Labor Cost_Master'!$G$3:$BC$3,0)),0)*O16,0)</f>
        <v>0</v>
      </c>
      <c r="BQ16" s="64">
        <f>ROUND(IFERROR(INDEX('Labor Cost_Master'!$G$4:$BC$135,MATCH($DN16,'Labor Cost_Master'!$BD$4:$BD$135,0),MATCH(BQ$9,'Labor Cost_Master'!$G$3:$BC$3,0)),0)*P16,0)</f>
        <v>0</v>
      </c>
      <c r="BR16" s="64">
        <f>ROUND(IFERROR(INDEX('Labor Cost_Master'!$G$4:$BC$135,MATCH($DN16,'Labor Cost_Master'!$BD$4:$BD$135,0),MATCH(BR$9,'Labor Cost_Master'!$G$3:$BC$3,0)),0)*Q16,0)</f>
        <v>0</v>
      </c>
      <c r="BS16" s="64">
        <f>ROUND(IFERROR(INDEX('Labor Cost_Master'!$G$4:$BC$135,MATCH($DN16,'Labor Cost_Master'!$BD$4:$BD$135,0),MATCH(BS$9,'Labor Cost_Master'!$G$3:$BC$3,0)),0)*R16,0)</f>
        <v>0</v>
      </c>
      <c r="BT16" s="64">
        <f>ROUND(IFERROR(INDEX('Labor Cost_Master'!$G$4:$BC$135,MATCH($DN16,'Labor Cost_Master'!$BD$4:$BD$135,0),MATCH(BT$9,'Labor Cost_Master'!$G$3:$BC$3,0)),0)*S16,0)</f>
        <v>0</v>
      </c>
      <c r="BU16" s="64">
        <f>ROUND(IFERROR(INDEX('Labor Cost_Master'!$G$4:$BC$135,MATCH($DN16,'Labor Cost_Master'!$BD$4:$BD$135,0),MATCH(BU$9,'Labor Cost_Master'!$G$3:$BC$3,0)),0)*T16,0)</f>
        <v>0</v>
      </c>
      <c r="BV16" s="64">
        <f>ROUND(IFERROR(INDEX('Labor Cost_Master'!$G$4:$BC$135,MATCH($DN16,'Labor Cost_Master'!$BD$4:$BD$135,0),MATCH(BV$9,'Labor Cost_Master'!$G$3:$BC$3,0)),0)*U16,0)</f>
        <v>0</v>
      </c>
      <c r="BW16" s="64">
        <f>ROUND(IFERROR(INDEX('Labor Cost_Master'!$G$4:$BC$135,MATCH($DN16,'Labor Cost_Master'!$BD$4:$BD$135,0),MATCH(BW$9,'Labor Cost_Master'!$G$3:$BC$3,0)),0)*V16,0)</f>
        <v>0</v>
      </c>
      <c r="BX16" s="64">
        <f>ROUND(IFERROR(INDEX('Labor Cost_Master'!$G$4:$BC$135,MATCH($DN16,'Labor Cost_Master'!$BD$4:$BD$135,0),MATCH(BX$9,'Labor Cost_Master'!$G$3:$BC$3,0)),0)*W16,0)</f>
        <v>0</v>
      </c>
      <c r="BY16" s="64">
        <f>ROUND(IFERROR(INDEX('Labor Cost_Master'!$G$4:$BC$135,MATCH($DN16,'Labor Cost_Master'!$BD$4:$BD$135,0),MATCH(BY$9,'Labor Cost_Master'!$G$3:$BC$3,0)),0)*X16,0)</f>
        <v>0</v>
      </c>
      <c r="BZ16" s="66">
        <f t="shared" si="19"/>
        <v>0</v>
      </c>
      <c r="CA16" s="64">
        <f>ROUND(IFERROR(INDEX('Labor Cost_Master'!$G$4:$BC$135,MATCH($DN16,'Labor Cost_Master'!$BD$4:$BD$135,0),MATCH(CA$9,'Labor Cost_Master'!$G$3:$BC$3,0)),0)*Z16,0)</f>
        <v>0</v>
      </c>
      <c r="CB16" s="64">
        <f>ROUND(IFERROR(INDEX('Labor Cost_Master'!$G$4:$BC$135,MATCH($DN16,'Labor Cost_Master'!$BD$4:$BD$135,0),MATCH(CB$9,'Labor Cost_Master'!$G$3:$BC$3,0)),0)*AA16,0)</f>
        <v>0</v>
      </c>
      <c r="CC16" s="64">
        <f>ROUND(IFERROR(INDEX('Labor Cost_Master'!$G$4:$BC$135,MATCH($DN16,'Labor Cost_Master'!$BD$4:$BD$135,0),MATCH(CC$9,'Labor Cost_Master'!$G$3:$BC$3,0)),0)*AB16,0)</f>
        <v>0</v>
      </c>
      <c r="CD16" s="64">
        <f>ROUND(IFERROR(INDEX('Labor Cost_Master'!$G$4:$BC$135,MATCH($DN16,'Labor Cost_Master'!$BD$4:$BD$135,0),MATCH(CD$9,'Labor Cost_Master'!$G$3:$BC$3,0)),0)*AC16,0)</f>
        <v>0</v>
      </c>
      <c r="CE16" s="64">
        <f>ROUND(IFERROR(INDEX('Labor Cost_Master'!$G$4:$BC$135,MATCH($DN16,'Labor Cost_Master'!$BD$4:$BD$135,0),MATCH(CE$9,'Labor Cost_Master'!$G$3:$BC$3,0)),0)*AD16,0)</f>
        <v>0</v>
      </c>
      <c r="CF16" s="64">
        <f>ROUND(IFERROR(INDEX('Labor Cost_Master'!$G$4:$BC$135,MATCH($DN16,'Labor Cost_Master'!$BD$4:$BD$135,0),MATCH(CF$9,'Labor Cost_Master'!$G$3:$BC$3,0)),0)*AE16,0)</f>
        <v>0</v>
      </c>
      <c r="CG16" s="64">
        <f>ROUND(IFERROR(INDEX('Labor Cost_Master'!$G$4:$BC$135,MATCH($DN16,'Labor Cost_Master'!$BD$4:$BD$135,0),MATCH(CG$9,'Labor Cost_Master'!$G$3:$BC$3,0)),0)*AF16,0)</f>
        <v>0</v>
      </c>
      <c r="CH16" s="64">
        <f>ROUND(IFERROR(INDEX('Labor Cost_Master'!$G$4:$BC$135,MATCH($DN16,'Labor Cost_Master'!$BD$4:$BD$135,0),MATCH(CH$9,'Labor Cost_Master'!$G$3:$BC$3,0)),0)*AG16,0)</f>
        <v>0</v>
      </c>
      <c r="CI16" s="64">
        <f>ROUND(IFERROR(INDEX('Labor Cost_Master'!$G$4:$BC$135,MATCH($DN16,'Labor Cost_Master'!$BD$4:$BD$135,0),MATCH(CI$9,'Labor Cost_Master'!$G$3:$BC$3,0)),0)*AH16,0)</f>
        <v>0</v>
      </c>
      <c r="CJ16" s="64">
        <f>ROUND(IFERROR(INDEX('Labor Cost_Master'!$G$4:$BC$135,MATCH($DN16,'Labor Cost_Master'!$BD$4:$BD$135,0),MATCH(CJ$9,'Labor Cost_Master'!$G$3:$BC$3,0)),0)*AI16,0)</f>
        <v>0</v>
      </c>
      <c r="CK16" s="64">
        <f>ROUND(IFERROR(INDEX('Labor Cost_Master'!$G$4:$BC$135,MATCH($DN16,'Labor Cost_Master'!$BD$4:$BD$135,0),MATCH(CK$9,'Labor Cost_Master'!$G$3:$BC$3,0)),0)*AJ16,0)</f>
        <v>0</v>
      </c>
      <c r="CL16" s="64">
        <f>ROUND(IFERROR(INDEX('Labor Cost_Master'!$G$4:$BC$135,MATCH($DN16,'Labor Cost_Master'!$BD$4:$BD$135,0),MATCH(CL$9,'Labor Cost_Master'!$G$3:$BC$3,0)),0)*AK16,0)</f>
        <v>0</v>
      </c>
      <c r="CM16" s="66">
        <f t="shared" si="20"/>
        <v>0</v>
      </c>
      <c r="CN16" s="64">
        <f>ROUND(IFERROR(INDEX('Labor Cost_Master'!$G$4:$BC$135,MATCH($DN16,'Labor Cost_Master'!$BD$4:$BD$135,0),MATCH(CN$9,'Labor Cost_Master'!$G$3:$BC$3,0)),0)*AM16,0)</f>
        <v>0</v>
      </c>
      <c r="CO16" s="64">
        <f>ROUND(IFERROR(INDEX('Labor Cost_Master'!$G$4:$BC$135,MATCH($DN16,'Labor Cost_Master'!$BD$4:$BD$135,0),MATCH(CO$9,'Labor Cost_Master'!$G$3:$BC$3,0)),0)*AN16,0)</f>
        <v>0</v>
      </c>
      <c r="CP16" s="64">
        <f>ROUND(IFERROR(INDEX('Labor Cost_Master'!$G$4:$BC$135,MATCH($DN16,'Labor Cost_Master'!$BD$4:$BD$135,0),MATCH(CP$9,'Labor Cost_Master'!$G$3:$BC$3,0)),0)*AO16,0)</f>
        <v>0</v>
      </c>
      <c r="CQ16" s="64">
        <f>ROUND(IFERROR(INDEX('Labor Cost_Master'!$G$4:$BC$135,MATCH($DN16,'Labor Cost_Master'!$BD$4:$BD$135,0),MATCH(CQ$9,'Labor Cost_Master'!$G$3:$BC$3,0)),0)*AP16,0)</f>
        <v>0</v>
      </c>
      <c r="CR16" s="64">
        <f>ROUND(IFERROR(INDEX('Labor Cost_Master'!$G$4:$BC$135,MATCH($DN16,'Labor Cost_Master'!$BD$4:$BD$135,0),MATCH(CR$9,'Labor Cost_Master'!$G$3:$BC$3,0)),0)*AQ16,0)</f>
        <v>0</v>
      </c>
      <c r="CS16" s="64">
        <f>ROUND(IFERROR(INDEX('Labor Cost_Master'!$G$4:$BC$135,MATCH($DN16,'Labor Cost_Master'!$BD$4:$BD$135,0),MATCH(CS$9,'Labor Cost_Master'!$G$3:$BC$3,0)),0)*AR16,0)</f>
        <v>0</v>
      </c>
      <c r="CT16" s="64">
        <f>ROUND(IFERROR(INDEX('Labor Cost_Master'!$G$4:$BC$135,MATCH($DN16,'Labor Cost_Master'!$BD$4:$BD$135,0),MATCH(CT$9,'Labor Cost_Master'!$G$3:$BC$3,0)),0)*AS16,0)</f>
        <v>0</v>
      </c>
      <c r="CU16" s="64">
        <f>ROUND(IFERROR(INDEX('Labor Cost_Master'!$G$4:$BC$135,MATCH($DN16,'Labor Cost_Master'!$BD$4:$BD$135,0),MATCH(CU$9,'Labor Cost_Master'!$G$3:$BC$3,0)),0)*AT16,0)</f>
        <v>0</v>
      </c>
      <c r="CV16" s="64">
        <f>ROUND(IFERROR(INDEX('Labor Cost_Master'!$G$4:$BC$135,MATCH($DN16,'Labor Cost_Master'!$BD$4:$BD$135,0),MATCH(CV$9,'Labor Cost_Master'!$G$3:$BC$3,0)),0)*AU16,0)</f>
        <v>0</v>
      </c>
      <c r="CW16" s="64">
        <f>ROUND(IFERROR(INDEX('Labor Cost_Master'!$G$4:$BC$135,MATCH($DN16,'Labor Cost_Master'!$BD$4:$BD$135,0),MATCH(CW$9,'Labor Cost_Master'!$G$3:$BC$3,0)),0)*AV16,0)</f>
        <v>0</v>
      </c>
      <c r="CX16" s="64">
        <f>ROUND(IFERROR(INDEX('Labor Cost_Master'!$G$4:$BC$135,MATCH($DN16,'Labor Cost_Master'!$BD$4:$BD$135,0),MATCH(CX$9,'Labor Cost_Master'!$G$3:$BC$3,0)),0)*AW16,0)</f>
        <v>0</v>
      </c>
      <c r="CY16" s="64">
        <f>ROUND(IFERROR(INDEX('Labor Cost_Master'!$G$4:$BC$135,MATCH($DN16,'Labor Cost_Master'!$BD$4:$BD$135,0),MATCH(CY$9,'Labor Cost_Master'!$G$3:$BC$3,0)),0)*AX16,0)</f>
        <v>0</v>
      </c>
      <c r="CZ16" s="66">
        <f t="shared" si="21"/>
        <v>0</v>
      </c>
      <c r="DA16" s="64">
        <f>ROUND(IFERROR(INDEX('Labor Cost_Master'!$G$4:$BC$135,MATCH($DN16,'Labor Cost_Master'!$BD$4:$BD$135,0),MATCH(DA$9,'Labor Cost_Master'!$G$3:$BC$3,0)),0)*AZ16,0)</f>
        <v>0</v>
      </c>
      <c r="DB16" s="64">
        <f>ROUND(IFERROR(INDEX('Labor Cost_Master'!$G$4:$BC$135,MATCH($DN16,'Labor Cost_Master'!$BD$4:$BD$135,0),MATCH(DB$9,'Labor Cost_Master'!$G$3:$BC$3,0)),0)*BA16,0)</f>
        <v>0</v>
      </c>
      <c r="DC16" s="1166">
        <f>ROUND(IFERROR(INDEX('Labor Cost_Master'!$G$4:$BC$135,MATCH($DN16,'Labor Cost_Master'!$BD$4:$BD$135,0),MATCH(DC$9,'Labor Cost_Master'!$G$3:$BC$3,0)),0)*BB16,0)*1.05</f>
        <v>0</v>
      </c>
      <c r="DD16" s="64">
        <f>ROUND(IFERROR(INDEX('Labor Cost_Master'!$G$4:$BC$135,MATCH($DN16,'Labor Cost_Master'!$BD$4:$BD$135,0),MATCH(DD$9,'Labor Cost_Master'!$G$3:$BC$3,0)),0)*BC16,0)*1.05</f>
        <v>0</v>
      </c>
      <c r="DE16" s="64">
        <f>ROUND(IFERROR(INDEX('Labor Cost_Master'!$G$4:$BC$135,MATCH($DN16,'Labor Cost_Master'!$BD$4:$BD$135,0),MATCH(DE$9,'Labor Cost_Master'!$G$3:$BC$3,0)),0)*BD16,0)*1.05</f>
        <v>0</v>
      </c>
      <c r="DF16" s="64">
        <f>ROUND(IFERROR(INDEX('Labor Cost_Master'!$G$4:$BC$135,MATCH($DN16,'Labor Cost_Master'!$BD$4:$BD$135,0),MATCH(DF$9,'Labor Cost_Master'!$G$3:$BC$3,0)),0)*BE16,0)*1.05</f>
        <v>0</v>
      </c>
      <c r="DG16" s="64">
        <f>ROUND(IFERROR(INDEX('Labor Cost_Master'!$G$4:$BC$135,MATCH($DN16,'Labor Cost_Master'!$BD$4:$BD$135,0),MATCH(DG$9,'Labor Cost_Master'!$G$3:$BC$3,0)),0)*BF16,0)*1.05</f>
        <v>0</v>
      </c>
      <c r="DH16" s="64">
        <f>ROUND(IFERROR(INDEX('Labor Cost_Master'!$G$4:$BC$135,MATCH($DN16,'Labor Cost_Master'!$BD$4:$BD$135,0),MATCH(DH$9,'Labor Cost_Master'!$G$3:$BC$3,0)),0)*BG16,0)*1.05</f>
        <v>0</v>
      </c>
      <c r="DI16" s="64">
        <f>ROUND(IFERROR(INDEX('Labor Cost_Master'!$G$4:$BC$135,MATCH($DN16,'Labor Cost_Master'!$BD$4:$BD$135,0),MATCH(DI$9,'Labor Cost_Master'!$G$3:$BC$3,0)),0)*BH16,0)*1.05</f>
        <v>0</v>
      </c>
      <c r="DJ16" s="64">
        <f>ROUND(IFERROR(INDEX('Labor Cost_Master'!$G$4:$BC$135,MATCH($DN16,'Labor Cost_Master'!$BD$4:$BD$135,0),MATCH(DJ$9,'Labor Cost_Master'!$G$3:$BC$3,0)),0)*BI16,0)*1.05</f>
        <v>0</v>
      </c>
      <c r="DK16" s="64">
        <f>ROUND(IFERROR(INDEX('Labor Cost_Master'!$G$4:$BC$135,MATCH($DN16,'Labor Cost_Master'!$BD$4:$BD$135,0),MATCH(DK$9,'Labor Cost_Master'!$G$3:$BC$3,0)),0)*BJ16,0)*1.05</f>
        <v>0</v>
      </c>
      <c r="DL16" s="64">
        <f>ROUND(IFERROR(INDEX('Labor Cost_Master'!$G$4:$BC$135,MATCH($DN16,'Labor Cost_Master'!$BD$4:$BD$135,0),MATCH(DL$9,'Labor Cost_Master'!$G$3:$BC$3,0)),0)*BK16,0)*1.05</f>
        <v>0</v>
      </c>
      <c r="DM16" s="66">
        <f t="shared" si="22"/>
        <v>0</v>
      </c>
      <c r="DN16" s="80" t="str">
        <f t="shared" si="23"/>
        <v/>
      </c>
      <c r="DO16" s="64">
        <f>ROUND(IFERROR(INDEX(Benefit_Master!$G$4:$BC$135,MATCH($DN16,Benefit_Master!$BD$4:$BD$135,0),MATCH(DO$9,Benefit_Master!$G$3:$BC$3,0)),0)*M16,0)</f>
        <v>0</v>
      </c>
      <c r="DP16" s="64">
        <f>ROUND(IFERROR(INDEX(Benefit_Master!$G$4:$BC$135,MATCH($DN16,Benefit_Master!$BD$4:$BD$135,0),MATCH(DP$9,Benefit_Master!$G$3:$BC$3,0)),0)*N16,0)</f>
        <v>0</v>
      </c>
      <c r="DQ16" s="64">
        <f>ROUND(IFERROR(INDEX(Benefit_Master!$G$4:$BC$135,MATCH($DN16,Benefit_Master!$BD$4:$BD$135,0),MATCH(DQ$9,Benefit_Master!$G$3:$BC$3,0)),0)*O16,0)</f>
        <v>0</v>
      </c>
      <c r="DR16" s="64">
        <f>ROUND(IFERROR(INDEX(Benefit_Master!$G$4:$BC$135,MATCH($DN16,Benefit_Master!$BD$4:$BD$135,0),MATCH(DR$9,Benefit_Master!$G$3:$BC$3,0)),0)*P16,0)</f>
        <v>0</v>
      </c>
      <c r="DS16" s="64">
        <f>ROUND(IFERROR(INDEX(Benefit_Master!$G$4:$BC$135,MATCH($DN16,Benefit_Master!$BD$4:$BD$135,0),MATCH(DS$9,Benefit_Master!$G$3:$BC$3,0)),0)*Q16,0)</f>
        <v>0</v>
      </c>
      <c r="DT16" s="64">
        <f>ROUND(IFERROR(INDEX(Benefit_Master!$G$4:$BC$135,MATCH($DN16,Benefit_Master!$BD$4:$BD$135,0),MATCH(DT$9,Benefit_Master!$G$3:$BC$3,0)),0)*R16,0)</f>
        <v>0</v>
      </c>
      <c r="DU16" s="64">
        <f>ROUND(IFERROR(INDEX(Benefit_Master!$G$4:$BC$135,MATCH($DN16,Benefit_Master!$BD$4:$BD$135,0),MATCH(DU$9,Benefit_Master!$G$3:$BC$3,0)),0)*S16,0)</f>
        <v>0</v>
      </c>
      <c r="DV16" s="64">
        <f>ROUND(IFERROR(INDEX(Benefit_Master!$G$4:$BC$135,MATCH($DN16,Benefit_Master!$BD$4:$BD$135,0),MATCH(DV$9,Benefit_Master!$G$3:$BC$3,0)),0)*T16,0)</f>
        <v>0</v>
      </c>
      <c r="DW16" s="64">
        <f>ROUND(IFERROR(INDEX(Benefit_Master!$G$4:$BC$135,MATCH($DN16,Benefit_Master!$BD$4:$BD$135,0),MATCH(DW$9,Benefit_Master!$G$3:$BC$3,0)),0)*U16,0)</f>
        <v>0</v>
      </c>
      <c r="DX16" s="64">
        <f>ROUND(IFERROR(INDEX(Benefit_Master!$G$4:$BC$135,MATCH($DN16,Benefit_Master!$BD$4:$BD$135,0),MATCH(DX$9,Benefit_Master!$G$3:$BC$3,0)),0)*V16,0)</f>
        <v>0</v>
      </c>
      <c r="DY16" s="64">
        <f>ROUND(IFERROR(INDEX(Benefit_Master!$G$4:$BC$135,MATCH($DN16,Benefit_Master!$BD$4:$BD$135,0),MATCH(DY$9,Benefit_Master!$G$3:$BC$3,0)),0)*W16,0)</f>
        <v>0</v>
      </c>
      <c r="DZ16" s="64">
        <f>ROUND(IFERROR(INDEX(Benefit_Master!$G$4:$BC$135,MATCH($DN16,Benefit_Master!$BD$4:$BD$135,0),MATCH(DZ$9,Benefit_Master!$G$3:$BC$3,0)),0)*X16,0)</f>
        <v>0</v>
      </c>
      <c r="EA16" s="66">
        <f t="shared" si="24"/>
        <v>0</v>
      </c>
      <c r="EB16" s="64">
        <f>ROUND(IFERROR(INDEX(Benefit_Master!$G$4:$BC$135,MATCH($DN16,Benefit_Master!$BD$4:$BD$135,0),MATCH(EB$9,Benefit_Master!$G$3:$BC$3,0)),0)*Z16,0)</f>
        <v>0</v>
      </c>
      <c r="EC16" s="64">
        <f>ROUND(IFERROR(INDEX(Benefit_Master!$G$4:$BC$135,MATCH($DN16,Benefit_Master!$BD$4:$BD$135,0),MATCH(EC$9,Benefit_Master!$G$3:$BC$3,0)),0)*AA16,0)</f>
        <v>0</v>
      </c>
      <c r="ED16" s="64">
        <f>ROUND(IFERROR(INDEX(Benefit_Master!$G$4:$BC$135,MATCH($DN16,Benefit_Master!$BD$4:$BD$135,0),MATCH(ED$9,Benefit_Master!$G$3:$BC$3,0)),0)*AB16,0)</f>
        <v>0</v>
      </c>
      <c r="EE16" s="64">
        <f>ROUND(IFERROR(INDEX(Benefit_Master!$G$4:$BC$135,MATCH($DN16,Benefit_Master!$BD$4:$BD$135,0),MATCH(EE$9,Benefit_Master!$G$3:$BC$3,0)),0)*AC16,0)</f>
        <v>0</v>
      </c>
      <c r="EF16" s="64">
        <f>ROUND(IFERROR(INDEX(Benefit_Master!$G$4:$BC$135,MATCH($DN16,Benefit_Master!$BD$4:$BD$135,0),MATCH(EF$9,Benefit_Master!$G$3:$BC$3,0)),0)*AD16,0)</f>
        <v>0</v>
      </c>
      <c r="EG16" s="64">
        <f>ROUND(IFERROR(INDEX(Benefit_Master!$G$4:$BC$135,MATCH($DN16,Benefit_Master!$BD$4:$BD$135,0),MATCH(EG$9,Benefit_Master!$G$3:$BC$3,0)),0)*AE16,0)</f>
        <v>0</v>
      </c>
      <c r="EH16" s="64">
        <f>ROUND(IFERROR(INDEX(Benefit_Master!$G$4:$BC$135,MATCH($DN16,Benefit_Master!$BD$4:$BD$135,0),MATCH(EH$9,Benefit_Master!$G$3:$BC$3,0)),0)*AF16,0)</f>
        <v>0</v>
      </c>
      <c r="EI16" s="64">
        <f>ROUND(IFERROR(INDEX(Benefit_Master!$G$4:$BC$135,MATCH($DN16,Benefit_Master!$BD$4:$BD$135,0),MATCH(EI$9,Benefit_Master!$G$3:$BC$3,0)),0)*AG16,0)</f>
        <v>0</v>
      </c>
      <c r="EJ16" s="64">
        <f>ROUND(IFERROR(INDEX(Benefit_Master!$G$4:$BC$135,MATCH($DN16,Benefit_Master!$BD$4:$BD$135,0),MATCH(EJ$9,Benefit_Master!$G$3:$BC$3,0)),0)*AH16,0)</f>
        <v>0</v>
      </c>
      <c r="EK16" s="64">
        <f>ROUND(IFERROR(INDEX(Benefit_Master!$G$4:$BC$135,MATCH($DN16,Benefit_Master!$BD$4:$BD$135,0),MATCH(EK$9,Benefit_Master!$G$3:$BC$3,0)),0)*AI16,0)</f>
        <v>0</v>
      </c>
      <c r="EL16" s="64">
        <f>ROUND(IFERROR(INDEX(Benefit_Master!$G$4:$BC$135,MATCH($DN16,Benefit_Master!$BD$4:$BD$135,0),MATCH(EL$9,Benefit_Master!$G$3:$BC$3,0)),0)*AJ16,0)</f>
        <v>0</v>
      </c>
      <c r="EM16" s="64">
        <f>ROUND(IFERROR(INDEX(Benefit_Master!$G$4:$BC$135,MATCH($DN16,Benefit_Master!$BD$4:$BD$135,0),MATCH(EM$9,Benefit_Master!$G$3:$BC$3,0)),0)*AK16,0)</f>
        <v>0</v>
      </c>
      <c r="EN16" s="66">
        <f t="shared" si="25"/>
        <v>0</v>
      </c>
      <c r="EO16" s="64">
        <f>ROUND(IFERROR(INDEX(Benefit_Master!$G$4:$BC$135,MATCH($DN16,Benefit_Master!$BD$4:$BD$135,0),MATCH(EO$9,Benefit_Master!$G$3:$BC$3,0)),0)*AM16,0)</f>
        <v>0</v>
      </c>
      <c r="EP16" s="64">
        <f>ROUND(IFERROR(INDEX(Benefit_Master!$G$4:$BC$135,MATCH($DN16,Benefit_Master!$BD$4:$BD$135,0),MATCH(EP$9,Benefit_Master!$G$3:$BC$3,0)),0)*AN16,0)</f>
        <v>0</v>
      </c>
      <c r="EQ16" s="64">
        <f>ROUND(IFERROR(INDEX(Benefit_Master!$G$4:$BC$135,MATCH($DN16,Benefit_Master!$BD$4:$BD$135,0),MATCH(EQ$9,Benefit_Master!$G$3:$BC$3,0)),0)*AO16,0)</f>
        <v>0</v>
      </c>
      <c r="ER16" s="64">
        <f>ROUND(IFERROR(INDEX(Benefit_Master!$G$4:$BC$135,MATCH($DN16,Benefit_Master!$BD$4:$BD$135,0),MATCH(ER$9,Benefit_Master!$G$3:$BC$3,0)),0)*AP16,0)</f>
        <v>0</v>
      </c>
      <c r="ES16" s="64">
        <f>ROUND(IFERROR(INDEX(Benefit_Master!$G$4:$BC$135,MATCH($DN16,Benefit_Master!$BD$4:$BD$135,0),MATCH(ES$9,Benefit_Master!$G$3:$BC$3,0)),0)*AQ16,0)</f>
        <v>0</v>
      </c>
      <c r="ET16" s="64">
        <f>ROUND(IFERROR(INDEX(Benefit_Master!$G$4:$BC$135,MATCH($DN16,Benefit_Master!$BD$4:$BD$135,0),MATCH(ET$9,Benefit_Master!$G$3:$BC$3,0)),0)*AR16,0)</f>
        <v>0</v>
      </c>
      <c r="EU16" s="64">
        <f>ROUND(IFERROR(INDEX(Benefit_Master!$G$4:$BC$135,MATCH($DN16,Benefit_Master!$BD$4:$BD$135,0),MATCH(EU$9,Benefit_Master!$G$3:$BC$3,0)),0)*AS16,0)</f>
        <v>0</v>
      </c>
      <c r="EV16" s="64">
        <f>ROUND(IFERROR(INDEX(Benefit_Master!$G$4:$BC$135,MATCH($DN16,Benefit_Master!$BD$4:$BD$135,0),MATCH(EV$9,Benefit_Master!$G$3:$BC$3,0)),0)*AT16,0)</f>
        <v>0</v>
      </c>
      <c r="EW16" s="64">
        <f>ROUND(IFERROR(INDEX(Benefit_Master!$G$4:$BC$135,MATCH($DN16,Benefit_Master!$BD$4:$BD$135,0),MATCH(EW$9,Benefit_Master!$G$3:$BC$3,0)),0)*AU16,0)</f>
        <v>0</v>
      </c>
      <c r="EX16" s="64">
        <f>ROUND(IFERROR(INDEX(Benefit_Master!$G$4:$BC$135,MATCH($DN16,Benefit_Master!$BD$4:$BD$135,0),MATCH(EX$9,Benefit_Master!$G$3:$BC$3,0)),0)*AV16,0)</f>
        <v>0</v>
      </c>
      <c r="EY16" s="64">
        <f>ROUND(IFERROR(INDEX(Benefit_Master!$G$4:$BC$135,MATCH($DN16,Benefit_Master!$BD$4:$BD$135,0),MATCH(EY$9,Benefit_Master!$G$3:$BC$3,0)),0)*AW16,0)</f>
        <v>0</v>
      </c>
      <c r="EZ16" s="64">
        <f>ROUND(IFERROR(INDEX(Benefit_Master!$G$4:$BC$135,MATCH($DN16,Benefit_Master!$BD$4:$BD$135,0),MATCH(EZ$9,Benefit_Master!$G$3:$BC$3,0)),0)*AX16,0)</f>
        <v>0</v>
      </c>
      <c r="FA16" s="66">
        <f t="shared" si="26"/>
        <v>0</v>
      </c>
      <c r="FB16" s="64">
        <f>ROUND(IFERROR(INDEX(Benefit_Master!$G$4:$BC$135,MATCH($DN16,Benefit_Master!$BD$4:$BD$135,0),MATCH(FB$9,Benefit_Master!$G$3:$BC$3,0)),0)*AZ16,0)</f>
        <v>0</v>
      </c>
      <c r="FC16" s="64">
        <f>ROUND(IFERROR(INDEX(Benefit_Master!$G$4:$BC$135,MATCH($DN16,Benefit_Master!$BD$4:$BD$135,0),MATCH(FC$9,Benefit_Master!$G$3:$BC$3,0)),0)*BA16,0)</f>
        <v>0</v>
      </c>
      <c r="FD16" s="64">
        <f>ROUND(IFERROR(INDEX(Benefit_Master!$G$4:$BC$135,MATCH($DN16,Benefit_Master!$BD$4:$BD$135,0),MATCH(FD$9,Benefit_Master!$G$3:$BC$3,0)),0)*BB16,0)</f>
        <v>0</v>
      </c>
      <c r="FE16" s="64">
        <f>ROUND(IFERROR(INDEX(Benefit_Master!$G$4:$BC$135,MATCH($DN16,Benefit_Master!$BD$4:$BD$135,0),MATCH(FE$9,Benefit_Master!$G$3:$BC$3,0)),0)*BC16,0)</f>
        <v>0</v>
      </c>
      <c r="FF16" s="64">
        <f>ROUND(IFERROR(INDEX(Benefit_Master!$G$4:$BC$135,MATCH($DN16,Benefit_Master!$BD$4:$BD$135,0),MATCH(FF$9,Benefit_Master!$G$3:$BC$3,0)),0)*BD16,0)</f>
        <v>0</v>
      </c>
      <c r="FG16" s="64">
        <f>ROUND(IFERROR(INDEX(Benefit_Master!$G$4:$BC$135,MATCH($DN16,Benefit_Master!$BD$4:$BD$135,0),MATCH(FG$9,Benefit_Master!$G$3:$BC$3,0)),0)*BE16,0)</f>
        <v>0</v>
      </c>
      <c r="FH16" s="64">
        <f>ROUND(IFERROR(INDEX(Benefit_Master!$G$4:$BC$135,MATCH($DN16,Benefit_Master!$BD$4:$BD$135,0),MATCH(FH$9,Benefit_Master!$G$3:$BC$3,0)),0)*BF16,0)</f>
        <v>0</v>
      </c>
      <c r="FI16" s="64">
        <f>ROUND(IFERROR(INDEX(Benefit_Master!$G$4:$BC$135,MATCH($DN16,Benefit_Master!$BD$4:$BD$135,0),MATCH(FI$9,Benefit_Master!$G$3:$BC$3,0)),0)*BG16,0)</f>
        <v>0</v>
      </c>
      <c r="FJ16" s="64">
        <f>ROUND(IFERROR(INDEX(Benefit_Master!$G$4:$BC$135,MATCH($DN16,Benefit_Master!$BD$4:$BD$135,0),MATCH(FJ$9,Benefit_Master!$G$3:$BC$3,0)),0)*BH16,0)</f>
        <v>0</v>
      </c>
      <c r="FK16" s="64">
        <f>ROUND(IFERROR(INDEX(Benefit_Master!$G$4:$BC$135,MATCH($DN16,Benefit_Master!$BD$4:$BD$135,0),MATCH(FK$9,Benefit_Master!$G$3:$BC$3,0)),0)*BI16,0)</f>
        <v>0</v>
      </c>
      <c r="FL16" s="64">
        <f>ROUND(IFERROR(INDEX(Benefit_Master!$G$4:$BC$135,MATCH($DN16,Benefit_Master!$BD$4:$BD$135,0),MATCH(FL$9,Benefit_Master!$G$3:$BC$3,0)),0)*BJ16,0)</f>
        <v>0</v>
      </c>
      <c r="FM16" s="64">
        <f>ROUND(IFERROR(INDEX(Benefit_Master!$G$4:$BC$135,MATCH($DN16,Benefit_Master!$BD$4:$BD$135,0),MATCH(FM$9,Benefit_Master!$G$3:$BC$3,0)),0)*BK16,0)</f>
        <v>0</v>
      </c>
      <c r="FN16" s="66">
        <f t="shared" si="27"/>
        <v>0</v>
      </c>
    </row>
    <row r="17" spans="2:170" s="12" customFormat="1" ht="15" customHeight="1">
      <c r="B17" s="93">
        <f t="shared" si="28"/>
        <v>5</v>
      </c>
      <c r="C17" s="89"/>
      <c r="D17" s="97"/>
      <c r="E17" s="1157"/>
      <c r="F17" s="425"/>
      <c r="G17" s="94" t="str">
        <f>IFERROR(VLOOKUP($F17,Master!$B$1:$C$7,2,0),"-")</f>
        <v>-</v>
      </c>
      <c r="H17" s="95">
        <f t="shared" si="12"/>
        <v>0</v>
      </c>
      <c r="I17" s="138">
        <f t="shared" si="13"/>
        <v>0</v>
      </c>
      <c r="J17" s="138">
        <f t="shared" si="14"/>
        <v>0</v>
      </c>
      <c r="K17" s="96"/>
      <c r="L17"/>
      <c r="M17" s="58"/>
      <c r="N17" s="59"/>
      <c r="O17" s="59"/>
      <c r="P17" s="59"/>
      <c r="Q17" s="59"/>
      <c r="R17" s="59"/>
      <c r="S17" s="59"/>
      <c r="T17" s="59"/>
      <c r="U17" s="679"/>
      <c r="V17" s="56"/>
      <c r="W17" s="56"/>
      <c r="X17" s="56"/>
      <c r="Y17" s="60">
        <f t="shared" si="15"/>
        <v>0</v>
      </c>
      <c r="Z17" s="55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60">
        <f t="shared" si="16"/>
        <v>0</v>
      </c>
      <c r="AM17" s="58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60">
        <f t="shared" si="17"/>
        <v>0</v>
      </c>
      <c r="AZ17" s="58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60">
        <f t="shared" si="18"/>
        <v>0</v>
      </c>
      <c r="BM17"/>
      <c r="BN17" s="64">
        <f>ROUND(IFERROR(INDEX('Labor Cost_Master'!$G$4:$BC$135,MATCH($DN17,'Labor Cost_Master'!$BD$4:$BD$135,0),MATCH(BN$9,'Labor Cost_Master'!$G$3:$BC$3,0)),0)*M17,0)</f>
        <v>0</v>
      </c>
      <c r="BO17" s="64">
        <f>ROUND(IFERROR(INDEX('Labor Cost_Master'!$G$4:$BC$135,MATCH($DN17,'Labor Cost_Master'!$BD$4:$BD$135,0),MATCH(BO$9,'Labor Cost_Master'!$G$3:$BC$3,0)),0)*N17,0)</f>
        <v>0</v>
      </c>
      <c r="BP17" s="64">
        <f>ROUND(IFERROR(INDEX('Labor Cost_Master'!$G$4:$BC$135,MATCH($DN17,'Labor Cost_Master'!$BD$4:$BD$135,0),MATCH(BP$9,'Labor Cost_Master'!$G$3:$BC$3,0)),0)*O17,0)</f>
        <v>0</v>
      </c>
      <c r="BQ17" s="64">
        <f>ROUND(IFERROR(INDEX('Labor Cost_Master'!$G$4:$BC$135,MATCH($DN17,'Labor Cost_Master'!$BD$4:$BD$135,0),MATCH(BQ$9,'Labor Cost_Master'!$G$3:$BC$3,0)),0)*P17,0)</f>
        <v>0</v>
      </c>
      <c r="BR17" s="64">
        <f>ROUND(IFERROR(INDEX('Labor Cost_Master'!$G$4:$BC$135,MATCH($DN17,'Labor Cost_Master'!$BD$4:$BD$135,0),MATCH(BR$9,'Labor Cost_Master'!$G$3:$BC$3,0)),0)*Q17,0)</f>
        <v>0</v>
      </c>
      <c r="BS17" s="64">
        <f>ROUND(IFERROR(INDEX('Labor Cost_Master'!$G$4:$BC$135,MATCH($DN17,'Labor Cost_Master'!$BD$4:$BD$135,0),MATCH(BS$9,'Labor Cost_Master'!$G$3:$BC$3,0)),0)*R17,0)</f>
        <v>0</v>
      </c>
      <c r="BT17" s="64">
        <f>ROUND(IFERROR(INDEX('Labor Cost_Master'!$G$4:$BC$135,MATCH($DN17,'Labor Cost_Master'!$BD$4:$BD$135,0),MATCH(BT$9,'Labor Cost_Master'!$G$3:$BC$3,0)),0)*S17,0)</f>
        <v>0</v>
      </c>
      <c r="BU17" s="64">
        <f>ROUND(IFERROR(INDEX('Labor Cost_Master'!$G$4:$BC$135,MATCH($DN17,'Labor Cost_Master'!$BD$4:$BD$135,0),MATCH(BU$9,'Labor Cost_Master'!$G$3:$BC$3,0)),0)*T17,0)</f>
        <v>0</v>
      </c>
      <c r="BV17" s="64">
        <f>ROUND(IFERROR(INDEX('Labor Cost_Master'!$G$4:$BC$135,MATCH($DN17,'Labor Cost_Master'!$BD$4:$BD$135,0),MATCH(BV$9,'Labor Cost_Master'!$G$3:$BC$3,0)),0)*U17,0)</f>
        <v>0</v>
      </c>
      <c r="BW17" s="64">
        <f>ROUND(IFERROR(INDEX('Labor Cost_Master'!$G$4:$BC$135,MATCH($DN17,'Labor Cost_Master'!$BD$4:$BD$135,0),MATCH(BW$9,'Labor Cost_Master'!$G$3:$BC$3,0)),0)*V17,0)</f>
        <v>0</v>
      </c>
      <c r="BX17" s="64">
        <f>ROUND(IFERROR(INDEX('Labor Cost_Master'!$G$4:$BC$135,MATCH($DN17,'Labor Cost_Master'!$BD$4:$BD$135,0),MATCH(BX$9,'Labor Cost_Master'!$G$3:$BC$3,0)),0)*W17,0)</f>
        <v>0</v>
      </c>
      <c r="BY17" s="64">
        <f>ROUND(IFERROR(INDEX('Labor Cost_Master'!$G$4:$BC$135,MATCH($DN17,'Labor Cost_Master'!$BD$4:$BD$135,0),MATCH(BY$9,'Labor Cost_Master'!$G$3:$BC$3,0)),0)*X17,0)</f>
        <v>0</v>
      </c>
      <c r="BZ17" s="66">
        <f t="shared" si="19"/>
        <v>0</v>
      </c>
      <c r="CA17" s="64">
        <f>ROUND(IFERROR(INDEX('Labor Cost_Master'!$G$4:$BC$135,MATCH($DN17,'Labor Cost_Master'!$BD$4:$BD$135,0),MATCH(CA$9,'Labor Cost_Master'!$G$3:$BC$3,0)),0)*Z17,0)</f>
        <v>0</v>
      </c>
      <c r="CB17" s="64">
        <f>ROUND(IFERROR(INDEX('Labor Cost_Master'!$G$4:$BC$135,MATCH($DN17,'Labor Cost_Master'!$BD$4:$BD$135,0),MATCH(CB$9,'Labor Cost_Master'!$G$3:$BC$3,0)),0)*AA17,0)</f>
        <v>0</v>
      </c>
      <c r="CC17" s="64">
        <f>ROUND(IFERROR(INDEX('Labor Cost_Master'!$G$4:$BC$135,MATCH($DN17,'Labor Cost_Master'!$BD$4:$BD$135,0),MATCH(CC$9,'Labor Cost_Master'!$G$3:$BC$3,0)),0)*AB17,0)</f>
        <v>0</v>
      </c>
      <c r="CD17" s="64">
        <f>ROUND(IFERROR(INDEX('Labor Cost_Master'!$G$4:$BC$135,MATCH($DN17,'Labor Cost_Master'!$BD$4:$BD$135,0),MATCH(CD$9,'Labor Cost_Master'!$G$3:$BC$3,0)),0)*AC17,0)</f>
        <v>0</v>
      </c>
      <c r="CE17" s="64">
        <f>ROUND(IFERROR(INDEX('Labor Cost_Master'!$G$4:$BC$135,MATCH($DN17,'Labor Cost_Master'!$BD$4:$BD$135,0),MATCH(CE$9,'Labor Cost_Master'!$G$3:$BC$3,0)),0)*AD17,0)</f>
        <v>0</v>
      </c>
      <c r="CF17" s="64">
        <f>ROUND(IFERROR(INDEX('Labor Cost_Master'!$G$4:$BC$135,MATCH($DN17,'Labor Cost_Master'!$BD$4:$BD$135,0),MATCH(CF$9,'Labor Cost_Master'!$G$3:$BC$3,0)),0)*AE17,0)</f>
        <v>0</v>
      </c>
      <c r="CG17" s="64">
        <f>ROUND(IFERROR(INDEX('Labor Cost_Master'!$G$4:$BC$135,MATCH($DN17,'Labor Cost_Master'!$BD$4:$BD$135,0),MATCH(CG$9,'Labor Cost_Master'!$G$3:$BC$3,0)),0)*AF17,0)</f>
        <v>0</v>
      </c>
      <c r="CH17" s="64">
        <f>ROUND(IFERROR(INDEX('Labor Cost_Master'!$G$4:$BC$135,MATCH($DN17,'Labor Cost_Master'!$BD$4:$BD$135,0),MATCH(CH$9,'Labor Cost_Master'!$G$3:$BC$3,0)),0)*AG17,0)</f>
        <v>0</v>
      </c>
      <c r="CI17" s="64">
        <f>ROUND(IFERROR(INDEX('Labor Cost_Master'!$G$4:$BC$135,MATCH($DN17,'Labor Cost_Master'!$BD$4:$BD$135,0),MATCH(CI$9,'Labor Cost_Master'!$G$3:$BC$3,0)),0)*AH17,0)</f>
        <v>0</v>
      </c>
      <c r="CJ17" s="64">
        <f>ROUND(IFERROR(INDEX('Labor Cost_Master'!$G$4:$BC$135,MATCH($DN17,'Labor Cost_Master'!$BD$4:$BD$135,0),MATCH(CJ$9,'Labor Cost_Master'!$G$3:$BC$3,0)),0)*AI17,0)</f>
        <v>0</v>
      </c>
      <c r="CK17" s="64">
        <f>ROUND(IFERROR(INDEX('Labor Cost_Master'!$G$4:$BC$135,MATCH($DN17,'Labor Cost_Master'!$BD$4:$BD$135,0),MATCH(CK$9,'Labor Cost_Master'!$G$3:$BC$3,0)),0)*AJ17,0)</f>
        <v>0</v>
      </c>
      <c r="CL17" s="64">
        <f>ROUND(IFERROR(INDEX('Labor Cost_Master'!$G$4:$BC$135,MATCH($DN17,'Labor Cost_Master'!$BD$4:$BD$135,0),MATCH(CL$9,'Labor Cost_Master'!$G$3:$BC$3,0)),0)*AK17,0)</f>
        <v>0</v>
      </c>
      <c r="CM17" s="66">
        <f t="shared" si="20"/>
        <v>0</v>
      </c>
      <c r="CN17" s="64">
        <f>ROUND(IFERROR(INDEX('Labor Cost_Master'!$G$4:$BC$135,MATCH($DN17,'Labor Cost_Master'!$BD$4:$BD$135,0),MATCH(CN$9,'Labor Cost_Master'!$G$3:$BC$3,0)),0)*AM17,0)</f>
        <v>0</v>
      </c>
      <c r="CO17" s="64">
        <f>ROUND(IFERROR(INDEX('Labor Cost_Master'!$G$4:$BC$135,MATCH($DN17,'Labor Cost_Master'!$BD$4:$BD$135,0),MATCH(CO$9,'Labor Cost_Master'!$G$3:$BC$3,0)),0)*AN17,0)</f>
        <v>0</v>
      </c>
      <c r="CP17" s="64">
        <f>ROUND(IFERROR(INDEX('Labor Cost_Master'!$G$4:$BC$135,MATCH($DN17,'Labor Cost_Master'!$BD$4:$BD$135,0),MATCH(CP$9,'Labor Cost_Master'!$G$3:$BC$3,0)),0)*AO17,0)</f>
        <v>0</v>
      </c>
      <c r="CQ17" s="64">
        <f>ROUND(IFERROR(INDEX('Labor Cost_Master'!$G$4:$BC$135,MATCH($DN17,'Labor Cost_Master'!$BD$4:$BD$135,0),MATCH(CQ$9,'Labor Cost_Master'!$G$3:$BC$3,0)),0)*AP17,0)</f>
        <v>0</v>
      </c>
      <c r="CR17" s="64">
        <f>ROUND(IFERROR(INDEX('Labor Cost_Master'!$G$4:$BC$135,MATCH($DN17,'Labor Cost_Master'!$BD$4:$BD$135,0),MATCH(CR$9,'Labor Cost_Master'!$G$3:$BC$3,0)),0)*AQ17,0)</f>
        <v>0</v>
      </c>
      <c r="CS17" s="64">
        <f>ROUND(IFERROR(INDEX('Labor Cost_Master'!$G$4:$BC$135,MATCH($DN17,'Labor Cost_Master'!$BD$4:$BD$135,0),MATCH(CS$9,'Labor Cost_Master'!$G$3:$BC$3,0)),0)*AR17,0)</f>
        <v>0</v>
      </c>
      <c r="CT17" s="64">
        <f>ROUND(IFERROR(INDEX('Labor Cost_Master'!$G$4:$BC$135,MATCH($DN17,'Labor Cost_Master'!$BD$4:$BD$135,0),MATCH(CT$9,'Labor Cost_Master'!$G$3:$BC$3,0)),0)*AS17,0)</f>
        <v>0</v>
      </c>
      <c r="CU17" s="64">
        <f>ROUND(IFERROR(INDEX('Labor Cost_Master'!$G$4:$BC$135,MATCH($DN17,'Labor Cost_Master'!$BD$4:$BD$135,0),MATCH(CU$9,'Labor Cost_Master'!$G$3:$BC$3,0)),0)*AT17,0)</f>
        <v>0</v>
      </c>
      <c r="CV17" s="64">
        <f>ROUND(IFERROR(INDEX('Labor Cost_Master'!$G$4:$BC$135,MATCH($DN17,'Labor Cost_Master'!$BD$4:$BD$135,0),MATCH(CV$9,'Labor Cost_Master'!$G$3:$BC$3,0)),0)*AU17,0)</f>
        <v>0</v>
      </c>
      <c r="CW17" s="64">
        <f>ROUND(IFERROR(INDEX('Labor Cost_Master'!$G$4:$BC$135,MATCH($DN17,'Labor Cost_Master'!$BD$4:$BD$135,0),MATCH(CW$9,'Labor Cost_Master'!$G$3:$BC$3,0)),0)*AV17,0)</f>
        <v>0</v>
      </c>
      <c r="CX17" s="64">
        <f>ROUND(IFERROR(INDEX('Labor Cost_Master'!$G$4:$BC$135,MATCH($DN17,'Labor Cost_Master'!$BD$4:$BD$135,0),MATCH(CX$9,'Labor Cost_Master'!$G$3:$BC$3,0)),0)*AW17,0)</f>
        <v>0</v>
      </c>
      <c r="CY17" s="64">
        <f>ROUND(IFERROR(INDEX('Labor Cost_Master'!$G$4:$BC$135,MATCH($DN17,'Labor Cost_Master'!$BD$4:$BD$135,0),MATCH(CY$9,'Labor Cost_Master'!$G$3:$BC$3,0)),0)*AX17,0)</f>
        <v>0</v>
      </c>
      <c r="CZ17" s="66">
        <f t="shared" si="21"/>
        <v>0</v>
      </c>
      <c r="DA17" s="64">
        <f>ROUND(IFERROR(INDEX('Labor Cost_Master'!$G$4:$BC$135,MATCH($DN17,'Labor Cost_Master'!$BD$4:$BD$135,0),MATCH(DA$9,'Labor Cost_Master'!$G$3:$BC$3,0)),0)*AZ17,0)</f>
        <v>0</v>
      </c>
      <c r="DB17" s="64">
        <f>ROUND(IFERROR(INDEX('Labor Cost_Master'!$G$4:$BC$135,MATCH($DN17,'Labor Cost_Master'!$BD$4:$BD$135,0),MATCH(DB$9,'Labor Cost_Master'!$G$3:$BC$3,0)),0)*BA17,0)</f>
        <v>0</v>
      </c>
      <c r="DC17" s="1166">
        <f>ROUND(IFERROR(INDEX('Labor Cost_Master'!$G$4:$BC$135,MATCH($DN17,'Labor Cost_Master'!$BD$4:$BD$135,0),MATCH(DC$9,'Labor Cost_Master'!$G$3:$BC$3,0)),0)*BB17,0)*1.05</f>
        <v>0</v>
      </c>
      <c r="DD17" s="64">
        <f>ROUND(IFERROR(INDEX('Labor Cost_Master'!$G$4:$BC$135,MATCH($DN17,'Labor Cost_Master'!$BD$4:$BD$135,0),MATCH(DD$9,'Labor Cost_Master'!$G$3:$BC$3,0)),0)*BC17,0)*1.05</f>
        <v>0</v>
      </c>
      <c r="DE17" s="64">
        <f>ROUND(IFERROR(INDEX('Labor Cost_Master'!$G$4:$BC$135,MATCH($DN17,'Labor Cost_Master'!$BD$4:$BD$135,0),MATCH(DE$9,'Labor Cost_Master'!$G$3:$BC$3,0)),0)*BD17,0)*1.05</f>
        <v>0</v>
      </c>
      <c r="DF17" s="64">
        <f>ROUND(IFERROR(INDEX('Labor Cost_Master'!$G$4:$BC$135,MATCH($DN17,'Labor Cost_Master'!$BD$4:$BD$135,0),MATCH(DF$9,'Labor Cost_Master'!$G$3:$BC$3,0)),0)*BE17,0)*1.05</f>
        <v>0</v>
      </c>
      <c r="DG17" s="64">
        <f>ROUND(IFERROR(INDEX('Labor Cost_Master'!$G$4:$BC$135,MATCH($DN17,'Labor Cost_Master'!$BD$4:$BD$135,0),MATCH(DG$9,'Labor Cost_Master'!$G$3:$BC$3,0)),0)*BF17,0)*1.05</f>
        <v>0</v>
      </c>
      <c r="DH17" s="64">
        <f>ROUND(IFERROR(INDEX('Labor Cost_Master'!$G$4:$BC$135,MATCH($DN17,'Labor Cost_Master'!$BD$4:$BD$135,0),MATCH(DH$9,'Labor Cost_Master'!$G$3:$BC$3,0)),0)*BG17,0)*1.05</f>
        <v>0</v>
      </c>
      <c r="DI17" s="64">
        <f>ROUND(IFERROR(INDEX('Labor Cost_Master'!$G$4:$BC$135,MATCH($DN17,'Labor Cost_Master'!$BD$4:$BD$135,0),MATCH(DI$9,'Labor Cost_Master'!$G$3:$BC$3,0)),0)*BH17,0)*1.05</f>
        <v>0</v>
      </c>
      <c r="DJ17" s="64">
        <f>ROUND(IFERROR(INDEX('Labor Cost_Master'!$G$4:$BC$135,MATCH($DN17,'Labor Cost_Master'!$BD$4:$BD$135,0),MATCH(DJ$9,'Labor Cost_Master'!$G$3:$BC$3,0)),0)*BI17,0)*1.05</f>
        <v>0</v>
      </c>
      <c r="DK17" s="64">
        <f>ROUND(IFERROR(INDEX('Labor Cost_Master'!$G$4:$BC$135,MATCH($DN17,'Labor Cost_Master'!$BD$4:$BD$135,0),MATCH(DK$9,'Labor Cost_Master'!$G$3:$BC$3,0)),0)*BJ17,0)*1.05</f>
        <v>0</v>
      </c>
      <c r="DL17" s="64">
        <f>ROUND(IFERROR(INDEX('Labor Cost_Master'!$G$4:$BC$135,MATCH($DN17,'Labor Cost_Master'!$BD$4:$BD$135,0),MATCH(DL$9,'Labor Cost_Master'!$G$3:$BC$3,0)),0)*BK17,0)*1.05</f>
        <v>0</v>
      </c>
      <c r="DM17" s="66">
        <f t="shared" si="22"/>
        <v>0</v>
      </c>
      <c r="DN17" s="80" t="str">
        <f t="shared" si="23"/>
        <v/>
      </c>
      <c r="DO17" s="64">
        <f>ROUND(IFERROR(INDEX(Benefit_Master!$G$4:$BC$135,MATCH($DN17,Benefit_Master!$BD$4:$BD$135,0),MATCH(DO$9,Benefit_Master!$G$3:$BC$3,0)),0)*M17,0)</f>
        <v>0</v>
      </c>
      <c r="DP17" s="64">
        <f>ROUND(IFERROR(INDEX(Benefit_Master!$G$4:$BC$135,MATCH($DN17,Benefit_Master!$BD$4:$BD$135,0),MATCH(DP$9,Benefit_Master!$G$3:$BC$3,0)),0)*N17,0)</f>
        <v>0</v>
      </c>
      <c r="DQ17" s="64">
        <f>ROUND(IFERROR(INDEX(Benefit_Master!$G$4:$BC$135,MATCH($DN17,Benefit_Master!$BD$4:$BD$135,0),MATCH(DQ$9,Benefit_Master!$G$3:$BC$3,0)),0)*O17,0)</f>
        <v>0</v>
      </c>
      <c r="DR17" s="64">
        <f>ROUND(IFERROR(INDEX(Benefit_Master!$G$4:$BC$135,MATCH($DN17,Benefit_Master!$BD$4:$BD$135,0),MATCH(DR$9,Benefit_Master!$G$3:$BC$3,0)),0)*P17,0)</f>
        <v>0</v>
      </c>
      <c r="DS17" s="64">
        <f>ROUND(IFERROR(INDEX(Benefit_Master!$G$4:$BC$135,MATCH($DN17,Benefit_Master!$BD$4:$BD$135,0),MATCH(DS$9,Benefit_Master!$G$3:$BC$3,0)),0)*Q17,0)</f>
        <v>0</v>
      </c>
      <c r="DT17" s="64">
        <f>ROUND(IFERROR(INDEX(Benefit_Master!$G$4:$BC$135,MATCH($DN17,Benefit_Master!$BD$4:$BD$135,0),MATCH(DT$9,Benefit_Master!$G$3:$BC$3,0)),0)*R17,0)</f>
        <v>0</v>
      </c>
      <c r="DU17" s="64">
        <f>ROUND(IFERROR(INDEX(Benefit_Master!$G$4:$BC$135,MATCH($DN17,Benefit_Master!$BD$4:$BD$135,0),MATCH(DU$9,Benefit_Master!$G$3:$BC$3,0)),0)*S17,0)</f>
        <v>0</v>
      </c>
      <c r="DV17" s="64">
        <f>ROUND(IFERROR(INDEX(Benefit_Master!$G$4:$BC$135,MATCH($DN17,Benefit_Master!$BD$4:$BD$135,0),MATCH(DV$9,Benefit_Master!$G$3:$BC$3,0)),0)*T17,0)</f>
        <v>0</v>
      </c>
      <c r="DW17" s="64">
        <f>ROUND(IFERROR(INDEX(Benefit_Master!$G$4:$BC$135,MATCH($DN17,Benefit_Master!$BD$4:$BD$135,0),MATCH(DW$9,Benefit_Master!$G$3:$BC$3,0)),0)*U17,0)</f>
        <v>0</v>
      </c>
      <c r="DX17" s="64">
        <f>ROUND(IFERROR(INDEX(Benefit_Master!$G$4:$BC$135,MATCH($DN17,Benefit_Master!$BD$4:$BD$135,0),MATCH(DX$9,Benefit_Master!$G$3:$BC$3,0)),0)*V17,0)</f>
        <v>0</v>
      </c>
      <c r="DY17" s="64">
        <f>ROUND(IFERROR(INDEX(Benefit_Master!$G$4:$BC$135,MATCH($DN17,Benefit_Master!$BD$4:$BD$135,0),MATCH(DY$9,Benefit_Master!$G$3:$BC$3,0)),0)*W17,0)</f>
        <v>0</v>
      </c>
      <c r="DZ17" s="64">
        <f>ROUND(IFERROR(INDEX(Benefit_Master!$G$4:$BC$135,MATCH($DN17,Benefit_Master!$BD$4:$BD$135,0),MATCH(DZ$9,Benefit_Master!$G$3:$BC$3,0)),0)*X17,0)</f>
        <v>0</v>
      </c>
      <c r="EA17" s="66">
        <f t="shared" si="24"/>
        <v>0</v>
      </c>
      <c r="EB17" s="64">
        <f>ROUND(IFERROR(INDEX(Benefit_Master!$G$4:$BC$135,MATCH($DN17,Benefit_Master!$BD$4:$BD$135,0),MATCH(EB$9,Benefit_Master!$G$3:$BC$3,0)),0)*Z17,0)</f>
        <v>0</v>
      </c>
      <c r="EC17" s="64">
        <f>ROUND(IFERROR(INDEX(Benefit_Master!$G$4:$BC$135,MATCH($DN17,Benefit_Master!$BD$4:$BD$135,0),MATCH(EC$9,Benefit_Master!$G$3:$BC$3,0)),0)*AA17,0)</f>
        <v>0</v>
      </c>
      <c r="ED17" s="64">
        <f>ROUND(IFERROR(INDEX(Benefit_Master!$G$4:$BC$135,MATCH($DN17,Benefit_Master!$BD$4:$BD$135,0),MATCH(ED$9,Benefit_Master!$G$3:$BC$3,0)),0)*AB17,0)</f>
        <v>0</v>
      </c>
      <c r="EE17" s="64">
        <f>ROUND(IFERROR(INDEX(Benefit_Master!$G$4:$BC$135,MATCH($DN17,Benefit_Master!$BD$4:$BD$135,0),MATCH(EE$9,Benefit_Master!$G$3:$BC$3,0)),0)*AC17,0)</f>
        <v>0</v>
      </c>
      <c r="EF17" s="64">
        <f>ROUND(IFERROR(INDEX(Benefit_Master!$G$4:$BC$135,MATCH($DN17,Benefit_Master!$BD$4:$BD$135,0),MATCH(EF$9,Benefit_Master!$G$3:$BC$3,0)),0)*AD17,0)</f>
        <v>0</v>
      </c>
      <c r="EG17" s="64">
        <f>ROUND(IFERROR(INDEX(Benefit_Master!$G$4:$BC$135,MATCH($DN17,Benefit_Master!$BD$4:$BD$135,0),MATCH(EG$9,Benefit_Master!$G$3:$BC$3,0)),0)*AE17,0)</f>
        <v>0</v>
      </c>
      <c r="EH17" s="64">
        <f>ROUND(IFERROR(INDEX(Benefit_Master!$G$4:$BC$135,MATCH($DN17,Benefit_Master!$BD$4:$BD$135,0),MATCH(EH$9,Benefit_Master!$G$3:$BC$3,0)),0)*AF17,0)</f>
        <v>0</v>
      </c>
      <c r="EI17" s="64">
        <f>ROUND(IFERROR(INDEX(Benefit_Master!$G$4:$BC$135,MATCH($DN17,Benefit_Master!$BD$4:$BD$135,0),MATCH(EI$9,Benefit_Master!$G$3:$BC$3,0)),0)*AG17,0)</f>
        <v>0</v>
      </c>
      <c r="EJ17" s="64">
        <f>ROUND(IFERROR(INDEX(Benefit_Master!$G$4:$BC$135,MATCH($DN17,Benefit_Master!$BD$4:$BD$135,0),MATCH(EJ$9,Benefit_Master!$G$3:$BC$3,0)),0)*AH17,0)</f>
        <v>0</v>
      </c>
      <c r="EK17" s="64">
        <f>ROUND(IFERROR(INDEX(Benefit_Master!$G$4:$BC$135,MATCH($DN17,Benefit_Master!$BD$4:$BD$135,0),MATCH(EK$9,Benefit_Master!$G$3:$BC$3,0)),0)*AI17,0)</f>
        <v>0</v>
      </c>
      <c r="EL17" s="64">
        <f>ROUND(IFERROR(INDEX(Benefit_Master!$G$4:$BC$135,MATCH($DN17,Benefit_Master!$BD$4:$BD$135,0),MATCH(EL$9,Benefit_Master!$G$3:$BC$3,0)),0)*AJ17,0)</f>
        <v>0</v>
      </c>
      <c r="EM17" s="64">
        <f>ROUND(IFERROR(INDEX(Benefit_Master!$G$4:$BC$135,MATCH($DN17,Benefit_Master!$BD$4:$BD$135,0),MATCH(EM$9,Benefit_Master!$G$3:$BC$3,0)),0)*AK17,0)</f>
        <v>0</v>
      </c>
      <c r="EN17" s="66">
        <f t="shared" si="25"/>
        <v>0</v>
      </c>
      <c r="EO17" s="64">
        <f>ROUND(IFERROR(INDEX(Benefit_Master!$G$4:$BC$135,MATCH($DN17,Benefit_Master!$BD$4:$BD$135,0),MATCH(EO$9,Benefit_Master!$G$3:$BC$3,0)),0)*AM17,0)</f>
        <v>0</v>
      </c>
      <c r="EP17" s="64">
        <f>ROUND(IFERROR(INDEX(Benefit_Master!$G$4:$BC$135,MATCH($DN17,Benefit_Master!$BD$4:$BD$135,0),MATCH(EP$9,Benefit_Master!$G$3:$BC$3,0)),0)*AN17,0)</f>
        <v>0</v>
      </c>
      <c r="EQ17" s="64">
        <f>ROUND(IFERROR(INDEX(Benefit_Master!$G$4:$BC$135,MATCH($DN17,Benefit_Master!$BD$4:$BD$135,0),MATCH(EQ$9,Benefit_Master!$G$3:$BC$3,0)),0)*AO17,0)</f>
        <v>0</v>
      </c>
      <c r="ER17" s="64">
        <f>ROUND(IFERROR(INDEX(Benefit_Master!$G$4:$BC$135,MATCH($DN17,Benefit_Master!$BD$4:$BD$135,0),MATCH(ER$9,Benefit_Master!$G$3:$BC$3,0)),0)*AP17,0)</f>
        <v>0</v>
      </c>
      <c r="ES17" s="64">
        <f>ROUND(IFERROR(INDEX(Benefit_Master!$G$4:$BC$135,MATCH($DN17,Benefit_Master!$BD$4:$BD$135,0),MATCH(ES$9,Benefit_Master!$G$3:$BC$3,0)),0)*AQ17,0)</f>
        <v>0</v>
      </c>
      <c r="ET17" s="64">
        <f>ROUND(IFERROR(INDEX(Benefit_Master!$G$4:$BC$135,MATCH($DN17,Benefit_Master!$BD$4:$BD$135,0),MATCH(ET$9,Benefit_Master!$G$3:$BC$3,0)),0)*AR17,0)</f>
        <v>0</v>
      </c>
      <c r="EU17" s="64">
        <f>ROUND(IFERROR(INDEX(Benefit_Master!$G$4:$BC$135,MATCH($DN17,Benefit_Master!$BD$4:$BD$135,0),MATCH(EU$9,Benefit_Master!$G$3:$BC$3,0)),0)*AS17,0)</f>
        <v>0</v>
      </c>
      <c r="EV17" s="64">
        <f>ROUND(IFERROR(INDEX(Benefit_Master!$G$4:$BC$135,MATCH($DN17,Benefit_Master!$BD$4:$BD$135,0),MATCH(EV$9,Benefit_Master!$G$3:$BC$3,0)),0)*AT17,0)</f>
        <v>0</v>
      </c>
      <c r="EW17" s="64">
        <f>ROUND(IFERROR(INDEX(Benefit_Master!$G$4:$BC$135,MATCH($DN17,Benefit_Master!$BD$4:$BD$135,0),MATCH(EW$9,Benefit_Master!$G$3:$BC$3,0)),0)*AU17,0)</f>
        <v>0</v>
      </c>
      <c r="EX17" s="64">
        <f>ROUND(IFERROR(INDEX(Benefit_Master!$G$4:$BC$135,MATCH($DN17,Benefit_Master!$BD$4:$BD$135,0),MATCH(EX$9,Benefit_Master!$G$3:$BC$3,0)),0)*AV17,0)</f>
        <v>0</v>
      </c>
      <c r="EY17" s="64">
        <f>ROUND(IFERROR(INDEX(Benefit_Master!$G$4:$BC$135,MATCH($DN17,Benefit_Master!$BD$4:$BD$135,0),MATCH(EY$9,Benefit_Master!$G$3:$BC$3,0)),0)*AW17,0)</f>
        <v>0</v>
      </c>
      <c r="EZ17" s="64">
        <f>ROUND(IFERROR(INDEX(Benefit_Master!$G$4:$BC$135,MATCH($DN17,Benefit_Master!$BD$4:$BD$135,0),MATCH(EZ$9,Benefit_Master!$G$3:$BC$3,0)),0)*AX17,0)</f>
        <v>0</v>
      </c>
      <c r="FA17" s="66">
        <f t="shared" si="26"/>
        <v>0</v>
      </c>
      <c r="FB17" s="64">
        <f>ROUND(IFERROR(INDEX(Benefit_Master!$G$4:$BC$135,MATCH($DN17,Benefit_Master!$BD$4:$BD$135,0),MATCH(FB$9,Benefit_Master!$G$3:$BC$3,0)),0)*AZ17,0)</f>
        <v>0</v>
      </c>
      <c r="FC17" s="64">
        <f>ROUND(IFERROR(INDEX(Benefit_Master!$G$4:$BC$135,MATCH($DN17,Benefit_Master!$BD$4:$BD$135,0),MATCH(FC$9,Benefit_Master!$G$3:$BC$3,0)),0)*BA17,0)</f>
        <v>0</v>
      </c>
      <c r="FD17" s="64">
        <f>ROUND(IFERROR(INDEX(Benefit_Master!$G$4:$BC$135,MATCH($DN17,Benefit_Master!$BD$4:$BD$135,0),MATCH(FD$9,Benefit_Master!$G$3:$BC$3,0)),0)*BB17,0)</f>
        <v>0</v>
      </c>
      <c r="FE17" s="64">
        <f>ROUND(IFERROR(INDEX(Benefit_Master!$G$4:$BC$135,MATCH($DN17,Benefit_Master!$BD$4:$BD$135,0),MATCH(FE$9,Benefit_Master!$G$3:$BC$3,0)),0)*BC17,0)</f>
        <v>0</v>
      </c>
      <c r="FF17" s="64">
        <f>ROUND(IFERROR(INDEX(Benefit_Master!$G$4:$BC$135,MATCH($DN17,Benefit_Master!$BD$4:$BD$135,0),MATCH(FF$9,Benefit_Master!$G$3:$BC$3,0)),0)*BD17,0)</f>
        <v>0</v>
      </c>
      <c r="FG17" s="64">
        <f>ROUND(IFERROR(INDEX(Benefit_Master!$G$4:$BC$135,MATCH($DN17,Benefit_Master!$BD$4:$BD$135,0),MATCH(FG$9,Benefit_Master!$G$3:$BC$3,0)),0)*BE17,0)</f>
        <v>0</v>
      </c>
      <c r="FH17" s="64">
        <f>ROUND(IFERROR(INDEX(Benefit_Master!$G$4:$BC$135,MATCH($DN17,Benefit_Master!$BD$4:$BD$135,0),MATCH(FH$9,Benefit_Master!$G$3:$BC$3,0)),0)*BF17,0)</f>
        <v>0</v>
      </c>
      <c r="FI17" s="64">
        <f>ROUND(IFERROR(INDEX(Benefit_Master!$G$4:$BC$135,MATCH($DN17,Benefit_Master!$BD$4:$BD$135,0),MATCH(FI$9,Benefit_Master!$G$3:$BC$3,0)),0)*BG17,0)</f>
        <v>0</v>
      </c>
      <c r="FJ17" s="64">
        <f>ROUND(IFERROR(INDEX(Benefit_Master!$G$4:$BC$135,MATCH($DN17,Benefit_Master!$BD$4:$BD$135,0),MATCH(FJ$9,Benefit_Master!$G$3:$BC$3,0)),0)*BH17,0)</f>
        <v>0</v>
      </c>
      <c r="FK17" s="64">
        <f>ROUND(IFERROR(INDEX(Benefit_Master!$G$4:$BC$135,MATCH($DN17,Benefit_Master!$BD$4:$BD$135,0),MATCH(FK$9,Benefit_Master!$G$3:$BC$3,0)),0)*BI17,0)</f>
        <v>0</v>
      </c>
      <c r="FL17" s="64">
        <f>ROUND(IFERROR(INDEX(Benefit_Master!$G$4:$BC$135,MATCH($DN17,Benefit_Master!$BD$4:$BD$135,0),MATCH(FL$9,Benefit_Master!$G$3:$BC$3,0)),0)*BJ17,0)</f>
        <v>0</v>
      </c>
      <c r="FM17" s="64">
        <f>ROUND(IFERROR(INDEX(Benefit_Master!$G$4:$BC$135,MATCH($DN17,Benefit_Master!$BD$4:$BD$135,0),MATCH(FM$9,Benefit_Master!$G$3:$BC$3,0)),0)*BK17,0)</f>
        <v>0</v>
      </c>
      <c r="FN17" s="66">
        <f t="shared" si="27"/>
        <v>0</v>
      </c>
    </row>
    <row r="18" spans="2:170" s="12" customFormat="1" ht="15" customHeight="1">
      <c r="B18" s="93">
        <f t="shared" si="28"/>
        <v>6</v>
      </c>
      <c r="C18" s="89"/>
      <c r="D18" s="97"/>
      <c r="E18" s="1157"/>
      <c r="F18" s="425"/>
      <c r="G18" s="94" t="str">
        <f>IFERROR(VLOOKUP($F18,Master!$B$1:$C$7,2,0),"-")</f>
        <v>-</v>
      </c>
      <c r="H18" s="95">
        <f t="shared" si="12"/>
        <v>0</v>
      </c>
      <c r="I18" s="138">
        <f t="shared" si="13"/>
        <v>0</v>
      </c>
      <c r="J18" s="138">
        <f t="shared" si="14"/>
        <v>0</v>
      </c>
      <c r="K18" s="96"/>
      <c r="L18"/>
      <c r="M18" s="58"/>
      <c r="N18" s="59"/>
      <c r="O18" s="59"/>
      <c r="P18" s="59"/>
      <c r="Q18" s="59"/>
      <c r="R18" s="59"/>
      <c r="S18" s="59"/>
      <c r="T18" s="59"/>
      <c r="U18" s="679"/>
      <c r="V18" s="56"/>
      <c r="W18" s="56"/>
      <c r="X18" s="56"/>
      <c r="Y18" s="60">
        <f t="shared" si="15"/>
        <v>0</v>
      </c>
      <c r="Z18" s="55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60">
        <f t="shared" si="16"/>
        <v>0</v>
      </c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60">
        <f t="shared" si="17"/>
        <v>0</v>
      </c>
      <c r="AZ18" s="58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60">
        <f t="shared" si="18"/>
        <v>0</v>
      </c>
      <c r="BM18"/>
      <c r="BN18" s="64">
        <f>ROUND(IFERROR(INDEX('Labor Cost_Master'!$G$4:$BC$135,MATCH($DN18,'Labor Cost_Master'!$BD$4:$BD$135,0),MATCH(BN$9,'Labor Cost_Master'!$G$3:$BC$3,0)),0)*M18,0)</f>
        <v>0</v>
      </c>
      <c r="BO18" s="64">
        <f>ROUND(IFERROR(INDEX('Labor Cost_Master'!$G$4:$BC$135,MATCH($DN18,'Labor Cost_Master'!$BD$4:$BD$135,0),MATCH(BO$9,'Labor Cost_Master'!$G$3:$BC$3,0)),0)*N18,0)</f>
        <v>0</v>
      </c>
      <c r="BP18" s="64">
        <f>ROUND(IFERROR(INDEX('Labor Cost_Master'!$G$4:$BC$135,MATCH($DN18,'Labor Cost_Master'!$BD$4:$BD$135,0),MATCH(BP$9,'Labor Cost_Master'!$G$3:$BC$3,0)),0)*O18,0)</f>
        <v>0</v>
      </c>
      <c r="BQ18" s="64">
        <f>ROUND(IFERROR(INDEX('Labor Cost_Master'!$G$4:$BC$135,MATCH($DN18,'Labor Cost_Master'!$BD$4:$BD$135,0),MATCH(BQ$9,'Labor Cost_Master'!$G$3:$BC$3,0)),0)*P18,0)</f>
        <v>0</v>
      </c>
      <c r="BR18" s="64">
        <f>ROUND(IFERROR(INDEX('Labor Cost_Master'!$G$4:$BC$135,MATCH($DN18,'Labor Cost_Master'!$BD$4:$BD$135,0),MATCH(BR$9,'Labor Cost_Master'!$G$3:$BC$3,0)),0)*Q18,0)</f>
        <v>0</v>
      </c>
      <c r="BS18" s="64">
        <f>ROUND(IFERROR(INDEX('Labor Cost_Master'!$G$4:$BC$135,MATCH($DN18,'Labor Cost_Master'!$BD$4:$BD$135,0),MATCH(BS$9,'Labor Cost_Master'!$G$3:$BC$3,0)),0)*R18,0)</f>
        <v>0</v>
      </c>
      <c r="BT18" s="64">
        <f>ROUND(IFERROR(INDEX('Labor Cost_Master'!$G$4:$BC$135,MATCH($DN18,'Labor Cost_Master'!$BD$4:$BD$135,0),MATCH(BT$9,'Labor Cost_Master'!$G$3:$BC$3,0)),0)*S18,0)</f>
        <v>0</v>
      </c>
      <c r="BU18" s="64">
        <f>ROUND(IFERROR(INDEX('Labor Cost_Master'!$G$4:$BC$135,MATCH($DN18,'Labor Cost_Master'!$BD$4:$BD$135,0),MATCH(BU$9,'Labor Cost_Master'!$G$3:$BC$3,0)),0)*T18,0)</f>
        <v>0</v>
      </c>
      <c r="BV18" s="64">
        <f>ROUND(IFERROR(INDEX('Labor Cost_Master'!$G$4:$BC$135,MATCH($DN18,'Labor Cost_Master'!$BD$4:$BD$135,0),MATCH(BV$9,'Labor Cost_Master'!$G$3:$BC$3,0)),0)*U18,0)</f>
        <v>0</v>
      </c>
      <c r="BW18" s="64">
        <f>ROUND(IFERROR(INDEX('Labor Cost_Master'!$G$4:$BC$135,MATCH($DN18,'Labor Cost_Master'!$BD$4:$BD$135,0),MATCH(BW$9,'Labor Cost_Master'!$G$3:$BC$3,0)),0)*V18,0)</f>
        <v>0</v>
      </c>
      <c r="BX18" s="64">
        <f>ROUND(IFERROR(INDEX('Labor Cost_Master'!$G$4:$BC$135,MATCH($DN18,'Labor Cost_Master'!$BD$4:$BD$135,0),MATCH(BX$9,'Labor Cost_Master'!$G$3:$BC$3,0)),0)*W18,0)</f>
        <v>0</v>
      </c>
      <c r="BY18" s="64">
        <f>ROUND(IFERROR(INDEX('Labor Cost_Master'!$G$4:$BC$135,MATCH($DN18,'Labor Cost_Master'!$BD$4:$BD$135,0),MATCH(BY$9,'Labor Cost_Master'!$G$3:$BC$3,0)),0)*X18,0)</f>
        <v>0</v>
      </c>
      <c r="BZ18" s="66">
        <f t="shared" si="19"/>
        <v>0</v>
      </c>
      <c r="CA18" s="64">
        <f>ROUND(IFERROR(INDEX('Labor Cost_Master'!$G$4:$BC$135,MATCH($DN18,'Labor Cost_Master'!$BD$4:$BD$135,0),MATCH(CA$9,'Labor Cost_Master'!$G$3:$BC$3,0)),0)*Z18,0)</f>
        <v>0</v>
      </c>
      <c r="CB18" s="64">
        <f>ROUND(IFERROR(INDEX('Labor Cost_Master'!$G$4:$BC$135,MATCH($DN18,'Labor Cost_Master'!$BD$4:$BD$135,0),MATCH(CB$9,'Labor Cost_Master'!$G$3:$BC$3,0)),0)*AA18,0)</f>
        <v>0</v>
      </c>
      <c r="CC18" s="64">
        <f>ROUND(IFERROR(INDEX('Labor Cost_Master'!$G$4:$BC$135,MATCH($DN18,'Labor Cost_Master'!$BD$4:$BD$135,0),MATCH(CC$9,'Labor Cost_Master'!$G$3:$BC$3,0)),0)*AB18,0)</f>
        <v>0</v>
      </c>
      <c r="CD18" s="64">
        <f>ROUND(IFERROR(INDEX('Labor Cost_Master'!$G$4:$BC$135,MATCH($DN18,'Labor Cost_Master'!$BD$4:$BD$135,0),MATCH(CD$9,'Labor Cost_Master'!$G$3:$BC$3,0)),0)*AC18,0)</f>
        <v>0</v>
      </c>
      <c r="CE18" s="64">
        <f>ROUND(IFERROR(INDEX('Labor Cost_Master'!$G$4:$BC$135,MATCH($DN18,'Labor Cost_Master'!$BD$4:$BD$135,0),MATCH(CE$9,'Labor Cost_Master'!$G$3:$BC$3,0)),0)*AD18,0)</f>
        <v>0</v>
      </c>
      <c r="CF18" s="64">
        <f>ROUND(IFERROR(INDEX('Labor Cost_Master'!$G$4:$BC$135,MATCH($DN18,'Labor Cost_Master'!$BD$4:$BD$135,0),MATCH(CF$9,'Labor Cost_Master'!$G$3:$BC$3,0)),0)*AE18,0)</f>
        <v>0</v>
      </c>
      <c r="CG18" s="64">
        <f>ROUND(IFERROR(INDEX('Labor Cost_Master'!$G$4:$BC$135,MATCH($DN18,'Labor Cost_Master'!$BD$4:$BD$135,0),MATCH(CG$9,'Labor Cost_Master'!$G$3:$BC$3,0)),0)*AF18,0)</f>
        <v>0</v>
      </c>
      <c r="CH18" s="64">
        <f>ROUND(IFERROR(INDEX('Labor Cost_Master'!$G$4:$BC$135,MATCH($DN18,'Labor Cost_Master'!$BD$4:$BD$135,0),MATCH(CH$9,'Labor Cost_Master'!$G$3:$BC$3,0)),0)*AG18,0)</f>
        <v>0</v>
      </c>
      <c r="CI18" s="64">
        <f>ROUND(IFERROR(INDEX('Labor Cost_Master'!$G$4:$BC$135,MATCH($DN18,'Labor Cost_Master'!$BD$4:$BD$135,0),MATCH(CI$9,'Labor Cost_Master'!$G$3:$BC$3,0)),0)*AH18,0)</f>
        <v>0</v>
      </c>
      <c r="CJ18" s="64">
        <f>ROUND(IFERROR(INDEX('Labor Cost_Master'!$G$4:$BC$135,MATCH($DN18,'Labor Cost_Master'!$BD$4:$BD$135,0),MATCH(CJ$9,'Labor Cost_Master'!$G$3:$BC$3,0)),0)*AI18,0)</f>
        <v>0</v>
      </c>
      <c r="CK18" s="64">
        <f>ROUND(IFERROR(INDEX('Labor Cost_Master'!$G$4:$BC$135,MATCH($DN18,'Labor Cost_Master'!$BD$4:$BD$135,0),MATCH(CK$9,'Labor Cost_Master'!$G$3:$BC$3,0)),0)*AJ18,0)</f>
        <v>0</v>
      </c>
      <c r="CL18" s="64">
        <f>ROUND(IFERROR(INDEX('Labor Cost_Master'!$G$4:$BC$135,MATCH($DN18,'Labor Cost_Master'!$BD$4:$BD$135,0),MATCH(CL$9,'Labor Cost_Master'!$G$3:$BC$3,0)),0)*AK18,0)</f>
        <v>0</v>
      </c>
      <c r="CM18" s="66">
        <f t="shared" si="20"/>
        <v>0</v>
      </c>
      <c r="CN18" s="64">
        <f>ROUND(IFERROR(INDEX('Labor Cost_Master'!$G$4:$BC$135,MATCH($DN18,'Labor Cost_Master'!$BD$4:$BD$135,0),MATCH(CN$9,'Labor Cost_Master'!$G$3:$BC$3,0)),0)*AM18,0)</f>
        <v>0</v>
      </c>
      <c r="CO18" s="64">
        <f>ROUND(IFERROR(INDEX('Labor Cost_Master'!$G$4:$BC$135,MATCH($DN18,'Labor Cost_Master'!$BD$4:$BD$135,0),MATCH(CO$9,'Labor Cost_Master'!$G$3:$BC$3,0)),0)*AN18,0)</f>
        <v>0</v>
      </c>
      <c r="CP18" s="64">
        <f>ROUND(IFERROR(INDEX('Labor Cost_Master'!$G$4:$BC$135,MATCH($DN18,'Labor Cost_Master'!$BD$4:$BD$135,0),MATCH(CP$9,'Labor Cost_Master'!$G$3:$BC$3,0)),0)*AO18,0)</f>
        <v>0</v>
      </c>
      <c r="CQ18" s="64">
        <f>ROUND(IFERROR(INDEX('Labor Cost_Master'!$G$4:$BC$135,MATCH($DN18,'Labor Cost_Master'!$BD$4:$BD$135,0),MATCH(CQ$9,'Labor Cost_Master'!$G$3:$BC$3,0)),0)*AP18,0)</f>
        <v>0</v>
      </c>
      <c r="CR18" s="64">
        <f>ROUND(IFERROR(INDEX('Labor Cost_Master'!$G$4:$BC$135,MATCH($DN18,'Labor Cost_Master'!$BD$4:$BD$135,0),MATCH(CR$9,'Labor Cost_Master'!$G$3:$BC$3,0)),0)*AQ18,0)</f>
        <v>0</v>
      </c>
      <c r="CS18" s="64">
        <f>ROUND(IFERROR(INDEX('Labor Cost_Master'!$G$4:$BC$135,MATCH($DN18,'Labor Cost_Master'!$BD$4:$BD$135,0),MATCH(CS$9,'Labor Cost_Master'!$G$3:$BC$3,0)),0)*AR18,0)</f>
        <v>0</v>
      </c>
      <c r="CT18" s="64">
        <f>ROUND(IFERROR(INDEX('Labor Cost_Master'!$G$4:$BC$135,MATCH($DN18,'Labor Cost_Master'!$BD$4:$BD$135,0),MATCH(CT$9,'Labor Cost_Master'!$G$3:$BC$3,0)),0)*AS18,0)</f>
        <v>0</v>
      </c>
      <c r="CU18" s="64">
        <f>ROUND(IFERROR(INDEX('Labor Cost_Master'!$G$4:$BC$135,MATCH($DN18,'Labor Cost_Master'!$BD$4:$BD$135,0),MATCH(CU$9,'Labor Cost_Master'!$G$3:$BC$3,0)),0)*AT18,0)</f>
        <v>0</v>
      </c>
      <c r="CV18" s="64">
        <f>ROUND(IFERROR(INDEX('Labor Cost_Master'!$G$4:$BC$135,MATCH($DN18,'Labor Cost_Master'!$BD$4:$BD$135,0),MATCH(CV$9,'Labor Cost_Master'!$G$3:$BC$3,0)),0)*AU18,0)</f>
        <v>0</v>
      </c>
      <c r="CW18" s="64">
        <f>ROUND(IFERROR(INDEX('Labor Cost_Master'!$G$4:$BC$135,MATCH($DN18,'Labor Cost_Master'!$BD$4:$BD$135,0),MATCH(CW$9,'Labor Cost_Master'!$G$3:$BC$3,0)),0)*AV18,0)</f>
        <v>0</v>
      </c>
      <c r="CX18" s="64">
        <f>ROUND(IFERROR(INDEX('Labor Cost_Master'!$G$4:$BC$135,MATCH($DN18,'Labor Cost_Master'!$BD$4:$BD$135,0),MATCH(CX$9,'Labor Cost_Master'!$G$3:$BC$3,0)),0)*AW18,0)</f>
        <v>0</v>
      </c>
      <c r="CY18" s="64">
        <f>ROUND(IFERROR(INDEX('Labor Cost_Master'!$G$4:$BC$135,MATCH($DN18,'Labor Cost_Master'!$BD$4:$BD$135,0),MATCH(CY$9,'Labor Cost_Master'!$G$3:$BC$3,0)),0)*AX18,0)</f>
        <v>0</v>
      </c>
      <c r="CZ18" s="66">
        <f t="shared" si="21"/>
        <v>0</v>
      </c>
      <c r="DA18" s="64">
        <f>ROUND(IFERROR(INDEX('Labor Cost_Master'!$G$4:$BC$135,MATCH($DN18,'Labor Cost_Master'!$BD$4:$BD$135,0),MATCH(DA$9,'Labor Cost_Master'!$G$3:$BC$3,0)),0)*AZ18,0)</f>
        <v>0</v>
      </c>
      <c r="DB18" s="64">
        <f>ROUND(IFERROR(INDEX('Labor Cost_Master'!$G$4:$BC$135,MATCH($DN18,'Labor Cost_Master'!$BD$4:$BD$135,0),MATCH(DB$9,'Labor Cost_Master'!$G$3:$BC$3,0)),0)*BA18,0)</f>
        <v>0</v>
      </c>
      <c r="DC18" s="1166">
        <f>ROUND(IFERROR(INDEX('Labor Cost_Master'!$G$4:$BC$135,MATCH($DN18,'Labor Cost_Master'!$BD$4:$BD$135,0),MATCH(DC$9,'Labor Cost_Master'!$G$3:$BC$3,0)),0)*BB18,0)*1.05</f>
        <v>0</v>
      </c>
      <c r="DD18" s="64">
        <f>ROUND(IFERROR(INDEX('Labor Cost_Master'!$G$4:$BC$135,MATCH($DN18,'Labor Cost_Master'!$BD$4:$BD$135,0),MATCH(DD$9,'Labor Cost_Master'!$G$3:$BC$3,0)),0)*BC18,0)*1.05</f>
        <v>0</v>
      </c>
      <c r="DE18" s="64">
        <f>ROUND(IFERROR(INDEX('Labor Cost_Master'!$G$4:$BC$135,MATCH($DN18,'Labor Cost_Master'!$BD$4:$BD$135,0),MATCH(DE$9,'Labor Cost_Master'!$G$3:$BC$3,0)),0)*BD18,0)*1.05</f>
        <v>0</v>
      </c>
      <c r="DF18" s="64">
        <f>ROUND(IFERROR(INDEX('Labor Cost_Master'!$G$4:$BC$135,MATCH($DN18,'Labor Cost_Master'!$BD$4:$BD$135,0),MATCH(DF$9,'Labor Cost_Master'!$G$3:$BC$3,0)),0)*BE18,0)*1.05</f>
        <v>0</v>
      </c>
      <c r="DG18" s="64">
        <f>ROUND(IFERROR(INDEX('Labor Cost_Master'!$G$4:$BC$135,MATCH($DN18,'Labor Cost_Master'!$BD$4:$BD$135,0),MATCH(DG$9,'Labor Cost_Master'!$G$3:$BC$3,0)),0)*BF18,0)*1.05</f>
        <v>0</v>
      </c>
      <c r="DH18" s="64">
        <f>ROUND(IFERROR(INDEX('Labor Cost_Master'!$G$4:$BC$135,MATCH($DN18,'Labor Cost_Master'!$BD$4:$BD$135,0),MATCH(DH$9,'Labor Cost_Master'!$G$3:$BC$3,0)),0)*BG18,0)*1.05</f>
        <v>0</v>
      </c>
      <c r="DI18" s="64">
        <f>ROUND(IFERROR(INDEX('Labor Cost_Master'!$G$4:$BC$135,MATCH($DN18,'Labor Cost_Master'!$BD$4:$BD$135,0),MATCH(DI$9,'Labor Cost_Master'!$G$3:$BC$3,0)),0)*BH18,0)*1.05</f>
        <v>0</v>
      </c>
      <c r="DJ18" s="64">
        <f>ROUND(IFERROR(INDEX('Labor Cost_Master'!$G$4:$BC$135,MATCH($DN18,'Labor Cost_Master'!$BD$4:$BD$135,0),MATCH(DJ$9,'Labor Cost_Master'!$G$3:$BC$3,0)),0)*BI18,0)*1.05</f>
        <v>0</v>
      </c>
      <c r="DK18" s="64">
        <f>ROUND(IFERROR(INDEX('Labor Cost_Master'!$G$4:$BC$135,MATCH($DN18,'Labor Cost_Master'!$BD$4:$BD$135,0),MATCH(DK$9,'Labor Cost_Master'!$G$3:$BC$3,0)),0)*BJ18,0)*1.05</f>
        <v>0</v>
      </c>
      <c r="DL18" s="64">
        <f>ROUND(IFERROR(INDEX('Labor Cost_Master'!$G$4:$BC$135,MATCH($DN18,'Labor Cost_Master'!$BD$4:$BD$135,0),MATCH(DL$9,'Labor Cost_Master'!$G$3:$BC$3,0)),0)*BK18,0)*1.05</f>
        <v>0</v>
      </c>
      <c r="DM18" s="66">
        <f t="shared" si="22"/>
        <v>0</v>
      </c>
      <c r="DN18" s="80" t="str">
        <f t="shared" si="23"/>
        <v/>
      </c>
      <c r="DO18" s="64">
        <f>ROUND(IFERROR(INDEX(Benefit_Master!$G$4:$BC$135,MATCH($DN18,Benefit_Master!$BD$4:$BD$135,0),MATCH(DO$9,Benefit_Master!$G$3:$BC$3,0)),0)*M18,0)</f>
        <v>0</v>
      </c>
      <c r="DP18" s="64">
        <f>ROUND(IFERROR(INDEX(Benefit_Master!$G$4:$BC$135,MATCH($DN18,Benefit_Master!$BD$4:$BD$135,0),MATCH(DP$9,Benefit_Master!$G$3:$BC$3,0)),0)*N18,0)</f>
        <v>0</v>
      </c>
      <c r="DQ18" s="64">
        <f>ROUND(IFERROR(INDEX(Benefit_Master!$G$4:$BC$135,MATCH($DN18,Benefit_Master!$BD$4:$BD$135,0),MATCH(DQ$9,Benefit_Master!$G$3:$BC$3,0)),0)*O18,0)</f>
        <v>0</v>
      </c>
      <c r="DR18" s="64">
        <f>ROUND(IFERROR(INDEX(Benefit_Master!$G$4:$BC$135,MATCH($DN18,Benefit_Master!$BD$4:$BD$135,0),MATCH(DR$9,Benefit_Master!$G$3:$BC$3,0)),0)*P18,0)</f>
        <v>0</v>
      </c>
      <c r="DS18" s="64">
        <f>ROUND(IFERROR(INDEX(Benefit_Master!$G$4:$BC$135,MATCH($DN18,Benefit_Master!$BD$4:$BD$135,0),MATCH(DS$9,Benefit_Master!$G$3:$BC$3,0)),0)*Q18,0)</f>
        <v>0</v>
      </c>
      <c r="DT18" s="64">
        <f>ROUND(IFERROR(INDEX(Benefit_Master!$G$4:$BC$135,MATCH($DN18,Benefit_Master!$BD$4:$BD$135,0),MATCH(DT$9,Benefit_Master!$G$3:$BC$3,0)),0)*R18,0)</f>
        <v>0</v>
      </c>
      <c r="DU18" s="64">
        <f>ROUND(IFERROR(INDEX(Benefit_Master!$G$4:$BC$135,MATCH($DN18,Benefit_Master!$BD$4:$BD$135,0),MATCH(DU$9,Benefit_Master!$G$3:$BC$3,0)),0)*S18,0)</f>
        <v>0</v>
      </c>
      <c r="DV18" s="64">
        <f>ROUND(IFERROR(INDEX(Benefit_Master!$G$4:$BC$135,MATCH($DN18,Benefit_Master!$BD$4:$BD$135,0),MATCH(DV$9,Benefit_Master!$G$3:$BC$3,0)),0)*T18,0)</f>
        <v>0</v>
      </c>
      <c r="DW18" s="64">
        <f>ROUND(IFERROR(INDEX(Benefit_Master!$G$4:$BC$135,MATCH($DN18,Benefit_Master!$BD$4:$BD$135,0),MATCH(DW$9,Benefit_Master!$G$3:$BC$3,0)),0)*U18,0)</f>
        <v>0</v>
      </c>
      <c r="DX18" s="64">
        <f>ROUND(IFERROR(INDEX(Benefit_Master!$G$4:$BC$135,MATCH($DN18,Benefit_Master!$BD$4:$BD$135,0),MATCH(DX$9,Benefit_Master!$G$3:$BC$3,0)),0)*V18,0)</f>
        <v>0</v>
      </c>
      <c r="DY18" s="64">
        <f>ROUND(IFERROR(INDEX(Benefit_Master!$G$4:$BC$135,MATCH($DN18,Benefit_Master!$BD$4:$BD$135,0),MATCH(DY$9,Benefit_Master!$G$3:$BC$3,0)),0)*W18,0)</f>
        <v>0</v>
      </c>
      <c r="DZ18" s="64">
        <f>ROUND(IFERROR(INDEX(Benefit_Master!$G$4:$BC$135,MATCH($DN18,Benefit_Master!$BD$4:$BD$135,0),MATCH(DZ$9,Benefit_Master!$G$3:$BC$3,0)),0)*X18,0)</f>
        <v>0</v>
      </c>
      <c r="EA18" s="66">
        <f t="shared" si="24"/>
        <v>0</v>
      </c>
      <c r="EB18" s="64">
        <f>ROUND(IFERROR(INDEX(Benefit_Master!$G$4:$BC$135,MATCH($DN18,Benefit_Master!$BD$4:$BD$135,0),MATCH(EB$9,Benefit_Master!$G$3:$BC$3,0)),0)*Z18,0)</f>
        <v>0</v>
      </c>
      <c r="EC18" s="64">
        <f>ROUND(IFERROR(INDEX(Benefit_Master!$G$4:$BC$135,MATCH($DN18,Benefit_Master!$BD$4:$BD$135,0),MATCH(EC$9,Benefit_Master!$G$3:$BC$3,0)),0)*AA18,0)</f>
        <v>0</v>
      </c>
      <c r="ED18" s="64">
        <f>ROUND(IFERROR(INDEX(Benefit_Master!$G$4:$BC$135,MATCH($DN18,Benefit_Master!$BD$4:$BD$135,0),MATCH(ED$9,Benefit_Master!$G$3:$BC$3,0)),0)*AB18,0)</f>
        <v>0</v>
      </c>
      <c r="EE18" s="64">
        <f>ROUND(IFERROR(INDEX(Benefit_Master!$G$4:$BC$135,MATCH($DN18,Benefit_Master!$BD$4:$BD$135,0),MATCH(EE$9,Benefit_Master!$G$3:$BC$3,0)),0)*AC18,0)</f>
        <v>0</v>
      </c>
      <c r="EF18" s="64">
        <f>ROUND(IFERROR(INDEX(Benefit_Master!$G$4:$BC$135,MATCH($DN18,Benefit_Master!$BD$4:$BD$135,0),MATCH(EF$9,Benefit_Master!$G$3:$BC$3,0)),0)*AD18,0)</f>
        <v>0</v>
      </c>
      <c r="EG18" s="64">
        <f>ROUND(IFERROR(INDEX(Benefit_Master!$G$4:$BC$135,MATCH($DN18,Benefit_Master!$BD$4:$BD$135,0),MATCH(EG$9,Benefit_Master!$G$3:$BC$3,0)),0)*AE18,0)</f>
        <v>0</v>
      </c>
      <c r="EH18" s="64">
        <f>ROUND(IFERROR(INDEX(Benefit_Master!$G$4:$BC$135,MATCH($DN18,Benefit_Master!$BD$4:$BD$135,0),MATCH(EH$9,Benefit_Master!$G$3:$BC$3,0)),0)*AF18,0)</f>
        <v>0</v>
      </c>
      <c r="EI18" s="64">
        <f>ROUND(IFERROR(INDEX(Benefit_Master!$G$4:$BC$135,MATCH($DN18,Benefit_Master!$BD$4:$BD$135,0),MATCH(EI$9,Benefit_Master!$G$3:$BC$3,0)),0)*AG18,0)</f>
        <v>0</v>
      </c>
      <c r="EJ18" s="64">
        <f>ROUND(IFERROR(INDEX(Benefit_Master!$G$4:$BC$135,MATCH($DN18,Benefit_Master!$BD$4:$BD$135,0),MATCH(EJ$9,Benefit_Master!$G$3:$BC$3,0)),0)*AH18,0)</f>
        <v>0</v>
      </c>
      <c r="EK18" s="64">
        <f>ROUND(IFERROR(INDEX(Benefit_Master!$G$4:$BC$135,MATCH($DN18,Benefit_Master!$BD$4:$BD$135,0),MATCH(EK$9,Benefit_Master!$G$3:$BC$3,0)),0)*AI18,0)</f>
        <v>0</v>
      </c>
      <c r="EL18" s="64">
        <f>ROUND(IFERROR(INDEX(Benefit_Master!$G$4:$BC$135,MATCH($DN18,Benefit_Master!$BD$4:$BD$135,0),MATCH(EL$9,Benefit_Master!$G$3:$BC$3,0)),0)*AJ18,0)</f>
        <v>0</v>
      </c>
      <c r="EM18" s="64">
        <f>ROUND(IFERROR(INDEX(Benefit_Master!$G$4:$BC$135,MATCH($DN18,Benefit_Master!$BD$4:$BD$135,0),MATCH(EM$9,Benefit_Master!$G$3:$BC$3,0)),0)*AK18,0)</f>
        <v>0</v>
      </c>
      <c r="EN18" s="66">
        <f t="shared" si="25"/>
        <v>0</v>
      </c>
      <c r="EO18" s="64">
        <f>ROUND(IFERROR(INDEX(Benefit_Master!$G$4:$BC$135,MATCH($DN18,Benefit_Master!$BD$4:$BD$135,0),MATCH(EO$9,Benefit_Master!$G$3:$BC$3,0)),0)*AM18,0)</f>
        <v>0</v>
      </c>
      <c r="EP18" s="64">
        <f>ROUND(IFERROR(INDEX(Benefit_Master!$G$4:$BC$135,MATCH($DN18,Benefit_Master!$BD$4:$BD$135,0),MATCH(EP$9,Benefit_Master!$G$3:$BC$3,0)),0)*AN18,0)</f>
        <v>0</v>
      </c>
      <c r="EQ18" s="64">
        <f>ROUND(IFERROR(INDEX(Benefit_Master!$G$4:$BC$135,MATCH($DN18,Benefit_Master!$BD$4:$BD$135,0),MATCH(EQ$9,Benefit_Master!$G$3:$BC$3,0)),0)*AO18,0)</f>
        <v>0</v>
      </c>
      <c r="ER18" s="64">
        <f>ROUND(IFERROR(INDEX(Benefit_Master!$G$4:$BC$135,MATCH($DN18,Benefit_Master!$BD$4:$BD$135,0),MATCH(ER$9,Benefit_Master!$G$3:$BC$3,0)),0)*AP18,0)</f>
        <v>0</v>
      </c>
      <c r="ES18" s="64">
        <f>ROUND(IFERROR(INDEX(Benefit_Master!$G$4:$BC$135,MATCH($DN18,Benefit_Master!$BD$4:$BD$135,0),MATCH(ES$9,Benefit_Master!$G$3:$BC$3,0)),0)*AQ18,0)</f>
        <v>0</v>
      </c>
      <c r="ET18" s="64">
        <f>ROUND(IFERROR(INDEX(Benefit_Master!$G$4:$BC$135,MATCH($DN18,Benefit_Master!$BD$4:$BD$135,0),MATCH(ET$9,Benefit_Master!$G$3:$BC$3,0)),0)*AR18,0)</f>
        <v>0</v>
      </c>
      <c r="EU18" s="64">
        <f>ROUND(IFERROR(INDEX(Benefit_Master!$G$4:$BC$135,MATCH($DN18,Benefit_Master!$BD$4:$BD$135,0),MATCH(EU$9,Benefit_Master!$G$3:$BC$3,0)),0)*AS18,0)</f>
        <v>0</v>
      </c>
      <c r="EV18" s="64">
        <f>ROUND(IFERROR(INDEX(Benefit_Master!$G$4:$BC$135,MATCH($DN18,Benefit_Master!$BD$4:$BD$135,0),MATCH(EV$9,Benefit_Master!$G$3:$BC$3,0)),0)*AT18,0)</f>
        <v>0</v>
      </c>
      <c r="EW18" s="64">
        <f>ROUND(IFERROR(INDEX(Benefit_Master!$G$4:$BC$135,MATCH($DN18,Benefit_Master!$BD$4:$BD$135,0),MATCH(EW$9,Benefit_Master!$G$3:$BC$3,0)),0)*AU18,0)</f>
        <v>0</v>
      </c>
      <c r="EX18" s="64">
        <f>ROUND(IFERROR(INDEX(Benefit_Master!$G$4:$BC$135,MATCH($DN18,Benefit_Master!$BD$4:$BD$135,0),MATCH(EX$9,Benefit_Master!$G$3:$BC$3,0)),0)*AV18,0)</f>
        <v>0</v>
      </c>
      <c r="EY18" s="64">
        <f>ROUND(IFERROR(INDEX(Benefit_Master!$G$4:$BC$135,MATCH($DN18,Benefit_Master!$BD$4:$BD$135,0),MATCH(EY$9,Benefit_Master!$G$3:$BC$3,0)),0)*AW18,0)</f>
        <v>0</v>
      </c>
      <c r="EZ18" s="64">
        <f>ROUND(IFERROR(INDEX(Benefit_Master!$G$4:$BC$135,MATCH($DN18,Benefit_Master!$BD$4:$BD$135,0),MATCH(EZ$9,Benefit_Master!$G$3:$BC$3,0)),0)*AX18,0)</f>
        <v>0</v>
      </c>
      <c r="FA18" s="66">
        <f t="shared" si="26"/>
        <v>0</v>
      </c>
      <c r="FB18" s="64">
        <f>ROUND(IFERROR(INDEX(Benefit_Master!$G$4:$BC$135,MATCH($DN18,Benefit_Master!$BD$4:$BD$135,0),MATCH(FB$9,Benefit_Master!$G$3:$BC$3,0)),0)*AZ18,0)</f>
        <v>0</v>
      </c>
      <c r="FC18" s="64">
        <f>ROUND(IFERROR(INDEX(Benefit_Master!$G$4:$BC$135,MATCH($DN18,Benefit_Master!$BD$4:$BD$135,0),MATCH(FC$9,Benefit_Master!$G$3:$BC$3,0)),0)*BA18,0)</f>
        <v>0</v>
      </c>
      <c r="FD18" s="64">
        <f>ROUND(IFERROR(INDEX(Benefit_Master!$G$4:$BC$135,MATCH($DN18,Benefit_Master!$BD$4:$BD$135,0),MATCH(FD$9,Benefit_Master!$G$3:$BC$3,0)),0)*BB18,0)</f>
        <v>0</v>
      </c>
      <c r="FE18" s="64">
        <f>ROUND(IFERROR(INDEX(Benefit_Master!$G$4:$BC$135,MATCH($DN18,Benefit_Master!$BD$4:$BD$135,0),MATCH(FE$9,Benefit_Master!$G$3:$BC$3,0)),0)*BC18,0)</f>
        <v>0</v>
      </c>
      <c r="FF18" s="64">
        <f>ROUND(IFERROR(INDEX(Benefit_Master!$G$4:$BC$135,MATCH($DN18,Benefit_Master!$BD$4:$BD$135,0),MATCH(FF$9,Benefit_Master!$G$3:$BC$3,0)),0)*BD18,0)</f>
        <v>0</v>
      </c>
      <c r="FG18" s="64">
        <f>ROUND(IFERROR(INDEX(Benefit_Master!$G$4:$BC$135,MATCH($DN18,Benefit_Master!$BD$4:$BD$135,0),MATCH(FG$9,Benefit_Master!$G$3:$BC$3,0)),0)*BE18,0)</f>
        <v>0</v>
      </c>
      <c r="FH18" s="64">
        <f>ROUND(IFERROR(INDEX(Benefit_Master!$G$4:$BC$135,MATCH($DN18,Benefit_Master!$BD$4:$BD$135,0),MATCH(FH$9,Benefit_Master!$G$3:$BC$3,0)),0)*BF18,0)</f>
        <v>0</v>
      </c>
      <c r="FI18" s="64">
        <f>ROUND(IFERROR(INDEX(Benefit_Master!$G$4:$BC$135,MATCH($DN18,Benefit_Master!$BD$4:$BD$135,0),MATCH(FI$9,Benefit_Master!$G$3:$BC$3,0)),0)*BG18,0)</f>
        <v>0</v>
      </c>
      <c r="FJ18" s="64">
        <f>ROUND(IFERROR(INDEX(Benefit_Master!$G$4:$BC$135,MATCH($DN18,Benefit_Master!$BD$4:$BD$135,0),MATCH(FJ$9,Benefit_Master!$G$3:$BC$3,0)),0)*BH18,0)</f>
        <v>0</v>
      </c>
      <c r="FK18" s="64">
        <f>ROUND(IFERROR(INDEX(Benefit_Master!$G$4:$BC$135,MATCH($DN18,Benefit_Master!$BD$4:$BD$135,0),MATCH(FK$9,Benefit_Master!$G$3:$BC$3,0)),0)*BI18,0)</f>
        <v>0</v>
      </c>
      <c r="FL18" s="64">
        <f>ROUND(IFERROR(INDEX(Benefit_Master!$G$4:$BC$135,MATCH($DN18,Benefit_Master!$BD$4:$BD$135,0),MATCH(FL$9,Benefit_Master!$G$3:$BC$3,0)),0)*BJ18,0)</f>
        <v>0</v>
      </c>
      <c r="FM18" s="64">
        <f>ROUND(IFERROR(INDEX(Benefit_Master!$G$4:$BC$135,MATCH($DN18,Benefit_Master!$BD$4:$BD$135,0),MATCH(FM$9,Benefit_Master!$G$3:$BC$3,0)),0)*BK18,0)</f>
        <v>0</v>
      </c>
      <c r="FN18" s="66">
        <f t="shared" si="27"/>
        <v>0</v>
      </c>
    </row>
    <row r="19" spans="2:170" s="12" customFormat="1" ht="15" customHeight="1">
      <c r="B19" s="93">
        <f t="shared" si="28"/>
        <v>7</v>
      </c>
      <c r="C19" s="89"/>
      <c r="D19" s="97"/>
      <c r="E19" s="1157"/>
      <c r="F19" s="425"/>
      <c r="G19" s="94" t="str">
        <f>IFERROR(VLOOKUP($F19,Master!$B$1:$C$7,2,0),"-")</f>
        <v>-</v>
      </c>
      <c r="H19" s="95">
        <f t="shared" si="12"/>
        <v>0</v>
      </c>
      <c r="I19" s="138">
        <f t="shared" si="13"/>
        <v>0</v>
      </c>
      <c r="J19" s="138">
        <f t="shared" si="14"/>
        <v>0</v>
      </c>
      <c r="K19" s="96"/>
      <c r="L19"/>
      <c r="M19" s="58"/>
      <c r="N19" s="59"/>
      <c r="O19" s="59"/>
      <c r="P19" s="59"/>
      <c r="Q19" s="59"/>
      <c r="R19" s="59"/>
      <c r="S19" s="59"/>
      <c r="T19" s="59"/>
      <c r="U19" s="679"/>
      <c r="V19" s="56"/>
      <c r="W19" s="56"/>
      <c r="X19" s="56"/>
      <c r="Y19" s="60">
        <f t="shared" si="15"/>
        <v>0</v>
      </c>
      <c r="Z19" s="55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60">
        <f t="shared" si="16"/>
        <v>0</v>
      </c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60">
        <f t="shared" si="17"/>
        <v>0</v>
      </c>
      <c r="AZ19" s="58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60">
        <f t="shared" si="18"/>
        <v>0</v>
      </c>
      <c r="BM19"/>
      <c r="BN19" s="64">
        <f>ROUND(IFERROR(INDEX('Labor Cost_Master'!$G$4:$BC$135,MATCH($DN19,'Labor Cost_Master'!$BD$4:$BD$135,0),MATCH(BN$9,'Labor Cost_Master'!$G$3:$BC$3,0)),0)*M19,0)</f>
        <v>0</v>
      </c>
      <c r="BO19" s="64">
        <f>ROUND(IFERROR(INDEX('Labor Cost_Master'!$G$4:$BC$135,MATCH($DN19,'Labor Cost_Master'!$BD$4:$BD$135,0),MATCH(BO$9,'Labor Cost_Master'!$G$3:$BC$3,0)),0)*N19,0)</f>
        <v>0</v>
      </c>
      <c r="BP19" s="64">
        <f>ROUND(IFERROR(INDEX('Labor Cost_Master'!$G$4:$BC$135,MATCH($DN19,'Labor Cost_Master'!$BD$4:$BD$135,0),MATCH(BP$9,'Labor Cost_Master'!$G$3:$BC$3,0)),0)*O19,0)</f>
        <v>0</v>
      </c>
      <c r="BQ19" s="64">
        <f>ROUND(IFERROR(INDEX('Labor Cost_Master'!$G$4:$BC$135,MATCH($DN19,'Labor Cost_Master'!$BD$4:$BD$135,0),MATCH(BQ$9,'Labor Cost_Master'!$G$3:$BC$3,0)),0)*P19,0)</f>
        <v>0</v>
      </c>
      <c r="BR19" s="64">
        <f>ROUND(IFERROR(INDEX('Labor Cost_Master'!$G$4:$BC$135,MATCH($DN19,'Labor Cost_Master'!$BD$4:$BD$135,0),MATCH(BR$9,'Labor Cost_Master'!$G$3:$BC$3,0)),0)*Q19,0)</f>
        <v>0</v>
      </c>
      <c r="BS19" s="64">
        <f>ROUND(IFERROR(INDEX('Labor Cost_Master'!$G$4:$BC$135,MATCH($DN19,'Labor Cost_Master'!$BD$4:$BD$135,0),MATCH(BS$9,'Labor Cost_Master'!$G$3:$BC$3,0)),0)*R19,0)</f>
        <v>0</v>
      </c>
      <c r="BT19" s="64">
        <f>ROUND(IFERROR(INDEX('Labor Cost_Master'!$G$4:$BC$135,MATCH($DN19,'Labor Cost_Master'!$BD$4:$BD$135,0),MATCH(BT$9,'Labor Cost_Master'!$G$3:$BC$3,0)),0)*S19,0)</f>
        <v>0</v>
      </c>
      <c r="BU19" s="64">
        <f>ROUND(IFERROR(INDEX('Labor Cost_Master'!$G$4:$BC$135,MATCH($DN19,'Labor Cost_Master'!$BD$4:$BD$135,0),MATCH(BU$9,'Labor Cost_Master'!$G$3:$BC$3,0)),0)*T19,0)</f>
        <v>0</v>
      </c>
      <c r="BV19" s="64">
        <f>ROUND(IFERROR(INDEX('Labor Cost_Master'!$G$4:$BC$135,MATCH($DN19,'Labor Cost_Master'!$BD$4:$BD$135,0),MATCH(BV$9,'Labor Cost_Master'!$G$3:$BC$3,0)),0)*U19,0)</f>
        <v>0</v>
      </c>
      <c r="BW19" s="64">
        <f>ROUND(IFERROR(INDEX('Labor Cost_Master'!$G$4:$BC$135,MATCH($DN19,'Labor Cost_Master'!$BD$4:$BD$135,0),MATCH(BW$9,'Labor Cost_Master'!$G$3:$BC$3,0)),0)*V19,0)</f>
        <v>0</v>
      </c>
      <c r="BX19" s="64">
        <f>ROUND(IFERROR(INDEX('Labor Cost_Master'!$G$4:$BC$135,MATCH($DN19,'Labor Cost_Master'!$BD$4:$BD$135,0),MATCH(BX$9,'Labor Cost_Master'!$G$3:$BC$3,0)),0)*W19,0)</f>
        <v>0</v>
      </c>
      <c r="BY19" s="64">
        <f>ROUND(IFERROR(INDEX('Labor Cost_Master'!$G$4:$BC$135,MATCH($DN19,'Labor Cost_Master'!$BD$4:$BD$135,0),MATCH(BY$9,'Labor Cost_Master'!$G$3:$BC$3,0)),0)*X19,0)</f>
        <v>0</v>
      </c>
      <c r="BZ19" s="66">
        <f t="shared" si="19"/>
        <v>0</v>
      </c>
      <c r="CA19" s="64">
        <f>ROUND(IFERROR(INDEX('Labor Cost_Master'!$G$4:$BC$135,MATCH($DN19,'Labor Cost_Master'!$BD$4:$BD$135,0),MATCH(CA$9,'Labor Cost_Master'!$G$3:$BC$3,0)),0)*Z19,0)</f>
        <v>0</v>
      </c>
      <c r="CB19" s="64">
        <f>ROUND(IFERROR(INDEX('Labor Cost_Master'!$G$4:$BC$135,MATCH($DN19,'Labor Cost_Master'!$BD$4:$BD$135,0),MATCH(CB$9,'Labor Cost_Master'!$G$3:$BC$3,0)),0)*AA19,0)</f>
        <v>0</v>
      </c>
      <c r="CC19" s="64">
        <f>ROUND(IFERROR(INDEX('Labor Cost_Master'!$G$4:$BC$135,MATCH($DN19,'Labor Cost_Master'!$BD$4:$BD$135,0),MATCH(CC$9,'Labor Cost_Master'!$G$3:$BC$3,0)),0)*AB19,0)</f>
        <v>0</v>
      </c>
      <c r="CD19" s="64">
        <f>ROUND(IFERROR(INDEX('Labor Cost_Master'!$G$4:$BC$135,MATCH($DN19,'Labor Cost_Master'!$BD$4:$BD$135,0),MATCH(CD$9,'Labor Cost_Master'!$G$3:$BC$3,0)),0)*AC19,0)</f>
        <v>0</v>
      </c>
      <c r="CE19" s="64">
        <f>ROUND(IFERROR(INDEX('Labor Cost_Master'!$G$4:$BC$135,MATCH($DN19,'Labor Cost_Master'!$BD$4:$BD$135,0),MATCH(CE$9,'Labor Cost_Master'!$G$3:$BC$3,0)),0)*AD19,0)</f>
        <v>0</v>
      </c>
      <c r="CF19" s="64">
        <f>ROUND(IFERROR(INDEX('Labor Cost_Master'!$G$4:$BC$135,MATCH($DN19,'Labor Cost_Master'!$BD$4:$BD$135,0),MATCH(CF$9,'Labor Cost_Master'!$G$3:$BC$3,0)),0)*AE19,0)</f>
        <v>0</v>
      </c>
      <c r="CG19" s="64">
        <f>ROUND(IFERROR(INDEX('Labor Cost_Master'!$G$4:$BC$135,MATCH($DN19,'Labor Cost_Master'!$BD$4:$BD$135,0),MATCH(CG$9,'Labor Cost_Master'!$G$3:$BC$3,0)),0)*AF19,0)</f>
        <v>0</v>
      </c>
      <c r="CH19" s="64">
        <f>ROUND(IFERROR(INDEX('Labor Cost_Master'!$G$4:$BC$135,MATCH($DN19,'Labor Cost_Master'!$BD$4:$BD$135,0),MATCH(CH$9,'Labor Cost_Master'!$G$3:$BC$3,0)),0)*AG19,0)</f>
        <v>0</v>
      </c>
      <c r="CI19" s="64">
        <f>ROUND(IFERROR(INDEX('Labor Cost_Master'!$G$4:$BC$135,MATCH($DN19,'Labor Cost_Master'!$BD$4:$BD$135,0),MATCH(CI$9,'Labor Cost_Master'!$G$3:$BC$3,0)),0)*AH19,0)</f>
        <v>0</v>
      </c>
      <c r="CJ19" s="64">
        <f>ROUND(IFERROR(INDEX('Labor Cost_Master'!$G$4:$BC$135,MATCH($DN19,'Labor Cost_Master'!$BD$4:$BD$135,0),MATCH(CJ$9,'Labor Cost_Master'!$G$3:$BC$3,0)),0)*AI19,0)</f>
        <v>0</v>
      </c>
      <c r="CK19" s="64">
        <f>ROUND(IFERROR(INDEX('Labor Cost_Master'!$G$4:$BC$135,MATCH($DN19,'Labor Cost_Master'!$BD$4:$BD$135,0),MATCH(CK$9,'Labor Cost_Master'!$G$3:$BC$3,0)),0)*AJ19,0)</f>
        <v>0</v>
      </c>
      <c r="CL19" s="64">
        <f>ROUND(IFERROR(INDEX('Labor Cost_Master'!$G$4:$BC$135,MATCH($DN19,'Labor Cost_Master'!$BD$4:$BD$135,0),MATCH(CL$9,'Labor Cost_Master'!$G$3:$BC$3,0)),0)*AK19,0)</f>
        <v>0</v>
      </c>
      <c r="CM19" s="66">
        <f t="shared" si="20"/>
        <v>0</v>
      </c>
      <c r="CN19" s="64">
        <f>ROUND(IFERROR(INDEX('Labor Cost_Master'!$G$4:$BC$135,MATCH($DN19,'Labor Cost_Master'!$BD$4:$BD$135,0),MATCH(CN$9,'Labor Cost_Master'!$G$3:$BC$3,0)),0)*AM19,0)</f>
        <v>0</v>
      </c>
      <c r="CO19" s="64">
        <f>ROUND(IFERROR(INDEX('Labor Cost_Master'!$G$4:$BC$135,MATCH($DN19,'Labor Cost_Master'!$BD$4:$BD$135,0),MATCH(CO$9,'Labor Cost_Master'!$G$3:$BC$3,0)),0)*AN19,0)</f>
        <v>0</v>
      </c>
      <c r="CP19" s="64">
        <f>ROUND(IFERROR(INDEX('Labor Cost_Master'!$G$4:$BC$135,MATCH($DN19,'Labor Cost_Master'!$BD$4:$BD$135,0),MATCH(CP$9,'Labor Cost_Master'!$G$3:$BC$3,0)),0)*AO19,0)</f>
        <v>0</v>
      </c>
      <c r="CQ19" s="64">
        <f>ROUND(IFERROR(INDEX('Labor Cost_Master'!$G$4:$BC$135,MATCH($DN19,'Labor Cost_Master'!$BD$4:$BD$135,0),MATCH(CQ$9,'Labor Cost_Master'!$G$3:$BC$3,0)),0)*AP19,0)</f>
        <v>0</v>
      </c>
      <c r="CR19" s="64">
        <f>ROUND(IFERROR(INDEX('Labor Cost_Master'!$G$4:$BC$135,MATCH($DN19,'Labor Cost_Master'!$BD$4:$BD$135,0),MATCH(CR$9,'Labor Cost_Master'!$G$3:$BC$3,0)),0)*AQ19,0)</f>
        <v>0</v>
      </c>
      <c r="CS19" s="64">
        <f>ROUND(IFERROR(INDEX('Labor Cost_Master'!$G$4:$BC$135,MATCH($DN19,'Labor Cost_Master'!$BD$4:$BD$135,0),MATCH(CS$9,'Labor Cost_Master'!$G$3:$BC$3,0)),0)*AR19,0)</f>
        <v>0</v>
      </c>
      <c r="CT19" s="64">
        <f>ROUND(IFERROR(INDEX('Labor Cost_Master'!$G$4:$BC$135,MATCH($DN19,'Labor Cost_Master'!$BD$4:$BD$135,0),MATCH(CT$9,'Labor Cost_Master'!$G$3:$BC$3,0)),0)*AS19,0)</f>
        <v>0</v>
      </c>
      <c r="CU19" s="64">
        <f>ROUND(IFERROR(INDEX('Labor Cost_Master'!$G$4:$BC$135,MATCH($DN19,'Labor Cost_Master'!$BD$4:$BD$135,0),MATCH(CU$9,'Labor Cost_Master'!$G$3:$BC$3,0)),0)*AT19,0)</f>
        <v>0</v>
      </c>
      <c r="CV19" s="64">
        <f>ROUND(IFERROR(INDEX('Labor Cost_Master'!$G$4:$BC$135,MATCH($DN19,'Labor Cost_Master'!$BD$4:$BD$135,0),MATCH(CV$9,'Labor Cost_Master'!$G$3:$BC$3,0)),0)*AU19,0)</f>
        <v>0</v>
      </c>
      <c r="CW19" s="64">
        <f>ROUND(IFERROR(INDEX('Labor Cost_Master'!$G$4:$BC$135,MATCH($DN19,'Labor Cost_Master'!$BD$4:$BD$135,0),MATCH(CW$9,'Labor Cost_Master'!$G$3:$BC$3,0)),0)*AV19,0)</f>
        <v>0</v>
      </c>
      <c r="CX19" s="64">
        <f>ROUND(IFERROR(INDEX('Labor Cost_Master'!$G$4:$BC$135,MATCH($DN19,'Labor Cost_Master'!$BD$4:$BD$135,0),MATCH(CX$9,'Labor Cost_Master'!$G$3:$BC$3,0)),0)*AW19,0)</f>
        <v>0</v>
      </c>
      <c r="CY19" s="64">
        <f>ROUND(IFERROR(INDEX('Labor Cost_Master'!$G$4:$BC$135,MATCH($DN19,'Labor Cost_Master'!$BD$4:$BD$135,0),MATCH(CY$9,'Labor Cost_Master'!$G$3:$BC$3,0)),0)*AX19,0)</f>
        <v>0</v>
      </c>
      <c r="CZ19" s="66">
        <f t="shared" si="21"/>
        <v>0</v>
      </c>
      <c r="DA19" s="64">
        <f>ROUND(IFERROR(INDEX('Labor Cost_Master'!$G$4:$BC$135,MATCH($DN19,'Labor Cost_Master'!$BD$4:$BD$135,0),MATCH(DA$9,'Labor Cost_Master'!$G$3:$BC$3,0)),0)*AZ19,0)</f>
        <v>0</v>
      </c>
      <c r="DB19" s="64">
        <f>ROUND(IFERROR(INDEX('Labor Cost_Master'!$G$4:$BC$135,MATCH($DN19,'Labor Cost_Master'!$BD$4:$BD$135,0),MATCH(DB$9,'Labor Cost_Master'!$G$3:$BC$3,0)),0)*BA19,0)</f>
        <v>0</v>
      </c>
      <c r="DC19" s="1166">
        <f>ROUND(IFERROR(INDEX('Labor Cost_Master'!$G$4:$BC$135,MATCH($DN19,'Labor Cost_Master'!$BD$4:$BD$135,0),MATCH(DC$9,'Labor Cost_Master'!$G$3:$BC$3,0)),0)*BB19,0)*1.05</f>
        <v>0</v>
      </c>
      <c r="DD19" s="64">
        <f>ROUND(IFERROR(INDEX('Labor Cost_Master'!$G$4:$BC$135,MATCH($DN19,'Labor Cost_Master'!$BD$4:$BD$135,0),MATCH(DD$9,'Labor Cost_Master'!$G$3:$BC$3,0)),0)*BC19,0)*1.05</f>
        <v>0</v>
      </c>
      <c r="DE19" s="64">
        <f>ROUND(IFERROR(INDEX('Labor Cost_Master'!$G$4:$BC$135,MATCH($DN19,'Labor Cost_Master'!$BD$4:$BD$135,0),MATCH(DE$9,'Labor Cost_Master'!$G$3:$BC$3,0)),0)*BD19,0)*1.05</f>
        <v>0</v>
      </c>
      <c r="DF19" s="64">
        <f>ROUND(IFERROR(INDEX('Labor Cost_Master'!$G$4:$BC$135,MATCH($DN19,'Labor Cost_Master'!$BD$4:$BD$135,0),MATCH(DF$9,'Labor Cost_Master'!$G$3:$BC$3,0)),0)*BE19,0)*1.05</f>
        <v>0</v>
      </c>
      <c r="DG19" s="64">
        <f>ROUND(IFERROR(INDEX('Labor Cost_Master'!$G$4:$BC$135,MATCH($DN19,'Labor Cost_Master'!$BD$4:$BD$135,0),MATCH(DG$9,'Labor Cost_Master'!$G$3:$BC$3,0)),0)*BF19,0)*1.05</f>
        <v>0</v>
      </c>
      <c r="DH19" s="64">
        <f>ROUND(IFERROR(INDEX('Labor Cost_Master'!$G$4:$BC$135,MATCH($DN19,'Labor Cost_Master'!$BD$4:$BD$135,0),MATCH(DH$9,'Labor Cost_Master'!$G$3:$BC$3,0)),0)*BG19,0)*1.05</f>
        <v>0</v>
      </c>
      <c r="DI19" s="64">
        <f>ROUND(IFERROR(INDEX('Labor Cost_Master'!$G$4:$BC$135,MATCH($DN19,'Labor Cost_Master'!$BD$4:$BD$135,0),MATCH(DI$9,'Labor Cost_Master'!$G$3:$BC$3,0)),0)*BH19,0)*1.05</f>
        <v>0</v>
      </c>
      <c r="DJ19" s="64">
        <f>ROUND(IFERROR(INDEX('Labor Cost_Master'!$G$4:$BC$135,MATCH($DN19,'Labor Cost_Master'!$BD$4:$BD$135,0),MATCH(DJ$9,'Labor Cost_Master'!$G$3:$BC$3,0)),0)*BI19,0)*1.05</f>
        <v>0</v>
      </c>
      <c r="DK19" s="64">
        <f>ROUND(IFERROR(INDEX('Labor Cost_Master'!$G$4:$BC$135,MATCH($DN19,'Labor Cost_Master'!$BD$4:$BD$135,0),MATCH(DK$9,'Labor Cost_Master'!$G$3:$BC$3,0)),0)*BJ19,0)*1.05</f>
        <v>0</v>
      </c>
      <c r="DL19" s="64">
        <f>ROUND(IFERROR(INDEX('Labor Cost_Master'!$G$4:$BC$135,MATCH($DN19,'Labor Cost_Master'!$BD$4:$BD$135,0),MATCH(DL$9,'Labor Cost_Master'!$G$3:$BC$3,0)),0)*BK19,0)*1.05</f>
        <v>0</v>
      </c>
      <c r="DM19" s="66">
        <f t="shared" si="22"/>
        <v>0</v>
      </c>
      <c r="DN19" s="80" t="str">
        <f t="shared" si="23"/>
        <v/>
      </c>
      <c r="DO19" s="64">
        <f>ROUND(IFERROR(INDEX(Benefit_Master!$G$4:$BC$135,MATCH($DN19,Benefit_Master!$BD$4:$BD$135,0),MATCH(DO$9,Benefit_Master!$G$3:$BC$3,0)),0)*M19,0)</f>
        <v>0</v>
      </c>
      <c r="DP19" s="64">
        <f>ROUND(IFERROR(INDEX(Benefit_Master!$G$4:$BC$135,MATCH($DN19,Benefit_Master!$BD$4:$BD$135,0),MATCH(DP$9,Benefit_Master!$G$3:$BC$3,0)),0)*N19,0)</f>
        <v>0</v>
      </c>
      <c r="DQ19" s="64">
        <f>ROUND(IFERROR(INDEX(Benefit_Master!$G$4:$BC$135,MATCH($DN19,Benefit_Master!$BD$4:$BD$135,0),MATCH(DQ$9,Benefit_Master!$G$3:$BC$3,0)),0)*O19,0)</f>
        <v>0</v>
      </c>
      <c r="DR19" s="64">
        <f>ROUND(IFERROR(INDEX(Benefit_Master!$G$4:$BC$135,MATCH($DN19,Benefit_Master!$BD$4:$BD$135,0),MATCH(DR$9,Benefit_Master!$G$3:$BC$3,0)),0)*P19,0)</f>
        <v>0</v>
      </c>
      <c r="DS19" s="64">
        <f>ROUND(IFERROR(INDEX(Benefit_Master!$G$4:$BC$135,MATCH($DN19,Benefit_Master!$BD$4:$BD$135,0),MATCH(DS$9,Benefit_Master!$G$3:$BC$3,0)),0)*Q19,0)</f>
        <v>0</v>
      </c>
      <c r="DT19" s="64">
        <f>ROUND(IFERROR(INDEX(Benefit_Master!$G$4:$BC$135,MATCH($DN19,Benefit_Master!$BD$4:$BD$135,0),MATCH(DT$9,Benefit_Master!$G$3:$BC$3,0)),0)*R19,0)</f>
        <v>0</v>
      </c>
      <c r="DU19" s="64">
        <f>ROUND(IFERROR(INDEX(Benefit_Master!$G$4:$BC$135,MATCH($DN19,Benefit_Master!$BD$4:$BD$135,0),MATCH(DU$9,Benefit_Master!$G$3:$BC$3,0)),0)*S19,0)</f>
        <v>0</v>
      </c>
      <c r="DV19" s="64">
        <f>ROUND(IFERROR(INDEX(Benefit_Master!$G$4:$BC$135,MATCH($DN19,Benefit_Master!$BD$4:$BD$135,0),MATCH(DV$9,Benefit_Master!$G$3:$BC$3,0)),0)*T19,0)</f>
        <v>0</v>
      </c>
      <c r="DW19" s="64">
        <f>ROUND(IFERROR(INDEX(Benefit_Master!$G$4:$BC$135,MATCH($DN19,Benefit_Master!$BD$4:$BD$135,0),MATCH(DW$9,Benefit_Master!$G$3:$BC$3,0)),0)*U19,0)</f>
        <v>0</v>
      </c>
      <c r="DX19" s="64">
        <f>ROUND(IFERROR(INDEX(Benefit_Master!$G$4:$BC$135,MATCH($DN19,Benefit_Master!$BD$4:$BD$135,0),MATCH(DX$9,Benefit_Master!$G$3:$BC$3,0)),0)*V19,0)</f>
        <v>0</v>
      </c>
      <c r="DY19" s="64">
        <f>ROUND(IFERROR(INDEX(Benefit_Master!$G$4:$BC$135,MATCH($DN19,Benefit_Master!$BD$4:$BD$135,0),MATCH(DY$9,Benefit_Master!$G$3:$BC$3,0)),0)*W19,0)</f>
        <v>0</v>
      </c>
      <c r="DZ19" s="64">
        <f>ROUND(IFERROR(INDEX(Benefit_Master!$G$4:$BC$135,MATCH($DN19,Benefit_Master!$BD$4:$BD$135,0),MATCH(DZ$9,Benefit_Master!$G$3:$BC$3,0)),0)*X19,0)</f>
        <v>0</v>
      </c>
      <c r="EA19" s="66">
        <f t="shared" si="24"/>
        <v>0</v>
      </c>
      <c r="EB19" s="64">
        <f>ROUND(IFERROR(INDEX(Benefit_Master!$G$4:$BC$135,MATCH($DN19,Benefit_Master!$BD$4:$BD$135,0),MATCH(EB$9,Benefit_Master!$G$3:$BC$3,0)),0)*Z19,0)</f>
        <v>0</v>
      </c>
      <c r="EC19" s="64">
        <f>ROUND(IFERROR(INDEX(Benefit_Master!$G$4:$BC$135,MATCH($DN19,Benefit_Master!$BD$4:$BD$135,0),MATCH(EC$9,Benefit_Master!$G$3:$BC$3,0)),0)*AA19,0)</f>
        <v>0</v>
      </c>
      <c r="ED19" s="64">
        <f>ROUND(IFERROR(INDEX(Benefit_Master!$G$4:$BC$135,MATCH($DN19,Benefit_Master!$BD$4:$BD$135,0),MATCH(ED$9,Benefit_Master!$G$3:$BC$3,0)),0)*AB19,0)</f>
        <v>0</v>
      </c>
      <c r="EE19" s="64">
        <f>ROUND(IFERROR(INDEX(Benefit_Master!$G$4:$BC$135,MATCH($DN19,Benefit_Master!$BD$4:$BD$135,0),MATCH(EE$9,Benefit_Master!$G$3:$BC$3,0)),0)*AC19,0)</f>
        <v>0</v>
      </c>
      <c r="EF19" s="64">
        <f>ROUND(IFERROR(INDEX(Benefit_Master!$G$4:$BC$135,MATCH($DN19,Benefit_Master!$BD$4:$BD$135,0),MATCH(EF$9,Benefit_Master!$G$3:$BC$3,0)),0)*AD19,0)</f>
        <v>0</v>
      </c>
      <c r="EG19" s="64">
        <f>ROUND(IFERROR(INDEX(Benefit_Master!$G$4:$BC$135,MATCH($DN19,Benefit_Master!$BD$4:$BD$135,0),MATCH(EG$9,Benefit_Master!$G$3:$BC$3,0)),0)*AE19,0)</f>
        <v>0</v>
      </c>
      <c r="EH19" s="64">
        <f>ROUND(IFERROR(INDEX(Benefit_Master!$G$4:$BC$135,MATCH($DN19,Benefit_Master!$BD$4:$BD$135,0),MATCH(EH$9,Benefit_Master!$G$3:$BC$3,0)),0)*AF19,0)</f>
        <v>0</v>
      </c>
      <c r="EI19" s="64">
        <f>ROUND(IFERROR(INDEX(Benefit_Master!$G$4:$BC$135,MATCH($DN19,Benefit_Master!$BD$4:$BD$135,0),MATCH(EI$9,Benefit_Master!$G$3:$BC$3,0)),0)*AG19,0)</f>
        <v>0</v>
      </c>
      <c r="EJ19" s="64">
        <f>ROUND(IFERROR(INDEX(Benefit_Master!$G$4:$BC$135,MATCH($DN19,Benefit_Master!$BD$4:$BD$135,0),MATCH(EJ$9,Benefit_Master!$G$3:$BC$3,0)),0)*AH19,0)</f>
        <v>0</v>
      </c>
      <c r="EK19" s="64">
        <f>ROUND(IFERROR(INDEX(Benefit_Master!$G$4:$BC$135,MATCH($DN19,Benefit_Master!$BD$4:$BD$135,0),MATCH(EK$9,Benefit_Master!$G$3:$BC$3,0)),0)*AI19,0)</f>
        <v>0</v>
      </c>
      <c r="EL19" s="64">
        <f>ROUND(IFERROR(INDEX(Benefit_Master!$G$4:$BC$135,MATCH($DN19,Benefit_Master!$BD$4:$BD$135,0),MATCH(EL$9,Benefit_Master!$G$3:$BC$3,0)),0)*AJ19,0)</f>
        <v>0</v>
      </c>
      <c r="EM19" s="64">
        <f>ROUND(IFERROR(INDEX(Benefit_Master!$G$4:$BC$135,MATCH($DN19,Benefit_Master!$BD$4:$BD$135,0),MATCH(EM$9,Benefit_Master!$G$3:$BC$3,0)),0)*AK19,0)</f>
        <v>0</v>
      </c>
      <c r="EN19" s="66">
        <f t="shared" si="25"/>
        <v>0</v>
      </c>
      <c r="EO19" s="64">
        <f>ROUND(IFERROR(INDEX(Benefit_Master!$G$4:$BC$135,MATCH($DN19,Benefit_Master!$BD$4:$BD$135,0),MATCH(EO$9,Benefit_Master!$G$3:$BC$3,0)),0)*AM19,0)</f>
        <v>0</v>
      </c>
      <c r="EP19" s="64">
        <f>ROUND(IFERROR(INDEX(Benefit_Master!$G$4:$BC$135,MATCH($DN19,Benefit_Master!$BD$4:$BD$135,0),MATCH(EP$9,Benefit_Master!$G$3:$BC$3,0)),0)*AN19,0)</f>
        <v>0</v>
      </c>
      <c r="EQ19" s="64">
        <f>ROUND(IFERROR(INDEX(Benefit_Master!$G$4:$BC$135,MATCH($DN19,Benefit_Master!$BD$4:$BD$135,0),MATCH(EQ$9,Benefit_Master!$G$3:$BC$3,0)),0)*AO19,0)</f>
        <v>0</v>
      </c>
      <c r="ER19" s="64">
        <f>ROUND(IFERROR(INDEX(Benefit_Master!$G$4:$BC$135,MATCH($DN19,Benefit_Master!$BD$4:$BD$135,0),MATCH(ER$9,Benefit_Master!$G$3:$BC$3,0)),0)*AP19,0)</f>
        <v>0</v>
      </c>
      <c r="ES19" s="64">
        <f>ROUND(IFERROR(INDEX(Benefit_Master!$G$4:$BC$135,MATCH($DN19,Benefit_Master!$BD$4:$BD$135,0),MATCH(ES$9,Benefit_Master!$G$3:$BC$3,0)),0)*AQ19,0)</f>
        <v>0</v>
      </c>
      <c r="ET19" s="64">
        <f>ROUND(IFERROR(INDEX(Benefit_Master!$G$4:$BC$135,MATCH($DN19,Benefit_Master!$BD$4:$BD$135,0),MATCH(ET$9,Benefit_Master!$G$3:$BC$3,0)),0)*AR19,0)</f>
        <v>0</v>
      </c>
      <c r="EU19" s="64">
        <f>ROUND(IFERROR(INDEX(Benefit_Master!$G$4:$BC$135,MATCH($DN19,Benefit_Master!$BD$4:$BD$135,0),MATCH(EU$9,Benefit_Master!$G$3:$BC$3,0)),0)*AS19,0)</f>
        <v>0</v>
      </c>
      <c r="EV19" s="64">
        <f>ROUND(IFERROR(INDEX(Benefit_Master!$G$4:$BC$135,MATCH($DN19,Benefit_Master!$BD$4:$BD$135,0),MATCH(EV$9,Benefit_Master!$G$3:$BC$3,0)),0)*AT19,0)</f>
        <v>0</v>
      </c>
      <c r="EW19" s="64">
        <f>ROUND(IFERROR(INDEX(Benefit_Master!$G$4:$BC$135,MATCH($DN19,Benefit_Master!$BD$4:$BD$135,0),MATCH(EW$9,Benefit_Master!$G$3:$BC$3,0)),0)*AU19,0)</f>
        <v>0</v>
      </c>
      <c r="EX19" s="64">
        <f>ROUND(IFERROR(INDEX(Benefit_Master!$G$4:$BC$135,MATCH($DN19,Benefit_Master!$BD$4:$BD$135,0),MATCH(EX$9,Benefit_Master!$G$3:$BC$3,0)),0)*AV19,0)</f>
        <v>0</v>
      </c>
      <c r="EY19" s="64">
        <f>ROUND(IFERROR(INDEX(Benefit_Master!$G$4:$BC$135,MATCH($DN19,Benefit_Master!$BD$4:$BD$135,0),MATCH(EY$9,Benefit_Master!$G$3:$BC$3,0)),0)*AW19,0)</f>
        <v>0</v>
      </c>
      <c r="EZ19" s="64">
        <f>ROUND(IFERROR(INDEX(Benefit_Master!$G$4:$BC$135,MATCH($DN19,Benefit_Master!$BD$4:$BD$135,0),MATCH(EZ$9,Benefit_Master!$G$3:$BC$3,0)),0)*AX19,0)</f>
        <v>0</v>
      </c>
      <c r="FA19" s="66">
        <f t="shared" si="26"/>
        <v>0</v>
      </c>
      <c r="FB19" s="64">
        <f>ROUND(IFERROR(INDEX(Benefit_Master!$G$4:$BC$135,MATCH($DN19,Benefit_Master!$BD$4:$BD$135,0),MATCH(FB$9,Benefit_Master!$G$3:$BC$3,0)),0)*AZ19,0)</f>
        <v>0</v>
      </c>
      <c r="FC19" s="64">
        <f>ROUND(IFERROR(INDEX(Benefit_Master!$G$4:$BC$135,MATCH($DN19,Benefit_Master!$BD$4:$BD$135,0),MATCH(FC$9,Benefit_Master!$G$3:$BC$3,0)),0)*BA19,0)</f>
        <v>0</v>
      </c>
      <c r="FD19" s="64">
        <f>ROUND(IFERROR(INDEX(Benefit_Master!$G$4:$BC$135,MATCH($DN19,Benefit_Master!$BD$4:$BD$135,0),MATCH(FD$9,Benefit_Master!$G$3:$BC$3,0)),0)*BB19,0)</f>
        <v>0</v>
      </c>
      <c r="FE19" s="64">
        <f>ROUND(IFERROR(INDEX(Benefit_Master!$G$4:$BC$135,MATCH($DN19,Benefit_Master!$BD$4:$BD$135,0),MATCH(FE$9,Benefit_Master!$G$3:$BC$3,0)),0)*BC19,0)</f>
        <v>0</v>
      </c>
      <c r="FF19" s="64">
        <f>ROUND(IFERROR(INDEX(Benefit_Master!$G$4:$BC$135,MATCH($DN19,Benefit_Master!$BD$4:$BD$135,0),MATCH(FF$9,Benefit_Master!$G$3:$BC$3,0)),0)*BD19,0)</f>
        <v>0</v>
      </c>
      <c r="FG19" s="64">
        <f>ROUND(IFERROR(INDEX(Benefit_Master!$G$4:$BC$135,MATCH($DN19,Benefit_Master!$BD$4:$BD$135,0),MATCH(FG$9,Benefit_Master!$G$3:$BC$3,0)),0)*BE19,0)</f>
        <v>0</v>
      </c>
      <c r="FH19" s="64">
        <f>ROUND(IFERROR(INDEX(Benefit_Master!$G$4:$BC$135,MATCH($DN19,Benefit_Master!$BD$4:$BD$135,0),MATCH(FH$9,Benefit_Master!$G$3:$BC$3,0)),0)*BF19,0)</f>
        <v>0</v>
      </c>
      <c r="FI19" s="64">
        <f>ROUND(IFERROR(INDEX(Benefit_Master!$G$4:$BC$135,MATCH($DN19,Benefit_Master!$BD$4:$BD$135,0),MATCH(FI$9,Benefit_Master!$G$3:$BC$3,0)),0)*BG19,0)</f>
        <v>0</v>
      </c>
      <c r="FJ19" s="64">
        <f>ROUND(IFERROR(INDEX(Benefit_Master!$G$4:$BC$135,MATCH($DN19,Benefit_Master!$BD$4:$BD$135,0),MATCH(FJ$9,Benefit_Master!$G$3:$BC$3,0)),0)*BH19,0)</f>
        <v>0</v>
      </c>
      <c r="FK19" s="64">
        <f>ROUND(IFERROR(INDEX(Benefit_Master!$G$4:$BC$135,MATCH($DN19,Benefit_Master!$BD$4:$BD$135,0),MATCH(FK$9,Benefit_Master!$G$3:$BC$3,0)),0)*BI19,0)</f>
        <v>0</v>
      </c>
      <c r="FL19" s="64">
        <f>ROUND(IFERROR(INDEX(Benefit_Master!$G$4:$BC$135,MATCH($DN19,Benefit_Master!$BD$4:$BD$135,0),MATCH(FL$9,Benefit_Master!$G$3:$BC$3,0)),0)*BJ19,0)</f>
        <v>0</v>
      </c>
      <c r="FM19" s="64">
        <f>ROUND(IFERROR(INDEX(Benefit_Master!$G$4:$BC$135,MATCH($DN19,Benefit_Master!$BD$4:$BD$135,0),MATCH(FM$9,Benefit_Master!$G$3:$BC$3,0)),0)*BK19,0)</f>
        <v>0</v>
      </c>
      <c r="FN19" s="66">
        <f t="shared" si="27"/>
        <v>0</v>
      </c>
    </row>
    <row r="20" spans="2:170" s="12" customFormat="1" ht="15" customHeight="1">
      <c r="B20" s="93">
        <f t="shared" si="28"/>
        <v>8</v>
      </c>
      <c r="C20" s="89"/>
      <c r="D20" s="97"/>
      <c r="E20" s="1197"/>
      <c r="F20" s="425"/>
      <c r="G20" s="94" t="str">
        <f>IFERROR(VLOOKUP($F20,Master!$B$1:$C$7,2,0),"-")</f>
        <v>-</v>
      </c>
      <c r="H20" s="95">
        <f t="shared" si="12"/>
        <v>0</v>
      </c>
      <c r="I20" s="138">
        <f t="shared" si="13"/>
        <v>0</v>
      </c>
      <c r="J20" s="138">
        <f t="shared" si="14"/>
        <v>0</v>
      </c>
      <c r="K20" s="96"/>
      <c r="L20"/>
      <c r="M20" s="58"/>
      <c r="N20" s="59"/>
      <c r="O20" s="59"/>
      <c r="P20" s="59"/>
      <c r="Q20" s="59"/>
      <c r="R20" s="59"/>
      <c r="S20" s="59"/>
      <c r="T20" s="59"/>
      <c r="U20" s="679"/>
      <c r="V20" s="56"/>
      <c r="W20" s="56"/>
      <c r="X20" s="56"/>
      <c r="Y20" s="60">
        <f t="shared" si="15"/>
        <v>0</v>
      </c>
      <c r="Z20" s="55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60">
        <f t="shared" si="16"/>
        <v>0</v>
      </c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60">
        <f t="shared" si="17"/>
        <v>0</v>
      </c>
      <c r="AZ20" s="58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60">
        <f t="shared" si="18"/>
        <v>0</v>
      </c>
      <c r="BM20"/>
      <c r="BN20" s="64">
        <f>ROUND(IFERROR(INDEX('Labor Cost_Master'!$G$4:$BC$135,MATCH($DN20,'Labor Cost_Master'!$BD$4:$BD$135,0),MATCH(BN$9,'Labor Cost_Master'!$G$3:$BC$3,0)),0)*M20,0)</f>
        <v>0</v>
      </c>
      <c r="BO20" s="64">
        <f>ROUND(IFERROR(INDEX('Labor Cost_Master'!$G$4:$BC$135,MATCH($DN20,'Labor Cost_Master'!$BD$4:$BD$135,0),MATCH(BO$9,'Labor Cost_Master'!$G$3:$BC$3,0)),0)*N20,0)</f>
        <v>0</v>
      </c>
      <c r="BP20" s="64">
        <f>ROUND(IFERROR(INDEX('Labor Cost_Master'!$G$4:$BC$135,MATCH($DN20,'Labor Cost_Master'!$BD$4:$BD$135,0),MATCH(BP$9,'Labor Cost_Master'!$G$3:$BC$3,0)),0)*O20,0)</f>
        <v>0</v>
      </c>
      <c r="BQ20" s="64">
        <f>ROUND(IFERROR(INDEX('Labor Cost_Master'!$G$4:$BC$135,MATCH($DN20,'Labor Cost_Master'!$BD$4:$BD$135,0),MATCH(BQ$9,'Labor Cost_Master'!$G$3:$BC$3,0)),0)*P20,0)</f>
        <v>0</v>
      </c>
      <c r="BR20" s="64">
        <f>ROUND(IFERROR(INDEX('Labor Cost_Master'!$G$4:$BC$135,MATCH($DN20,'Labor Cost_Master'!$BD$4:$BD$135,0),MATCH(BR$9,'Labor Cost_Master'!$G$3:$BC$3,0)),0)*Q20,0)</f>
        <v>0</v>
      </c>
      <c r="BS20" s="64">
        <f>ROUND(IFERROR(INDEX('Labor Cost_Master'!$G$4:$BC$135,MATCH($DN20,'Labor Cost_Master'!$BD$4:$BD$135,0),MATCH(BS$9,'Labor Cost_Master'!$G$3:$BC$3,0)),0)*R20,0)</f>
        <v>0</v>
      </c>
      <c r="BT20" s="64">
        <f>ROUND(IFERROR(INDEX('Labor Cost_Master'!$G$4:$BC$135,MATCH($DN20,'Labor Cost_Master'!$BD$4:$BD$135,0),MATCH(BT$9,'Labor Cost_Master'!$G$3:$BC$3,0)),0)*S20,0)</f>
        <v>0</v>
      </c>
      <c r="BU20" s="64">
        <f>ROUND(IFERROR(INDEX('Labor Cost_Master'!$G$4:$BC$135,MATCH($DN20,'Labor Cost_Master'!$BD$4:$BD$135,0),MATCH(BU$9,'Labor Cost_Master'!$G$3:$BC$3,0)),0)*T20,0)</f>
        <v>0</v>
      </c>
      <c r="BV20" s="64">
        <f>ROUND(IFERROR(INDEX('Labor Cost_Master'!$G$4:$BC$135,MATCH($DN20,'Labor Cost_Master'!$BD$4:$BD$135,0),MATCH(BV$9,'Labor Cost_Master'!$G$3:$BC$3,0)),0)*U20,0)</f>
        <v>0</v>
      </c>
      <c r="BW20" s="64">
        <f>ROUND(IFERROR(INDEX('Labor Cost_Master'!$G$4:$BC$135,MATCH($DN20,'Labor Cost_Master'!$BD$4:$BD$135,0),MATCH(BW$9,'Labor Cost_Master'!$G$3:$BC$3,0)),0)*V20,0)</f>
        <v>0</v>
      </c>
      <c r="BX20" s="64">
        <f>ROUND(IFERROR(INDEX('Labor Cost_Master'!$G$4:$BC$135,MATCH($DN20,'Labor Cost_Master'!$BD$4:$BD$135,0),MATCH(BX$9,'Labor Cost_Master'!$G$3:$BC$3,0)),0)*W20,0)</f>
        <v>0</v>
      </c>
      <c r="BY20" s="64">
        <f>ROUND(IFERROR(INDEX('Labor Cost_Master'!$G$4:$BC$135,MATCH($DN20,'Labor Cost_Master'!$BD$4:$BD$135,0),MATCH(BY$9,'Labor Cost_Master'!$G$3:$BC$3,0)),0)*X20,0)</f>
        <v>0</v>
      </c>
      <c r="BZ20" s="66">
        <f t="shared" si="19"/>
        <v>0</v>
      </c>
      <c r="CA20" s="64">
        <f>ROUND(IFERROR(INDEX('Labor Cost_Master'!$G$4:$BC$135,MATCH($DN20,'Labor Cost_Master'!$BD$4:$BD$135,0),MATCH(CA$9,'Labor Cost_Master'!$G$3:$BC$3,0)),0)*Z20,0)</f>
        <v>0</v>
      </c>
      <c r="CB20" s="64">
        <f>ROUND(IFERROR(INDEX('Labor Cost_Master'!$G$4:$BC$135,MATCH($DN20,'Labor Cost_Master'!$BD$4:$BD$135,0),MATCH(CB$9,'Labor Cost_Master'!$G$3:$BC$3,0)),0)*AA20,0)</f>
        <v>0</v>
      </c>
      <c r="CC20" s="64">
        <f>ROUND(IFERROR(INDEX('Labor Cost_Master'!$G$4:$BC$135,MATCH($DN20,'Labor Cost_Master'!$BD$4:$BD$135,0),MATCH(CC$9,'Labor Cost_Master'!$G$3:$BC$3,0)),0)*AB20,0)</f>
        <v>0</v>
      </c>
      <c r="CD20" s="64">
        <f>ROUND(IFERROR(INDEX('Labor Cost_Master'!$G$4:$BC$135,MATCH($DN20,'Labor Cost_Master'!$BD$4:$BD$135,0),MATCH(CD$9,'Labor Cost_Master'!$G$3:$BC$3,0)),0)*AC20,0)</f>
        <v>0</v>
      </c>
      <c r="CE20" s="64">
        <f>ROUND(IFERROR(INDEX('Labor Cost_Master'!$G$4:$BC$135,MATCH($DN20,'Labor Cost_Master'!$BD$4:$BD$135,0),MATCH(CE$9,'Labor Cost_Master'!$G$3:$BC$3,0)),0)*AD20,0)</f>
        <v>0</v>
      </c>
      <c r="CF20" s="64">
        <f>ROUND(IFERROR(INDEX('Labor Cost_Master'!$G$4:$BC$135,MATCH($DN20,'Labor Cost_Master'!$BD$4:$BD$135,0),MATCH(CF$9,'Labor Cost_Master'!$G$3:$BC$3,0)),0)*AE20,0)</f>
        <v>0</v>
      </c>
      <c r="CG20" s="64">
        <f>ROUND(IFERROR(INDEX('Labor Cost_Master'!$G$4:$BC$135,MATCH($DN20,'Labor Cost_Master'!$BD$4:$BD$135,0),MATCH(CG$9,'Labor Cost_Master'!$G$3:$BC$3,0)),0)*AF20,0)</f>
        <v>0</v>
      </c>
      <c r="CH20" s="64">
        <f>ROUND(IFERROR(INDEX('Labor Cost_Master'!$G$4:$BC$135,MATCH($DN20,'Labor Cost_Master'!$BD$4:$BD$135,0),MATCH(CH$9,'Labor Cost_Master'!$G$3:$BC$3,0)),0)*AG20,0)</f>
        <v>0</v>
      </c>
      <c r="CI20" s="64">
        <f>ROUND(IFERROR(INDEX('Labor Cost_Master'!$G$4:$BC$135,MATCH($DN20,'Labor Cost_Master'!$BD$4:$BD$135,0),MATCH(CI$9,'Labor Cost_Master'!$G$3:$BC$3,0)),0)*AH20,0)</f>
        <v>0</v>
      </c>
      <c r="CJ20" s="64">
        <f>ROUND(IFERROR(INDEX('Labor Cost_Master'!$G$4:$BC$135,MATCH($DN20,'Labor Cost_Master'!$BD$4:$BD$135,0),MATCH(CJ$9,'Labor Cost_Master'!$G$3:$BC$3,0)),0)*AI20,0)</f>
        <v>0</v>
      </c>
      <c r="CK20" s="64">
        <f>ROUND(IFERROR(INDEX('Labor Cost_Master'!$G$4:$BC$135,MATCH($DN20,'Labor Cost_Master'!$BD$4:$BD$135,0),MATCH(CK$9,'Labor Cost_Master'!$G$3:$BC$3,0)),0)*AJ20,0)</f>
        <v>0</v>
      </c>
      <c r="CL20" s="64">
        <f>ROUND(IFERROR(INDEX('Labor Cost_Master'!$G$4:$BC$135,MATCH($DN20,'Labor Cost_Master'!$BD$4:$BD$135,0),MATCH(CL$9,'Labor Cost_Master'!$G$3:$BC$3,0)),0)*AK20,0)</f>
        <v>0</v>
      </c>
      <c r="CM20" s="66">
        <f t="shared" si="20"/>
        <v>0</v>
      </c>
      <c r="CN20" s="64">
        <f>ROUND(IFERROR(INDEX('Labor Cost_Master'!$G$4:$BC$135,MATCH($DN20,'Labor Cost_Master'!$BD$4:$BD$135,0),MATCH(CN$9,'Labor Cost_Master'!$G$3:$BC$3,0)),0)*AM20,0)</f>
        <v>0</v>
      </c>
      <c r="CO20" s="64">
        <f>ROUND(IFERROR(INDEX('Labor Cost_Master'!$G$4:$BC$135,MATCH($DN20,'Labor Cost_Master'!$BD$4:$BD$135,0),MATCH(CO$9,'Labor Cost_Master'!$G$3:$BC$3,0)),0)*AN20,0)</f>
        <v>0</v>
      </c>
      <c r="CP20" s="64">
        <f>ROUND(IFERROR(INDEX('Labor Cost_Master'!$G$4:$BC$135,MATCH($DN20,'Labor Cost_Master'!$BD$4:$BD$135,0),MATCH(CP$9,'Labor Cost_Master'!$G$3:$BC$3,0)),0)*AO20,0)</f>
        <v>0</v>
      </c>
      <c r="CQ20" s="64">
        <f>ROUND(IFERROR(INDEX('Labor Cost_Master'!$G$4:$BC$135,MATCH($DN20,'Labor Cost_Master'!$BD$4:$BD$135,0),MATCH(CQ$9,'Labor Cost_Master'!$G$3:$BC$3,0)),0)*AP20,0)</f>
        <v>0</v>
      </c>
      <c r="CR20" s="64">
        <f>ROUND(IFERROR(INDEX('Labor Cost_Master'!$G$4:$BC$135,MATCH($DN20,'Labor Cost_Master'!$BD$4:$BD$135,0),MATCH(CR$9,'Labor Cost_Master'!$G$3:$BC$3,0)),0)*AQ20,0)</f>
        <v>0</v>
      </c>
      <c r="CS20" s="64">
        <f>ROUND(IFERROR(INDEX('Labor Cost_Master'!$G$4:$BC$135,MATCH($DN20,'Labor Cost_Master'!$BD$4:$BD$135,0),MATCH(CS$9,'Labor Cost_Master'!$G$3:$BC$3,0)),0)*AR20,0)</f>
        <v>0</v>
      </c>
      <c r="CT20" s="64">
        <f>ROUND(IFERROR(INDEX('Labor Cost_Master'!$G$4:$BC$135,MATCH($DN20,'Labor Cost_Master'!$BD$4:$BD$135,0),MATCH(CT$9,'Labor Cost_Master'!$G$3:$BC$3,0)),0)*AS20,0)</f>
        <v>0</v>
      </c>
      <c r="CU20" s="64">
        <f>ROUND(IFERROR(INDEX('Labor Cost_Master'!$G$4:$BC$135,MATCH($DN20,'Labor Cost_Master'!$BD$4:$BD$135,0),MATCH(CU$9,'Labor Cost_Master'!$G$3:$BC$3,0)),0)*AT20,0)</f>
        <v>0</v>
      </c>
      <c r="CV20" s="64">
        <f>ROUND(IFERROR(INDEX('Labor Cost_Master'!$G$4:$BC$135,MATCH($DN20,'Labor Cost_Master'!$BD$4:$BD$135,0),MATCH(CV$9,'Labor Cost_Master'!$G$3:$BC$3,0)),0)*AU20,0)</f>
        <v>0</v>
      </c>
      <c r="CW20" s="64">
        <f>ROUND(IFERROR(INDEX('Labor Cost_Master'!$G$4:$BC$135,MATCH($DN20,'Labor Cost_Master'!$BD$4:$BD$135,0),MATCH(CW$9,'Labor Cost_Master'!$G$3:$BC$3,0)),0)*AV20,0)</f>
        <v>0</v>
      </c>
      <c r="CX20" s="64">
        <f>ROUND(IFERROR(INDEX('Labor Cost_Master'!$G$4:$BC$135,MATCH($DN20,'Labor Cost_Master'!$BD$4:$BD$135,0),MATCH(CX$9,'Labor Cost_Master'!$G$3:$BC$3,0)),0)*AW20,0)</f>
        <v>0</v>
      </c>
      <c r="CY20" s="64">
        <f>ROUND(IFERROR(INDEX('Labor Cost_Master'!$G$4:$BC$135,MATCH($DN20,'Labor Cost_Master'!$BD$4:$BD$135,0),MATCH(CY$9,'Labor Cost_Master'!$G$3:$BC$3,0)),0)*AX20,0)</f>
        <v>0</v>
      </c>
      <c r="CZ20" s="66">
        <f t="shared" si="21"/>
        <v>0</v>
      </c>
      <c r="DA20" s="64">
        <f>ROUND(IFERROR(INDEX('Labor Cost_Master'!$G$4:$BC$135,MATCH($DN20,'Labor Cost_Master'!$BD$4:$BD$135,0),MATCH(DA$9,'Labor Cost_Master'!$G$3:$BC$3,0)),0)*AZ20,0)</f>
        <v>0</v>
      </c>
      <c r="DB20" s="64">
        <f>ROUND(IFERROR(INDEX('Labor Cost_Master'!$G$4:$BC$135,MATCH($DN20,'Labor Cost_Master'!$BD$4:$BD$135,0),MATCH(DB$9,'Labor Cost_Master'!$G$3:$BC$3,0)),0)*BA20,0)</f>
        <v>0</v>
      </c>
      <c r="DC20" s="1166">
        <f>ROUND(IFERROR(INDEX('Labor Cost_Master'!$G$4:$BC$135,MATCH($DN20,'Labor Cost_Master'!$BD$4:$BD$135,0),MATCH(DC$9,'Labor Cost_Master'!$G$3:$BC$3,0)),0)*BB20,0)*1.05</f>
        <v>0</v>
      </c>
      <c r="DD20" s="64">
        <f>ROUND(IFERROR(INDEX('Labor Cost_Master'!$G$4:$BC$135,MATCH($DN20,'Labor Cost_Master'!$BD$4:$BD$135,0),MATCH(DD$9,'Labor Cost_Master'!$G$3:$BC$3,0)),0)*BC20,0)*1.05</f>
        <v>0</v>
      </c>
      <c r="DE20" s="64">
        <f>ROUND(IFERROR(INDEX('Labor Cost_Master'!$G$4:$BC$135,MATCH($DN20,'Labor Cost_Master'!$BD$4:$BD$135,0),MATCH(DE$9,'Labor Cost_Master'!$G$3:$BC$3,0)),0)*BD20,0)*1.05</f>
        <v>0</v>
      </c>
      <c r="DF20" s="64">
        <f>ROUND(IFERROR(INDEX('Labor Cost_Master'!$G$4:$BC$135,MATCH($DN20,'Labor Cost_Master'!$BD$4:$BD$135,0),MATCH(DF$9,'Labor Cost_Master'!$G$3:$BC$3,0)),0)*BE20,0)*1.05</f>
        <v>0</v>
      </c>
      <c r="DG20" s="64">
        <f>ROUND(IFERROR(INDEX('Labor Cost_Master'!$G$4:$BC$135,MATCH($DN20,'Labor Cost_Master'!$BD$4:$BD$135,0),MATCH(DG$9,'Labor Cost_Master'!$G$3:$BC$3,0)),0)*BF20,0)*1.05</f>
        <v>0</v>
      </c>
      <c r="DH20" s="64">
        <f>ROUND(IFERROR(INDEX('Labor Cost_Master'!$G$4:$BC$135,MATCH($DN20,'Labor Cost_Master'!$BD$4:$BD$135,0),MATCH(DH$9,'Labor Cost_Master'!$G$3:$BC$3,0)),0)*BG20,0)*1.05</f>
        <v>0</v>
      </c>
      <c r="DI20" s="64">
        <f>ROUND(IFERROR(INDEX('Labor Cost_Master'!$G$4:$BC$135,MATCH($DN20,'Labor Cost_Master'!$BD$4:$BD$135,0),MATCH(DI$9,'Labor Cost_Master'!$G$3:$BC$3,0)),0)*BH20,0)*1.05</f>
        <v>0</v>
      </c>
      <c r="DJ20" s="64">
        <f>ROUND(IFERROR(INDEX('Labor Cost_Master'!$G$4:$BC$135,MATCH($DN20,'Labor Cost_Master'!$BD$4:$BD$135,0),MATCH(DJ$9,'Labor Cost_Master'!$G$3:$BC$3,0)),0)*BI20,0)*1.05</f>
        <v>0</v>
      </c>
      <c r="DK20" s="64">
        <f>ROUND(IFERROR(INDEX('Labor Cost_Master'!$G$4:$BC$135,MATCH($DN20,'Labor Cost_Master'!$BD$4:$BD$135,0),MATCH(DK$9,'Labor Cost_Master'!$G$3:$BC$3,0)),0)*BJ20,0)*1.05</f>
        <v>0</v>
      </c>
      <c r="DL20" s="64">
        <f>ROUND(IFERROR(INDEX('Labor Cost_Master'!$G$4:$BC$135,MATCH($DN20,'Labor Cost_Master'!$BD$4:$BD$135,0),MATCH(DL$9,'Labor Cost_Master'!$G$3:$BC$3,0)),0)*BK20,0)*1.05</f>
        <v>0</v>
      </c>
      <c r="DM20" s="66">
        <f t="shared" si="22"/>
        <v>0</v>
      </c>
      <c r="DN20" s="80" t="str">
        <f t="shared" si="23"/>
        <v/>
      </c>
      <c r="DO20" s="64">
        <f>ROUND(IFERROR(INDEX(Benefit_Master!$G$4:$BC$135,MATCH($DN20,Benefit_Master!$BD$4:$BD$135,0),MATCH(DO$9,Benefit_Master!$G$3:$BC$3,0)),0)*M20,0)</f>
        <v>0</v>
      </c>
      <c r="DP20" s="64">
        <f>ROUND(IFERROR(INDEX(Benefit_Master!$G$4:$BC$135,MATCH($DN20,Benefit_Master!$BD$4:$BD$135,0),MATCH(DP$9,Benefit_Master!$G$3:$BC$3,0)),0)*N20,0)</f>
        <v>0</v>
      </c>
      <c r="DQ20" s="64">
        <f>ROUND(IFERROR(INDEX(Benefit_Master!$G$4:$BC$135,MATCH($DN20,Benefit_Master!$BD$4:$BD$135,0),MATCH(DQ$9,Benefit_Master!$G$3:$BC$3,0)),0)*O20,0)</f>
        <v>0</v>
      </c>
      <c r="DR20" s="64">
        <f>ROUND(IFERROR(INDEX(Benefit_Master!$G$4:$BC$135,MATCH($DN20,Benefit_Master!$BD$4:$BD$135,0),MATCH(DR$9,Benefit_Master!$G$3:$BC$3,0)),0)*P20,0)</f>
        <v>0</v>
      </c>
      <c r="DS20" s="64">
        <f>ROUND(IFERROR(INDEX(Benefit_Master!$G$4:$BC$135,MATCH($DN20,Benefit_Master!$BD$4:$BD$135,0),MATCH(DS$9,Benefit_Master!$G$3:$BC$3,0)),0)*Q20,0)</f>
        <v>0</v>
      </c>
      <c r="DT20" s="64">
        <f>ROUND(IFERROR(INDEX(Benefit_Master!$G$4:$BC$135,MATCH($DN20,Benefit_Master!$BD$4:$BD$135,0),MATCH(DT$9,Benefit_Master!$G$3:$BC$3,0)),0)*R20,0)</f>
        <v>0</v>
      </c>
      <c r="DU20" s="64">
        <f>ROUND(IFERROR(INDEX(Benefit_Master!$G$4:$BC$135,MATCH($DN20,Benefit_Master!$BD$4:$BD$135,0),MATCH(DU$9,Benefit_Master!$G$3:$BC$3,0)),0)*S20,0)</f>
        <v>0</v>
      </c>
      <c r="DV20" s="64">
        <f>ROUND(IFERROR(INDEX(Benefit_Master!$G$4:$BC$135,MATCH($DN20,Benefit_Master!$BD$4:$BD$135,0),MATCH(DV$9,Benefit_Master!$G$3:$BC$3,0)),0)*T20,0)</f>
        <v>0</v>
      </c>
      <c r="DW20" s="64">
        <f>ROUND(IFERROR(INDEX(Benefit_Master!$G$4:$BC$135,MATCH($DN20,Benefit_Master!$BD$4:$BD$135,0),MATCH(DW$9,Benefit_Master!$G$3:$BC$3,0)),0)*U20,0)</f>
        <v>0</v>
      </c>
      <c r="DX20" s="64">
        <f>ROUND(IFERROR(INDEX(Benefit_Master!$G$4:$BC$135,MATCH($DN20,Benefit_Master!$BD$4:$BD$135,0),MATCH(DX$9,Benefit_Master!$G$3:$BC$3,0)),0)*V20,0)</f>
        <v>0</v>
      </c>
      <c r="DY20" s="64">
        <f>ROUND(IFERROR(INDEX(Benefit_Master!$G$4:$BC$135,MATCH($DN20,Benefit_Master!$BD$4:$BD$135,0),MATCH(DY$9,Benefit_Master!$G$3:$BC$3,0)),0)*W20,0)</f>
        <v>0</v>
      </c>
      <c r="DZ20" s="64">
        <f>ROUND(IFERROR(INDEX(Benefit_Master!$G$4:$BC$135,MATCH($DN20,Benefit_Master!$BD$4:$BD$135,0),MATCH(DZ$9,Benefit_Master!$G$3:$BC$3,0)),0)*X20,0)</f>
        <v>0</v>
      </c>
      <c r="EA20" s="66">
        <f t="shared" si="24"/>
        <v>0</v>
      </c>
      <c r="EB20" s="64">
        <f>ROUND(IFERROR(INDEX(Benefit_Master!$G$4:$BC$135,MATCH($DN20,Benefit_Master!$BD$4:$BD$135,0),MATCH(EB$9,Benefit_Master!$G$3:$BC$3,0)),0)*Z20,0)</f>
        <v>0</v>
      </c>
      <c r="EC20" s="64">
        <f>ROUND(IFERROR(INDEX(Benefit_Master!$G$4:$BC$135,MATCH($DN20,Benefit_Master!$BD$4:$BD$135,0),MATCH(EC$9,Benefit_Master!$G$3:$BC$3,0)),0)*AA20,0)</f>
        <v>0</v>
      </c>
      <c r="ED20" s="64">
        <f>ROUND(IFERROR(INDEX(Benefit_Master!$G$4:$BC$135,MATCH($DN20,Benefit_Master!$BD$4:$BD$135,0),MATCH(ED$9,Benefit_Master!$G$3:$BC$3,0)),0)*AB20,0)</f>
        <v>0</v>
      </c>
      <c r="EE20" s="64">
        <f>ROUND(IFERROR(INDEX(Benefit_Master!$G$4:$BC$135,MATCH($DN20,Benefit_Master!$BD$4:$BD$135,0),MATCH(EE$9,Benefit_Master!$G$3:$BC$3,0)),0)*AC20,0)</f>
        <v>0</v>
      </c>
      <c r="EF20" s="64">
        <f>ROUND(IFERROR(INDEX(Benefit_Master!$G$4:$BC$135,MATCH($DN20,Benefit_Master!$BD$4:$BD$135,0),MATCH(EF$9,Benefit_Master!$G$3:$BC$3,0)),0)*AD20,0)</f>
        <v>0</v>
      </c>
      <c r="EG20" s="64">
        <f>ROUND(IFERROR(INDEX(Benefit_Master!$G$4:$BC$135,MATCH($DN20,Benefit_Master!$BD$4:$BD$135,0),MATCH(EG$9,Benefit_Master!$G$3:$BC$3,0)),0)*AE20,0)</f>
        <v>0</v>
      </c>
      <c r="EH20" s="64">
        <f>ROUND(IFERROR(INDEX(Benefit_Master!$G$4:$BC$135,MATCH($DN20,Benefit_Master!$BD$4:$BD$135,0),MATCH(EH$9,Benefit_Master!$G$3:$BC$3,0)),0)*AF20,0)</f>
        <v>0</v>
      </c>
      <c r="EI20" s="64">
        <f>ROUND(IFERROR(INDEX(Benefit_Master!$G$4:$BC$135,MATCH($DN20,Benefit_Master!$BD$4:$BD$135,0),MATCH(EI$9,Benefit_Master!$G$3:$BC$3,0)),0)*AG20,0)</f>
        <v>0</v>
      </c>
      <c r="EJ20" s="64">
        <f>ROUND(IFERROR(INDEX(Benefit_Master!$G$4:$BC$135,MATCH($DN20,Benefit_Master!$BD$4:$BD$135,0),MATCH(EJ$9,Benefit_Master!$G$3:$BC$3,0)),0)*AH20,0)</f>
        <v>0</v>
      </c>
      <c r="EK20" s="64">
        <f>ROUND(IFERROR(INDEX(Benefit_Master!$G$4:$BC$135,MATCH($DN20,Benefit_Master!$BD$4:$BD$135,0),MATCH(EK$9,Benefit_Master!$G$3:$BC$3,0)),0)*AI20,0)</f>
        <v>0</v>
      </c>
      <c r="EL20" s="64">
        <f>ROUND(IFERROR(INDEX(Benefit_Master!$G$4:$BC$135,MATCH($DN20,Benefit_Master!$BD$4:$BD$135,0),MATCH(EL$9,Benefit_Master!$G$3:$BC$3,0)),0)*AJ20,0)</f>
        <v>0</v>
      </c>
      <c r="EM20" s="64">
        <f>ROUND(IFERROR(INDEX(Benefit_Master!$G$4:$BC$135,MATCH($DN20,Benefit_Master!$BD$4:$BD$135,0),MATCH(EM$9,Benefit_Master!$G$3:$BC$3,0)),0)*AK20,0)</f>
        <v>0</v>
      </c>
      <c r="EN20" s="66">
        <f t="shared" si="25"/>
        <v>0</v>
      </c>
      <c r="EO20" s="64">
        <f>ROUND(IFERROR(INDEX(Benefit_Master!$G$4:$BC$135,MATCH($DN20,Benefit_Master!$BD$4:$BD$135,0),MATCH(EO$9,Benefit_Master!$G$3:$BC$3,0)),0)*AM20,0)</f>
        <v>0</v>
      </c>
      <c r="EP20" s="64">
        <f>ROUND(IFERROR(INDEX(Benefit_Master!$G$4:$BC$135,MATCH($DN20,Benefit_Master!$BD$4:$BD$135,0),MATCH(EP$9,Benefit_Master!$G$3:$BC$3,0)),0)*AN20,0)</f>
        <v>0</v>
      </c>
      <c r="EQ20" s="64">
        <f>ROUND(IFERROR(INDEX(Benefit_Master!$G$4:$BC$135,MATCH($DN20,Benefit_Master!$BD$4:$BD$135,0),MATCH(EQ$9,Benefit_Master!$G$3:$BC$3,0)),0)*AO20,0)</f>
        <v>0</v>
      </c>
      <c r="ER20" s="64">
        <f>ROUND(IFERROR(INDEX(Benefit_Master!$G$4:$BC$135,MATCH($DN20,Benefit_Master!$BD$4:$BD$135,0),MATCH(ER$9,Benefit_Master!$G$3:$BC$3,0)),0)*AP20,0)</f>
        <v>0</v>
      </c>
      <c r="ES20" s="64">
        <f>ROUND(IFERROR(INDEX(Benefit_Master!$G$4:$BC$135,MATCH($DN20,Benefit_Master!$BD$4:$BD$135,0),MATCH(ES$9,Benefit_Master!$G$3:$BC$3,0)),0)*AQ20,0)</f>
        <v>0</v>
      </c>
      <c r="ET20" s="64">
        <f>ROUND(IFERROR(INDEX(Benefit_Master!$G$4:$BC$135,MATCH($DN20,Benefit_Master!$BD$4:$BD$135,0),MATCH(ET$9,Benefit_Master!$G$3:$BC$3,0)),0)*AR20,0)</f>
        <v>0</v>
      </c>
      <c r="EU20" s="64">
        <f>ROUND(IFERROR(INDEX(Benefit_Master!$G$4:$BC$135,MATCH($DN20,Benefit_Master!$BD$4:$BD$135,0),MATCH(EU$9,Benefit_Master!$G$3:$BC$3,0)),0)*AS20,0)</f>
        <v>0</v>
      </c>
      <c r="EV20" s="64">
        <f>ROUND(IFERROR(INDEX(Benefit_Master!$G$4:$BC$135,MATCH($DN20,Benefit_Master!$BD$4:$BD$135,0),MATCH(EV$9,Benefit_Master!$G$3:$BC$3,0)),0)*AT20,0)</f>
        <v>0</v>
      </c>
      <c r="EW20" s="64">
        <f>ROUND(IFERROR(INDEX(Benefit_Master!$G$4:$BC$135,MATCH($DN20,Benefit_Master!$BD$4:$BD$135,0),MATCH(EW$9,Benefit_Master!$G$3:$BC$3,0)),0)*AU20,0)</f>
        <v>0</v>
      </c>
      <c r="EX20" s="64">
        <f>ROUND(IFERROR(INDEX(Benefit_Master!$G$4:$BC$135,MATCH($DN20,Benefit_Master!$BD$4:$BD$135,0),MATCH(EX$9,Benefit_Master!$G$3:$BC$3,0)),0)*AV20,0)</f>
        <v>0</v>
      </c>
      <c r="EY20" s="64">
        <f>ROUND(IFERROR(INDEX(Benefit_Master!$G$4:$BC$135,MATCH($DN20,Benefit_Master!$BD$4:$BD$135,0),MATCH(EY$9,Benefit_Master!$G$3:$BC$3,0)),0)*AW20,0)</f>
        <v>0</v>
      </c>
      <c r="EZ20" s="64">
        <f>ROUND(IFERROR(INDEX(Benefit_Master!$G$4:$BC$135,MATCH($DN20,Benefit_Master!$BD$4:$BD$135,0),MATCH(EZ$9,Benefit_Master!$G$3:$BC$3,0)),0)*AX20,0)</f>
        <v>0</v>
      </c>
      <c r="FA20" s="66">
        <f t="shared" si="26"/>
        <v>0</v>
      </c>
      <c r="FB20" s="64">
        <f>ROUND(IFERROR(INDEX(Benefit_Master!$G$4:$BC$135,MATCH($DN20,Benefit_Master!$BD$4:$BD$135,0),MATCH(FB$9,Benefit_Master!$G$3:$BC$3,0)),0)*AZ20,0)</f>
        <v>0</v>
      </c>
      <c r="FC20" s="64">
        <f>ROUND(IFERROR(INDEX(Benefit_Master!$G$4:$BC$135,MATCH($DN20,Benefit_Master!$BD$4:$BD$135,0),MATCH(FC$9,Benefit_Master!$G$3:$BC$3,0)),0)*BA20,0)</f>
        <v>0</v>
      </c>
      <c r="FD20" s="64">
        <f>ROUND(IFERROR(INDEX(Benefit_Master!$G$4:$BC$135,MATCH($DN20,Benefit_Master!$BD$4:$BD$135,0),MATCH(FD$9,Benefit_Master!$G$3:$BC$3,0)),0)*BB20,0)</f>
        <v>0</v>
      </c>
      <c r="FE20" s="64">
        <f>ROUND(IFERROR(INDEX(Benefit_Master!$G$4:$BC$135,MATCH($DN20,Benefit_Master!$BD$4:$BD$135,0),MATCH(FE$9,Benefit_Master!$G$3:$BC$3,0)),0)*BC20,0)</f>
        <v>0</v>
      </c>
      <c r="FF20" s="64">
        <f>ROUND(IFERROR(INDEX(Benefit_Master!$G$4:$BC$135,MATCH($DN20,Benefit_Master!$BD$4:$BD$135,0),MATCH(FF$9,Benefit_Master!$G$3:$BC$3,0)),0)*BD20,0)</f>
        <v>0</v>
      </c>
      <c r="FG20" s="64">
        <f>ROUND(IFERROR(INDEX(Benefit_Master!$G$4:$BC$135,MATCH($DN20,Benefit_Master!$BD$4:$BD$135,0),MATCH(FG$9,Benefit_Master!$G$3:$BC$3,0)),0)*BE20,0)</f>
        <v>0</v>
      </c>
      <c r="FH20" s="64">
        <f>ROUND(IFERROR(INDEX(Benefit_Master!$G$4:$BC$135,MATCH($DN20,Benefit_Master!$BD$4:$BD$135,0),MATCH(FH$9,Benefit_Master!$G$3:$BC$3,0)),0)*BF20,0)</f>
        <v>0</v>
      </c>
      <c r="FI20" s="64">
        <f>ROUND(IFERROR(INDEX(Benefit_Master!$G$4:$BC$135,MATCH($DN20,Benefit_Master!$BD$4:$BD$135,0),MATCH(FI$9,Benefit_Master!$G$3:$BC$3,0)),0)*BG20,0)</f>
        <v>0</v>
      </c>
      <c r="FJ20" s="64">
        <f>ROUND(IFERROR(INDEX(Benefit_Master!$G$4:$BC$135,MATCH($DN20,Benefit_Master!$BD$4:$BD$135,0),MATCH(FJ$9,Benefit_Master!$G$3:$BC$3,0)),0)*BH20,0)</f>
        <v>0</v>
      </c>
      <c r="FK20" s="64">
        <f>ROUND(IFERROR(INDEX(Benefit_Master!$G$4:$BC$135,MATCH($DN20,Benefit_Master!$BD$4:$BD$135,0),MATCH(FK$9,Benefit_Master!$G$3:$BC$3,0)),0)*BI20,0)</f>
        <v>0</v>
      </c>
      <c r="FL20" s="64">
        <f>ROUND(IFERROR(INDEX(Benefit_Master!$G$4:$BC$135,MATCH($DN20,Benefit_Master!$BD$4:$BD$135,0),MATCH(FL$9,Benefit_Master!$G$3:$BC$3,0)),0)*BJ20,0)</f>
        <v>0</v>
      </c>
      <c r="FM20" s="64">
        <f>ROUND(IFERROR(INDEX(Benefit_Master!$G$4:$BC$135,MATCH($DN20,Benefit_Master!$BD$4:$BD$135,0),MATCH(FM$9,Benefit_Master!$G$3:$BC$3,0)),0)*BK20,0)</f>
        <v>0</v>
      </c>
      <c r="FN20" s="66">
        <f t="shared" si="27"/>
        <v>0</v>
      </c>
    </row>
    <row r="21" spans="2:170" s="12" customFormat="1" ht="15" customHeight="1">
      <c r="B21" s="93">
        <f t="shared" si="28"/>
        <v>9</v>
      </c>
      <c r="C21" s="89"/>
      <c r="D21" s="97"/>
      <c r="E21" s="1197"/>
      <c r="F21" s="425"/>
      <c r="G21" s="94" t="str">
        <f>IFERROR(VLOOKUP($F21,Master!$B$1:$C$7,2,0),"-")</f>
        <v>-</v>
      </c>
      <c r="H21" s="95">
        <f t="shared" si="12"/>
        <v>0</v>
      </c>
      <c r="I21" s="138">
        <f t="shared" si="13"/>
        <v>0</v>
      </c>
      <c r="J21" s="138">
        <f t="shared" si="14"/>
        <v>0</v>
      </c>
      <c r="K21" s="96"/>
      <c r="L21"/>
      <c r="M21" s="58"/>
      <c r="N21" s="59"/>
      <c r="O21" s="59"/>
      <c r="P21" s="59"/>
      <c r="Q21" s="59"/>
      <c r="R21" s="59"/>
      <c r="S21" s="59"/>
      <c r="T21" s="59"/>
      <c r="U21" s="679"/>
      <c r="V21" s="56"/>
      <c r="W21" s="56"/>
      <c r="X21" s="56"/>
      <c r="Y21" s="60">
        <f t="shared" si="15"/>
        <v>0</v>
      </c>
      <c r="Z21" s="55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60">
        <f t="shared" si="16"/>
        <v>0</v>
      </c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60">
        <f t="shared" si="17"/>
        <v>0</v>
      </c>
      <c r="AZ21" s="58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60">
        <f t="shared" si="18"/>
        <v>0</v>
      </c>
      <c r="BM21"/>
      <c r="BN21" s="64">
        <f>ROUND(IFERROR(INDEX('Labor Cost_Master'!$G$4:$BC$135,MATCH($DN21,'Labor Cost_Master'!$BD$4:$BD$135,0),MATCH(BN$9,'Labor Cost_Master'!$G$3:$BC$3,0)),0)*M21,0)</f>
        <v>0</v>
      </c>
      <c r="BO21" s="64">
        <f>ROUND(IFERROR(INDEX('Labor Cost_Master'!$G$4:$BC$135,MATCH($DN21,'Labor Cost_Master'!$BD$4:$BD$135,0),MATCH(BO$9,'Labor Cost_Master'!$G$3:$BC$3,0)),0)*N21,0)</f>
        <v>0</v>
      </c>
      <c r="BP21" s="64">
        <f>ROUND(IFERROR(INDEX('Labor Cost_Master'!$G$4:$BC$135,MATCH($DN21,'Labor Cost_Master'!$BD$4:$BD$135,0),MATCH(BP$9,'Labor Cost_Master'!$G$3:$BC$3,0)),0)*O21,0)</f>
        <v>0</v>
      </c>
      <c r="BQ21" s="64">
        <f>ROUND(IFERROR(INDEX('Labor Cost_Master'!$G$4:$BC$135,MATCH($DN21,'Labor Cost_Master'!$BD$4:$BD$135,0),MATCH(BQ$9,'Labor Cost_Master'!$G$3:$BC$3,0)),0)*P21,0)</f>
        <v>0</v>
      </c>
      <c r="BR21" s="64">
        <f>ROUND(IFERROR(INDEX('Labor Cost_Master'!$G$4:$BC$135,MATCH($DN21,'Labor Cost_Master'!$BD$4:$BD$135,0),MATCH(BR$9,'Labor Cost_Master'!$G$3:$BC$3,0)),0)*Q21,0)</f>
        <v>0</v>
      </c>
      <c r="BS21" s="64">
        <f>ROUND(IFERROR(INDEX('Labor Cost_Master'!$G$4:$BC$135,MATCH($DN21,'Labor Cost_Master'!$BD$4:$BD$135,0),MATCH(BS$9,'Labor Cost_Master'!$G$3:$BC$3,0)),0)*R21,0)</f>
        <v>0</v>
      </c>
      <c r="BT21" s="64">
        <f>ROUND(IFERROR(INDEX('Labor Cost_Master'!$G$4:$BC$135,MATCH($DN21,'Labor Cost_Master'!$BD$4:$BD$135,0),MATCH(BT$9,'Labor Cost_Master'!$G$3:$BC$3,0)),0)*S21,0)</f>
        <v>0</v>
      </c>
      <c r="BU21" s="64">
        <f>ROUND(IFERROR(INDEX('Labor Cost_Master'!$G$4:$BC$135,MATCH($DN21,'Labor Cost_Master'!$BD$4:$BD$135,0),MATCH(BU$9,'Labor Cost_Master'!$G$3:$BC$3,0)),0)*T21,0)</f>
        <v>0</v>
      </c>
      <c r="BV21" s="64">
        <f>ROUND(IFERROR(INDEX('Labor Cost_Master'!$G$4:$BC$135,MATCH($DN21,'Labor Cost_Master'!$BD$4:$BD$135,0),MATCH(BV$9,'Labor Cost_Master'!$G$3:$BC$3,0)),0)*U21,0)</f>
        <v>0</v>
      </c>
      <c r="BW21" s="64">
        <f>ROUND(IFERROR(INDEX('Labor Cost_Master'!$G$4:$BC$135,MATCH($DN21,'Labor Cost_Master'!$BD$4:$BD$135,0),MATCH(BW$9,'Labor Cost_Master'!$G$3:$BC$3,0)),0)*V21,0)</f>
        <v>0</v>
      </c>
      <c r="BX21" s="64">
        <f>ROUND(IFERROR(INDEX('Labor Cost_Master'!$G$4:$BC$135,MATCH($DN21,'Labor Cost_Master'!$BD$4:$BD$135,0),MATCH(BX$9,'Labor Cost_Master'!$G$3:$BC$3,0)),0)*W21,0)</f>
        <v>0</v>
      </c>
      <c r="BY21" s="64">
        <f>ROUND(IFERROR(INDEX('Labor Cost_Master'!$G$4:$BC$135,MATCH($DN21,'Labor Cost_Master'!$BD$4:$BD$135,0),MATCH(BY$9,'Labor Cost_Master'!$G$3:$BC$3,0)),0)*X21,0)</f>
        <v>0</v>
      </c>
      <c r="BZ21" s="66">
        <f t="shared" si="19"/>
        <v>0</v>
      </c>
      <c r="CA21" s="64">
        <f>ROUND(IFERROR(INDEX('Labor Cost_Master'!$G$4:$BC$135,MATCH($DN21,'Labor Cost_Master'!$BD$4:$BD$135,0),MATCH(CA$9,'Labor Cost_Master'!$G$3:$BC$3,0)),0)*Z21,0)</f>
        <v>0</v>
      </c>
      <c r="CB21" s="64">
        <f>ROUND(IFERROR(INDEX('Labor Cost_Master'!$G$4:$BC$135,MATCH($DN21,'Labor Cost_Master'!$BD$4:$BD$135,0),MATCH(CB$9,'Labor Cost_Master'!$G$3:$BC$3,0)),0)*AA21,0)</f>
        <v>0</v>
      </c>
      <c r="CC21" s="64">
        <f>ROUND(IFERROR(INDEX('Labor Cost_Master'!$G$4:$BC$135,MATCH($DN21,'Labor Cost_Master'!$BD$4:$BD$135,0),MATCH(CC$9,'Labor Cost_Master'!$G$3:$BC$3,0)),0)*AB21,0)</f>
        <v>0</v>
      </c>
      <c r="CD21" s="64">
        <f>ROUND(IFERROR(INDEX('Labor Cost_Master'!$G$4:$BC$135,MATCH($DN21,'Labor Cost_Master'!$BD$4:$BD$135,0),MATCH(CD$9,'Labor Cost_Master'!$G$3:$BC$3,0)),0)*AC21,0)</f>
        <v>0</v>
      </c>
      <c r="CE21" s="64">
        <f>ROUND(IFERROR(INDEX('Labor Cost_Master'!$G$4:$BC$135,MATCH($DN21,'Labor Cost_Master'!$BD$4:$BD$135,0),MATCH(CE$9,'Labor Cost_Master'!$G$3:$BC$3,0)),0)*AD21,0)</f>
        <v>0</v>
      </c>
      <c r="CF21" s="64">
        <f>ROUND(IFERROR(INDEX('Labor Cost_Master'!$G$4:$BC$135,MATCH($DN21,'Labor Cost_Master'!$BD$4:$BD$135,0),MATCH(CF$9,'Labor Cost_Master'!$G$3:$BC$3,0)),0)*AE21,0)</f>
        <v>0</v>
      </c>
      <c r="CG21" s="64">
        <f>ROUND(IFERROR(INDEX('Labor Cost_Master'!$G$4:$BC$135,MATCH($DN21,'Labor Cost_Master'!$BD$4:$BD$135,0),MATCH(CG$9,'Labor Cost_Master'!$G$3:$BC$3,0)),0)*AF21,0)</f>
        <v>0</v>
      </c>
      <c r="CH21" s="64">
        <f>ROUND(IFERROR(INDEX('Labor Cost_Master'!$G$4:$BC$135,MATCH($DN21,'Labor Cost_Master'!$BD$4:$BD$135,0),MATCH(CH$9,'Labor Cost_Master'!$G$3:$BC$3,0)),0)*AG21,0)</f>
        <v>0</v>
      </c>
      <c r="CI21" s="64">
        <f>ROUND(IFERROR(INDEX('Labor Cost_Master'!$G$4:$BC$135,MATCH($DN21,'Labor Cost_Master'!$BD$4:$BD$135,0),MATCH(CI$9,'Labor Cost_Master'!$G$3:$BC$3,0)),0)*AH21,0)</f>
        <v>0</v>
      </c>
      <c r="CJ21" s="64">
        <f>ROUND(IFERROR(INDEX('Labor Cost_Master'!$G$4:$BC$135,MATCH($DN21,'Labor Cost_Master'!$BD$4:$BD$135,0),MATCH(CJ$9,'Labor Cost_Master'!$G$3:$BC$3,0)),0)*AI21,0)</f>
        <v>0</v>
      </c>
      <c r="CK21" s="64">
        <f>ROUND(IFERROR(INDEX('Labor Cost_Master'!$G$4:$BC$135,MATCH($DN21,'Labor Cost_Master'!$BD$4:$BD$135,0),MATCH(CK$9,'Labor Cost_Master'!$G$3:$BC$3,0)),0)*AJ21,0)</f>
        <v>0</v>
      </c>
      <c r="CL21" s="64">
        <f>ROUND(IFERROR(INDEX('Labor Cost_Master'!$G$4:$BC$135,MATCH($DN21,'Labor Cost_Master'!$BD$4:$BD$135,0),MATCH(CL$9,'Labor Cost_Master'!$G$3:$BC$3,0)),0)*AK21,0)</f>
        <v>0</v>
      </c>
      <c r="CM21" s="66">
        <f t="shared" si="20"/>
        <v>0</v>
      </c>
      <c r="CN21" s="64">
        <f>ROUND(IFERROR(INDEX('Labor Cost_Master'!$G$4:$BC$135,MATCH($DN21,'Labor Cost_Master'!$BD$4:$BD$135,0),MATCH(CN$9,'Labor Cost_Master'!$G$3:$BC$3,0)),0)*AM21,0)</f>
        <v>0</v>
      </c>
      <c r="CO21" s="64">
        <f>ROUND(IFERROR(INDEX('Labor Cost_Master'!$G$4:$BC$135,MATCH($DN21,'Labor Cost_Master'!$BD$4:$BD$135,0),MATCH(CO$9,'Labor Cost_Master'!$G$3:$BC$3,0)),0)*AN21,0)</f>
        <v>0</v>
      </c>
      <c r="CP21" s="64">
        <f>ROUND(IFERROR(INDEX('Labor Cost_Master'!$G$4:$BC$135,MATCH($DN21,'Labor Cost_Master'!$BD$4:$BD$135,0),MATCH(CP$9,'Labor Cost_Master'!$G$3:$BC$3,0)),0)*AO21,0)</f>
        <v>0</v>
      </c>
      <c r="CQ21" s="64">
        <f>ROUND(IFERROR(INDEX('Labor Cost_Master'!$G$4:$BC$135,MATCH($DN21,'Labor Cost_Master'!$BD$4:$BD$135,0),MATCH(CQ$9,'Labor Cost_Master'!$G$3:$BC$3,0)),0)*AP21,0)</f>
        <v>0</v>
      </c>
      <c r="CR21" s="64">
        <f>ROUND(IFERROR(INDEX('Labor Cost_Master'!$G$4:$BC$135,MATCH($DN21,'Labor Cost_Master'!$BD$4:$BD$135,0),MATCH(CR$9,'Labor Cost_Master'!$G$3:$BC$3,0)),0)*AQ21,0)</f>
        <v>0</v>
      </c>
      <c r="CS21" s="64">
        <f>ROUND(IFERROR(INDEX('Labor Cost_Master'!$G$4:$BC$135,MATCH($DN21,'Labor Cost_Master'!$BD$4:$BD$135,0),MATCH(CS$9,'Labor Cost_Master'!$G$3:$BC$3,0)),0)*AR21,0)</f>
        <v>0</v>
      </c>
      <c r="CT21" s="64">
        <f>ROUND(IFERROR(INDEX('Labor Cost_Master'!$G$4:$BC$135,MATCH($DN21,'Labor Cost_Master'!$BD$4:$BD$135,0),MATCH(CT$9,'Labor Cost_Master'!$G$3:$BC$3,0)),0)*AS21,0)</f>
        <v>0</v>
      </c>
      <c r="CU21" s="64">
        <f>ROUND(IFERROR(INDEX('Labor Cost_Master'!$G$4:$BC$135,MATCH($DN21,'Labor Cost_Master'!$BD$4:$BD$135,0),MATCH(CU$9,'Labor Cost_Master'!$G$3:$BC$3,0)),0)*AT21,0)</f>
        <v>0</v>
      </c>
      <c r="CV21" s="64">
        <f>ROUND(IFERROR(INDEX('Labor Cost_Master'!$G$4:$BC$135,MATCH($DN21,'Labor Cost_Master'!$BD$4:$BD$135,0),MATCH(CV$9,'Labor Cost_Master'!$G$3:$BC$3,0)),0)*AU21,0)</f>
        <v>0</v>
      </c>
      <c r="CW21" s="64">
        <f>ROUND(IFERROR(INDEX('Labor Cost_Master'!$G$4:$BC$135,MATCH($DN21,'Labor Cost_Master'!$BD$4:$BD$135,0),MATCH(CW$9,'Labor Cost_Master'!$G$3:$BC$3,0)),0)*AV21,0)</f>
        <v>0</v>
      </c>
      <c r="CX21" s="64">
        <f>ROUND(IFERROR(INDEX('Labor Cost_Master'!$G$4:$BC$135,MATCH($DN21,'Labor Cost_Master'!$BD$4:$BD$135,0),MATCH(CX$9,'Labor Cost_Master'!$G$3:$BC$3,0)),0)*AW21,0)</f>
        <v>0</v>
      </c>
      <c r="CY21" s="64">
        <f>ROUND(IFERROR(INDEX('Labor Cost_Master'!$G$4:$BC$135,MATCH($DN21,'Labor Cost_Master'!$BD$4:$BD$135,0),MATCH(CY$9,'Labor Cost_Master'!$G$3:$BC$3,0)),0)*AX21,0)</f>
        <v>0</v>
      </c>
      <c r="CZ21" s="66">
        <f t="shared" si="21"/>
        <v>0</v>
      </c>
      <c r="DA21" s="64">
        <f>ROUND(IFERROR(INDEX('Labor Cost_Master'!$G$4:$BC$135,MATCH($DN21,'Labor Cost_Master'!$BD$4:$BD$135,0),MATCH(DA$9,'Labor Cost_Master'!$G$3:$BC$3,0)),0)*AZ21,0)</f>
        <v>0</v>
      </c>
      <c r="DB21" s="64">
        <f>ROUND(IFERROR(INDEX('Labor Cost_Master'!$G$4:$BC$135,MATCH($DN21,'Labor Cost_Master'!$BD$4:$BD$135,0),MATCH(DB$9,'Labor Cost_Master'!$G$3:$BC$3,0)),0)*BA21,0)</f>
        <v>0</v>
      </c>
      <c r="DC21" s="1166">
        <f>ROUND(IFERROR(INDEX('Labor Cost_Master'!$G$4:$BC$135,MATCH($DN21,'Labor Cost_Master'!$BD$4:$BD$135,0),MATCH(DC$9,'Labor Cost_Master'!$G$3:$BC$3,0)),0)*BB21,0)*1.05</f>
        <v>0</v>
      </c>
      <c r="DD21" s="64">
        <f>ROUND(IFERROR(INDEX('Labor Cost_Master'!$G$4:$BC$135,MATCH($DN21,'Labor Cost_Master'!$BD$4:$BD$135,0),MATCH(DD$9,'Labor Cost_Master'!$G$3:$BC$3,0)),0)*BC21,0)*1.05</f>
        <v>0</v>
      </c>
      <c r="DE21" s="64">
        <f>ROUND(IFERROR(INDEX('Labor Cost_Master'!$G$4:$BC$135,MATCH($DN21,'Labor Cost_Master'!$BD$4:$BD$135,0),MATCH(DE$9,'Labor Cost_Master'!$G$3:$BC$3,0)),0)*BD21,0)*1.05</f>
        <v>0</v>
      </c>
      <c r="DF21" s="64">
        <f>ROUND(IFERROR(INDEX('Labor Cost_Master'!$G$4:$BC$135,MATCH($DN21,'Labor Cost_Master'!$BD$4:$BD$135,0),MATCH(DF$9,'Labor Cost_Master'!$G$3:$BC$3,0)),0)*BE21,0)*1.05</f>
        <v>0</v>
      </c>
      <c r="DG21" s="64">
        <f>ROUND(IFERROR(INDEX('Labor Cost_Master'!$G$4:$BC$135,MATCH($DN21,'Labor Cost_Master'!$BD$4:$BD$135,0),MATCH(DG$9,'Labor Cost_Master'!$G$3:$BC$3,0)),0)*BF21,0)*1.05</f>
        <v>0</v>
      </c>
      <c r="DH21" s="64">
        <f>ROUND(IFERROR(INDEX('Labor Cost_Master'!$G$4:$BC$135,MATCH($DN21,'Labor Cost_Master'!$BD$4:$BD$135,0),MATCH(DH$9,'Labor Cost_Master'!$G$3:$BC$3,0)),0)*BG21,0)*1.05</f>
        <v>0</v>
      </c>
      <c r="DI21" s="64">
        <f>ROUND(IFERROR(INDEX('Labor Cost_Master'!$G$4:$BC$135,MATCH($DN21,'Labor Cost_Master'!$BD$4:$BD$135,0),MATCH(DI$9,'Labor Cost_Master'!$G$3:$BC$3,0)),0)*BH21,0)*1.05</f>
        <v>0</v>
      </c>
      <c r="DJ21" s="64">
        <f>ROUND(IFERROR(INDEX('Labor Cost_Master'!$G$4:$BC$135,MATCH($DN21,'Labor Cost_Master'!$BD$4:$BD$135,0),MATCH(DJ$9,'Labor Cost_Master'!$G$3:$BC$3,0)),0)*BI21,0)*1.05</f>
        <v>0</v>
      </c>
      <c r="DK21" s="64">
        <f>ROUND(IFERROR(INDEX('Labor Cost_Master'!$G$4:$BC$135,MATCH($DN21,'Labor Cost_Master'!$BD$4:$BD$135,0),MATCH(DK$9,'Labor Cost_Master'!$G$3:$BC$3,0)),0)*BJ21,0)*1.05</f>
        <v>0</v>
      </c>
      <c r="DL21" s="64">
        <f>ROUND(IFERROR(INDEX('Labor Cost_Master'!$G$4:$BC$135,MATCH($DN21,'Labor Cost_Master'!$BD$4:$BD$135,0),MATCH(DL$9,'Labor Cost_Master'!$G$3:$BC$3,0)),0)*BK21,0)*1.05</f>
        <v>0</v>
      </c>
      <c r="DM21" s="66">
        <f t="shared" si="22"/>
        <v>0</v>
      </c>
      <c r="DN21" s="80" t="str">
        <f t="shared" si="23"/>
        <v/>
      </c>
      <c r="DO21" s="64">
        <f>ROUND(IFERROR(INDEX(Benefit_Master!$G$4:$BC$135,MATCH($DN21,Benefit_Master!$BD$4:$BD$135,0),MATCH(DO$9,Benefit_Master!$G$3:$BC$3,0)),0)*M21,0)</f>
        <v>0</v>
      </c>
      <c r="DP21" s="64">
        <f>ROUND(IFERROR(INDEX(Benefit_Master!$G$4:$BC$135,MATCH($DN21,Benefit_Master!$BD$4:$BD$135,0),MATCH(DP$9,Benefit_Master!$G$3:$BC$3,0)),0)*N21,0)</f>
        <v>0</v>
      </c>
      <c r="DQ21" s="64">
        <f>ROUND(IFERROR(INDEX(Benefit_Master!$G$4:$BC$135,MATCH($DN21,Benefit_Master!$BD$4:$BD$135,0),MATCH(DQ$9,Benefit_Master!$G$3:$BC$3,0)),0)*O21,0)</f>
        <v>0</v>
      </c>
      <c r="DR21" s="64">
        <f>ROUND(IFERROR(INDEX(Benefit_Master!$G$4:$BC$135,MATCH($DN21,Benefit_Master!$BD$4:$BD$135,0),MATCH(DR$9,Benefit_Master!$G$3:$BC$3,0)),0)*P21,0)</f>
        <v>0</v>
      </c>
      <c r="DS21" s="64">
        <f>ROUND(IFERROR(INDEX(Benefit_Master!$G$4:$BC$135,MATCH($DN21,Benefit_Master!$BD$4:$BD$135,0),MATCH(DS$9,Benefit_Master!$G$3:$BC$3,0)),0)*Q21,0)</f>
        <v>0</v>
      </c>
      <c r="DT21" s="64">
        <f>ROUND(IFERROR(INDEX(Benefit_Master!$G$4:$BC$135,MATCH($DN21,Benefit_Master!$BD$4:$BD$135,0),MATCH(DT$9,Benefit_Master!$G$3:$BC$3,0)),0)*R21,0)</f>
        <v>0</v>
      </c>
      <c r="DU21" s="64">
        <f>ROUND(IFERROR(INDEX(Benefit_Master!$G$4:$BC$135,MATCH($DN21,Benefit_Master!$BD$4:$BD$135,0),MATCH(DU$9,Benefit_Master!$G$3:$BC$3,0)),0)*S21,0)</f>
        <v>0</v>
      </c>
      <c r="DV21" s="64">
        <f>ROUND(IFERROR(INDEX(Benefit_Master!$G$4:$BC$135,MATCH($DN21,Benefit_Master!$BD$4:$BD$135,0),MATCH(DV$9,Benefit_Master!$G$3:$BC$3,0)),0)*T21,0)</f>
        <v>0</v>
      </c>
      <c r="DW21" s="64">
        <f>ROUND(IFERROR(INDEX(Benefit_Master!$G$4:$BC$135,MATCH($DN21,Benefit_Master!$BD$4:$BD$135,0),MATCH(DW$9,Benefit_Master!$G$3:$BC$3,0)),0)*U21,0)</f>
        <v>0</v>
      </c>
      <c r="DX21" s="64">
        <f>ROUND(IFERROR(INDEX(Benefit_Master!$G$4:$BC$135,MATCH($DN21,Benefit_Master!$BD$4:$BD$135,0),MATCH(DX$9,Benefit_Master!$G$3:$BC$3,0)),0)*V21,0)</f>
        <v>0</v>
      </c>
      <c r="DY21" s="64">
        <f>ROUND(IFERROR(INDEX(Benefit_Master!$G$4:$BC$135,MATCH($DN21,Benefit_Master!$BD$4:$BD$135,0),MATCH(DY$9,Benefit_Master!$G$3:$BC$3,0)),0)*W21,0)</f>
        <v>0</v>
      </c>
      <c r="DZ21" s="64">
        <f>ROUND(IFERROR(INDEX(Benefit_Master!$G$4:$BC$135,MATCH($DN21,Benefit_Master!$BD$4:$BD$135,0),MATCH(DZ$9,Benefit_Master!$G$3:$BC$3,0)),0)*X21,0)</f>
        <v>0</v>
      </c>
      <c r="EA21" s="66">
        <f t="shared" si="24"/>
        <v>0</v>
      </c>
      <c r="EB21" s="64">
        <f>ROUND(IFERROR(INDEX(Benefit_Master!$G$4:$BC$135,MATCH($DN21,Benefit_Master!$BD$4:$BD$135,0),MATCH(EB$9,Benefit_Master!$G$3:$BC$3,0)),0)*Z21,0)</f>
        <v>0</v>
      </c>
      <c r="EC21" s="64">
        <f>ROUND(IFERROR(INDEX(Benefit_Master!$G$4:$BC$135,MATCH($DN21,Benefit_Master!$BD$4:$BD$135,0),MATCH(EC$9,Benefit_Master!$G$3:$BC$3,0)),0)*AA21,0)</f>
        <v>0</v>
      </c>
      <c r="ED21" s="64">
        <f>ROUND(IFERROR(INDEX(Benefit_Master!$G$4:$BC$135,MATCH($DN21,Benefit_Master!$BD$4:$BD$135,0),MATCH(ED$9,Benefit_Master!$G$3:$BC$3,0)),0)*AB21,0)</f>
        <v>0</v>
      </c>
      <c r="EE21" s="64">
        <f>ROUND(IFERROR(INDEX(Benefit_Master!$G$4:$BC$135,MATCH($DN21,Benefit_Master!$BD$4:$BD$135,0),MATCH(EE$9,Benefit_Master!$G$3:$BC$3,0)),0)*AC21,0)</f>
        <v>0</v>
      </c>
      <c r="EF21" s="64">
        <f>ROUND(IFERROR(INDEX(Benefit_Master!$G$4:$BC$135,MATCH($DN21,Benefit_Master!$BD$4:$BD$135,0),MATCH(EF$9,Benefit_Master!$G$3:$BC$3,0)),0)*AD21,0)</f>
        <v>0</v>
      </c>
      <c r="EG21" s="64">
        <f>ROUND(IFERROR(INDEX(Benefit_Master!$G$4:$BC$135,MATCH($DN21,Benefit_Master!$BD$4:$BD$135,0),MATCH(EG$9,Benefit_Master!$G$3:$BC$3,0)),0)*AE21,0)</f>
        <v>0</v>
      </c>
      <c r="EH21" s="64">
        <f>ROUND(IFERROR(INDEX(Benefit_Master!$G$4:$BC$135,MATCH($DN21,Benefit_Master!$BD$4:$BD$135,0),MATCH(EH$9,Benefit_Master!$G$3:$BC$3,0)),0)*AF21,0)</f>
        <v>0</v>
      </c>
      <c r="EI21" s="64">
        <f>ROUND(IFERROR(INDEX(Benefit_Master!$G$4:$BC$135,MATCH($DN21,Benefit_Master!$BD$4:$BD$135,0),MATCH(EI$9,Benefit_Master!$G$3:$BC$3,0)),0)*AG21,0)</f>
        <v>0</v>
      </c>
      <c r="EJ21" s="64">
        <f>ROUND(IFERROR(INDEX(Benefit_Master!$G$4:$BC$135,MATCH($DN21,Benefit_Master!$BD$4:$BD$135,0),MATCH(EJ$9,Benefit_Master!$G$3:$BC$3,0)),0)*AH21,0)</f>
        <v>0</v>
      </c>
      <c r="EK21" s="64">
        <f>ROUND(IFERROR(INDEX(Benefit_Master!$G$4:$BC$135,MATCH($DN21,Benefit_Master!$BD$4:$BD$135,0),MATCH(EK$9,Benefit_Master!$G$3:$BC$3,0)),0)*AI21,0)</f>
        <v>0</v>
      </c>
      <c r="EL21" s="64">
        <f>ROUND(IFERROR(INDEX(Benefit_Master!$G$4:$BC$135,MATCH($DN21,Benefit_Master!$BD$4:$BD$135,0),MATCH(EL$9,Benefit_Master!$G$3:$BC$3,0)),0)*AJ21,0)</f>
        <v>0</v>
      </c>
      <c r="EM21" s="64">
        <f>ROUND(IFERROR(INDEX(Benefit_Master!$G$4:$BC$135,MATCH($DN21,Benefit_Master!$BD$4:$BD$135,0),MATCH(EM$9,Benefit_Master!$G$3:$BC$3,0)),0)*AK21,0)</f>
        <v>0</v>
      </c>
      <c r="EN21" s="66">
        <f t="shared" si="25"/>
        <v>0</v>
      </c>
      <c r="EO21" s="64">
        <f>ROUND(IFERROR(INDEX(Benefit_Master!$G$4:$BC$135,MATCH($DN21,Benefit_Master!$BD$4:$BD$135,0),MATCH(EO$9,Benefit_Master!$G$3:$BC$3,0)),0)*AM21,0)</f>
        <v>0</v>
      </c>
      <c r="EP21" s="64">
        <f>ROUND(IFERROR(INDEX(Benefit_Master!$G$4:$BC$135,MATCH($DN21,Benefit_Master!$BD$4:$BD$135,0),MATCH(EP$9,Benefit_Master!$G$3:$BC$3,0)),0)*AN21,0)</f>
        <v>0</v>
      </c>
      <c r="EQ21" s="64">
        <f>ROUND(IFERROR(INDEX(Benefit_Master!$G$4:$BC$135,MATCH($DN21,Benefit_Master!$BD$4:$BD$135,0),MATCH(EQ$9,Benefit_Master!$G$3:$BC$3,0)),0)*AO21,0)</f>
        <v>0</v>
      </c>
      <c r="ER21" s="64">
        <f>ROUND(IFERROR(INDEX(Benefit_Master!$G$4:$BC$135,MATCH($DN21,Benefit_Master!$BD$4:$BD$135,0),MATCH(ER$9,Benefit_Master!$G$3:$BC$3,0)),0)*AP21,0)</f>
        <v>0</v>
      </c>
      <c r="ES21" s="64">
        <f>ROUND(IFERROR(INDEX(Benefit_Master!$G$4:$BC$135,MATCH($DN21,Benefit_Master!$BD$4:$BD$135,0),MATCH(ES$9,Benefit_Master!$G$3:$BC$3,0)),0)*AQ21,0)</f>
        <v>0</v>
      </c>
      <c r="ET21" s="64">
        <f>ROUND(IFERROR(INDEX(Benefit_Master!$G$4:$BC$135,MATCH($DN21,Benefit_Master!$BD$4:$BD$135,0),MATCH(ET$9,Benefit_Master!$G$3:$BC$3,0)),0)*AR21,0)</f>
        <v>0</v>
      </c>
      <c r="EU21" s="64">
        <f>ROUND(IFERROR(INDEX(Benefit_Master!$G$4:$BC$135,MATCH($DN21,Benefit_Master!$BD$4:$BD$135,0),MATCH(EU$9,Benefit_Master!$G$3:$BC$3,0)),0)*AS21,0)</f>
        <v>0</v>
      </c>
      <c r="EV21" s="64">
        <f>ROUND(IFERROR(INDEX(Benefit_Master!$G$4:$BC$135,MATCH($DN21,Benefit_Master!$BD$4:$BD$135,0),MATCH(EV$9,Benefit_Master!$G$3:$BC$3,0)),0)*AT21,0)</f>
        <v>0</v>
      </c>
      <c r="EW21" s="64">
        <f>ROUND(IFERROR(INDEX(Benefit_Master!$G$4:$BC$135,MATCH($DN21,Benefit_Master!$BD$4:$BD$135,0),MATCH(EW$9,Benefit_Master!$G$3:$BC$3,0)),0)*AU21,0)</f>
        <v>0</v>
      </c>
      <c r="EX21" s="64">
        <f>ROUND(IFERROR(INDEX(Benefit_Master!$G$4:$BC$135,MATCH($DN21,Benefit_Master!$BD$4:$BD$135,0),MATCH(EX$9,Benefit_Master!$G$3:$BC$3,0)),0)*AV21,0)</f>
        <v>0</v>
      </c>
      <c r="EY21" s="64">
        <f>ROUND(IFERROR(INDEX(Benefit_Master!$G$4:$BC$135,MATCH($DN21,Benefit_Master!$BD$4:$BD$135,0),MATCH(EY$9,Benefit_Master!$G$3:$BC$3,0)),0)*AW21,0)</f>
        <v>0</v>
      </c>
      <c r="EZ21" s="64">
        <f>ROUND(IFERROR(INDEX(Benefit_Master!$G$4:$BC$135,MATCH($DN21,Benefit_Master!$BD$4:$BD$135,0),MATCH(EZ$9,Benefit_Master!$G$3:$BC$3,0)),0)*AX21,0)</f>
        <v>0</v>
      </c>
      <c r="FA21" s="66">
        <f t="shared" si="26"/>
        <v>0</v>
      </c>
      <c r="FB21" s="64">
        <f>ROUND(IFERROR(INDEX(Benefit_Master!$G$4:$BC$135,MATCH($DN21,Benefit_Master!$BD$4:$BD$135,0),MATCH(FB$9,Benefit_Master!$G$3:$BC$3,0)),0)*AZ21,0)</f>
        <v>0</v>
      </c>
      <c r="FC21" s="64">
        <f>ROUND(IFERROR(INDEX(Benefit_Master!$G$4:$BC$135,MATCH($DN21,Benefit_Master!$BD$4:$BD$135,0),MATCH(FC$9,Benefit_Master!$G$3:$BC$3,0)),0)*BA21,0)</f>
        <v>0</v>
      </c>
      <c r="FD21" s="64">
        <f>ROUND(IFERROR(INDEX(Benefit_Master!$G$4:$BC$135,MATCH($DN21,Benefit_Master!$BD$4:$BD$135,0),MATCH(FD$9,Benefit_Master!$G$3:$BC$3,0)),0)*BB21,0)</f>
        <v>0</v>
      </c>
      <c r="FE21" s="64">
        <f>ROUND(IFERROR(INDEX(Benefit_Master!$G$4:$BC$135,MATCH($DN21,Benefit_Master!$BD$4:$BD$135,0),MATCH(FE$9,Benefit_Master!$G$3:$BC$3,0)),0)*BC21,0)</f>
        <v>0</v>
      </c>
      <c r="FF21" s="64">
        <f>ROUND(IFERROR(INDEX(Benefit_Master!$G$4:$BC$135,MATCH($DN21,Benefit_Master!$BD$4:$BD$135,0),MATCH(FF$9,Benefit_Master!$G$3:$BC$3,0)),0)*BD21,0)</f>
        <v>0</v>
      </c>
      <c r="FG21" s="64">
        <f>ROUND(IFERROR(INDEX(Benefit_Master!$G$4:$BC$135,MATCH($DN21,Benefit_Master!$BD$4:$BD$135,0),MATCH(FG$9,Benefit_Master!$G$3:$BC$3,0)),0)*BE21,0)</f>
        <v>0</v>
      </c>
      <c r="FH21" s="64">
        <f>ROUND(IFERROR(INDEX(Benefit_Master!$G$4:$BC$135,MATCH($DN21,Benefit_Master!$BD$4:$BD$135,0),MATCH(FH$9,Benefit_Master!$G$3:$BC$3,0)),0)*BF21,0)</f>
        <v>0</v>
      </c>
      <c r="FI21" s="64">
        <f>ROUND(IFERROR(INDEX(Benefit_Master!$G$4:$BC$135,MATCH($DN21,Benefit_Master!$BD$4:$BD$135,0),MATCH(FI$9,Benefit_Master!$G$3:$BC$3,0)),0)*BG21,0)</f>
        <v>0</v>
      </c>
      <c r="FJ21" s="64">
        <f>ROUND(IFERROR(INDEX(Benefit_Master!$G$4:$BC$135,MATCH($DN21,Benefit_Master!$BD$4:$BD$135,0),MATCH(FJ$9,Benefit_Master!$G$3:$BC$3,0)),0)*BH21,0)</f>
        <v>0</v>
      </c>
      <c r="FK21" s="64">
        <f>ROUND(IFERROR(INDEX(Benefit_Master!$G$4:$BC$135,MATCH($DN21,Benefit_Master!$BD$4:$BD$135,0),MATCH(FK$9,Benefit_Master!$G$3:$BC$3,0)),0)*BI21,0)</f>
        <v>0</v>
      </c>
      <c r="FL21" s="64">
        <f>ROUND(IFERROR(INDEX(Benefit_Master!$G$4:$BC$135,MATCH($DN21,Benefit_Master!$BD$4:$BD$135,0),MATCH(FL$9,Benefit_Master!$G$3:$BC$3,0)),0)*BJ21,0)</f>
        <v>0</v>
      </c>
      <c r="FM21" s="64">
        <f>ROUND(IFERROR(INDEX(Benefit_Master!$G$4:$BC$135,MATCH($DN21,Benefit_Master!$BD$4:$BD$135,0),MATCH(FM$9,Benefit_Master!$G$3:$BC$3,0)),0)*BK21,0)</f>
        <v>0</v>
      </c>
      <c r="FN21" s="66">
        <f t="shared" si="27"/>
        <v>0</v>
      </c>
    </row>
    <row r="22" spans="2:170" s="12" customFormat="1" ht="15" customHeight="1">
      <c r="B22" s="93">
        <f t="shared" si="28"/>
        <v>10</v>
      </c>
      <c r="C22" s="89"/>
      <c r="D22" s="97"/>
      <c r="E22" s="1197"/>
      <c r="F22" s="425"/>
      <c r="G22" s="94" t="str">
        <f>IFERROR(VLOOKUP($F22,Master!$B$1:$C$7,2,0),"-")</f>
        <v>-</v>
      </c>
      <c r="H22" s="95">
        <f t="shared" si="12"/>
        <v>0</v>
      </c>
      <c r="I22" s="138">
        <f t="shared" si="13"/>
        <v>0</v>
      </c>
      <c r="J22" s="138">
        <f t="shared" si="14"/>
        <v>0</v>
      </c>
      <c r="K22" s="96"/>
      <c r="L22"/>
      <c r="M22" s="58"/>
      <c r="N22" s="59"/>
      <c r="O22" s="59"/>
      <c r="P22" s="59"/>
      <c r="Q22" s="59"/>
      <c r="R22" s="59"/>
      <c r="S22" s="59"/>
      <c r="T22" s="59"/>
      <c r="U22" s="679"/>
      <c r="V22" s="56"/>
      <c r="W22" s="56"/>
      <c r="X22" s="56"/>
      <c r="Y22" s="60">
        <f t="shared" si="15"/>
        <v>0</v>
      </c>
      <c r="Z22" s="55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60">
        <f t="shared" si="16"/>
        <v>0</v>
      </c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60">
        <f t="shared" si="17"/>
        <v>0</v>
      </c>
      <c r="AZ22" s="58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60">
        <f t="shared" si="18"/>
        <v>0</v>
      </c>
      <c r="BM22"/>
      <c r="BN22" s="64">
        <f>ROUND(IFERROR(INDEX('Labor Cost_Master'!$G$4:$BC$135,MATCH($DN22,'Labor Cost_Master'!$BD$4:$BD$135,0),MATCH(BN$9,'Labor Cost_Master'!$G$3:$BC$3,0)),0)*M22,0)</f>
        <v>0</v>
      </c>
      <c r="BO22" s="64">
        <f>ROUND(IFERROR(INDEX('Labor Cost_Master'!$G$4:$BC$135,MATCH($DN22,'Labor Cost_Master'!$BD$4:$BD$135,0),MATCH(BO$9,'Labor Cost_Master'!$G$3:$BC$3,0)),0)*N22,0)</f>
        <v>0</v>
      </c>
      <c r="BP22" s="64">
        <f>ROUND(IFERROR(INDEX('Labor Cost_Master'!$G$4:$BC$135,MATCH($DN22,'Labor Cost_Master'!$BD$4:$BD$135,0),MATCH(BP$9,'Labor Cost_Master'!$G$3:$BC$3,0)),0)*O22,0)</f>
        <v>0</v>
      </c>
      <c r="BQ22" s="64">
        <f>ROUND(IFERROR(INDEX('Labor Cost_Master'!$G$4:$BC$135,MATCH($DN22,'Labor Cost_Master'!$BD$4:$BD$135,0),MATCH(BQ$9,'Labor Cost_Master'!$G$3:$BC$3,0)),0)*P22,0)</f>
        <v>0</v>
      </c>
      <c r="BR22" s="64">
        <f>ROUND(IFERROR(INDEX('Labor Cost_Master'!$G$4:$BC$135,MATCH($DN22,'Labor Cost_Master'!$BD$4:$BD$135,0),MATCH(BR$9,'Labor Cost_Master'!$G$3:$BC$3,0)),0)*Q22,0)</f>
        <v>0</v>
      </c>
      <c r="BS22" s="64">
        <f>ROUND(IFERROR(INDEX('Labor Cost_Master'!$G$4:$BC$135,MATCH($DN22,'Labor Cost_Master'!$BD$4:$BD$135,0),MATCH(BS$9,'Labor Cost_Master'!$G$3:$BC$3,0)),0)*R22,0)</f>
        <v>0</v>
      </c>
      <c r="BT22" s="64">
        <f>ROUND(IFERROR(INDEX('Labor Cost_Master'!$G$4:$BC$135,MATCH($DN22,'Labor Cost_Master'!$BD$4:$BD$135,0),MATCH(BT$9,'Labor Cost_Master'!$G$3:$BC$3,0)),0)*S22,0)</f>
        <v>0</v>
      </c>
      <c r="BU22" s="64">
        <f>ROUND(IFERROR(INDEX('Labor Cost_Master'!$G$4:$BC$135,MATCH($DN22,'Labor Cost_Master'!$BD$4:$BD$135,0),MATCH(BU$9,'Labor Cost_Master'!$G$3:$BC$3,0)),0)*T22,0)</f>
        <v>0</v>
      </c>
      <c r="BV22" s="64">
        <f>ROUND(IFERROR(INDEX('Labor Cost_Master'!$G$4:$BC$135,MATCH($DN22,'Labor Cost_Master'!$BD$4:$BD$135,0),MATCH(BV$9,'Labor Cost_Master'!$G$3:$BC$3,0)),0)*U22,0)</f>
        <v>0</v>
      </c>
      <c r="BW22" s="64">
        <f>ROUND(IFERROR(INDEX('Labor Cost_Master'!$G$4:$BC$135,MATCH($DN22,'Labor Cost_Master'!$BD$4:$BD$135,0),MATCH(BW$9,'Labor Cost_Master'!$G$3:$BC$3,0)),0)*V22,0)</f>
        <v>0</v>
      </c>
      <c r="BX22" s="64">
        <f>ROUND(IFERROR(INDEX('Labor Cost_Master'!$G$4:$BC$135,MATCH($DN22,'Labor Cost_Master'!$BD$4:$BD$135,0),MATCH(BX$9,'Labor Cost_Master'!$G$3:$BC$3,0)),0)*W22,0)</f>
        <v>0</v>
      </c>
      <c r="BY22" s="64">
        <f>ROUND(IFERROR(INDEX('Labor Cost_Master'!$G$4:$BC$135,MATCH($DN22,'Labor Cost_Master'!$BD$4:$BD$135,0),MATCH(BY$9,'Labor Cost_Master'!$G$3:$BC$3,0)),0)*X22,0)</f>
        <v>0</v>
      </c>
      <c r="BZ22" s="66">
        <f t="shared" si="19"/>
        <v>0</v>
      </c>
      <c r="CA22" s="64">
        <f>ROUND(IFERROR(INDEX('Labor Cost_Master'!$G$4:$BC$135,MATCH($DN22,'Labor Cost_Master'!$BD$4:$BD$135,0),MATCH(CA$9,'Labor Cost_Master'!$G$3:$BC$3,0)),0)*Z22,0)</f>
        <v>0</v>
      </c>
      <c r="CB22" s="64">
        <f>ROUND(IFERROR(INDEX('Labor Cost_Master'!$G$4:$BC$135,MATCH($DN22,'Labor Cost_Master'!$BD$4:$BD$135,0),MATCH(CB$9,'Labor Cost_Master'!$G$3:$BC$3,0)),0)*AA22,0)</f>
        <v>0</v>
      </c>
      <c r="CC22" s="64">
        <f>ROUND(IFERROR(INDEX('Labor Cost_Master'!$G$4:$BC$135,MATCH($DN22,'Labor Cost_Master'!$BD$4:$BD$135,0),MATCH(CC$9,'Labor Cost_Master'!$G$3:$BC$3,0)),0)*AB22,0)</f>
        <v>0</v>
      </c>
      <c r="CD22" s="64">
        <f>ROUND(IFERROR(INDEX('Labor Cost_Master'!$G$4:$BC$135,MATCH($DN22,'Labor Cost_Master'!$BD$4:$BD$135,0),MATCH(CD$9,'Labor Cost_Master'!$G$3:$BC$3,0)),0)*AC22,0)</f>
        <v>0</v>
      </c>
      <c r="CE22" s="64">
        <f>ROUND(IFERROR(INDEX('Labor Cost_Master'!$G$4:$BC$135,MATCH($DN22,'Labor Cost_Master'!$BD$4:$BD$135,0),MATCH(CE$9,'Labor Cost_Master'!$G$3:$BC$3,0)),0)*AD22,0)</f>
        <v>0</v>
      </c>
      <c r="CF22" s="64">
        <f>ROUND(IFERROR(INDEX('Labor Cost_Master'!$G$4:$BC$135,MATCH($DN22,'Labor Cost_Master'!$BD$4:$BD$135,0),MATCH(CF$9,'Labor Cost_Master'!$G$3:$BC$3,0)),0)*AE22,0)</f>
        <v>0</v>
      </c>
      <c r="CG22" s="64">
        <f>ROUND(IFERROR(INDEX('Labor Cost_Master'!$G$4:$BC$135,MATCH($DN22,'Labor Cost_Master'!$BD$4:$BD$135,0),MATCH(CG$9,'Labor Cost_Master'!$G$3:$BC$3,0)),0)*AF22,0)</f>
        <v>0</v>
      </c>
      <c r="CH22" s="64">
        <f>ROUND(IFERROR(INDEX('Labor Cost_Master'!$G$4:$BC$135,MATCH($DN22,'Labor Cost_Master'!$BD$4:$BD$135,0),MATCH(CH$9,'Labor Cost_Master'!$G$3:$BC$3,0)),0)*AG22,0)</f>
        <v>0</v>
      </c>
      <c r="CI22" s="64">
        <f>ROUND(IFERROR(INDEX('Labor Cost_Master'!$G$4:$BC$135,MATCH($DN22,'Labor Cost_Master'!$BD$4:$BD$135,0),MATCH(CI$9,'Labor Cost_Master'!$G$3:$BC$3,0)),0)*AH22,0)</f>
        <v>0</v>
      </c>
      <c r="CJ22" s="64">
        <f>ROUND(IFERROR(INDEX('Labor Cost_Master'!$G$4:$BC$135,MATCH($DN22,'Labor Cost_Master'!$BD$4:$BD$135,0),MATCH(CJ$9,'Labor Cost_Master'!$G$3:$BC$3,0)),0)*AI22,0)</f>
        <v>0</v>
      </c>
      <c r="CK22" s="64">
        <f>ROUND(IFERROR(INDEX('Labor Cost_Master'!$G$4:$BC$135,MATCH($DN22,'Labor Cost_Master'!$BD$4:$BD$135,0),MATCH(CK$9,'Labor Cost_Master'!$G$3:$BC$3,0)),0)*AJ22,0)</f>
        <v>0</v>
      </c>
      <c r="CL22" s="64">
        <f>ROUND(IFERROR(INDEX('Labor Cost_Master'!$G$4:$BC$135,MATCH($DN22,'Labor Cost_Master'!$BD$4:$BD$135,0),MATCH(CL$9,'Labor Cost_Master'!$G$3:$BC$3,0)),0)*AK22,0)</f>
        <v>0</v>
      </c>
      <c r="CM22" s="66">
        <f t="shared" si="20"/>
        <v>0</v>
      </c>
      <c r="CN22" s="64">
        <f>ROUND(IFERROR(INDEX('Labor Cost_Master'!$G$4:$BC$135,MATCH($DN22,'Labor Cost_Master'!$BD$4:$BD$135,0),MATCH(CN$9,'Labor Cost_Master'!$G$3:$BC$3,0)),0)*AM22,0)</f>
        <v>0</v>
      </c>
      <c r="CO22" s="64">
        <f>ROUND(IFERROR(INDEX('Labor Cost_Master'!$G$4:$BC$135,MATCH($DN22,'Labor Cost_Master'!$BD$4:$BD$135,0),MATCH(CO$9,'Labor Cost_Master'!$G$3:$BC$3,0)),0)*AN22,0)</f>
        <v>0</v>
      </c>
      <c r="CP22" s="64">
        <f>ROUND(IFERROR(INDEX('Labor Cost_Master'!$G$4:$BC$135,MATCH($DN22,'Labor Cost_Master'!$BD$4:$BD$135,0),MATCH(CP$9,'Labor Cost_Master'!$G$3:$BC$3,0)),0)*AO22,0)</f>
        <v>0</v>
      </c>
      <c r="CQ22" s="64">
        <f>ROUND(IFERROR(INDEX('Labor Cost_Master'!$G$4:$BC$135,MATCH($DN22,'Labor Cost_Master'!$BD$4:$BD$135,0),MATCH(CQ$9,'Labor Cost_Master'!$G$3:$BC$3,0)),0)*AP22,0)</f>
        <v>0</v>
      </c>
      <c r="CR22" s="64">
        <f>ROUND(IFERROR(INDEX('Labor Cost_Master'!$G$4:$BC$135,MATCH($DN22,'Labor Cost_Master'!$BD$4:$BD$135,0),MATCH(CR$9,'Labor Cost_Master'!$G$3:$BC$3,0)),0)*AQ22,0)</f>
        <v>0</v>
      </c>
      <c r="CS22" s="64">
        <f>ROUND(IFERROR(INDEX('Labor Cost_Master'!$G$4:$BC$135,MATCH($DN22,'Labor Cost_Master'!$BD$4:$BD$135,0),MATCH(CS$9,'Labor Cost_Master'!$G$3:$BC$3,0)),0)*AR22,0)</f>
        <v>0</v>
      </c>
      <c r="CT22" s="64">
        <f>ROUND(IFERROR(INDEX('Labor Cost_Master'!$G$4:$BC$135,MATCH($DN22,'Labor Cost_Master'!$BD$4:$BD$135,0),MATCH(CT$9,'Labor Cost_Master'!$G$3:$BC$3,0)),0)*AS22,0)</f>
        <v>0</v>
      </c>
      <c r="CU22" s="64">
        <f>ROUND(IFERROR(INDEX('Labor Cost_Master'!$G$4:$BC$135,MATCH($DN22,'Labor Cost_Master'!$BD$4:$BD$135,0),MATCH(CU$9,'Labor Cost_Master'!$G$3:$BC$3,0)),0)*AT22,0)</f>
        <v>0</v>
      </c>
      <c r="CV22" s="64">
        <f>ROUND(IFERROR(INDEX('Labor Cost_Master'!$G$4:$BC$135,MATCH($DN22,'Labor Cost_Master'!$BD$4:$BD$135,0),MATCH(CV$9,'Labor Cost_Master'!$G$3:$BC$3,0)),0)*AU22,0)</f>
        <v>0</v>
      </c>
      <c r="CW22" s="64">
        <f>ROUND(IFERROR(INDEX('Labor Cost_Master'!$G$4:$BC$135,MATCH($DN22,'Labor Cost_Master'!$BD$4:$BD$135,0),MATCH(CW$9,'Labor Cost_Master'!$G$3:$BC$3,0)),0)*AV22,0)</f>
        <v>0</v>
      </c>
      <c r="CX22" s="64">
        <f>ROUND(IFERROR(INDEX('Labor Cost_Master'!$G$4:$BC$135,MATCH($DN22,'Labor Cost_Master'!$BD$4:$BD$135,0),MATCH(CX$9,'Labor Cost_Master'!$G$3:$BC$3,0)),0)*AW22,0)</f>
        <v>0</v>
      </c>
      <c r="CY22" s="64">
        <f>ROUND(IFERROR(INDEX('Labor Cost_Master'!$G$4:$BC$135,MATCH($DN22,'Labor Cost_Master'!$BD$4:$BD$135,0),MATCH(CY$9,'Labor Cost_Master'!$G$3:$BC$3,0)),0)*AX22,0)</f>
        <v>0</v>
      </c>
      <c r="CZ22" s="66">
        <f t="shared" si="21"/>
        <v>0</v>
      </c>
      <c r="DA22" s="64">
        <f>ROUND(IFERROR(INDEX('Labor Cost_Master'!$G$4:$BC$135,MATCH($DN22,'Labor Cost_Master'!$BD$4:$BD$135,0),MATCH(DA$9,'Labor Cost_Master'!$G$3:$BC$3,0)),0)*AZ22,0)</f>
        <v>0</v>
      </c>
      <c r="DB22" s="64">
        <f>ROUND(IFERROR(INDEX('Labor Cost_Master'!$G$4:$BC$135,MATCH($DN22,'Labor Cost_Master'!$BD$4:$BD$135,0),MATCH(DB$9,'Labor Cost_Master'!$G$3:$BC$3,0)),0)*BA22,0)</f>
        <v>0</v>
      </c>
      <c r="DC22" s="1166">
        <f>ROUND(IFERROR(INDEX('Labor Cost_Master'!$G$4:$BC$135,MATCH($DN22,'Labor Cost_Master'!$BD$4:$BD$135,0),MATCH(DC$9,'Labor Cost_Master'!$G$3:$BC$3,0)),0)*BB22,0)*1.05</f>
        <v>0</v>
      </c>
      <c r="DD22" s="64">
        <f>ROUND(IFERROR(INDEX('Labor Cost_Master'!$G$4:$BC$135,MATCH($DN22,'Labor Cost_Master'!$BD$4:$BD$135,0),MATCH(DD$9,'Labor Cost_Master'!$G$3:$BC$3,0)),0)*BC22,0)*1.05</f>
        <v>0</v>
      </c>
      <c r="DE22" s="64">
        <f>ROUND(IFERROR(INDEX('Labor Cost_Master'!$G$4:$BC$135,MATCH($DN22,'Labor Cost_Master'!$BD$4:$BD$135,0),MATCH(DE$9,'Labor Cost_Master'!$G$3:$BC$3,0)),0)*BD22,0)*1.05</f>
        <v>0</v>
      </c>
      <c r="DF22" s="64">
        <f>ROUND(IFERROR(INDEX('Labor Cost_Master'!$G$4:$BC$135,MATCH($DN22,'Labor Cost_Master'!$BD$4:$BD$135,0),MATCH(DF$9,'Labor Cost_Master'!$G$3:$BC$3,0)),0)*BE22,0)*1.05</f>
        <v>0</v>
      </c>
      <c r="DG22" s="64">
        <f>ROUND(IFERROR(INDEX('Labor Cost_Master'!$G$4:$BC$135,MATCH($DN22,'Labor Cost_Master'!$BD$4:$BD$135,0),MATCH(DG$9,'Labor Cost_Master'!$G$3:$BC$3,0)),0)*BF22,0)*1.05</f>
        <v>0</v>
      </c>
      <c r="DH22" s="64">
        <f>ROUND(IFERROR(INDEX('Labor Cost_Master'!$G$4:$BC$135,MATCH($DN22,'Labor Cost_Master'!$BD$4:$BD$135,0),MATCH(DH$9,'Labor Cost_Master'!$G$3:$BC$3,0)),0)*BG22,0)*1.05</f>
        <v>0</v>
      </c>
      <c r="DI22" s="64">
        <f>ROUND(IFERROR(INDEX('Labor Cost_Master'!$G$4:$BC$135,MATCH($DN22,'Labor Cost_Master'!$BD$4:$BD$135,0),MATCH(DI$9,'Labor Cost_Master'!$G$3:$BC$3,0)),0)*BH22,0)*1.05</f>
        <v>0</v>
      </c>
      <c r="DJ22" s="64">
        <f>ROUND(IFERROR(INDEX('Labor Cost_Master'!$G$4:$BC$135,MATCH($DN22,'Labor Cost_Master'!$BD$4:$BD$135,0),MATCH(DJ$9,'Labor Cost_Master'!$G$3:$BC$3,0)),0)*BI22,0)*1.05</f>
        <v>0</v>
      </c>
      <c r="DK22" s="64">
        <f>ROUND(IFERROR(INDEX('Labor Cost_Master'!$G$4:$BC$135,MATCH($DN22,'Labor Cost_Master'!$BD$4:$BD$135,0),MATCH(DK$9,'Labor Cost_Master'!$G$3:$BC$3,0)),0)*BJ22,0)*1.05</f>
        <v>0</v>
      </c>
      <c r="DL22" s="64">
        <f>ROUND(IFERROR(INDEX('Labor Cost_Master'!$G$4:$BC$135,MATCH($DN22,'Labor Cost_Master'!$BD$4:$BD$135,0),MATCH(DL$9,'Labor Cost_Master'!$G$3:$BC$3,0)),0)*BK22,0)*1.05</f>
        <v>0</v>
      </c>
      <c r="DM22" s="66">
        <f t="shared" si="22"/>
        <v>0</v>
      </c>
      <c r="DN22" s="80" t="str">
        <f t="shared" si="23"/>
        <v/>
      </c>
      <c r="DO22" s="64">
        <f>ROUND(IFERROR(INDEX(Benefit_Master!$G$4:$BC$135,MATCH($DN22,Benefit_Master!$BD$4:$BD$135,0),MATCH(DO$9,Benefit_Master!$G$3:$BC$3,0)),0)*M22,0)</f>
        <v>0</v>
      </c>
      <c r="DP22" s="64">
        <f>ROUND(IFERROR(INDEX(Benefit_Master!$G$4:$BC$135,MATCH($DN22,Benefit_Master!$BD$4:$BD$135,0),MATCH(DP$9,Benefit_Master!$G$3:$BC$3,0)),0)*N22,0)</f>
        <v>0</v>
      </c>
      <c r="DQ22" s="64">
        <f>ROUND(IFERROR(INDEX(Benefit_Master!$G$4:$BC$135,MATCH($DN22,Benefit_Master!$BD$4:$BD$135,0),MATCH(DQ$9,Benefit_Master!$G$3:$BC$3,0)),0)*O22,0)</f>
        <v>0</v>
      </c>
      <c r="DR22" s="64">
        <f>ROUND(IFERROR(INDEX(Benefit_Master!$G$4:$BC$135,MATCH($DN22,Benefit_Master!$BD$4:$BD$135,0),MATCH(DR$9,Benefit_Master!$G$3:$BC$3,0)),0)*P22,0)</f>
        <v>0</v>
      </c>
      <c r="DS22" s="64">
        <f>ROUND(IFERROR(INDEX(Benefit_Master!$G$4:$BC$135,MATCH($DN22,Benefit_Master!$BD$4:$BD$135,0),MATCH(DS$9,Benefit_Master!$G$3:$BC$3,0)),0)*Q22,0)</f>
        <v>0</v>
      </c>
      <c r="DT22" s="64">
        <f>ROUND(IFERROR(INDEX(Benefit_Master!$G$4:$BC$135,MATCH($DN22,Benefit_Master!$BD$4:$BD$135,0),MATCH(DT$9,Benefit_Master!$G$3:$BC$3,0)),0)*R22,0)</f>
        <v>0</v>
      </c>
      <c r="DU22" s="64">
        <f>ROUND(IFERROR(INDEX(Benefit_Master!$G$4:$BC$135,MATCH($DN22,Benefit_Master!$BD$4:$BD$135,0),MATCH(DU$9,Benefit_Master!$G$3:$BC$3,0)),0)*S22,0)</f>
        <v>0</v>
      </c>
      <c r="DV22" s="64">
        <f>ROUND(IFERROR(INDEX(Benefit_Master!$G$4:$BC$135,MATCH($DN22,Benefit_Master!$BD$4:$BD$135,0),MATCH(DV$9,Benefit_Master!$G$3:$BC$3,0)),0)*T22,0)</f>
        <v>0</v>
      </c>
      <c r="DW22" s="64">
        <f>ROUND(IFERROR(INDEX(Benefit_Master!$G$4:$BC$135,MATCH($DN22,Benefit_Master!$BD$4:$BD$135,0),MATCH(DW$9,Benefit_Master!$G$3:$BC$3,0)),0)*U22,0)</f>
        <v>0</v>
      </c>
      <c r="DX22" s="64">
        <f>ROUND(IFERROR(INDEX(Benefit_Master!$G$4:$BC$135,MATCH($DN22,Benefit_Master!$BD$4:$BD$135,0),MATCH(DX$9,Benefit_Master!$G$3:$BC$3,0)),0)*V22,0)</f>
        <v>0</v>
      </c>
      <c r="DY22" s="64">
        <f>ROUND(IFERROR(INDEX(Benefit_Master!$G$4:$BC$135,MATCH($DN22,Benefit_Master!$BD$4:$BD$135,0),MATCH(DY$9,Benefit_Master!$G$3:$BC$3,0)),0)*W22,0)</f>
        <v>0</v>
      </c>
      <c r="DZ22" s="64">
        <f>ROUND(IFERROR(INDEX(Benefit_Master!$G$4:$BC$135,MATCH($DN22,Benefit_Master!$BD$4:$BD$135,0),MATCH(DZ$9,Benefit_Master!$G$3:$BC$3,0)),0)*X22,0)</f>
        <v>0</v>
      </c>
      <c r="EA22" s="66">
        <f t="shared" si="24"/>
        <v>0</v>
      </c>
      <c r="EB22" s="64">
        <f>ROUND(IFERROR(INDEX(Benefit_Master!$G$4:$BC$135,MATCH($DN22,Benefit_Master!$BD$4:$BD$135,0),MATCH(EB$9,Benefit_Master!$G$3:$BC$3,0)),0)*Z22,0)</f>
        <v>0</v>
      </c>
      <c r="EC22" s="64">
        <f>ROUND(IFERROR(INDEX(Benefit_Master!$G$4:$BC$135,MATCH($DN22,Benefit_Master!$BD$4:$BD$135,0),MATCH(EC$9,Benefit_Master!$G$3:$BC$3,0)),0)*AA22,0)</f>
        <v>0</v>
      </c>
      <c r="ED22" s="64">
        <f>ROUND(IFERROR(INDEX(Benefit_Master!$G$4:$BC$135,MATCH($DN22,Benefit_Master!$BD$4:$BD$135,0),MATCH(ED$9,Benefit_Master!$G$3:$BC$3,0)),0)*AB22,0)</f>
        <v>0</v>
      </c>
      <c r="EE22" s="64">
        <f>ROUND(IFERROR(INDEX(Benefit_Master!$G$4:$BC$135,MATCH($DN22,Benefit_Master!$BD$4:$BD$135,0),MATCH(EE$9,Benefit_Master!$G$3:$BC$3,0)),0)*AC22,0)</f>
        <v>0</v>
      </c>
      <c r="EF22" s="64">
        <f>ROUND(IFERROR(INDEX(Benefit_Master!$G$4:$BC$135,MATCH($DN22,Benefit_Master!$BD$4:$BD$135,0),MATCH(EF$9,Benefit_Master!$G$3:$BC$3,0)),0)*AD22,0)</f>
        <v>0</v>
      </c>
      <c r="EG22" s="64">
        <f>ROUND(IFERROR(INDEX(Benefit_Master!$G$4:$BC$135,MATCH($DN22,Benefit_Master!$BD$4:$BD$135,0),MATCH(EG$9,Benefit_Master!$G$3:$BC$3,0)),0)*AE22,0)</f>
        <v>0</v>
      </c>
      <c r="EH22" s="64">
        <f>ROUND(IFERROR(INDEX(Benefit_Master!$G$4:$BC$135,MATCH($DN22,Benefit_Master!$BD$4:$BD$135,0),MATCH(EH$9,Benefit_Master!$G$3:$BC$3,0)),0)*AF22,0)</f>
        <v>0</v>
      </c>
      <c r="EI22" s="64">
        <f>ROUND(IFERROR(INDEX(Benefit_Master!$G$4:$BC$135,MATCH($DN22,Benefit_Master!$BD$4:$BD$135,0),MATCH(EI$9,Benefit_Master!$G$3:$BC$3,0)),0)*AG22,0)</f>
        <v>0</v>
      </c>
      <c r="EJ22" s="64">
        <f>ROUND(IFERROR(INDEX(Benefit_Master!$G$4:$BC$135,MATCH($DN22,Benefit_Master!$BD$4:$BD$135,0),MATCH(EJ$9,Benefit_Master!$G$3:$BC$3,0)),0)*AH22,0)</f>
        <v>0</v>
      </c>
      <c r="EK22" s="64">
        <f>ROUND(IFERROR(INDEX(Benefit_Master!$G$4:$BC$135,MATCH($DN22,Benefit_Master!$BD$4:$BD$135,0),MATCH(EK$9,Benefit_Master!$G$3:$BC$3,0)),0)*AI22,0)</f>
        <v>0</v>
      </c>
      <c r="EL22" s="64">
        <f>ROUND(IFERROR(INDEX(Benefit_Master!$G$4:$BC$135,MATCH($DN22,Benefit_Master!$BD$4:$BD$135,0),MATCH(EL$9,Benefit_Master!$G$3:$BC$3,0)),0)*AJ22,0)</f>
        <v>0</v>
      </c>
      <c r="EM22" s="64">
        <f>ROUND(IFERROR(INDEX(Benefit_Master!$G$4:$BC$135,MATCH($DN22,Benefit_Master!$BD$4:$BD$135,0),MATCH(EM$9,Benefit_Master!$G$3:$BC$3,0)),0)*AK22,0)</f>
        <v>0</v>
      </c>
      <c r="EN22" s="66">
        <f t="shared" si="25"/>
        <v>0</v>
      </c>
      <c r="EO22" s="64">
        <f>ROUND(IFERROR(INDEX(Benefit_Master!$G$4:$BC$135,MATCH($DN22,Benefit_Master!$BD$4:$BD$135,0),MATCH(EO$9,Benefit_Master!$G$3:$BC$3,0)),0)*AM22,0)</f>
        <v>0</v>
      </c>
      <c r="EP22" s="64">
        <f>ROUND(IFERROR(INDEX(Benefit_Master!$G$4:$BC$135,MATCH($DN22,Benefit_Master!$BD$4:$BD$135,0),MATCH(EP$9,Benefit_Master!$G$3:$BC$3,0)),0)*AN22,0)</f>
        <v>0</v>
      </c>
      <c r="EQ22" s="64">
        <f>ROUND(IFERROR(INDEX(Benefit_Master!$G$4:$BC$135,MATCH($DN22,Benefit_Master!$BD$4:$BD$135,0),MATCH(EQ$9,Benefit_Master!$G$3:$BC$3,0)),0)*AO22,0)</f>
        <v>0</v>
      </c>
      <c r="ER22" s="64">
        <f>ROUND(IFERROR(INDEX(Benefit_Master!$G$4:$BC$135,MATCH($DN22,Benefit_Master!$BD$4:$BD$135,0),MATCH(ER$9,Benefit_Master!$G$3:$BC$3,0)),0)*AP22,0)</f>
        <v>0</v>
      </c>
      <c r="ES22" s="64">
        <f>ROUND(IFERROR(INDEX(Benefit_Master!$G$4:$BC$135,MATCH($DN22,Benefit_Master!$BD$4:$BD$135,0),MATCH(ES$9,Benefit_Master!$G$3:$BC$3,0)),0)*AQ22,0)</f>
        <v>0</v>
      </c>
      <c r="ET22" s="64">
        <f>ROUND(IFERROR(INDEX(Benefit_Master!$G$4:$BC$135,MATCH($DN22,Benefit_Master!$BD$4:$BD$135,0),MATCH(ET$9,Benefit_Master!$G$3:$BC$3,0)),0)*AR22,0)</f>
        <v>0</v>
      </c>
      <c r="EU22" s="64">
        <f>ROUND(IFERROR(INDEX(Benefit_Master!$G$4:$BC$135,MATCH($DN22,Benefit_Master!$BD$4:$BD$135,0),MATCH(EU$9,Benefit_Master!$G$3:$BC$3,0)),0)*AS22,0)</f>
        <v>0</v>
      </c>
      <c r="EV22" s="64">
        <f>ROUND(IFERROR(INDEX(Benefit_Master!$G$4:$BC$135,MATCH($DN22,Benefit_Master!$BD$4:$BD$135,0),MATCH(EV$9,Benefit_Master!$G$3:$BC$3,0)),0)*AT22,0)</f>
        <v>0</v>
      </c>
      <c r="EW22" s="64">
        <f>ROUND(IFERROR(INDEX(Benefit_Master!$G$4:$BC$135,MATCH($DN22,Benefit_Master!$BD$4:$BD$135,0),MATCH(EW$9,Benefit_Master!$G$3:$BC$3,0)),0)*AU22,0)</f>
        <v>0</v>
      </c>
      <c r="EX22" s="64">
        <f>ROUND(IFERROR(INDEX(Benefit_Master!$G$4:$BC$135,MATCH($DN22,Benefit_Master!$BD$4:$BD$135,0),MATCH(EX$9,Benefit_Master!$G$3:$BC$3,0)),0)*AV22,0)</f>
        <v>0</v>
      </c>
      <c r="EY22" s="64">
        <f>ROUND(IFERROR(INDEX(Benefit_Master!$G$4:$BC$135,MATCH($DN22,Benefit_Master!$BD$4:$BD$135,0),MATCH(EY$9,Benefit_Master!$G$3:$BC$3,0)),0)*AW22,0)</f>
        <v>0</v>
      </c>
      <c r="EZ22" s="64">
        <f>ROUND(IFERROR(INDEX(Benefit_Master!$G$4:$BC$135,MATCH($DN22,Benefit_Master!$BD$4:$BD$135,0),MATCH(EZ$9,Benefit_Master!$G$3:$BC$3,0)),0)*AX22,0)</f>
        <v>0</v>
      </c>
      <c r="FA22" s="66">
        <f t="shared" si="26"/>
        <v>0</v>
      </c>
      <c r="FB22" s="64">
        <f>ROUND(IFERROR(INDEX(Benefit_Master!$G$4:$BC$135,MATCH($DN22,Benefit_Master!$BD$4:$BD$135,0),MATCH(FB$9,Benefit_Master!$G$3:$BC$3,0)),0)*AZ22,0)</f>
        <v>0</v>
      </c>
      <c r="FC22" s="64">
        <f>ROUND(IFERROR(INDEX(Benefit_Master!$G$4:$BC$135,MATCH($DN22,Benefit_Master!$BD$4:$BD$135,0),MATCH(FC$9,Benefit_Master!$G$3:$BC$3,0)),0)*BA22,0)</f>
        <v>0</v>
      </c>
      <c r="FD22" s="64">
        <f>ROUND(IFERROR(INDEX(Benefit_Master!$G$4:$BC$135,MATCH($DN22,Benefit_Master!$BD$4:$BD$135,0),MATCH(FD$9,Benefit_Master!$G$3:$BC$3,0)),0)*BB22,0)</f>
        <v>0</v>
      </c>
      <c r="FE22" s="64">
        <f>ROUND(IFERROR(INDEX(Benefit_Master!$G$4:$BC$135,MATCH($DN22,Benefit_Master!$BD$4:$BD$135,0),MATCH(FE$9,Benefit_Master!$G$3:$BC$3,0)),0)*BC22,0)</f>
        <v>0</v>
      </c>
      <c r="FF22" s="64">
        <f>ROUND(IFERROR(INDEX(Benefit_Master!$G$4:$BC$135,MATCH($DN22,Benefit_Master!$BD$4:$BD$135,0),MATCH(FF$9,Benefit_Master!$G$3:$BC$3,0)),0)*BD22,0)</f>
        <v>0</v>
      </c>
      <c r="FG22" s="64">
        <f>ROUND(IFERROR(INDEX(Benefit_Master!$G$4:$BC$135,MATCH($DN22,Benefit_Master!$BD$4:$BD$135,0),MATCH(FG$9,Benefit_Master!$G$3:$BC$3,0)),0)*BE22,0)</f>
        <v>0</v>
      </c>
      <c r="FH22" s="64">
        <f>ROUND(IFERROR(INDEX(Benefit_Master!$G$4:$BC$135,MATCH($DN22,Benefit_Master!$BD$4:$BD$135,0),MATCH(FH$9,Benefit_Master!$G$3:$BC$3,0)),0)*BF22,0)</f>
        <v>0</v>
      </c>
      <c r="FI22" s="64">
        <f>ROUND(IFERROR(INDEX(Benefit_Master!$G$4:$BC$135,MATCH($DN22,Benefit_Master!$BD$4:$BD$135,0),MATCH(FI$9,Benefit_Master!$G$3:$BC$3,0)),0)*BG22,0)</f>
        <v>0</v>
      </c>
      <c r="FJ22" s="64">
        <f>ROUND(IFERROR(INDEX(Benefit_Master!$G$4:$BC$135,MATCH($DN22,Benefit_Master!$BD$4:$BD$135,0),MATCH(FJ$9,Benefit_Master!$G$3:$BC$3,0)),0)*BH22,0)</f>
        <v>0</v>
      </c>
      <c r="FK22" s="64">
        <f>ROUND(IFERROR(INDEX(Benefit_Master!$G$4:$BC$135,MATCH($DN22,Benefit_Master!$BD$4:$BD$135,0),MATCH(FK$9,Benefit_Master!$G$3:$BC$3,0)),0)*BI22,0)</f>
        <v>0</v>
      </c>
      <c r="FL22" s="64">
        <f>ROUND(IFERROR(INDEX(Benefit_Master!$G$4:$BC$135,MATCH($DN22,Benefit_Master!$BD$4:$BD$135,0),MATCH(FL$9,Benefit_Master!$G$3:$BC$3,0)),0)*BJ22,0)</f>
        <v>0</v>
      </c>
      <c r="FM22" s="64">
        <f>ROUND(IFERROR(INDEX(Benefit_Master!$G$4:$BC$135,MATCH($DN22,Benefit_Master!$BD$4:$BD$135,0),MATCH(FM$9,Benefit_Master!$G$3:$BC$3,0)),0)*BK22,0)</f>
        <v>0</v>
      </c>
      <c r="FN22" s="66">
        <f t="shared" si="27"/>
        <v>0</v>
      </c>
    </row>
    <row r="23" spans="2:170" s="12" customFormat="1" ht="15" customHeight="1">
      <c r="B23" s="93">
        <f t="shared" si="28"/>
        <v>11</v>
      </c>
      <c r="C23" s="89"/>
      <c r="D23" s="97"/>
      <c r="E23" s="1197"/>
      <c r="F23" s="425"/>
      <c r="G23" s="94" t="str">
        <f>IFERROR(VLOOKUP($F23,Master!$B$1:$C$7,2,0),"-")</f>
        <v>-</v>
      </c>
      <c r="H23" s="95">
        <f t="shared" si="12"/>
        <v>0</v>
      </c>
      <c r="I23" s="138">
        <f t="shared" si="13"/>
        <v>0</v>
      </c>
      <c r="J23" s="138">
        <f t="shared" si="14"/>
        <v>0</v>
      </c>
      <c r="K23" s="96"/>
      <c r="L23"/>
      <c r="M23" s="58"/>
      <c r="N23" s="59"/>
      <c r="O23" s="59"/>
      <c r="P23" s="59"/>
      <c r="Q23" s="59"/>
      <c r="R23" s="59"/>
      <c r="S23" s="59"/>
      <c r="T23" s="59"/>
      <c r="U23" s="679"/>
      <c r="V23" s="56"/>
      <c r="W23" s="56"/>
      <c r="X23" s="56"/>
      <c r="Y23" s="60">
        <f t="shared" si="15"/>
        <v>0</v>
      </c>
      <c r="Z23" s="55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60">
        <f t="shared" si="16"/>
        <v>0</v>
      </c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60">
        <f t="shared" si="17"/>
        <v>0</v>
      </c>
      <c r="AZ23" s="58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60">
        <f t="shared" si="18"/>
        <v>0</v>
      </c>
      <c r="BM23"/>
      <c r="BN23" s="64">
        <f>ROUND(IFERROR(INDEX('Labor Cost_Master'!$G$4:$BC$135,MATCH($DN23,'Labor Cost_Master'!$BD$4:$BD$135,0),MATCH(BN$9,'Labor Cost_Master'!$G$3:$BC$3,0)),0)*M23,0)</f>
        <v>0</v>
      </c>
      <c r="BO23" s="64">
        <f>ROUND(IFERROR(INDEX('Labor Cost_Master'!$G$4:$BC$135,MATCH($DN23,'Labor Cost_Master'!$BD$4:$BD$135,0),MATCH(BO$9,'Labor Cost_Master'!$G$3:$BC$3,0)),0)*N23,0)</f>
        <v>0</v>
      </c>
      <c r="BP23" s="64">
        <f>ROUND(IFERROR(INDEX('Labor Cost_Master'!$G$4:$BC$135,MATCH($DN23,'Labor Cost_Master'!$BD$4:$BD$135,0),MATCH(BP$9,'Labor Cost_Master'!$G$3:$BC$3,0)),0)*O23,0)</f>
        <v>0</v>
      </c>
      <c r="BQ23" s="64">
        <f>ROUND(IFERROR(INDEX('Labor Cost_Master'!$G$4:$BC$135,MATCH($DN23,'Labor Cost_Master'!$BD$4:$BD$135,0),MATCH(BQ$9,'Labor Cost_Master'!$G$3:$BC$3,0)),0)*P23,0)</f>
        <v>0</v>
      </c>
      <c r="BR23" s="64">
        <f>ROUND(IFERROR(INDEX('Labor Cost_Master'!$G$4:$BC$135,MATCH($DN23,'Labor Cost_Master'!$BD$4:$BD$135,0),MATCH(BR$9,'Labor Cost_Master'!$G$3:$BC$3,0)),0)*Q23,0)</f>
        <v>0</v>
      </c>
      <c r="BS23" s="64">
        <f>ROUND(IFERROR(INDEX('Labor Cost_Master'!$G$4:$BC$135,MATCH($DN23,'Labor Cost_Master'!$BD$4:$BD$135,0),MATCH(BS$9,'Labor Cost_Master'!$G$3:$BC$3,0)),0)*R23,0)</f>
        <v>0</v>
      </c>
      <c r="BT23" s="64">
        <f>ROUND(IFERROR(INDEX('Labor Cost_Master'!$G$4:$BC$135,MATCH($DN23,'Labor Cost_Master'!$BD$4:$BD$135,0),MATCH(BT$9,'Labor Cost_Master'!$G$3:$BC$3,0)),0)*S23,0)</f>
        <v>0</v>
      </c>
      <c r="BU23" s="64">
        <f>ROUND(IFERROR(INDEX('Labor Cost_Master'!$G$4:$BC$135,MATCH($DN23,'Labor Cost_Master'!$BD$4:$BD$135,0),MATCH(BU$9,'Labor Cost_Master'!$G$3:$BC$3,0)),0)*T23,0)</f>
        <v>0</v>
      </c>
      <c r="BV23" s="64">
        <f>ROUND(IFERROR(INDEX('Labor Cost_Master'!$G$4:$BC$135,MATCH($DN23,'Labor Cost_Master'!$BD$4:$BD$135,0),MATCH(BV$9,'Labor Cost_Master'!$G$3:$BC$3,0)),0)*U23,0)</f>
        <v>0</v>
      </c>
      <c r="BW23" s="64">
        <f>ROUND(IFERROR(INDEX('Labor Cost_Master'!$G$4:$BC$135,MATCH($DN23,'Labor Cost_Master'!$BD$4:$BD$135,0),MATCH(BW$9,'Labor Cost_Master'!$G$3:$BC$3,0)),0)*V23,0)</f>
        <v>0</v>
      </c>
      <c r="BX23" s="64">
        <f>ROUND(IFERROR(INDEX('Labor Cost_Master'!$G$4:$BC$135,MATCH($DN23,'Labor Cost_Master'!$BD$4:$BD$135,0),MATCH(BX$9,'Labor Cost_Master'!$G$3:$BC$3,0)),0)*W23,0)</f>
        <v>0</v>
      </c>
      <c r="BY23" s="64">
        <f>ROUND(IFERROR(INDEX('Labor Cost_Master'!$G$4:$BC$135,MATCH($DN23,'Labor Cost_Master'!$BD$4:$BD$135,0),MATCH(BY$9,'Labor Cost_Master'!$G$3:$BC$3,0)),0)*X23,0)</f>
        <v>0</v>
      </c>
      <c r="BZ23" s="66">
        <f t="shared" si="19"/>
        <v>0</v>
      </c>
      <c r="CA23" s="64">
        <f>ROUND(IFERROR(INDEX('Labor Cost_Master'!$G$4:$BC$135,MATCH($DN23,'Labor Cost_Master'!$BD$4:$BD$135,0),MATCH(CA$9,'Labor Cost_Master'!$G$3:$BC$3,0)),0)*Z23,0)</f>
        <v>0</v>
      </c>
      <c r="CB23" s="64">
        <f>ROUND(IFERROR(INDEX('Labor Cost_Master'!$G$4:$BC$135,MATCH($DN23,'Labor Cost_Master'!$BD$4:$BD$135,0),MATCH(CB$9,'Labor Cost_Master'!$G$3:$BC$3,0)),0)*AA23,0)</f>
        <v>0</v>
      </c>
      <c r="CC23" s="64">
        <f>ROUND(IFERROR(INDEX('Labor Cost_Master'!$G$4:$BC$135,MATCH($DN23,'Labor Cost_Master'!$BD$4:$BD$135,0),MATCH(CC$9,'Labor Cost_Master'!$G$3:$BC$3,0)),0)*AB23,0)</f>
        <v>0</v>
      </c>
      <c r="CD23" s="64">
        <f>ROUND(IFERROR(INDEX('Labor Cost_Master'!$G$4:$BC$135,MATCH($DN23,'Labor Cost_Master'!$BD$4:$BD$135,0),MATCH(CD$9,'Labor Cost_Master'!$G$3:$BC$3,0)),0)*AC23,0)</f>
        <v>0</v>
      </c>
      <c r="CE23" s="64">
        <f>ROUND(IFERROR(INDEX('Labor Cost_Master'!$G$4:$BC$135,MATCH($DN23,'Labor Cost_Master'!$BD$4:$BD$135,0),MATCH(CE$9,'Labor Cost_Master'!$G$3:$BC$3,0)),0)*AD23,0)</f>
        <v>0</v>
      </c>
      <c r="CF23" s="64">
        <f>ROUND(IFERROR(INDEX('Labor Cost_Master'!$G$4:$BC$135,MATCH($DN23,'Labor Cost_Master'!$BD$4:$BD$135,0),MATCH(CF$9,'Labor Cost_Master'!$G$3:$BC$3,0)),0)*AE23,0)</f>
        <v>0</v>
      </c>
      <c r="CG23" s="64">
        <f>ROUND(IFERROR(INDEX('Labor Cost_Master'!$G$4:$BC$135,MATCH($DN23,'Labor Cost_Master'!$BD$4:$BD$135,0),MATCH(CG$9,'Labor Cost_Master'!$G$3:$BC$3,0)),0)*AF23,0)</f>
        <v>0</v>
      </c>
      <c r="CH23" s="64">
        <f>ROUND(IFERROR(INDEX('Labor Cost_Master'!$G$4:$BC$135,MATCH($DN23,'Labor Cost_Master'!$BD$4:$BD$135,0),MATCH(CH$9,'Labor Cost_Master'!$G$3:$BC$3,0)),0)*AG23,0)</f>
        <v>0</v>
      </c>
      <c r="CI23" s="64">
        <f>ROUND(IFERROR(INDEX('Labor Cost_Master'!$G$4:$BC$135,MATCH($DN23,'Labor Cost_Master'!$BD$4:$BD$135,0),MATCH(CI$9,'Labor Cost_Master'!$G$3:$BC$3,0)),0)*AH23,0)</f>
        <v>0</v>
      </c>
      <c r="CJ23" s="64">
        <f>ROUND(IFERROR(INDEX('Labor Cost_Master'!$G$4:$BC$135,MATCH($DN23,'Labor Cost_Master'!$BD$4:$BD$135,0),MATCH(CJ$9,'Labor Cost_Master'!$G$3:$BC$3,0)),0)*AI23,0)</f>
        <v>0</v>
      </c>
      <c r="CK23" s="64">
        <f>ROUND(IFERROR(INDEX('Labor Cost_Master'!$G$4:$BC$135,MATCH($DN23,'Labor Cost_Master'!$BD$4:$BD$135,0),MATCH(CK$9,'Labor Cost_Master'!$G$3:$BC$3,0)),0)*AJ23,0)</f>
        <v>0</v>
      </c>
      <c r="CL23" s="64">
        <f>ROUND(IFERROR(INDEX('Labor Cost_Master'!$G$4:$BC$135,MATCH($DN23,'Labor Cost_Master'!$BD$4:$BD$135,0),MATCH(CL$9,'Labor Cost_Master'!$G$3:$BC$3,0)),0)*AK23,0)</f>
        <v>0</v>
      </c>
      <c r="CM23" s="66">
        <f t="shared" si="20"/>
        <v>0</v>
      </c>
      <c r="CN23" s="64">
        <f>ROUND(IFERROR(INDEX('Labor Cost_Master'!$G$4:$BC$135,MATCH($DN23,'Labor Cost_Master'!$BD$4:$BD$135,0),MATCH(CN$9,'Labor Cost_Master'!$G$3:$BC$3,0)),0)*AM23,0)</f>
        <v>0</v>
      </c>
      <c r="CO23" s="64">
        <f>ROUND(IFERROR(INDEX('Labor Cost_Master'!$G$4:$BC$135,MATCH($DN23,'Labor Cost_Master'!$BD$4:$BD$135,0),MATCH(CO$9,'Labor Cost_Master'!$G$3:$BC$3,0)),0)*AN23,0)</f>
        <v>0</v>
      </c>
      <c r="CP23" s="64">
        <f>ROUND(IFERROR(INDEX('Labor Cost_Master'!$G$4:$BC$135,MATCH($DN23,'Labor Cost_Master'!$BD$4:$BD$135,0),MATCH(CP$9,'Labor Cost_Master'!$G$3:$BC$3,0)),0)*AO23,0)</f>
        <v>0</v>
      </c>
      <c r="CQ23" s="64">
        <f>ROUND(IFERROR(INDEX('Labor Cost_Master'!$G$4:$BC$135,MATCH($DN23,'Labor Cost_Master'!$BD$4:$BD$135,0),MATCH(CQ$9,'Labor Cost_Master'!$G$3:$BC$3,0)),0)*AP23,0)</f>
        <v>0</v>
      </c>
      <c r="CR23" s="64">
        <f>ROUND(IFERROR(INDEX('Labor Cost_Master'!$G$4:$BC$135,MATCH($DN23,'Labor Cost_Master'!$BD$4:$BD$135,0),MATCH(CR$9,'Labor Cost_Master'!$G$3:$BC$3,0)),0)*AQ23,0)</f>
        <v>0</v>
      </c>
      <c r="CS23" s="64">
        <f>ROUND(IFERROR(INDEX('Labor Cost_Master'!$G$4:$BC$135,MATCH($DN23,'Labor Cost_Master'!$BD$4:$BD$135,0),MATCH(CS$9,'Labor Cost_Master'!$G$3:$BC$3,0)),0)*AR23,0)</f>
        <v>0</v>
      </c>
      <c r="CT23" s="64">
        <f>ROUND(IFERROR(INDEX('Labor Cost_Master'!$G$4:$BC$135,MATCH($DN23,'Labor Cost_Master'!$BD$4:$BD$135,0),MATCH(CT$9,'Labor Cost_Master'!$G$3:$BC$3,0)),0)*AS23,0)</f>
        <v>0</v>
      </c>
      <c r="CU23" s="64">
        <f>ROUND(IFERROR(INDEX('Labor Cost_Master'!$G$4:$BC$135,MATCH($DN23,'Labor Cost_Master'!$BD$4:$BD$135,0),MATCH(CU$9,'Labor Cost_Master'!$G$3:$BC$3,0)),0)*AT23,0)</f>
        <v>0</v>
      </c>
      <c r="CV23" s="64">
        <f>ROUND(IFERROR(INDEX('Labor Cost_Master'!$G$4:$BC$135,MATCH($DN23,'Labor Cost_Master'!$BD$4:$BD$135,0),MATCH(CV$9,'Labor Cost_Master'!$G$3:$BC$3,0)),0)*AU23,0)</f>
        <v>0</v>
      </c>
      <c r="CW23" s="64">
        <f>ROUND(IFERROR(INDEX('Labor Cost_Master'!$G$4:$BC$135,MATCH($DN23,'Labor Cost_Master'!$BD$4:$BD$135,0),MATCH(CW$9,'Labor Cost_Master'!$G$3:$BC$3,0)),0)*AV23,0)</f>
        <v>0</v>
      </c>
      <c r="CX23" s="64">
        <f>ROUND(IFERROR(INDEX('Labor Cost_Master'!$G$4:$BC$135,MATCH($DN23,'Labor Cost_Master'!$BD$4:$BD$135,0),MATCH(CX$9,'Labor Cost_Master'!$G$3:$BC$3,0)),0)*AW23,0)</f>
        <v>0</v>
      </c>
      <c r="CY23" s="64">
        <f>ROUND(IFERROR(INDEX('Labor Cost_Master'!$G$4:$BC$135,MATCH($DN23,'Labor Cost_Master'!$BD$4:$BD$135,0),MATCH(CY$9,'Labor Cost_Master'!$G$3:$BC$3,0)),0)*AX23,0)</f>
        <v>0</v>
      </c>
      <c r="CZ23" s="66">
        <f t="shared" si="21"/>
        <v>0</v>
      </c>
      <c r="DA23" s="64">
        <f>ROUND(IFERROR(INDEX('Labor Cost_Master'!$G$4:$BC$135,MATCH($DN23,'Labor Cost_Master'!$BD$4:$BD$135,0),MATCH(DA$9,'Labor Cost_Master'!$G$3:$BC$3,0)),0)*AZ23,0)</f>
        <v>0</v>
      </c>
      <c r="DB23" s="64">
        <f>ROUND(IFERROR(INDEX('Labor Cost_Master'!$G$4:$BC$135,MATCH($DN23,'Labor Cost_Master'!$BD$4:$BD$135,0),MATCH(DB$9,'Labor Cost_Master'!$G$3:$BC$3,0)),0)*BA23,0)</f>
        <v>0</v>
      </c>
      <c r="DC23" s="1166">
        <f>ROUND(IFERROR(INDEX('Labor Cost_Master'!$G$4:$BC$135,MATCH($DN23,'Labor Cost_Master'!$BD$4:$BD$135,0),MATCH(DC$9,'Labor Cost_Master'!$G$3:$BC$3,0)),0)*BB23,0)*1.05</f>
        <v>0</v>
      </c>
      <c r="DD23" s="64">
        <f>ROUND(IFERROR(INDEX('Labor Cost_Master'!$G$4:$BC$135,MATCH($DN23,'Labor Cost_Master'!$BD$4:$BD$135,0),MATCH(DD$9,'Labor Cost_Master'!$G$3:$BC$3,0)),0)*BC23,0)*1.05</f>
        <v>0</v>
      </c>
      <c r="DE23" s="64">
        <f>ROUND(IFERROR(INDEX('Labor Cost_Master'!$G$4:$BC$135,MATCH($DN23,'Labor Cost_Master'!$BD$4:$BD$135,0),MATCH(DE$9,'Labor Cost_Master'!$G$3:$BC$3,0)),0)*BD23,0)*1.05</f>
        <v>0</v>
      </c>
      <c r="DF23" s="64">
        <f>ROUND(IFERROR(INDEX('Labor Cost_Master'!$G$4:$BC$135,MATCH($DN23,'Labor Cost_Master'!$BD$4:$BD$135,0),MATCH(DF$9,'Labor Cost_Master'!$G$3:$BC$3,0)),0)*BE23,0)*1.05</f>
        <v>0</v>
      </c>
      <c r="DG23" s="64">
        <f>ROUND(IFERROR(INDEX('Labor Cost_Master'!$G$4:$BC$135,MATCH($DN23,'Labor Cost_Master'!$BD$4:$BD$135,0),MATCH(DG$9,'Labor Cost_Master'!$G$3:$BC$3,0)),0)*BF23,0)*1.05</f>
        <v>0</v>
      </c>
      <c r="DH23" s="64">
        <f>ROUND(IFERROR(INDEX('Labor Cost_Master'!$G$4:$BC$135,MATCH($DN23,'Labor Cost_Master'!$BD$4:$BD$135,0),MATCH(DH$9,'Labor Cost_Master'!$G$3:$BC$3,0)),0)*BG23,0)*1.05</f>
        <v>0</v>
      </c>
      <c r="DI23" s="64">
        <f>ROUND(IFERROR(INDEX('Labor Cost_Master'!$G$4:$BC$135,MATCH($DN23,'Labor Cost_Master'!$BD$4:$BD$135,0),MATCH(DI$9,'Labor Cost_Master'!$G$3:$BC$3,0)),0)*BH23,0)*1.05</f>
        <v>0</v>
      </c>
      <c r="DJ23" s="64">
        <f>ROUND(IFERROR(INDEX('Labor Cost_Master'!$G$4:$BC$135,MATCH($DN23,'Labor Cost_Master'!$BD$4:$BD$135,0),MATCH(DJ$9,'Labor Cost_Master'!$G$3:$BC$3,0)),0)*BI23,0)*1.05</f>
        <v>0</v>
      </c>
      <c r="DK23" s="64">
        <f>ROUND(IFERROR(INDEX('Labor Cost_Master'!$G$4:$BC$135,MATCH($DN23,'Labor Cost_Master'!$BD$4:$BD$135,0),MATCH(DK$9,'Labor Cost_Master'!$G$3:$BC$3,0)),0)*BJ23,0)*1.05</f>
        <v>0</v>
      </c>
      <c r="DL23" s="64">
        <f>ROUND(IFERROR(INDEX('Labor Cost_Master'!$G$4:$BC$135,MATCH($DN23,'Labor Cost_Master'!$BD$4:$BD$135,0),MATCH(DL$9,'Labor Cost_Master'!$G$3:$BC$3,0)),0)*BK23,0)*1.05</f>
        <v>0</v>
      </c>
      <c r="DM23" s="66">
        <f t="shared" si="22"/>
        <v>0</v>
      </c>
      <c r="DN23" s="80" t="str">
        <f t="shared" si="23"/>
        <v/>
      </c>
      <c r="DO23" s="64">
        <f>ROUND(IFERROR(INDEX(Benefit_Master!$G$4:$BC$135,MATCH($DN23,Benefit_Master!$BD$4:$BD$135,0),MATCH(DO$9,Benefit_Master!$G$3:$BC$3,0)),0)*M23,0)</f>
        <v>0</v>
      </c>
      <c r="DP23" s="64">
        <f>ROUND(IFERROR(INDEX(Benefit_Master!$G$4:$BC$135,MATCH($DN23,Benefit_Master!$BD$4:$BD$135,0),MATCH(DP$9,Benefit_Master!$G$3:$BC$3,0)),0)*N23,0)</f>
        <v>0</v>
      </c>
      <c r="DQ23" s="64">
        <f>ROUND(IFERROR(INDEX(Benefit_Master!$G$4:$BC$135,MATCH($DN23,Benefit_Master!$BD$4:$BD$135,0),MATCH(DQ$9,Benefit_Master!$G$3:$BC$3,0)),0)*O23,0)</f>
        <v>0</v>
      </c>
      <c r="DR23" s="64">
        <f>ROUND(IFERROR(INDEX(Benefit_Master!$G$4:$BC$135,MATCH($DN23,Benefit_Master!$BD$4:$BD$135,0),MATCH(DR$9,Benefit_Master!$G$3:$BC$3,0)),0)*P23,0)</f>
        <v>0</v>
      </c>
      <c r="DS23" s="64">
        <f>ROUND(IFERROR(INDEX(Benefit_Master!$G$4:$BC$135,MATCH($DN23,Benefit_Master!$BD$4:$BD$135,0),MATCH(DS$9,Benefit_Master!$G$3:$BC$3,0)),0)*Q23,0)</f>
        <v>0</v>
      </c>
      <c r="DT23" s="64">
        <f>ROUND(IFERROR(INDEX(Benefit_Master!$G$4:$BC$135,MATCH($DN23,Benefit_Master!$BD$4:$BD$135,0),MATCH(DT$9,Benefit_Master!$G$3:$BC$3,0)),0)*R23,0)</f>
        <v>0</v>
      </c>
      <c r="DU23" s="64">
        <f>ROUND(IFERROR(INDEX(Benefit_Master!$G$4:$BC$135,MATCH($DN23,Benefit_Master!$BD$4:$BD$135,0),MATCH(DU$9,Benefit_Master!$G$3:$BC$3,0)),0)*S23,0)</f>
        <v>0</v>
      </c>
      <c r="DV23" s="64">
        <f>ROUND(IFERROR(INDEX(Benefit_Master!$G$4:$BC$135,MATCH($DN23,Benefit_Master!$BD$4:$BD$135,0),MATCH(DV$9,Benefit_Master!$G$3:$BC$3,0)),0)*T23,0)</f>
        <v>0</v>
      </c>
      <c r="DW23" s="64">
        <f>ROUND(IFERROR(INDEX(Benefit_Master!$G$4:$BC$135,MATCH($DN23,Benefit_Master!$BD$4:$BD$135,0),MATCH(DW$9,Benefit_Master!$G$3:$BC$3,0)),0)*U23,0)</f>
        <v>0</v>
      </c>
      <c r="DX23" s="64">
        <f>ROUND(IFERROR(INDEX(Benefit_Master!$G$4:$BC$135,MATCH($DN23,Benefit_Master!$BD$4:$BD$135,0),MATCH(DX$9,Benefit_Master!$G$3:$BC$3,0)),0)*V23,0)</f>
        <v>0</v>
      </c>
      <c r="DY23" s="64">
        <f>ROUND(IFERROR(INDEX(Benefit_Master!$G$4:$BC$135,MATCH($DN23,Benefit_Master!$BD$4:$BD$135,0),MATCH(DY$9,Benefit_Master!$G$3:$BC$3,0)),0)*W23,0)</f>
        <v>0</v>
      </c>
      <c r="DZ23" s="64">
        <f>ROUND(IFERROR(INDEX(Benefit_Master!$G$4:$BC$135,MATCH($DN23,Benefit_Master!$BD$4:$BD$135,0),MATCH(DZ$9,Benefit_Master!$G$3:$BC$3,0)),0)*X23,0)</f>
        <v>0</v>
      </c>
      <c r="EA23" s="66">
        <f t="shared" si="24"/>
        <v>0</v>
      </c>
      <c r="EB23" s="64">
        <f>ROUND(IFERROR(INDEX(Benefit_Master!$G$4:$BC$135,MATCH($DN23,Benefit_Master!$BD$4:$BD$135,0),MATCH(EB$9,Benefit_Master!$G$3:$BC$3,0)),0)*Z23,0)</f>
        <v>0</v>
      </c>
      <c r="EC23" s="64">
        <f>ROUND(IFERROR(INDEX(Benefit_Master!$G$4:$BC$135,MATCH($DN23,Benefit_Master!$BD$4:$BD$135,0),MATCH(EC$9,Benefit_Master!$G$3:$BC$3,0)),0)*AA23,0)</f>
        <v>0</v>
      </c>
      <c r="ED23" s="64">
        <f>ROUND(IFERROR(INDEX(Benefit_Master!$G$4:$BC$135,MATCH($DN23,Benefit_Master!$BD$4:$BD$135,0),MATCH(ED$9,Benefit_Master!$G$3:$BC$3,0)),0)*AB23,0)</f>
        <v>0</v>
      </c>
      <c r="EE23" s="64">
        <f>ROUND(IFERROR(INDEX(Benefit_Master!$G$4:$BC$135,MATCH($DN23,Benefit_Master!$BD$4:$BD$135,0),MATCH(EE$9,Benefit_Master!$G$3:$BC$3,0)),0)*AC23,0)</f>
        <v>0</v>
      </c>
      <c r="EF23" s="64">
        <f>ROUND(IFERROR(INDEX(Benefit_Master!$G$4:$BC$135,MATCH($DN23,Benefit_Master!$BD$4:$BD$135,0),MATCH(EF$9,Benefit_Master!$G$3:$BC$3,0)),0)*AD23,0)</f>
        <v>0</v>
      </c>
      <c r="EG23" s="64">
        <f>ROUND(IFERROR(INDEX(Benefit_Master!$G$4:$BC$135,MATCH($DN23,Benefit_Master!$BD$4:$BD$135,0),MATCH(EG$9,Benefit_Master!$G$3:$BC$3,0)),0)*AE23,0)</f>
        <v>0</v>
      </c>
      <c r="EH23" s="64">
        <f>ROUND(IFERROR(INDEX(Benefit_Master!$G$4:$BC$135,MATCH($DN23,Benefit_Master!$BD$4:$BD$135,0),MATCH(EH$9,Benefit_Master!$G$3:$BC$3,0)),0)*AF23,0)</f>
        <v>0</v>
      </c>
      <c r="EI23" s="64">
        <f>ROUND(IFERROR(INDEX(Benefit_Master!$G$4:$BC$135,MATCH($DN23,Benefit_Master!$BD$4:$BD$135,0),MATCH(EI$9,Benefit_Master!$G$3:$BC$3,0)),0)*AG23,0)</f>
        <v>0</v>
      </c>
      <c r="EJ23" s="64">
        <f>ROUND(IFERROR(INDEX(Benefit_Master!$G$4:$BC$135,MATCH($DN23,Benefit_Master!$BD$4:$BD$135,0),MATCH(EJ$9,Benefit_Master!$G$3:$BC$3,0)),0)*AH23,0)</f>
        <v>0</v>
      </c>
      <c r="EK23" s="64">
        <f>ROUND(IFERROR(INDEX(Benefit_Master!$G$4:$BC$135,MATCH($DN23,Benefit_Master!$BD$4:$BD$135,0),MATCH(EK$9,Benefit_Master!$G$3:$BC$3,0)),0)*AI23,0)</f>
        <v>0</v>
      </c>
      <c r="EL23" s="64">
        <f>ROUND(IFERROR(INDEX(Benefit_Master!$G$4:$BC$135,MATCH($DN23,Benefit_Master!$BD$4:$BD$135,0),MATCH(EL$9,Benefit_Master!$G$3:$BC$3,0)),0)*AJ23,0)</f>
        <v>0</v>
      </c>
      <c r="EM23" s="64">
        <f>ROUND(IFERROR(INDEX(Benefit_Master!$G$4:$BC$135,MATCH($DN23,Benefit_Master!$BD$4:$BD$135,0),MATCH(EM$9,Benefit_Master!$G$3:$BC$3,0)),0)*AK23,0)</f>
        <v>0</v>
      </c>
      <c r="EN23" s="66">
        <f t="shared" si="25"/>
        <v>0</v>
      </c>
      <c r="EO23" s="64">
        <f>ROUND(IFERROR(INDEX(Benefit_Master!$G$4:$BC$135,MATCH($DN23,Benefit_Master!$BD$4:$BD$135,0),MATCH(EO$9,Benefit_Master!$G$3:$BC$3,0)),0)*AM23,0)</f>
        <v>0</v>
      </c>
      <c r="EP23" s="64">
        <f>ROUND(IFERROR(INDEX(Benefit_Master!$G$4:$BC$135,MATCH($DN23,Benefit_Master!$BD$4:$BD$135,0),MATCH(EP$9,Benefit_Master!$G$3:$BC$3,0)),0)*AN23,0)</f>
        <v>0</v>
      </c>
      <c r="EQ23" s="64">
        <f>ROUND(IFERROR(INDEX(Benefit_Master!$G$4:$BC$135,MATCH($DN23,Benefit_Master!$BD$4:$BD$135,0),MATCH(EQ$9,Benefit_Master!$G$3:$BC$3,0)),0)*AO23,0)</f>
        <v>0</v>
      </c>
      <c r="ER23" s="64">
        <f>ROUND(IFERROR(INDEX(Benefit_Master!$G$4:$BC$135,MATCH($DN23,Benefit_Master!$BD$4:$BD$135,0),MATCH(ER$9,Benefit_Master!$G$3:$BC$3,0)),0)*AP23,0)</f>
        <v>0</v>
      </c>
      <c r="ES23" s="64">
        <f>ROUND(IFERROR(INDEX(Benefit_Master!$G$4:$BC$135,MATCH($DN23,Benefit_Master!$BD$4:$BD$135,0),MATCH(ES$9,Benefit_Master!$G$3:$BC$3,0)),0)*AQ23,0)</f>
        <v>0</v>
      </c>
      <c r="ET23" s="64">
        <f>ROUND(IFERROR(INDEX(Benefit_Master!$G$4:$BC$135,MATCH($DN23,Benefit_Master!$BD$4:$BD$135,0),MATCH(ET$9,Benefit_Master!$G$3:$BC$3,0)),0)*AR23,0)</f>
        <v>0</v>
      </c>
      <c r="EU23" s="64">
        <f>ROUND(IFERROR(INDEX(Benefit_Master!$G$4:$BC$135,MATCH($DN23,Benefit_Master!$BD$4:$BD$135,0),MATCH(EU$9,Benefit_Master!$G$3:$BC$3,0)),0)*AS23,0)</f>
        <v>0</v>
      </c>
      <c r="EV23" s="64">
        <f>ROUND(IFERROR(INDEX(Benefit_Master!$G$4:$BC$135,MATCH($DN23,Benefit_Master!$BD$4:$BD$135,0),MATCH(EV$9,Benefit_Master!$G$3:$BC$3,0)),0)*AT23,0)</f>
        <v>0</v>
      </c>
      <c r="EW23" s="64">
        <f>ROUND(IFERROR(INDEX(Benefit_Master!$G$4:$BC$135,MATCH($DN23,Benefit_Master!$BD$4:$BD$135,0),MATCH(EW$9,Benefit_Master!$G$3:$BC$3,0)),0)*AU23,0)</f>
        <v>0</v>
      </c>
      <c r="EX23" s="64">
        <f>ROUND(IFERROR(INDEX(Benefit_Master!$G$4:$BC$135,MATCH($DN23,Benefit_Master!$BD$4:$BD$135,0),MATCH(EX$9,Benefit_Master!$G$3:$BC$3,0)),0)*AV23,0)</f>
        <v>0</v>
      </c>
      <c r="EY23" s="64">
        <f>ROUND(IFERROR(INDEX(Benefit_Master!$G$4:$BC$135,MATCH($DN23,Benefit_Master!$BD$4:$BD$135,0),MATCH(EY$9,Benefit_Master!$G$3:$BC$3,0)),0)*AW23,0)</f>
        <v>0</v>
      </c>
      <c r="EZ23" s="64">
        <f>ROUND(IFERROR(INDEX(Benefit_Master!$G$4:$BC$135,MATCH($DN23,Benefit_Master!$BD$4:$BD$135,0),MATCH(EZ$9,Benefit_Master!$G$3:$BC$3,0)),0)*AX23,0)</f>
        <v>0</v>
      </c>
      <c r="FA23" s="66">
        <f t="shared" si="26"/>
        <v>0</v>
      </c>
      <c r="FB23" s="64">
        <f>ROUND(IFERROR(INDEX(Benefit_Master!$G$4:$BC$135,MATCH($DN23,Benefit_Master!$BD$4:$BD$135,0),MATCH(FB$9,Benefit_Master!$G$3:$BC$3,0)),0)*AZ23,0)</f>
        <v>0</v>
      </c>
      <c r="FC23" s="64">
        <f>ROUND(IFERROR(INDEX(Benefit_Master!$G$4:$BC$135,MATCH($DN23,Benefit_Master!$BD$4:$BD$135,0),MATCH(FC$9,Benefit_Master!$G$3:$BC$3,0)),0)*BA23,0)</f>
        <v>0</v>
      </c>
      <c r="FD23" s="64">
        <f>ROUND(IFERROR(INDEX(Benefit_Master!$G$4:$BC$135,MATCH($DN23,Benefit_Master!$BD$4:$BD$135,0),MATCH(FD$9,Benefit_Master!$G$3:$BC$3,0)),0)*BB23,0)</f>
        <v>0</v>
      </c>
      <c r="FE23" s="64">
        <f>ROUND(IFERROR(INDEX(Benefit_Master!$G$4:$BC$135,MATCH($DN23,Benefit_Master!$BD$4:$BD$135,0),MATCH(FE$9,Benefit_Master!$G$3:$BC$3,0)),0)*BC23,0)</f>
        <v>0</v>
      </c>
      <c r="FF23" s="64">
        <f>ROUND(IFERROR(INDEX(Benefit_Master!$G$4:$BC$135,MATCH($DN23,Benefit_Master!$BD$4:$BD$135,0),MATCH(FF$9,Benefit_Master!$G$3:$BC$3,0)),0)*BD23,0)</f>
        <v>0</v>
      </c>
      <c r="FG23" s="64">
        <f>ROUND(IFERROR(INDEX(Benefit_Master!$G$4:$BC$135,MATCH($DN23,Benefit_Master!$BD$4:$BD$135,0),MATCH(FG$9,Benefit_Master!$G$3:$BC$3,0)),0)*BE23,0)</f>
        <v>0</v>
      </c>
      <c r="FH23" s="64">
        <f>ROUND(IFERROR(INDEX(Benefit_Master!$G$4:$BC$135,MATCH($DN23,Benefit_Master!$BD$4:$BD$135,0),MATCH(FH$9,Benefit_Master!$G$3:$BC$3,0)),0)*BF23,0)</f>
        <v>0</v>
      </c>
      <c r="FI23" s="64">
        <f>ROUND(IFERROR(INDEX(Benefit_Master!$G$4:$BC$135,MATCH($DN23,Benefit_Master!$BD$4:$BD$135,0),MATCH(FI$9,Benefit_Master!$G$3:$BC$3,0)),0)*BG23,0)</f>
        <v>0</v>
      </c>
      <c r="FJ23" s="64">
        <f>ROUND(IFERROR(INDEX(Benefit_Master!$G$4:$BC$135,MATCH($DN23,Benefit_Master!$BD$4:$BD$135,0),MATCH(FJ$9,Benefit_Master!$G$3:$BC$3,0)),0)*BH23,0)</f>
        <v>0</v>
      </c>
      <c r="FK23" s="64">
        <f>ROUND(IFERROR(INDEX(Benefit_Master!$G$4:$BC$135,MATCH($DN23,Benefit_Master!$BD$4:$BD$135,0),MATCH(FK$9,Benefit_Master!$G$3:$BC$3,0)),0)*BI23,0)</f>
        <v>0</v>
      </c>
      <c r="FL23" s="64">
        <f>ROUND(IFERROR(INDEX(Benefit_Master!$G$4:$BC$135,MATCH($DN23,Benefit_Master!$BD$4:$BD$135,0),MATCH(FL$9,Benefit_Master!$G$3:$BC$3,0)),0)*BJ23,0)</f>
        <v>0</v>
      </c>
      <c r="FM23" s="64">
        <f>ROUND(IFERROR(INDEX(Benefit_Master!$G$4:$BC$135,MATCH($DN23,Benefit_Master!$BD$4:$BD$135,0),MATCH(FM$9,Benefit_Master!$G$3:$BC$3,0)),0)*BK23,0)</f>
        <v>0</v>
      </c>
      <c r="FN23" s="66">
        <f t="shared" si="27"/>
        <v>0</v>
      </c>
    </row>
    <row r="24" spans="2:170" s="12" customFormat="1" ht="15" customHeight="1">
      <c r="B24" s="93">
        <f t="shared" si="28"/>
        <v>12</v>
      </c>
      <c r="C24" s="89"/>
      <c r="D24" s="97"/>
      <c r="E24" s="1157"/>
      <c r="F24" s="425"/>
      <c r="G24" s="94" t="str">
        <f>IFERROR(VLOOKUP($F24,Master!$B$1:$C$7,2,0),"-")</f>
        <v>-</v>
      </c>
      <c r="H24" s="95">
        <f t="shared" si="12"/>
        <v>0</v>
      </c>
      <c r="I24" s="138">
        <f t="shared" si="13"/>
        <v>0</v>
      </c>
      <c r="J24" s="138">
        <f t="shared" si="14"/>
        <v>0</v>
      </c>
      <c r="K24" s="96"/>
      <c r="L24"/>
      <c r="M24" s="58"/>
      <c r="N24" s="59"/>
      <c r="O24" s="59"/>
      <c r="P24" s="59"/>
      <c r="Q24" s="59"/>
      <c r="R24" s="59"/>
      <c r="S24" s="59"/>
      <c r="T24" s="59"/>
      <c r="U24" s="679"/>
      <c r="V24" s="56"/>
      <c r="W24" s="56"/>
      <c r="X24" s="56"/>
      <c r="Y24" s="60">
        <f t="shared" si="15"/>
        <v>0</v>
      </c>
      <c r="Z24" s="55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60">
        <f t="shared" si="16"/>
        <v>0</v>
      </c>
      <c r="AM24" s="58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60">
        <f t="shared" si="17"/>
        <v>0</v>
      </c>
      <c r="AZ24" s="58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60">
        <f t="shared" si="18"/>
        <v>0</v>
      </c>
      <c r="BM24"/>
      <c r="BN24" s="64">
        <f>ROUND(IFERROR(INDEX('Labor Cost_Master'!$G$4:$BC$135,MATCH($DN24,'Labor Cost_Master'!$BD$4:$BD$135,0),MATCH(BN$9,'Labor Cost_Master'!$G$3:$BC$3,0)),0)*M24,0)</f>
        <v>0</v>
      </c>
      <c r="BO24" s="64">
        <f>ROUND(IFERROR(INDEX('Labor Cost_Master'!$G$4:$BC$135,MATCH($DN24,'Labor Cost_Master'!$BD$4:$BD$135,0),MATCH(BO$9,'Labor Cost_Master'!$G$3:$BC$3,0)),0)*N24,0)</f>
        <v>0</v>
      </c>
      <c r="BP24" s="64">
        <f>ROUND(IFERROR(INDEX('Labor Cost_Master'!$G$4:$BC$135,MATCH($DN24,'Labor Cost_Master'!$BD$4:$BD$135,0),MATCH(BP$9,'Labor Cost_Master'!$G$3:$BC$3,0)),0)*O24,0)</f>
        <v>0</v>
      </c>
      <c r="BQ24" s="64">
        <f>ROUND(IFERROR(INDEX('Labor Cost_Master'!$G$4:$BC$135,MATCH($DN24,'Labor Cost_Master'!$BD$4:$BD$135,0),MATCH(BQ$9,'Labor Cost_Master'!$G$3:$BC$3,0)),0)*P24,0)</f>
        <v>0</v>
      </c>
      <c r="BR24" s="64">
        <f>ROUND(IFERROR(INDEX('Labor Cost_Master'!$G$4:$BC$135,MATCH($DN24,'Labor Cost_Master'!$BD$4:$BD$135,0),MATCH(BR$9,'Labor Cost_Master'!$G$3:$BC$3,0)),0)*Q24,0)</f>
        <v>0</v>
      </c>
      <c r="BS24" s="64">
        <f>ROUND(IFERROR(INDEX('Labor Cost_Master'!$G$4:$BC$135,MATCH($DN24,'Labor Cost_Master'!$BD$4:$BD$135,0),MATCH(BS$9,'Labor Cost_Master'!$G$3:$BC$3,0)),0)*R24,0)</f>
        <v>0</v>
      </c>
      <c r="BT24" s="64">
        <f>ROUND(IFERROR(INDEX('Labor Cost_Master'!$G$4:$BC$135,MATCH($DN24,'Labor Cost_Master'!$BD$4:$BD$135,0),MATCH(BT$9,'Labor Cost_Master'!$G$3:$BC$3,0)),0)*S24,0)</f>
        <v>0</v>
      </c>
      <c r="BU24" s="64">
        <f>ROUND(IFERROR(INDEX('Labor Cost_Master'!$G$4:$BC$135,MATCH($DN24,'Labor Cost_Master'!$BD$4:$BD$135,0),MATCH(BU$9,'Labor Cost_Master'!$G$3:$BC$3,0)),0)*T24,0)</f>
        <v>0</v>
      </c>
      <c r="BV24" s="64">
        <f>ROUND(IFERROR(INDEX('Labor Cost_Master'!$G$4:$BC$135,MATCH($DN24,'Labor Cost_Master'!$BD$4:$BD$135,0),MATCH(BV$9,'Labor Cost_Master'!$G$3:$BC$3,0)),0)*U24,0)</f>
        <v>0</v>
      </c>
      <c r="BW24" s="64">
        <f>ROUND(IFERROR(INDEX('Labor Cost_Master'!$G$4:$BC$135,MATCH($DN24,'Labor Cost_Master'!$BD$4:$BD$135,0),MATCH(BW$9,'Labor Cost_Master'!$G$3:$BC$3,0)),0)*V24,0)</f>
        <v>0</v>
      </c>
      <c r="BX24" s="64">
        <f>ROUND(IFERROR(INDEX('Labor Cost_Master'!$G$4:$BC$135,MATCH($DN24,'Labor Cost_Master'!$BD$4:$BD$135,0),MATCH(BX$9,'Labor Cost_Master'!$G$3:$BC$3,0)),0)*W24,0)</f>
        <v>0</v>
      </c>
      <c r="BY24" s="64">
        <f>ROUND(IFERROR(INDEX('Labor Cost_Master'!$G$4:$BC$135,MATCH($DN24,'Labor Cost_Master'!$BD$4:$BD$135,0),MATCH(BY$9,'Labor Cost_Master'!$G$3:$BC$3,0)),0)*X24,0)</f>
        <v>0</v>
      </c>
      <c r="BZ24" s="66">
        <f t="shared" si="19"/>
        <v>0</v>
      </c>
      <c r="CA24" s="64">
        <f>ROUND(IFERROR(INDEX('Labor Cost_Master'!$G$4:$BC$135,MATCH($DN24,'Labor Cost_Master'!$BD$4:$BD$135,0),MATCH(CA$9,'Labor Cost_Master'!$G$3:$BC$3,0)),0)*Z24,0)</f>
        <v>0</v>
      </c>
      <c r="CB24" s="64">
        <f>ROUND(IFERROR(INDEX('Labor Cost_Master'!$G$4:$BC$135,MATCH($DN24,'Labor Cost_Master'!$BD$4:$BD$135,0),MATCH(CB$9,'Labor Cost_Master'!$G$3:$BC$3,0)),0)*AA24,0)</f>
        <v>0</v>
      </c>
      <c r="CC24" s="64">
        <f>ROUND(IFERROR(INDEX('Labor Cost_Master'!$G$4:$BC$135,MATCH($DN24,'Labor Cost_Master'!$BD$4:$BD$135,0),MATCH(CC$9,'Labor Cost_Master'!$G$3:$BC$3,0)),0)*AB24,0)</f>
        <v>0</v>
      </c>
      <c r="CD24" s="64">
        <f>ROUND(IFERROR(INDEX('Labor Cost_Master'!$G$4:$BC$135,MATCH($DN24,'Labor Cost_Master'!$BD$4:$BD$135,0),MATCH(CD$9,'Labor Cost_Master'!$G$3:$BC$3,0)),0)*AC24,0)</f>
        <v>0</v>
      </c>
      <c r="CE24" s="64">
        <f>ROUND(IFERROR(INDEX('Labor Cost_Master'!$G$4:$BC$135,MATCH($DN24,'Labor Cost_Master'!$BD$4:$BD$135,0),MATCH(CE$9,'Labor Cost_Master'!$G$3:$BC$3,0)),0)*AD24,0)</f>
        <v>0</v>
      </c>
      <c r="CF24" s="64">
        <f>ROUND(IFERROR(INDEX('Labor Cost_Master'!$G$4:$BC$135,MATCH($DN24,'Labor Cost_Master'!$BD$4:$BD$135,0),MATCH(CF$9,'Labor Cost_Master'!$G$3:$BC$3,0)),0)*AE24,0)</f>
        <v>0</v>
      </c>
      <c r="CG24" s="64">
        <f>ROUND(IFERROR(INDEX('Labor Cost_Master'!$G$4:$BC$135,MATCH($DN24,'Labor Cost_Master'!$BD$4:$BD$135,0),MATCH(CG$9,'Labor Cost_Master'!$G$3:$BC$3,0)),0)*AF24,0)</f>
        <v>0</v>
      </c>
      <c r="CH24" s="64">
        <f>ROUND(IFERROR(INDEX('Labor Cost_Master'!$G$4:$BC$135,MATCH($DN24,'Labor Cost_Master'!$BD$4:$BD$135,0),MATCH(CH$9,'Labor Cost_Master'!$G$3:$BC$3,0)),0)*AG24,0)</f>
        <v>0</v>
      </c>
      <c r="CI24" s="64">
        <f>ROUND(IFERROR(INDEX('Labor Cost_Master'!$G$4:$BC$135,MATCH($DN24,'Labor Cost_Master'!$BD$4:$BD$135,0),MATCH(CI$9,'Labor Cost_Master'!$G$3:$BC$3,0)),0)*AH24,0)</f>
        <v>0</v>
      </c>
      <c r="CJ24" s="64">
        <f>ROUND(IFERROR(INDEX('Labor Cost_Master'!$G$4:$BC$135,MATCH($DN24,'Labor Cost_Master'!$BD$4:$BD$135,0),MATCH(CJ$9,'Labor Cost_Master'!$G$3:$BC$3,0)),0)*AI24,0)</f>
        <v>0</v>
      </c>
      <c r="CK24" s="64">
        <f>ROUND(IFERROR(INDEX('Labor Cost_Master'!$G$4:$BC$135,MATCH($DN24,'Labor Cost_Master'!$BD$4:$BD$135,0),MATCH(CK$9,'Labor Cost_Master'!$G$3:$BC$3,0)),0)*AJ24,0)</f>
        <v>0</v>
      </c>
      <c r="CL24" s="64">
        <f>ROUND(IFERROR(INDEX('Labor Cost_Master'!$G$4:$BC$135,MATCH($DN24,'Labor Cost_Master'!$BD$4:$BD$135,0),MATCH(CL$9,'Labor Cost_Master'!$G$3:$BC$3,0)),0)*AK24,0)</f>
        <v>0</v>
      </c>
      <c r="CM24" s="66">
        <f t="shared" si="20"/>
        <v>0</v>
      </c>
      <c r="CN24" s="64">
        <f>ROUND(IFERROR(INDEX('Labor Cost_Master'!$G$4:$BC$135,MATCH($DN24,'Labor Cost_Master'!$BD$4:$BD$135,0),MATCH(CN$9,'Labor Cost_Master'!$G$3:$BC$3,0)),0)*AM24,0)</f>
        <v>0</v>
      </c>
      <c r="CO24" s="64">
        <f>ROUND(IFERROR(INDEX('Labor Cost_Master'!$G$4:$BC$135,MATCH($DN24,'Labor Cost_Master'!$BD$4:$BD$135,0),MATCH(CO$9,'Labor Cost_Master'!$G$3:$BC$3,0)),0)*AN24,0)</f>
        <v>0</v>
      </c>
      <c r="CP24" s="64">
        <f>ROUND(IFERROR(INDEX('Labor Cost_Master'!$G$4:$BC$135,MATCH($DN24,'Labor Cost_Master'!$BD$4:$BD$135,0),MATCH(CP$9,'Labor Cost_Master'!$G$3:$BC$3,0)),0)*AO24,0)</f>
        <v>0</v>
      </c>
      <c r="CQ24" s="64">
        <f>ROUND(IFERROR(INDEX('Labor Cost_Master'!$G$4:$BC$135,MATCH($DN24,'Labor Cost_Master'!$BD$4:$BD$135,0),MATCH(CQ$9,'Labor Cost_Master'!$G$3:$BC$3,0)),0)*AP24,0)</f>
        <v>0</v>
      </c>
      <c r="CR24" s="64">
        <f>ROUND(IFERROR(INDEX('Labor Cost_Master'!$G$4:$BC$135,MATCH($DN24,'Labor Cost_Master'!$BD$4:$BD$135,0),MATCH(CR$9,'Labor Cost_Master'!$G$3:$BC$3,0)),0)*AQ24,0)</f>
        <v>0</v>
      </c>
      <c r="CS24" s="64">
        <f>ROUND(IFERROR(INDEX('Labor Cost_Master'!$G$4:$BC$135,MATCH($DN24,'Labor Cost_Master'!$BD$4:$BD$135,0),MATCH(CS$9,'Labor Cost_Master'!$G$3:$BC$3,0)),0)*AR24,0)</f>
        <v>0</v>
      </c>
      <c r="CT24" s="64">
        <f>ROUND(IFERROR(INDEX('Labor Cost_Master'!$G$4:$BC$135,MATCH($DN24,'Labor Cost_Master'!$BD$4:$BD$135,0),MATCH(CT$9,'Labor Cost_Master'!$G$3:$BC$3,0)),0)*AS24,0)</f>
        <v>0</v>
      </c>
      <c r="CU24" s="64">
        <f>ROUND(IFERROR(INDEX('Labor Cost_Master'!$G$4:$BC$135,MATCH($DN24,'Labor Cost_Master'!$BD$4:$BD$135,0),MATCH(CU$9,'Labor Cost_Master'!$G$3:$BC$3,0)),0)*AT24,0)</f>
        <v>0</v>
      </c>
      <c r="CV24" s="64">
        <f>ROUND(IFERROR(INDEX('Labor Cost_Master'!$G$4:$BC$135,MATCH($DN24,'Labor Cost_Master'!$BD$4:$BD$135,0),MATCH(CV$9,'Labor Cost_Master'!$G$3:$BC$3,0)),0)*AU24,0)</f>
        <v>0</v>
      </c>
      <c r="CW24" s="64">
        <f>ROUND(IFERROR(INDEX('Labor Cost_Master'!$G$4:$BC$135,MATCH($DN24,'Labor Cost_Master'!$BD$4:$BD$135,0),MATCH(CW$9,'Labor Cost_Master'!$G$3:$BC$3,0)),0)*AV24,0)</f>
        <v>0</v>
      </c>
      <c r="CX24" s="64">
        <f>ROUND(IFERROR(INDEX('Labor Cost_Master'!$G$4:$BC$135,MATCH($DN24,'Labor Cost_Master'!$BD$4:$BD$135,0),MATCH(CX$9,'Labor Cost_Master'!$G$3:$BC$3,0)),0)*AW24,0)</f>
        <v>0</v>
      </c>
      <c r="CY24" s="64">
        <f>ROUND(IFERROR(INDEX('Labor Cost_Master'!$G$4:$BC$135,MATCH($DN24,'Labor Cost_Master'!$BD$4:$BD$135,0),MATCH(CY$9,'Labor Cost_Master'!$G$3:$BC$3,0)),0)*AX24,0)</f>
        <v>0</v>
      </c>
      <c r="CZ24" s="66">
        <f t="shared" si="21"/>
        <v>0</v>
      </c>
      <c r="DA24" s="64">
        <f>ROUND(IFERROR(INDEX('Labor Cost_Master'!$G$4:$BC$135,MATCH($DN24,'Labor Cost_Master'!$BD$4:$BD$135,0),MATCH(DA$9,'Labor Cost_Master'!$G$3:$BC$3,0)),0)*AZ24,0)</f>
        <v>0</v>
      </c>
      <c r="DB24" s="64">
        <f>ROUND(IFERROR(INDEX('Labor Cost_Master'!$G$4:$BC$135,MATCH($DN24,'Labor Cost_Master'!$BD$4:$BD$135,0),MATCH(DB$9,'Labor Cost_Master'!$G$3:$BC$3,0)),0)*BA24,0)</f>
        <v>0</v>
      </c>
      <c r="DC24" s="1166">
        <f>ROUND(IFERROR(INDEX('Labor Cost_Master'!$G$4:$BC$135,MATCH($DN24,'Labor Cost_Master'!$BD$4:$BD$135,0),MATCH(DC$9,'Labor Cost_Master'!$G$3:$BC$3,0)),0)*BB24,0)*1.05</f>
        <v>0</v>
      </c>
      <c r="DD24" s="64">
        <f>ROUND(IFERROR(INDEX('Labor Cost_Master'!$G$4:$BC$135,MATCH($DN24,'Labor Cost_Master'!$BD$4:$BD$135,0),MATCH(DD$9,'Labor Cost_Master'!$G$3:$BC$3,0)),0)*BC24,0)*1.05</f>
        <v>0</v>
      </c>
      <c r="DE24" s="64">
        <f>ROUND(IFERROR(INDEX('Labor Cost_Master'!$G$4:$BC$135,MATCH($DN24,'Labor Cost_Master'!$BD$4:$BD$135,0),MATCH(DE$9,'Labor Cost_Master'!$G$3:$BC$3,0)),0)*BD24,0)*1.05</f>
        <v>0</v>
      </c>
      <c r="DF24" s="64">
        <f>ROUND(IFERROR(INDEX('Labor Cost_Master'!$G$4:$BC$135,MATCH($DN24,'Labor Cost_Master'!$BD$4:$BD$135,0),MATCH(DF$9,'Labor Cost_Master'!$G$3:$BC$3,0)),0)*BE24,0)*1.05</f>
        <v>0</v>
      </c>
      <c r="DG24" s="64">
        <f>ROUND(IFERROR(INDEX('Labor Cost_Master'!$G$4:$BC$135,MATCH($DN24,'Labor Cost_Master'!$BD$4:$BD$135,0),MATCH(DG$9,'Labor Cost_Master'!$G$3:$BC$3,0)),0)*BF24,0)*1.05</f>
        <v>0</v>
      </c>
      <c r="DH24" s="64">
        <f>ROUND(IFERROR(INDEX('Labor Cost_Master'!$G$4:$BC$135,MATCH($DN24,'Labor Cost_Master'!$BD$4:$BD$135,0),MATCH(DH$9,'Labor Cost_Master'!$G$3:$BC$3,0)),0)*BG24,0)*1.05</f>
        <v>0</v>
      </c>
      <c r="DI24" s="64">
        <f>ROUND(IFERROR(INDEX('Labor Cost_Master'!$G$4:$BC$135,MATCH($DN24,'Labor Cost_Master'!$BD$4:$BD$135,0),MATCH(DI$9,'Labor Cost_Master'!$G$3:$BC$3,0)),0)*BH24,0)*1.05</f>
        <v>0</v>
      </c>
      <c r="DJ24" s="64">
        <f>ROUND(IFERROR(INDEX('Labor Cost_Master'!$G$4:$BC$135,MATCH($DN24,'Labor Cost_Master'!$BD$4:$BD$135,0),MATCH(DJ$9,'Labor Cost_Master'!$G$3:$BC$3,0)),0)*BI24,0)*1.05</f>
        <v>0</v>
      </c>
      <c r="DK24" s="64">
        <f>ROUND(IFERROR(INDEX('Labor Cost_Master'!$G$4:$BC$135,MATCH($DN24,'Labor Cost_Master'!$BD$4:$BD$135,0),MATCH(DK$9,'Labor Cost_Master'!$G$3:$BC$3,0)),0)*BJ24,0)*1.05</f>
        <v>0</v>
      </c>
      <c r="DL24" s="64">
        <f>ROUND(IFERROR(INDEX('Labor Cost_Master'!$G$4:$BC$135,MATCH($DN24,'Labor Cost_Master'!$BD$4:$BD$135,0),MATCH(DL$9,'Labor Cost_Master'!$G$3:$BC$3,0)),0)*BK24,0)*1.05</f>
        <v>0</v>
      </c>
      <c r="DM24" s="66">
        <f t="shared" si="22"/>
        <v>0</v>
      </c>
      <c r="DN24" s="80" t="str">
        <f t="shared" si="23"/>
        <v/>
      </c>
      <c r="DO24" s="64">
        <f>ROUND(IFERROR(INDEX(Benefit_Master!$G$4:$BC$135,MATCH($DN24,Benefit_Master!$BD$4:$BD$135,0),MATCH(DO$9,Benefit_Master!$G$3:$BC$3,0)),0)*M24,0)</f>
        <v>0</v>
      </c>
      <c r="DP24" s="64">
        <f>ROUND(IFERROR(INDEX(Benefit_Master!$G$4:$BC$135,MATCH($DN24,Benefit_Master!$BD$4:$BD$135,0),MATCH(DP$9,Benefit_Master!$G$3:$BC$3,0)),0)*N24,0)</f>
        <v>0</v>
      </c>
      <c r="DQ24" s="64">
        <f>ROUND(IFERROR(INDEX(Benefit_Master!$G$4:$BC$135,MATCH($DN24,Benefit_Master!$BD$4:$BD$135,0),MATCH(DQ$9,Benefit_Master!$G$3:$BC$3,0)),0)*O24,0)</f>
        <v>0</v>
      </c>
      <c r="DR24" s="64">
        <f>ROUND(IFERROR(INDEX(Benefit_Master!$G$4:$BC$135,MATCH($DN24,Benefit_Master!$BD$4:$BD$135,0),MATCH(DR$9,Benefit_Master!$G$3:$BC$3,0)),0)*P24,0)</f>
        <v>0</v>
      </c>
      <c r="DS24" s="64">
        <f>ROUND(IFERROR(INDEX(Benefit_Master!$G$4:$BC$135,MATCH($DN24,Benefit_Master!$BD$4:$BD$135,0),MATCH(DS$9,Benefit_Master!$G$3:$BC$3,0)),0)*Q24,0)</f>
        <v>0</v>
      </c>
      <c r="DT24" s="64">
        <f>ROUND(IFERROR(INDEX(Benefit_Master!$G$4:$BC$135,MATCH($DN24,Benefit_Master!$BD$4:$BD$135,0),MATCH(DT$9,Benefit_Master!$G$3:$BC$3,0)),0)*R24,0)</f>
        <v>0</v>
      </c>
      <c r="DU24" s="64">
        <f>ROUND(IFERROR(INDEX(Benefit_Master!$G$4:$BC$135,MATCH($DN24,Benefit_Master!$BD$4:$BD$135,0),MATCH(DU$9,Benefit_Master!$G$3:$BC$3,0)),0)*S24,0)</f>
        <v>0</v>
      </c>
      <c r="DV24" s="64">
        <f>ROUND(IFERROR(INDEX(Benefit_Master!$G$4:$BC$135,MATCH($DN24,Benefit_Master!$BD$4:$BD$135,0),MATCH(DV$9,Benefit_Master!$G$3:$BC$3,0)),0)*T24,0)</f>
        <v>0</v>
      </c>
      <c r="DW24" s="64">
        <f>ROUND(IFERROR(INDEX(Benefit_Master!$G$4:$BC$135,MATCH($DN24,Benefit_Master!$BD$4:$BD$135,0),MATCH(DW$9,Benefit_Master!$G$3:$BC$3,0)),0)*U24,0)</f>
        <v>0</v>
      </c>
      <c r="DX24" s="64">
        <f>ROUND(IFERROR(INDEX(Benefit_Master!$G$4:$BC$135,MATCH($DN24,Benefit_Master!$BD$4:$BD$135,0),MATCH(DX$9,Benefit_Master!$G$3:$BC$3,0)),0)*V24,0)</f>
        <v>0</v>
      </c>
      <c r="DY24" s="64">
        <f>ROUND(IFERROR(INDEX(Benefit_Master!$G$4:$BC$135,MATCH($DN24,Benefit_Master!$BD$4:$BD$135,0),MATCH(DY$9,Benefit_Master!$G$3:$BC$3,0)),0)*W24,0)</f>
        <v>0</v>
      </c>
      <c r="DZ24" s="64">
        <f>ROUND(IFERROR(INDEX(Benefit_Master!$G$4:$BC$135,MATCH($DN24,Benefit_Master!$BD$4:$BD$135,0),MATCH(DZ$9,Benefit_Master!$G$3:$BC$3,0)),0)*X24,0)</f>
        <v>0</v>
      </c>
      <c r="EA24" s="66">
        <f t="shared" si="24"/>
        <v>0</v>
      </c>
      <c r="EB24" s="64">
        <f>ROUND(IFERROR(INDEX(Benefit_Master!$G$4:$BC$135,MATCH($DN24,Benefit_Master!$BD$4:$BD$135,0),MATCH(EB$9,Benefit_Master!$G$3:$BC$3,0)),0)*Z24,0)</f>
        <v>0</v>
      </c>
      <c r="EC24" s="64">
        <f>ROUND(IFERROR(INDEX(Benefit_Master!$G$4:$BC$135,MATCH($DN24,Benefit_Master!$BD$4:$BD$135,0),MATCH(EC$9,Benefit_Master!$G$3:$BC$3,0)),0)*AA24,0)</f>
        <v>0</v>
      </c>
      <c r="ED24" s="64">
        <f>ROUND(IFERROR(INDEX(Benefit_Master!$G$4:$BC$135,MATCH($DN24,Benefit_Master!$BD$4:$BD$135,0),MATCH(ED$9,Benefit_Master!$G$3:$BC$3,0)),0)*AB24,0)</f>
        <v>0</v>
      </c>
      <c r="EE24" s="64">
        <f>ROUND(IFERROR(INDEX(Benefit_Master!$G$4:$BC$135,MATCH($DN24,Benefit_Master!$BD$4:$BD$135,0),MATCH(EE$9,Benefit_Master!$G$3:$BC$3,0)),0)*AC24,0)</f>
        <v>0</v>
      </c>
      <c r="EF24" s="64">
        <f>ROUND(IFERROR(INDEX(Benefit_Master!$G$4:$BC$135,MATCH($DN24,Benefit_Master!$BD$4:$BD$135,0),MATCH(EF$9,Benefit_Master!$G$3:$BC$3,0)),0)*AD24,0)</f>
        <v>0</v>
      </c>
      <c r="EG24" s="64">
        <f>ROUND(IFERROR(INDEX(Benefit_Master!$G$4:$BC$135,MATCH($DN24,Benefit_Master!$BD$4:$BD$135,0),MATCH(EG$9,Benefit_Master!$G$3:$BC$3,0)),0)*AE24,0)</f>
        <v>0</v>
      </c>
      <c r="EH24" s="64">
        <f>ROUND(IFERROR(INDEX(Benefit_Master!$G$4:$BC$135,MATCH($DN24,Benefit_Master!$BD$4:$BD$135,0),MATCH(EH$9,Benefit_Master!$G$3:$BC$3,0)),0)*AF24,0)</f>
        <v>0</v>
      </c>
      <c r="EI24" s="64">
        <f>ROUND(IFERROR(INDEX(Benefit_Master!$G$4:$BC$135,MATCH($DN24,Benefit_Master!$BD$4:$BD$135,0),MATCH(EI$9,Benefit_Master!$G$3:$BC$3,0)),0)*AG24,0)</f>
        <v>0</v>
      </c>
      <c r="EJ24" s="64">
        <f>ROUND(IFERROR(INDEX(Benefit_Master!$G$4:$BC$135,MATCH($DN24,Benefit_Master!$BD$4:$BD$135,0),MATCH(EJ$9,Benefit_Master!$G$3:$BC$3,0)),0)*AH24,0)</f>
        <v>0</v>
      </c>
      <c r="EK24" s="64">
        <f>ROUND(IFERROR(INDEX(Benefit_Master!$G$4:$BC$135,MATCH($DN24,Benefit_Master!$BD$4:$BD$135,0),MATCH(EK$9,Benefit_Master!$G$3:$BC$3,0)),0)*AI24,0)</f>
        <v>0</v>
      </c>
      <c r="EL24" s="64">
        <f>ROUND(IFERROR(INDEX(Benefit_Master!$G$4:$BC$135,MATCH($DN24,Benefit_Master!$BD$4:$BD$135,0),MATCH(EL$9,Benefit_Master!$G$3:$BC$3,0)),0)*AJ24,0)</f>
        <v>0</v>
      </c>
      <c r="EM24" s="64">
        <f>ROUND(IFERROR(INDEX(Benefit_Master!$G$4:$BC$135,MATCH($DN24,Benefit_Master!$BD$4:$BD$135,0),MATCH(EM$9,Benefit_Master!$G$3:$BC$3,0)),0)*AK24,0)</f>
        <v>0</v>
      </c>
      <c r="EN24" s="66">
        <f t="shared" si="25"/>
        <v>0</v>
      </c>
      <c r="EO24" s="64">
        <f>ROUND(IFERROR(INDEX(Benefit_Master!$G$4:$BC$135,MATCH($DN24,Benefit_Master!$BD$4:$BD$135,0),MATCH(EO$9,Benefit_Master!$G$3:$BC$3,0)),0)*AM24,0)</f>
        <v>0</v>
      </c>
      <c r="EP24" s="64">
        <f>ROUND(IFERROR(INDEX(Benefit_Master!$G$4:$BC$135,MATCH($DN24,Benefit_Master!$BD$4:$BD$135,0),MATCH(EP$9,Benefit_Master!$G$3:$BC$3,0)),0)*AN24,0)</f>
        <v>0</v>
      </c>
      <c r="EQ24" s="64">
        <f>ROUND(IFERROR(INDEX(Benefit_Master!$G$4:$BC$135,MATCH($DN24,Benefit_Master!$BD$4:$BD$135,0),MATCH(EQ$9,Benefit_Master!$G$3:$BC$3,0)),0)*AO24,0)</f>
        <v>0</v>
      </c>
      <c r="ER24" s="64">
        <f>ROUND(IFERROR(INDEX(Benefit_Master!$G$4:$BC$135,MATCH($DN24,Benefit_Master!$BD$4:$BD$135,0),MATCH(ER$9,Benefit_Master!$G$3:$BC$3,0)),0)*AP24,0)</f>
        <v>0</v>
      </c>
      <c r="ES24" s="64">
        <f>ROUND(IFERROR(INDEX(Benefit_Master!$G$4:$BC$135,MATCH($DN24,Benefit_Master!$BD$4:$BD$135,0),MATCH(ES$9,Benefit_Master!$G$3:$BC$3,0)),0)*AQ24,0)</f>
        <v>0</v>
      </c>
      <c r="ET24" s="64">
        <f>ROUND(IFERROR(INDEX(Benefit_Master!$G$4:$BC$135,MATCH($DN24,Benefit_Master!$BD$4:$BD$135,0),MATCH(ET$9,Benefit_Master!$G$3:$BC$3,0)),0)*AR24,0)</f>
        <v>0</v>
      </c>
      <c r="EU24" s="64">
        <f>ROUND(IFERROR(INDEX(Benefit_Master!$G$4:$BC$135,MATCH($DN24,Benefit_Master!$BD$4:$BD$135,0),MATCH(EU$9,Benefit_Master!$G$3:$BC$3,0)),0)*AS24,0)</f>
        <v>0</v>
      </c>
      <c r="EV24" s="64">
        <f>ROUND(IFERROR(INDEX(Benefit_Master!$G$4:$BC$135,MATCH($DN24,Benefit_Master!$BD$4:$BD$135,0),MATCH(EV$9,Benefit_Master!$G$3:$BC$3,0)),0)*AT24,0)</f>
        <v>0</v>
      </c>
      <c r="EW24" s="64">
        <f>ROUND(IFERROR(INDEX(Benefit_Master!$G$4:$BC$135,MATCH($DN24,Benefit_Master!$BD$4:$BD$135,0),MATCH(EW$9,Benefit_Master!$G$3:$BC$3,0)),0)*AU24,0)</f>
        <v>0</v>
      </c>
      <c r="EX24" s="64">
        <f>ROUND(IFERROR(INDEX(Benefit_Master!$G$4:$BC$135,MATCH($DN24,Benefit_Master!$BD$4:$BD$135,0),MATCH(EX$9,Benefit_Master!$G$3:$BC$3,0)),0)*AV24,0)</f>
        <v>0</v>
      </c>
      <c r="EY24" s="64">
        <f>ROUND(IFERROR(INDEX(Benefit_Master!$G$4:$BC$135,MATCH($DN24,Benefit_Master!$BD$4:$BD$135,0),MATCH(EY$9,Benefit_Master!$G$3:$BC$3,0)),0)*AW24,0)</f>
        <v>0</v>
      </c>
      <c r="EZ24" s="64">
        <f>ROUND(IFERROR(INDEX(Benefit_Master!$G$4:$BC$135,MATCH($DN24,Benefit_Master!$BD$4:$BD$135,0),MATCH(EZ$9,Benefit_Master!$G$3:$BC$3,0)),0)*AX24,0)</f>
        <v>0</v>
      </c>
      <c r="FA24" s="66">
        <f t="shared" si="26"/>
        <v>0</v>
      </c>
      <c r="FB24" s="64">
        <f>ROUND(IFERROR(INDEX(Benefit_Master!$G$4:$BC$135,MATCH($DN24,Benefit_Master!$BD$4:$BD$135,0),MATCH(FB$9,Benefit_Master!$G$3:$BC$3,0)),0)*AZ24,0)</f>
        <v>0</v>
      </c>
      <c r="FC24" s="64">
        <f>ROUND(IFERROR(INDEX(Benefit_Master!$G$4:$BC$135,MATCH($DN24,Benefit_Master!$BD$4:$BD$135,0),MATCH(FC$9,Benefit_Master!$G$3:$BC$3,0)),0)*BA24,0)</f>
        <v>0</v>
      </c>
      <c r="FD24" s="64">
        <f>ROUND(IFERROR(INDEX(Benefit_Master!$G$4:$BC$135,MATCH($DN24,Benefit_Master!$BD$4:$BD$135,0),MATCH(FD$9,Benefit_Master!$G$3:$BC$3,0)),0)*BB24,0)</f>
        <v>0</v>
      </c>
      <c r="FE24" s="64">
        <f>ROUND(IFERROR(INDEX(Benefit_Master!$G$4:$BC$135,MATCH($DN24,Benefit_Master!$BD$4:$BD$135,0),MATCH(FE$9,Benefit_Master!$G$3:$BC$3,0)),0)*BC24,0)</f>
        <v>0</v>
      </c>
      <c r="FF24" s="64">
        <f>ROUND(IFERROR(INDEX(Benefit_Master!$G$4:$BC$135,MATCH($DN24,Benefit_Master!$BD$4:$BD$135,0),MATCH(FF$9,Benefit_Master!$G$3:$BC$3,0)),0)*BD24,0)</f>
        <v>0</v>
      </c>
      <c r="FG24" s="64">
        <f>ROUND(IFERROR(INDEX(Benefit_Master!$G$4:$BC$135,MATCH($DN24,Benefit_Master!$BD$4:$BD$135,0),MATCH(FG$9,Benefit_Master!$G$3:$BC$3,0)),0)*BE24,0)</f>
        <v>0</v>
      </c>
      <c r="FH24" s="64">
        <f>ROUND(IFERROR(INDEX(Benefit_Master!$G$4:$BC$135,MATCH($DN24,Benefit_Master!$BD$4:$BD$135,0),MATCH(FH$9,Benefit_Master!$G$3:$BC$3,0)),0)*BF24,0)</f>
        <v>0</v>
      </c>
      <c r="FI24" s="64">
        <f>ROUND(IFERROR(INDEX(Benefit_Master!$G$4:$BC$135,MATCH($DN24,Benefit_Master!$BD$4:$BD$135,0),MATCH(FI$9,Benefit_Master!$G$3:$BC$3,0)),0)*BG24,0)</f>
        <v>0</v>
      </c>
      <c r="FJ24" s="64">
        <f>ROUND(IFERROR(INDEX(Benefit_Master!$G$4:$BC$135,MATCH($DN24,Benefit_Master!$BD$4:$BD$135,0),MATCH(FJ$9,Benefit_Master!$G$3:$BC$3,0)),0)*BH24,0)</f>
        <v>0</v>
      </c>
      <c r="FK24" s="64">
        <f>ROUND(IFERROR(INDEX(Benefit_Master!$G$4:$BC$135,MATCH($DN24,Benefit_Master!$BD$4:$BD$135,0),MATCH(FK$9,Benefit_Master!$G$3:$BC$3,0)),0)*BI24,0)</f>
        <v>0</v>
      </c>
      <c r="FL24" s="64">
        <f>ROUND(IFERROR(INDEX(Benefit_Master!$G$4:$BC$135,MATCH($DN24,Benefit_Master!$BD$4:$BD$135,0),MATCH(FL$9,Benefit_Master!$G$3:$BC$3,0)),0)*BJ24,0)</f>
        <v>0</v>
      </c>
      <c r="FM24" s="64">
        <f>ROUND(IFERROR(INDEX(Benefit_Master!$G$4:$BC$135,MATCH($DN24,Benefit_Master!$BD$4:$BD$135,0),MATCH(FM$9,Benefit_Master!$G$3:$BC$3,0)),0)*BK24,0)</f>
        <v>0</v>
      </c>
      <c r="FN24" s="66">
        <f t="shared" si="27"/>
        <v>0</v>
      </c>
    </row>
    <row r="25" spans="2:170" s="12" customFormat="1" ht="15" customHeight="1">
      <c r="B25" s="93">
        <f t="shared" si="28"/>
        <v>13</v>
      </c>
      <c r="C25" s="89"/>
      <c r="D25" s="97"/>
      <c r="E25" s="1157"/>
      <c r="F25" s="425"/>
      <c r="G25" s="94" t="str">
        <f>IFERROR(VLOOKUP($F25,Master!$B$1:$C$7,2,0),"-")</f>
        <v>-</v>
      </c>
      <c r="H25" s="95">
        <f t="shared" si="12"/>
        <v>0</v>
      </c>
      <c r="I25" s="138">
        <f t="shared" si="13"/>
        <v>0</v>
      </c>
      <c r="J25" s="138">
        <f t="shared" si="14"/>
        <v>0</v>
      </c>
      <c r="K25" s="96"/>
      <c r="L25"/>
      <c r="M25" s="58"/>
      <c r="N25" s="59"/>
      <c r="O25" s="59"/>
      <c r="P25" s="59"/>
      <c r="Q25" s="59"/>
      <c r="R25" s="59"/>
      <c r="S25" s="59"/>
      <c r="T25" s="59"/>
      <c r="U25" s="679"/>
      <c r="V25" s="56"/>
      <c r="W25" s="56"/>
      <c r="X25" s="56"/>
      <c r="Y25" s="60">
        <f t="shared" si="15"/>
        <v>0</v>
      </c>
      <c r="Z25" s="55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60">
        <f t="shared" si="16"/>
        <v>0</v>
      </c>
      <c r="AM25" s="58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60">
        <f t="shared" si="17"/>
        <v>0</v>
      </c>
      <c r="AZ25" s="58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60">
        <f t="shared" si="18"/>
        <v>0</v>
      </c>
      <c r="BM25"/>
      <c r="BN25" s="64">
        <f>ROUND(IFERROR(INDEX('Labor Cost_Master'!$G$4:$BC$135,MATCH($DN25,'Labor Cost_Master'!$BD$4:$BD$135,0),MATCH(BN$9,'Labor Cost_Master'!$G$3:$BC$3,0)),0)*M25,0)</f>
        <v>0</v>
      </c>
      <c r="BO25" s="64">
        <f>ROUND(IFERROR(INDEX('Labor Cost_Master'!$G$4:$BC$135,MATCH($DN25,'Labor Cost_Master'!$BD$4:$BD$135,0),MATCH(BO$9,'Labor Cost_Master'!$G$3:$BC$3,0)),0)*N25,0)</f>
        <v>0</v>
      </c>
      <c r="BP25" s="64">
        <f>ROUND(IFERROR(INDEX('Labor Cost_Master'!$G$4:$BC$135,MATCH($DN25,'Labor Cost_Master'!$BD$4:$BD$135,0),MATCH(BP$9,'Labor Cost_Master'!$G$3:$BC$3,0)),0)*O25,0)</f>
        <v>0</v>
      </c>
      <c r="BQ25" s="64">
        <f>ROUND(IFERROR(INDEX('Labor Cost_Master'!$G$4:$BC$135,MATCH($DN25,'Labor Cost_Master'!$BD$4:$BD$135,0),MATCH(BQ$9,'Labor Cost_Master'!$G$3:$BC$3,0)),0)*P25,0)</f>
        <v>0</v>
      </c>
      <c r="BR25" s="64">
        <f>ROUND(IFERROR(INDEX('Labor Cost_Master'!$G$4:$BC$135,MATCH($DN25,'Labor Cost_Master'!$BD$4:$BD$135,0),MATCH(BR$9,'Labor Cost_Master'!$G$3:$BC$3,0)),0)*Q25,0)</f>
        <v>0</v>
      </c>
      <c r="BS25" s="64">
        <f>ROUND(IFERROR(INDEX('Labor Cost_Master'!$G$4:$BC$135,MATCH($DN25,'Labor Cost_Master'!$BD$4:$BD$135,0),MATCH(BS$9,'Labor Cost_Master'!$G$3:$BC$3,0)),0)*R25,0)</f>
        <v>0</v>
      </c>
      <c r="BT25" s="64">
        <f>ROUND(IFERROR(INDEX('Labor Cost_Master'!$G$4:$BC$135,MATCH($DN25,'Labor Cost_Master'!$BD$4:$BD$135,0),MATCH(BT$9,'Labor Cost_Master'!$G$3:$BC$3,0)),0)*S25,0)</f>
        <v>0</v>
      </c>
      <c r="BU25" s="64">
        <f>ROUND(IFERROR(INDEX('Labor Cost_Master'!$G$4:$BC$135,MATCH($DN25,'Labor Cost_Master'!$BD$4:$BD$135,0),MATCH(BU$9,'Labor Cost_Master'!$G$3:$BC$3,0)),0)*T25,0)</f>
        <v>0</v>
      </c>
      <c r="BV25" s="64">
        <f>ROUND(IFERROR(INDEX('Labor Cost_Master'!$G$4:$BC$135,MATCH($DN25,'Labor Cost_Master'!$BD$4:$BD$135,0),MATCH(BV$9,'Labor Cost_Master'!$G$3:$BC$3,0)),0)*U25,0)</f>
        <v>0</v>
      </c>
      <c r="BW25" s="64">
        <f>ROUND(IFERROR(INDEX('Labor Cost_Master'!$G$4:$BC$135,MATCH($DN25,'Labor Cost_Master'!$BD$4:$BD$135,0),MATCH(BW$9,'Labor Cost_Master'!$G$3:$BC$3,0)),0)*V25,0)</f>
        <v>0</v>
      </c>
      <c r="BX25" s="64">
        <f>ROUND(IFERROR(INDEX('Labor Cost_Master'!$G$4:$BC$135,MATCH($DN25,'Labor Cost_Master'!$BD$4:$BD$135,0),MATCH(BX$9,'Labor Cost_Master'!$G$3:$BC$3,0)),0)*W25,0)</f>
        <v>0</v>
      </c>
      <c r="BY25" s="64">
        <f>ROUND(IFERROR(INDEX('Labor Cost_Master'!$G$4:$BC$135,MATCH($DN25,'Labor Cost_Master'!$BD$4:$BD$135,0),MATCH(BY$9,'Labor Cost_Master'!$G$3:$BC$3,0)),0)*X25,0)</f>
        <v>0</v>
      </c>
      <c r="BZ25" s="66">
        <f t="shared" si="19"/>
        <v>0</v>
      </c>
      <c r="CA25" s="64">
        <f>ROUND(IFERROR(INDEX('Labor Cost_Master'!$G$4:$BC$135,MATCH($DN25,'Labor Cost_Master'!$BD$4:$BD$135,0),MATCH(CA$9,'Labor Cost_Master'!$G$3:$BC$3,0)),0)*Z25,0)</f>
        <v>0</v>
      </c>
      <c r="CB25" s="64">
        <f>ROUND(IFERROR(INDEX('Labor Cost_Master'!$G$4:$BC$135,MATCH($DN25,'Labor Cost_Master'!$BD$4:$BD$135,0),MATCH(CB$9,'Labor Cost_Master'!$G$3:$BC$3,0)),0)*AA25,0)</f>
        <v>0</v>
      </c>
      <c r="CC25" s="64">
        <f>ROUND(IFERROR(INDEX('Labor Cost_Master'!$G$4:$BC$135,MATCH($DN25,'Labor Cost_Master'!$BD$4:$BD$135,0),MATCH(CC$9,'Labor Cost_Master'!$G$3:$BC$3,0)),0)*AB25,0)</f>
        <v>0</v>
      </c>
      <c r="CD25" s="64">
        <f>ROUND(IFERROR(INDEX('Labor Cost_Master'!$G$4:$BC$135,MATCH($DN25,'Labor Cost_Master'!$BD$4:$BD$135,0),MATCH(CD$9,'Labor Cost_Master'!$G$3:$BC$3,0)),0)*AC25,0)</f>
        <v>0</v>
      </c>
      <c r="CE25" s="64">
        <f>ROUND(IFERROR(INDEX('Labor Cost_Master'!$G$4:$BC$135,MATCH($DN25,'Labor Cost_Master'!$BD$4:$BD$135,0),MATCH(CE$9,'Labor Cost_Master'!$G$3:$BC$3,0)),0)*AD25,0)</f>
        <v>0</v>
      </c>
      <c r="CF25" s="64">
        <f>ROUND(IFERROR(INDEX('Labor Cost_Master'!$G$4:$BC$135,MATCH($DN25,'Labor Cost_Master'!$BD$4:$BD$135,0),MATCH(CF$9,'Labor Cost_Master'!$G$3:$BC$3,0)),0)*AE25,0)</f>
        <v>0</v>
      </c>
      <c r="CG25" s="64">
        <f>ROUND(IFERROR(INDEX('Labor Cost_Master'!$G$4:$BC$135,MATCH($DN25,'Labor Cost_Master'!$BD$4:$BD$135,0),MATCH(CG$9,'Labor Cost_Master'!$G$3:$BC$3,0)),0)*AF25,0)</f>
        <v>0</v>
      </c>
      <c r="CH25" s="64">
        <f>ROUND(IFERROR(INDEX('Labor Cost_Master'!$G$4:$BC$135,MATCH($DN25,'Labor Cost_Master'!$BD$4:$BD$135,0),MATCH(CH$9,'Labor Cost_Master'!$G$3:$BC$3,0)),0)*AG25,0)</f>
        <v>0</v>
      </c>
      <c r="CI25" s="64">
        <f>ROUND(IFERROR(INDEX('Labor Cost_Master'!$G$4:$BC$135,MATCH($DN25,'Labor Cost_Master'!$BD$4:$BD$135,0),MATCH(CI$9,'Labor Cost_Master'!$G$3:$BC$3,0)),0)*AH25,0)</f>
        <v>0</v>
      </c>
      <c r="CJ25" s="64">
        <f>ROUND(IFERROR(INDEX('Labor Cost_Master'!$G$4:$BC$135,MATCH($DN25,'Labor Cost_Master'!$BD$4:$BD$135,0),MATCH(CJ$9,'Labor Cost_Master'!$G$3:$BC$3,0)),0)*AI25,0)</f>
        <v>0</v>
      </c>
      <c r="CK25" s="64">
        <f>ROUND(IFERROR(INDEX('Labor Cost_Master'!$G$4:$BC$135,MATCH($DN25,'Labor Cost_Master'!$BD$4:$BD$135,0),MATCH(CK$9,'Labor Cost_Master'!$G$3:$BC$3,0)),0)*AJ25,0)</f>
        <v>0</v>
      </c>
      <c r="CL25" s="64">
        <f>ROUND(IFERROR(INDEX('Labor Cost_Master'!$G$4:$BC$135,MATCH($DN25,'Labor Cost_Master'!$BD$4:$BD$135,0),MATCH(CL$9,'Labor Cost_Master'!$G$3:$BC$3,0)),0)*AK25,0)</f>
        <v>0</v>
      </c>
      <c r="CM25" s="66">
        <f t="shared" si="20"/>
        <v>0</v>
      </c>
      <c r="CN25" s="64">
        <f>ROUND(IFERROR(INDEX('Labor Cost_Master'!$G$4:$BC$135,MATCH($DN25,'Labor Cost_Master'!$BD$4:$BD$135,0),MATCH(CN$9,'Labor Cost_Master'!$G$3:$BC$3,0)),0)*AM25,0)</f>
        <v>0</v>
      </c>
      <c r="CO25" s="64">
        <f>ROUND(IFERROR(INDEX('Labor Cost_Master'!$G$4:$BC$135,MATCH($DN25,'Labor Cost_Master'!$BD$4:$BD$135,0),MATCH(CO$9,'Labor Cost_Master'!$G$3:$BC$3,0)),0)*AN25,0)</f>
        <v>0</v>
      </c>
      <c r="CP25" s="64">
        <f>ROUND(IFERROR(INDEX('Labor Cost_Master'!$G$4:$BC$135,MATCH($DN25,'Labor Cost_Master'!$BD$4:$BD$135,0),MATCH(CP$9,'Labor Cost_Master'!$G$3:$BC$3,0)),0)*AO25,0)</f>
        <v>0</v>
      </c>
      <c r="CQ25" s="64">
        <f>ROUND(IFERROR(INDEX('Labor Cost_Master'!$G$4:$BC$135,MATCH($DN25,'Labor Cost_Master'!$BD$4:$BD$135,0),MATCH(CQ$9,'Labor Cost_Master'!$G$3:$BC$3,0)),0)*AP25,0)</f>
        <v>0</v>
      </c>
      <c r="CR25" s="64">
        <f>ROUND(IFERROR(INDEX('Labor Cost_Master'!$G$4:$BC$135,MATCH($DN25,'Labor Cost_Master'!$BD$4:$BD$135,0),MATCH(CR$9,'Labor Cost_Master'!$G$3:$BC$3,0)),0)*AQ25,0)</f>
        <v>0</v>
      </c>
      <c r="CS25" s="64">
        <f>ROUND(IFERROR(INDEX('Labor Cost_Master'!$G$4:$BC$135,MATCH($DN25,'Labor Cost_Master'!$BD$4:$BD$135,0),MATCH(CS$9,'Labor Cost_Master'!$G$3:$BC$3,0)),0)*AR25,0)</f>
        <v>0</v>
      </c>
      <c r="CT25" s="64">
        <f>ROUND(IFERROR(INDEX('Labor Cost_Master'!$G$4:$BC$135,MATCH($DN25,'Labor Cost_Master'!$BD$4:$BD$135,0),MATCH(CT$9,'Labor Cost_Master'!$G$3:$BC$3,0)),0)*AS25,0)</f>
        <v>0</v>
      </c>
      <c r="CU25" s="64">
        <f>ROUND(IFERROR(INDEX('Labor Cost_Master'!$G$4:$BC$135,MATCH($DN25,'Labor Cost_Master'!$BD$4:$BD$135,0),MATCH(CU$9,'Labor Cost_Master'!$G$3:$BC$3,0)),0)*AT25,0)</f>
        <v>0</v>
      </c>
      <c r="CV25" s="64">
        <f>ROUND(IFERROR(INDEX('Labor Cost_Master'!$G$4:$BC$135,MATCH($DN25,'Labor Cost_Master'!$BD$4:$BD$135,0),MATCH(CV$9,'Labor Cost_Master'!$G$3:$BC$3,0)),0)*AU25,0)</f>
        <v>0</v>
      </c>
      <c r="CW25" s="64">
        <f>ROUND(IFERROR(INDEX('Labor Cost_Master'!$G$4:$BC$135,MATCH($DN25,'Labor Cost_Master'!$BD$4:$BD$135,0),MATCH(CW$9,'Labor Cost_Master'!$G$3:$BC$3,0)),0)*AV25,0)</f>
        <v>0</v>
      </c>
      <c r="CX25" s="64">
        <f>ROUND(IFERROR(INDEX('Labor Cost_Master'!$G$4:$BC$135,MATCH($DN25,'Labor Cost_Master'!$BD$4:$BD$135,0),MATCH(CX$9,'Labor Cost_Master'!$G$3:$BC$3,0)),0)*AW25,0)</f>
        <v>0</v>
      </c>
      <c r="CY25" s="64">
        <f>ROUND(IFERROR(INDEX('Labor Cost_Master'!$G$4:$BC$135,MATCH($DN25,'Labor Cost_Master'!$BD$4:$BD$135,0),MATCH(CY$9,'Labor Cost_Master'!$G$3:$BC$3,0)),0)*AX25,0)</f>
        <v>0</v>
      </c>
      <c r="CZ25" s="66">
        <f t="shared" si="21"/>
        <v>0</v>
      </c>
      <c r="DA25" s="64">
        <f>ROUND(IFERROR(INDEX('Labor Cost_Master'!$G$4:$BC$135,MATCH($DN25,'Labor Cost_Master'!$BD$4:$BD$135,0),MATCH(DA$9,'Labor Cost_Master'!$G$3:$BC$3,0)),0)*AZ25,0)</f>
        <v>0</v>
      </c>
      <c r="DB25" s="64">
        <f>ROUND(IFERROR(INDEX('Labor Cost_Master'!$G$4:$BC$135,MATCH($DN25,'Labor Cost_Master'!$BD$4:$BD$135,0),MATCH(DB$9,'Labor Cost_Master'!$G$3:$BC$3,0)),0)*BA25,0)</f>
        <v>0</v>
      </c>
      <c r="DC25" s="1166">
        <f>ROUND(IFERROR(INDEX('Labor Cost_Master'!$G$4:$BC$135,MATCH($DN25,'Labor Cost_Master'!$BD$4:$BD$135,0),MATCH(DC$9,'Labor Cost_Master'!$G$3:$BC$3,0)),0)*BB25,0)*1.05</f>
        <v>0</v>
      </c>
      <c r="DD25" s="64">
        <f>ROUND(IFERROR(INDEX('Labor Cost_Master'!$G$4:$BC$135,MATCH($DN25,'Labor Cost_Master'!$BD$4:$BD$135,0),MATCH(DD$9,'Labor Cost_Master'!$G$3:$BC$3,0)),0)*BC25,0)*1.05</f>
        <v>0</v>
      </c>
      <c r="DE25" s="64">
        <f>ROUND(IFERROR(INDEX('Labor Cost_Master'!$G$4:$BC$135,MATCH($DN25,'Labor Cost_Master'!$BD$4:$BD$135,0),MATCH(DE$9,'Labor Cost_Master'!$G$3:$BC$3,0)),0)*BD25,0)*1.05</f>
        <v>0</v>
      </c>
      <c r="DF25" s="64">
        <f>ROUND(IFERROR(INDEX('Labor Cost_Master'!$G$4:$BC$135,MATCH($DN25,'Labor Cost_Master'!$BD$4:$BD$135,0),MATCH(DF$9,'Labor Cost_Master'!$G$3:$BC$3,0)),0)*BE25,0)*1.05</f>
        <v>0</v>
      </c>
      <c r="DG25" s="64">
        <f>ROUND(IFERROR(INDEX('Labor Cost_Master'!$G$4:$BC$135,MATCH($DN25,'Labor Cost_Master'!$BD$4:$BD$135,0),MATCH(DG$9,'Labor Cost_Master'!$G$3:$BC$3,0)),0)*BF25,0)*1.05</f>
        <v>0</v>
      </c>
      <c r="DH25" s="64">
        <f>ROUND(IFERROR(INDEX('Labor Cost_Master'!$G$4:$BC$135,MATCH($DN25,'Labor Cost_Master'!$BD$4:$BD$135,0),MATCH(DH$9,'Labor Cost_Master'!$G$3:$BC$3,0)),0)*BG25,0)*1.05</f>
        <v>0</v>
      </c>
      <c r="DI25" s="64">
        <f>ROUND(IFERROR(INDEX('Labor Cost_Master'!$G$4:$BC$135,MATCH($DN25,'Labor Cost_Master'!$BD$4:$BD$135,0),MATCH(DI$9,'Labor Cost_Master'!$G$3:$BC$3,0)),0)*BH25,0)*1.05</f>
        <v>0</v>
      </c>
      <c r="DJ25" s="64">
        <f>ROUND(IFERROR(INDEX('Labor Cost_Master'!$G$4:$BC$135,MATCH($DN25,'Labor Cost_Master'!$BD$4:$BD$135,0),MATCH(DJ$9,'Labor Cost_Master'!$G$3:$BC$3,0)),0)*BI25,0)*1.05</f>
        <v>0</v>
      </c>
      <c r="DK25" s="64">
        <f>ROUND(IFERROR(INDEX('Labor Cost_Master'!$G$4:$BC$135,MATCH($DN25,'Labor Cost_Master'!$BD$4:$BD$135,0),MATCH(DK$9,'Labor Cost_Master'!$G$3:$BC$3,0)),0)*BJ25,0)*1.05</f>
        <v>0</v>
      </c>
      <c r="DL25" s="64">
        <f>ROUND(IFERROR(INDEX('Labor Cost_Master'!$G$4:$BC$135,MATCH($DN25,'Labor Cost_Master'!$BD$4:$BD$135,0),MATCH(DL$9,'Labor Cost_Master'!$G$3:$BC$3,0)),0)*BK25,0)*1.05</f>
        <v>0</v>
      </c>
      <c r="DM25" s="66">
        <f t="shared" si="22"/>
        <v>0</v>
      </c>
      <c r="DN25" s="80" t="str">
        <f t="shared" si="23"/>
        <v/>
      </c>
      <c r="DO25" s="64">
        <f>ROUND(IFERROR(INDEX(Benefit_Master!$G$4:$BC$135,MATCH($DN25,Benefit_Master!$BD$4:$BD$135,0),MATCH(DO$9,Benefit_Master!$G$3:$BC$3,0)),0)*M25,0)</f>
        <v>0</v>
      </c>
      <c r="DP25" s="64">
        <f>ROUND(IFERROR(INDEX(Benefit_Master!$G$4:$BC$135,MATCH($DN25,Benefit_Master!$BD$4:$BD$135,0),MATCH(DP$9,Benefit_Master!$G$3:$BC$3,0)),0)*N25,0)</f>
        <v>0</v>
      </c>
      <c r="DQ25" s="64">
        <f>ROUND(IFERROR(INDEX(Benefit_Master!$G$4:$BC$135,MATCH($DN25,Benefit_Master!$BD$4:$BD$135,0),MATCH(DQ$9,Benefit_Master!$G$3:$BC$3,0)),0)*O25,0)</f>
        <v>0</v>
      </c>
      <c r="DR25" s="64">
        <f>ROUND(IFERROR(INDEX(Benefit_Master!$G$4:$BC$135,MATCH($DN25,Benefit_Master!$BD$4:$BD$135,0),MATCH(DR$9,Benefit_Master!$G$3:$BC$3,0)),0)*P25,0)</f>
        <v>0</v>
      </c>
      <c r="DS25" s="64">
        <f>ROUND(IFERROR(INDEX(Benefit_Master!$G$4:$BC$135,MATCH($DN25,Benefit_Master!$BD$4:$BD$135,0),MATCH(DS$9,Benefit_Master!$G$3:$BC$3,0)),0)*Q25,0)</f>
        <v>0</v>
      </c>
      <c r="DT25" s="64">
        <f>ROUND(IFERROR(INDEX(Benefit_Master!$G$4:$BC$135,MATCH($DN25,Benefit_Master!$BD$4:$BD$135,0),MATCH(DT$9,Benefit_Master!$G$3:$BC$3,0)),0)*R25,0)</f>
        <v>0</v>
      </c>
      <c r="DU25" s="64">
        <f>ROUND(IFERROR(INDEX(Benefit_Master!$G$4:$BC$135,MATCH($DN25,Benefit_Master!$BD$4:$BD$135,0),MATCH(DU$9,Benefit_Master!$G$3:$BC$3,0)),0)*S25,0)</f>
        <v>0</v>
      </c>
      <c r="DV25" s="64">
        <f>ROUND(IFERROR(INDEX(Benefit_Master!$G$4:$BC$135,MATCH($DN25,Benefit_Master!$BD$4:$BD$135,0),MATCH(DV$9,Benefit_Master!$G$3:$BC$3,0)),0)*T25,0)</f>
        <v>0</v>
      </c>
      <c r="DW25" s="64">
        <f>ROUND(IFERROR(INDEX(Benefit_Master!$G$4:$BC$135,MATCH($DN25,Benefit_Master!$BD$4:$BD$135,0),MATCH(DW$9,Benefit_Master!$G$3:$BC$3,0)),0)*U25,0)</f>
        <v>0</v>
      </c>
      <c r="DX25" s="64">
        <f>ROUND(IFERROR(INDEX(Benefit_Master!$G$4:$BC$135,MATCH($DN25,Benefit_Master!$BD$4:$BD$135,0),MATCH(DX$9,Benefit_Master!$G$3:$BC$3,0)),0)*V25,0)</f>
        <v>0</v>
      </c>
      <c r="DY25" s="64">
        <f>ROUND(IFERROR(INDEX(Benefit_Master!$G$4:$BC$135,MATCH($DN25,Benefit_Master!$BD$4:$BD$135,0),MATCH(DY$9,Benefit_Master!$G$3:$BC$3,0)),0)*W25,0)</f>
        <v>0</v>
      </c>
      <c r="DZ25" s="64">
        <f>ROUND(IFERROR(INDEX(Benefit_Master!$G$4:$BC$135,MATCH($DN25,Benefit_Master!$BD$4:$BD$135,0),MATCH(DZ$9,Benefit_Master!$G$3:$BC$3,0)),0)*X25,0)</f>
        <v>0</v>
      </c>
      <c r="EA25" s="66">
        <f t="shared" si="24"/>
        <v>0</v>
      </c>
      <c r="EB25" s="64">
        <f>ROUND(IFERROR(INDEX(Benefit_Master!$G$4:$BC$135,MATCH($DN25,Benefit_Master!$BD$4:$BD$135,0),MATCH(EB$9,Benefit_Master!$G$3:$BC$3,0)),0)*Z25,0)</f>
        <v>0</v>
      </c>
      <c r="EC25" s="64">
        <f>ROUND(IFERROR(INDEX(Benefit_Master!$G$4:$BC$135,MATCH($DN25,Benefit_Master!$BD$4:$BD$135,0),MATCH(EC$9,Benefit_Master!$G$3:$BC$3,0)),0)*AA25,0)</f>
        <v>0</v>
      </c>
      <c r="ED25" s="64">
        <f>ROUND(IFERROR(INDEX(Benefit_Master!$G$4:$BC$135,MATCH($DN25,Benefit_Master!$BD$4:$BD$135,0),MATCH(ED$9,Benefit_Master!$G$3:$BC$3,0)),0)*AB25,0)</f>
        <v>0</v>
      </c>
      <c r="EE25" s="64">
        <f>ROUND(IFERROR(INDEX(Benefit_Master!$G$4:$BC$135,MATCH($DN25,Benefit_Master!$BD$4:$BD$135,0),MATCH(EE$9,Benefit_Master!$G$3:$BC$3,0)),0)*AC25,0)</f>
        <v>0</v>
      </c>
      <c r="EF25" s="64">
        <f>ROUND(IFERROR(INDEX(Benefit_Master!$G$4:$BC$135,MATCH($DN25,Benefit_Master!$BD$4:$BD$135,0),MATCH(EF$9,Benefit_Master!$G$3:$BC$3,0)),0)*AD25,0)</f>
        <v>0</v>
      </c>
      <c r="EG25" s="64">
        <f>ROUND(IFERROR(INDEX(Benefit_Master!$G$4:$BC$135,MATCH($DN25,Benefit_Master!$BD$4:$BD$135,0),MATCH(EG$9,Benefit_Master!$G$3:$BC$3,0)),0)*AE25,0)</f>
        <v>0</v>
      </c>
      <c r="EH25" s="64">
        <f>ROUND(IFERROR(INDEX(Benefit_Master!$G$4:$BC$135,MATCH($DN25,Benefit_Master!$BD$4:$BD$135,0),MATCH(EH$9,Benefit_Master!$G$3:$BC$3,0)),0)*AF25,0)</f>
        <v>0</v>
      </c>
      <c r="EI25" s="64">
        <f>ROUND(IFERROR(INDEX(Benefit_Master!$G$4:$BC$135,MATCH($DN25,Benefit_Master!$BD$4:$BD$135,0),MATCH(EI$9,Benefit_Master!$G$3:$BC$3,0)),0)*AG25,0)</f>
        <v>0</v>
      </c>
      <c r="EJ25" s="64">
        <f>ROUND(IFERROR(INDEX(Benefit_Master!$G$4:$BC$135,MATCH($DN25,Benefit_Master!$BD$4:$BD$135,0),MATCH(EJ$9,Benefit_Master!$G$3:$BC$3,0)),0)*AH25,0)</f>
        <v>0</v>
      </c>
      <c r="EK25" s="64">
        <f>ROUND(IFERROR(INDEX(Benefit_Master!$G$4:$BC$135,MATCH($DN25,Benefit_Master!$BD$4:$BD$135,0),MATCH(EK$9,Benefit_Master!$G$3:$BC$3,0)),0)*AI25,0)</f>
        <v>0</v>
      </c>
      <c r="EL25" s="64">
        <f>ROUND(IFERROR(INDEX(Benefit_Master!$G$4:$BC$135,MATCH($DN25,Benefit_Master!$BD$4:$BD$135,0),MATCH(EL$9,Benefit_Master!$G$3:$BC$3,0)),0)*AJ25,0)</f>
        <v>0</v>
      </c>
      <c r="EM25" s="64">
        <f>ROUND(IFERROR(INDEX(Benefit_Master!$G$4:$BC$135,MATCH($DN25,Benefit_Master!$BD$4:$BD$135,0),MATCH(EM$9,Benefit_Master!$G$3:$BC$3,0)),0)*AK25,0)</f>
        <v>0</v>
      </c>
      <c r="EN25" s="66">
        <f t="shared" si="25"/>
        <v>0</v>
      </c>
      <c r="EO25" s="64">
        <f>ROUND(IFERROR(INDEX(Benefit_Master!$G$4:$BC$135,MATCH($DN25,Benefit_Master!$BD$4:$BD$135,0),MATCH(EO$9,Benefit_Master!$G$3:$BC$3,0)),0)*AM25,0)</f>
        <v>0</v>
      </c>
      <c r="EP25" s="64">
        <f>ROUND(IFERROR(INDEX(Benefit_Master!$G$4:$BC$135,MATCH($DN25,Benefit_Master!$BD$4:$BD$135,0),MATCH(EP$9,Benefit_Master!$G$3:$BC$3,0)),0)*AN25,0)</f>
        <v>0</v>
      </c>
      <c r="EQ25" s="64">
        <f>ROUND(IFERROR(INDEX(Benefit_Master!$G$4:$BC$135,MATCH($DN25,Benefit_Master!$BD$4:$BD$135,0),MATCH(EQ$9,Benefit_Master!$G$3:$BC$3,0)),0)*AO25,0)</f>
        <v>0</v>
      </c>
      <c r="ER25" s="64">
        <f>ROUND(IFERROR(INDEX(Benefit_Master!$G$4:$BC$135,MATCH($DN25,Benefit_Master!$BD$4:$BD$135,0),MATCH(ER$9,Benefit_Master!$G$3:$BC$3,0)),0)*AP25,0)</f>
        <v>0</v>
      </c>
      <c r="ES25" s="64">
        <f>ROUND(IFERROR(INDEX(Benefit_Master!$G$4:$BC$135,MATCH($DN25,Benefit_Master!$BD$4:$BD$135,0),MATCH(ES$9,Benefit_Master!$G$3:$BC$3,0)),0)*AQ25,0)</f>
        <v>0</v>
      </c>
      <c r="ET25" s="64">
        <f>ROUND(IFERROR(INDEX(Benefit_Master!$G$4:$BC$135,MATCH($DN25,Benefit_Master!$BD$4:$BD$135,0),MATCH(ET$9,Benefit_Master!$G$3:$BC$3,0)),0)*AR25,0)</f>
        <v>0</v>
      </c>
      <c r="EU25" s="64">
        <f>ROUND(IFERROR(INDEX(Benefit_Master!$G$4:$BC$135,MATCH($DN25,Benefit_Master!$BD$4:$BD$135,0),MATCH(EU$9,Benefit_Master!$G$3:$BC$3,0)),0)*AS25,0)</f>
        <v>0</v>
      </c>
      <c r="EV25" s="64">
        <f>ROUND(IFERROR(INDEX(Benefit_Master!$G$4:$BC$135,MATCH($DN25,Benefit_Master!$BD$4:$BD$135,0),MATCH(EV$9,Benefit_Master!$G$3:$BC$3,0)),0)*AT25,0)</f>
        <v>0</v>
      </c>
      <c r="EW25" s="64">
        <f>ROUND(IFERROR(INDEX(Benefit_Master!$G$4:$BC$135,MATCH($DN25,Benefit_Master!$BD$4:$BD$135,0),MATCH(EW$9,Benefit_Master!$G$3:$BC$3,0)),0)*AU25,0)</f>
        <v>0</v>
      </c>
      <c r="EX25" s="64">
        <f>ROUND(IFERROR(INDEX(Benefit_Master!$G$4:$BC$135,MATCH($DN25,Benefit_Master!$BD$4:$BD$135,0),MATCH(EX$9,Benefit_Master!$G$3:$BC$3,0)),0)*AV25,0)</f>
        <v>0</v>
      </c>
      <c r="EY25" s="64">
        <f>ROUND(IFERROR(INDEX(Benefit_Master!$G$4:$BC$135,MATCH($DN25,Benefit_Master!$BD$4:$BD$135,0),MATCH(EY$9,Benefit_Master!$G$3:$BC$3,0)),0)*AW25,0)</f>
        <v>0</v>
      </c>
      <c r="EZ25" s="64">
        <f>ROUND(IFERROR(INDEX(Benefit_Master!$G$4:$BC$135,MATCH($DN25,Benefit_Master!$BD$4:$BD$135,0),MATCH(EZ$9,Benefit_Master!$G$3:$BC$3,0)),0)*AX25,0)</f>
        <v>0</v>
      </c>
      <c r="FA25" s="66">
        <f t="shared" si="26"/>
        <v>0</v>
      </c>
      <c r="FB25" s="64">
        <f>ROUND(IFERROR(INDEX(Benefit_Master!$G$4:$BC$135,MATCH($DN25,Benefit_Master!$BD$4:$BD$135,0),MATCH(FB$9,Benefit_Master!$G$3:$BC$3,0)),0)*AZ25,0)</f>
        <v>0</v>
      </c>
      <c r="FC25" s="64">
        <f>ROUND(IFERROR(INDEX(Benefit_Master!$G$4:$BC$135,MATCH($DN25,Benefit_Master!$BD$4:$BD$135,0),MATCH(FC$9,Benefit_Master!$G$3:$BC$3,0)),0)*BA25,0)</f>
        <v>0</v>
      </c>
      <c r="FD25" s="64">
        <f>ROUND(IFERROR(INDEX(Benefit_Master!$G$4:$BC$135,MATCH($DN25,Benefit_Master!$BD$4:$BD$135,0),MATCH(FD$9,Benefit_Master!$G$3:$BC$3,0)),0)*BB25,0)</f>
        <v>0</v>
      </c>
      <c r="FE25" s="64">
        <f>ROUND(IFERROR(INDEX(Benefit_Master!$G$4:$BC$135,MATCH($DN25,Benefit_Master!$BD$4:$BD$135,0),MATCH(FE$9,Benefit_Master!$G$3:$BC$3,0)),0)*BC25,0)</f>
        <v>0</v>
      </c>
      <c r="FF25" s="64">
        <f>ROUND(IFERROR(INDEX(Benefit_Master!$G$4:$BC$135,MATCH($DN25,Benefit_Master!$BD$4:$BD$135,0),MATCH(FF$9,Benefit_Master!$G$3:$BC$3,0)),0)*BD25,0)</f>
        <v>0</v>
      </c>
      <c r="FG25" s="64">
        <f>ROUND(IFERROR(INDEX(Benefit_Master!$G$4:$BC$135,MATCH($DN25,Benefit_Master!$BD$4:$BD$135,0),MATCH(FG$9,Benefit_Master!$G$3:$BC$3,0)),0)*BE25,0)</f>
        <v>0</v>
      </c>
      <c r="FH25" s="64">
        <f>ROUND(IFERROR(INDEX(Benefit_Master!$G$4:$BC$135,MATCH($DN25,Benefit_Master!$BD$4:$BD$135,0),MATCH(FH$9,Benefit_Master!$G$3:$BC$3,0)),0)*BF25,0)</f>
        <v>0</v>
      </c>
      <c r="FI25" s="64">
        <f>ROUND(IFERROR(INDEX(Benefit_Master!$G$4:$BC$135,MATCH($DN25,Benefit_Master!$BD$4:$BD$135,0),MATCH(FI$9,Benefit_Master!$G$3:$BC$3,0)),0)*BG25,0)</f>
        <v>0</v>
      </c>
      <c r="FJ25" s="64">
        <f>ROUND(IFERROR(INDEX(Benefit_Master!$G$4:$BC$135,MATCH($DN25,Benefit_Master!$BD$4:$BD$135,0),MATCH(FJ$9,Benefit_Master!$G$3:$BC$3,0)),0)*BH25,0)</f>
        <v>0</v>
      </c>
      <c r="FK25" s="64">
        <f>ROUND(IFERROR(INDEX(Benefit_Master!$G$4:$BC$135,MATCH($DN25,Benefit_Master!$BD$4:$BD$135,0),MATCH(FK$9,Benefit_Master!$G$3:$BC$3,0)),0)*BI25,0)</f>
        <v>0</v>
      </c>
      <c r="FL25" s="64">
        <f>ROUND(IFERROR(INDEX(Benefit_Master!$G$4:$BC$135,MATCH($DN25,Benefit_Master!$BD$4:$BD$135,0),MATCH(FL$9,Benefit_Master!$G$3:$BC$3,0)),0)*BJ25,0)</f>
        <v>0</v>
      </c>
      <c r="FM25" s="64">
        <f>ROUND(IFERROR(INDEX(Benefit_Master!$G$4:$BC$135,MATCH($DN25,Benefit_Master!$BD$4:$BD$135,0),MATCH(FM$9,Benefit_Master!$G$3:$BC$3,0)),0)*BK25,0)</f>
        <v>0</v>
      </c>
      <c r="FN25" s="66">
        <f t="shared" si="27"/>
        <v>0</v>
      </c>
    </row>
    <row r="26" spans="2:170" s="12" customFormat="1" ht="15" customHeight="1">
      <c r="B26" s="93">
        <f t="shared" si="28"/>
        <v>14</v>
      </c>
      <c r="C26" s="89"/>
      <c r="D26" s="97"/>
      <c r="E26" s="1157"/>
      <c r="F26" s="425"/>
      <c r="G26" s="94" t="str">
        <f>IFERROR(VLOOKUP($F26,Master!$B$1:$C$7,2,0),"-")</f>
        <v>-</v>
      </c>
      <c r="H26" s="95">
        <f t="shared" si="12"/>
        <v>0</v>
      </c>
      <c r="I26" s="138">
        <f t="shared" si="13"/>
        <v>0</v>
      </c>
      <c r="J26" s="138">
        <f t="shared" si="14"/>
        <v>0</v>
      </c>
      <c r="K26" s="96"/>
      <c r="L26"/>
      <c r="M26" s="58"/>
      <c r="N26" s="59"/>
      <c r="O26" s="59"/>
      <c r="P26" s="59"/>
      <c r="Q26" s="59"/>
      <c r="R26" s="59"/>
      <c r="S26" s="59"/>
      <c r="T26" s="59"/>
      <c r="U26" s="679"/>
      <c r="V26" s="56"/>
      <c r="W26" s="56"/>
      <c r="X26" s="56"/>
      <c r="Y26" s="60">
        <f t="shared" si="15"/>
        <v>0</v>
      </c>
      <c r="Z26" s="55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60">
        <f t="shared" si="16"/>
        <v>0</v>
      </c>
      <c r="AM26" s="58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60">
        <f t="shared" si="17"/>
        <v>0</v>
      </c>
      <c r="AZ26" s="58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60">
        <f t="shared" si="18"/>
        <v>0</v>
      </c>
      <c r="BM26"/>
      <c r="BN26" s="64">
        <f>ROUND(IFERROR(INDEX('Labor Cost_Master'!$G$4:$BC$135,MATCH($DN26,'Labor Cost_Master'!$BD$4:$BD$135,0),MATCH(BN$9,'Labor Cost_Master'!$G$3:$BC$3,0)),0)*M26,0)</f>
        <v>0</v>
      </c>
      <c r="BO26" s="64">
        <f>ROUND(IFERROR(INDEX('Labor Cost_Master'!$G$4:$BC$135,MATCH($DN26,'Labor Cost_Master'!$BD$4:$BD$135,0),MATCH(BO$9,'Labor Cost_Master'!$G$3:$BC$3,0)),0)*N26,0)</f>
        <v>0</v>
      </c>
      <c r="BP26" s="64">
        <f>ROUND(IFERROR(INDEX('Labor Cost_Master'!$G$4:$BC$135,MATCH($DN26,'Labor Cost_Master'!$BD$4:$BD$135,0),MATCH(BP$9,'Labor Cost_Master'!$G$3:$BC$3,0)),0)*O26,0)</f>
        <v>0</v>
      </c>
      <c r="BQ26" s="64">
        <f>ROUND(IFERROR(INDEX('Labor Cost_Master'!$G$4:$BC$135,MATCH($DN26,'Labor Cost_Master'!$BD$4:$BD$135,0),MATCH(BQ$9,'Labor Cost_Master'!$G$3:$BC$3,0)),0)*P26,0)</f>
        <v>0</v>
      </c>
      <c r="BR26" s="64">
        <f>ROUND(IFERROR(INDEX('Labor Cost_Master'!$G$4:$BC$135,MATCH($DN26,'Labor Cost_Master'!$BD$4:$BD$135,0),MATCH(BR$9,'Labor Cost_Master'!$G$3:$BC$3,0)),0)*Q26,0)</f>
        <v>0</v>
      </c>
      <c r="BS26" s="64">
        <f>ROUND(IFERROR(INDEX('Labor Cost_Master'!$G$4:$BC$135,MATCH($DN26,'Labor Cost_Master'!$BD$4:$BD$135,0),MATCH(BS$9,'Labor Cost_Master'!$G$3:$BC$3,0)),0)*R26,0)</f>
        <v>0</v>
      </c>
      <c r="BT26" s="64">
        <f>ROUND(IFERROR(INDEX('Labor Cost_Master'!$G$4:$BC$135,MATCH($DN26,'Labor Cost_Master'!$BD$4:$BD$135,0),MATCH(BT$9,'Labor Cost_Master'!$G$3:$BC$3,0)),0)*S26,0)</f>
        <v>0</v>
      </c>
      <c r="BU26" s="64">
        <f>ROUND(IFERROR(INDEX('Labor Cost_Master'!$G$4:$BC$135,MATCH($DN26,'Labor Cost_Master'!$BD$4:$BD$135,0),MATCH(BU$9,'Labor Cost_Master'!$G$3:$BC$3,0)),0)*T26,0)</f>
        <v>0</v>
      </c>
      <c r="BV26" s="64">
        <f>ROUND(IFERROR(INDEX('Labor Cost_Master'!$G$4:$BC$135,MATCH($DN26,'Labor Cost_Master'!$BD$4:$BD$135,0),MATCH(BV$9,'Labor Cost_Master'!$G$3:$BC$3,0)),0)*U26,0)</f>
        <v>0</v>
      </c>
      <c r="BW26" s="64">
        <f>ROUND(IFERROR(INDEX('Labor Cost_Master'!$G$4:$BC$135,MATCH($DN26,'Labor Cost_Master'!$BD$4:$BD$135,0),MATCH(BW$9,'Labor Cost_Master'!$G$3:$BC$3,0)),0)*V26,0)</f>
        <v>0</v>
      </c>
      <c r="BX26" s="64">
        <f>ROUND(IFERROR(INDEX('Labor Cost_Master'!$G$4:$BC$135,MATCH($DN26,'Labor Cost_Master'!$BD$4:$BD$135,0),MATCH(BX$9,'Labor Cost_Master'!$G$3:$BC$3,0)),0)*W26,0)</f>
        <v>0</v>
      </c>
      <c r="BY26" s="64">
        <f>ROUND(IFERROR(INDEX('Labor Cost_Master'!$G$4:$BC$135,MATCH($DN26,'Labor Cost_Master'!$BD$4:$BD$135,0),MATCH(BY$9,'Labor Cost_Master'!$G$3:$BC$3,0)),0)*X26,0)</f>
        <v>0</v>
      </c>
      <c r="BZ26" s="66">
        <f t="shared" si="19"/>
        <v>0</v>
      </c>
      <c r="CA26" s="64">
        <f>ROUND(IFERROR(INDEX('Labor Cost_Master'!$G$4:$BC$135,MATCH($DN26,'Labor Cost_Master'!$BD$4:$BD$135,0),MATCH(CA$9,'Labor Cost_Master'!$G$3:$BC$3,0)),0)*Z26,0)</f>
        <v>0</v>
      </c>
      <c r="CB26" s="64">
        <f>ROUND(IFERROR(INDEX('Labor Cost_Master'!$G$4:$BC$135,MATCH($DN26,'Labor Cost_Master'!$BD$4:$BD$135,0),MATCH(CB$9,'Labor Cost_Master'!$G$3:$BC$3,0)),0)*AA26,0)</f>
        <v>0</v>
      </c>
      <c r="CC26" s="64">
        <f>ROUND(IFERROR(INDEX('Labor Cost_Master'!$G$4:$BC$135,MATCH($DN26,'Labor Cost_Master'!$BD$4:$BD$135,0),MATCH(CC$9,'Labor Cost_Master'!$G$3:$BC$3,0)),0)*AB26,0)</f>
        <v>0</v>
      </c>
      <c r="CD26" s="64">
        <f>ROUND(IFERROR(INDEX('Labor Cost_Master'!$G$4:$BC$135,MATCH($DN26,'Labor Cost_Master'!$BD$4:$BD$135,0),MATCH(CD$9,'Labor Cost_Master'!$G$3:$BC$3,0)),0)*AC26,0)</f>
        <v>0</v>
      </c>
      <c r="CE26" s="64">
        <f>ROUND(IFERROR(INDEX('Labor Cost_Master'!$G$4:$BC$135,MATCH($DN26,'Labor Cost_Master'!$BD$4:$BD$135,0),MATCH(CE$9,'Labor Cost_Master'!$G$3:$BC$3,0)),0)*AD26,0)</f>
        <v>0</v>
      </c>
      <c r="CF26" s="64">
        <f>ROUND(IFERROR(INDEX('Labor Cost_Master'!$G$4:$BC$135,MATCH($DN26,'Labor Cost_Master'!$BD$4:$BD$135,0),MATCH(CF$9,'Labor Cost_Master'!$G$3:$BC$3,0)),0)*AE26,0)</f>
        <v>0</v>
      </c>
      <c r="CG26" s="64">
        <f>ROUND(IFERROR(INDEX('Labor Cost_Master'!$G$4:$BC$135,MATCH($DN26,'Labor Cost_Master'!$BD$4:$BD$135,0),MATCH(CG$9,'Labor Cost_Master'!$G$3:$BC$3,0)),0)*AF26,0)</f>
        <v>0</v>
      </c>
      <c r="CH26" s="64">
        <f>ROUND(IFERROR(INDEX('Labor Cost_Master'!$G$4:$BC$135,MATCH($DN26,'Labor Cost_Master'!$BD$4:$BD$135,0),MATCH(CH$9,'Labor Cost_Master'!$G$3:$BC$3,0)),0)*AG26,0)</f>
        <v>0</v>
      </c>
      <c r="CI26" s="64">
        <f>ROUND(IFERROR(INDEX('Labor Cost_Master'!$G$4:$BC$135,MATCH($DN26,'Labor Cost_Master'!$BD$4:$BD$135,0),MATCH(CI$9,'Labor Cost_Master'!$G$3:$BC$3,0)),0)*AH26,0)</f>
        <v>0</v>
      </c>
      <c r="CJ26" s="64">
        <f>ROUND(IFERROR(INDEX('Labor Cost_Master'!$G$4:$BC$135,MATCH($DN26,'Labor Cost_Master'!$BD$4:$BD$135,0),MATCH(CJ$9,'Labor Cost_Master'!$G$3:$BC$3,0)),0)*AI26,0)</f>
        <v>0</v>
      </c>
      <c r="CK26" s="64">
        <f>ROUND(IFERROR(INDEX('Labor Cost_Master'!$G$4:$BC$135,MATCH($DN26,'Labor Cost_Master'!$BD$4:$BD$135,0),MATCH(CK$9,'Labor Cost_Master'!$G$3:$BC$3,0)),0)*AJ26,0)</f>
        <v>0</v>
      </c>
      <c r="CL26" s="64">
        <f>ROUND(IFERROR(INDEX('Labor Cost_Master'!$G$4:$BC$135,MATCH($DN26,'Labor Cost_Master'!$BD$4:$BD$135,0),MATCH(CL$9,'Labor Cost_Master'!$G$3:$BC$3,0)),0)*AK26,0)</f>
        <v>0</v>
      </c>
      <c r="CM26" s="66">
        <f t="shared" si="20"/>
        <v>0</v>
      </c>
      <c r="CN26" s="64">
        <f>ROUND(IFERROR(INDEX('Labor Cost_Master'!$G$4:$BC$135,MATCH($DN26,'Labor Cost_Master'!$BD$4:$BD$135,0),MATCH(CN$9,'Labor Cost_Master'!$G$3:$BC$3,0)),0)*AM26,0)</f>
        <v>0</v>
      </c>
      <c r="CO26" s="64">
        <f>ROUND(IFERROR(INDEX('Labor Cost_Master'!$G$4:$BC$135,MATCH($DN26,'Labor Cost_Master'!$BD$4:$BD$135,0),MATCH(CO$9,'Labor Cost_Master'!$G$3:$BC$3,0)),0)*AN26,0)</f>
        <v>0</v>
      </c>
      <c r="CP26" s="64">
        <f>ROUND(IFERROR(INDEX('Labor Cost_Master'!$G$4:$BC$135,MATCH($DN26,'Labor Cost_Master'!$BD$4:$BD$135,0),MATCH(CP$9,'Labor Cost_Master'!$G$3:$BC$3,0)),0)*AO26,0)</f>
        <v>0</v>
      </c>
      <c r="CQ26" s="64">
        <f>ROUND(IFERROR(INDEX('Labor Cost_Master'!$G$4:$BC$135,MATCH($DN26,'Labor Cost_Master'!$BD$4:$BD$135,0),MATCH(CQ$9,'Labor Cost_Master'!$G$3:$BC$3,0)),0)*AP26,0)</f>
        <v>0</v>
      </c>
      <c r="CR26" s="64">
        <f>ROUND(IFERROR(INDEX('Labor Cost_Master'!$G$4:$BC$135,MATCH($DN26,'Labor Cost_Master'!$BD$4:$BD$135,0),MATCH(CR$9,'Labor Cost_Master'!$G$3:$BC$3,0)),0)*AQ26,0)</f>
        <v>0</v>
      </c>
      <c r="CS26" s="64">
        <f>ROUND(IFERROR(INDEX('Labor Cost_Master'!$G$4:$BC$135,MATCH($DN26,'Labor Cost_Master'!$BD$4:$BD$135,0),MATCH(CS$9,'Labor Cost_Master'!$G$3:$BC$3,0)),0)*AR26,0)</f>
        <v>0</v>
      </c>
      <c r="CT26" s="64">
        <f>ROUND(IFERROR(INDEX('Labor Cost_Master'!$G$4:$BC$135,MATCH($DN26,'Labor Cost_Master'!$BD$4:$BD$135,0),MATCH(CT$9,'Labor Cost_Master'!$G$3:$BC$3,0)),0)*AS26,0)</f>
        <v>0</v>
      </c>
      <c r="CU26" s="64">
        <f>ROUND(IFERROR(INDEX('Labor Cost_Master'!$G$4:$BC$135,MATCH($DN26,'Labor Cost_Master'!$BD$4:$BD$135,0),MATCH(CU$9,'Labor Cost_Master'!$G$3:$BC$3,0)),0)*AT26,0)</f>
        <v>0</v>
      </c>
      <c r="CV26" s="64">
        <f>ROUND(IFERROR(INDEX('Labor Cost_Master'!$G$4:$BC$135,MATCH($DN26,'Labor Cost_Master'!$BD$4:$BD$135,0),MATCH(CV$9,'Labor Cost_Master'!$G$3:$BC$3,0)),0)*AU26,0)</f>
        <v>0</v>
      </c>
      <c r="CW26" s="64">
        <f>ROUND(IFERROR(INDEX('Labor Cost_Master'!$G$4:$BC$135,MATCH($DN26,'Labor Cost_Master'!$BD$4:$BD$135,0),MATCH(CW$9,'Labor Cost_Master'!$G$3:$BC$3,0)),0)*AV26,0)</f>
        <v>0</v>
      </c>
      <c r="CX26" s="64">
        <f>ROUND(IFERROR(INDEX('Labor Cost_Master'!$G$4:$BC$135,MATCH($DN26,'Labor Cost_Master'!$BD$4:$BD$135,0),MATCH(CX$9,'Labor Cost_Master'!$G$3:$BC$3,0)),0)*AW26,0)</f>
        <v>0</v>
      </c>
      <c r="CY26" s="64">
        <f>ROUND(IFERROR(INDEX('Labor Cost_Master'!$G$4:$BC$135,MATCH($DN26,'Labor Cost_Master'!$BD$4:$BD$135,0),MATCH(CY$9,'Labor Cost_Master'!$G$3:$BC$3,0)),0)*AX26,0)</f>
        <v>0</v>
      </c>
      <c r="CZ26" s="66">
        <f t="shared" si="21"/>
        <v>0</v>
      </c>
      <c r="DA26" s="64">
        <f>ROUND(IFERROR(INDEX('Labor Cost_Master'!$G$4:$BC$135,MATCH($DN26,'Labor Cost_Master'!$BD$4:$BD$135,0),MATCH(DA$9,'Labor Cost_Master'!$G$3:$BC$3,0)),0)*AZ26,0)</f>
        <v>0</v>
      </c>
      <c r="DB26" s="64">
        <f>ROUND(IFERROR(INDEX('Labor Cost_Master'!$G$4:$BC$135,MATCH($DN26,'Labor Cost_Master'!$BD$4:$BD$135,0),MATCH(DB$9,'Labor Cost_Master'!$G$3:$BC$3,0)),0)*BA26,0)</f>
        <v>0</v>
      </c>
      <c r="DC26" s="1166">
        <f>ROUND(IFERROR(INDEX('Labor Cost_Master'!$G$4:$BC$135,MATCH($DN26,'Labor Cost_Master'!$BD$4:$BD$135,0),MATCH(DC$9,'Labor Cost_Master'!$G$3:$BC$3,0)),0)*BB26,0)*1.05</f>
        <v>0</v>
      </c>
      <c r="DD26" s="64">
        <f>ROUND(IFERROR(INDEX('Labor Cost_Master'!$G$4:$BC$135,MATCH($DN26,'Labor Cost_Master'!$BD$4:$BD$135,0),MATCH(DD$9,'Labor Cost_Master'!$G$3:$BC$3,0)),0)*BC26,0)*1.05</f>
        <v>0</v>
      </c>
      <c r="DE26" s="64">
        <f>ROUND(IFERROR(INDEX('Labor Cost_Master'!$G$4:$BC$135,MATCH($DN26,'Labor Cost_Master'!$BD$4:$BD$135,0),MATCH(DE$9,'Labor Cost_Master'!$G$3:$BC$3,0)),0)*BD26,0)*1.05</f>
        <v>0</v>
      </c>
      <c r="DF26" s="64">
        <f>ROUND(IFERROR(INDEX('Labor Cost_Master'!$G$4:$BC$135,MATCH($DN26,'Labor Cost_Master'!$BD$4:$BD$135,0),MATCH(DF$9,'Labor Cost_Master'!$G$3:$BC$3,0)),0)*BE26,0)*1.05</f>
        <v>0</v>
      </c>
      <c r="DG26" s="64">
        <f>ROUND(IFERROR(INDEX('Labor Cost_Master'!$G$4:$BC$135,MATCH($DN26,'Labor Cost_Master'!$BD$4:$BD$135,0),MATCH(DG$9,'Labor Cost_Master'!$G$3:$BC$3,0)),0)*BF26,0)*1.05</f>
        <v>0</v>
      </c>
      <c r="DH26" s="64">
        <f>ROUND(IFERROR(INDEX('Labor Cost_Master'!$G$4:$BC$135,MATCH($DN26,'Labor Cost_Master'!$BD$4:$BD$135,0),MATCH(DH$9,'Labor Cost_Master'!$G$3:$BC$3,0)),0)*BG26,0)*1.05</f>
        <v>0</v>
      </c>
      <c r="DI26" s="64">
        <f>ROUND(IFERROR(INDEX('Labor Cost_Master'!$G$4:$BC$135,MATCH($DN26,'Labor Cost_Master'!$BD$4:$BD$135,0),MATCH(DI$9,'Labor Cost_Master'!$G$3:$BC$3,0)),0)*BH26,0)*1.05</f>
        <v>0</v>
      </c>
      <c r="DJ26" s="64">
        <f>ROUND(IFERROR(INDEX('Labor Cost_Master'!$G$4:$BC$135,MATCH($DN26,'Labor Cost_Master'!$BD$4:$BD$135,0),MATCH(DJ$9,'Labor Cost_Master'!$G$3:$BC$3,0)),0)*BI26,0)*1.05</f>
        <v>0</v>
      </c>
      <c r="DK26" s="64">
        <f>ROUND(IFERROR(INDEX('Labor Cost_Master'!$G$4:$BC$135,MATCH($DN26,'Labor Cost_Master'!$BD$4:$BD$135,0),MATCH(DK$9,'Labor Cost_Master'!$G$3:$BC$3,0)),0)*BJ26,0)*1.05</f>
        <v>0</v>
      </c>
      <c r="DL26" s="64">
        <f>ROUND(IFERROR(INDEX('Labor Cost_Master'!$G$4:$BC$135,MATCH($DN26,'Labor Cost_Master'!$BD$4:$BD$135,0),MATCH(DL$9,'Labor Cost_Master'!$G$3:$BC$3,0)),0)*BK26,0)*1.05</f>
        <v>0</v>
      </c>
      <c r="DM26" s="66">
        <f t="shared" si="22"/>
        <v>0</v>
      </c>
      <c r="DN26" s="80" t="str">
        <f t="shared" si="23"/>
        <v/>
      </c>
      <c r="DO26" s="64">
        <f>ROUND(IFERROR(INDEX(Benefit_Master!$G$4:$BC$135,MATCH($DN26,Benefit_Master!$BD$4:$BD$135,0),MATCH(DO$9,Benefit_Master!$G$3:$BC$3,0)),0)*M26,0)</f>
        <v>0</v>
      </c>
      <c r="DP26" s="64">
        <f>ROUND(IFERROR(INDEX(Benefit_Master!$G$4:$BC$135,MATCH($DN26,Benefit_Master!$BD$4:$BD$135,0),MATCH(DP$9,Benefit_Master!$G$3:$BC$3,0)),0)*N26,0)</f>
        <v>0</v>
      </c>
      <c r="DQ26" s="64">
        <f>ROUND(IFERROR(INDEX(Benefit_Master!$G$4:$BC$135,MATCH($DN26,Benefit_Master!$BD$4:$BD$135,0),MATCH(DQ$9,Benefit_Master!$G$3:$BC$3,0)),0)*O26,0)</f>
        <v>0</v>
      </c>
      <c r="DR26" s="64">
        <f>ROUND(IFERROR(INDEX(Benefit_Master!$G$4:$BC$135,MATCH($DN26,Benefit_Master!$BD$4:$BD$135,0),MATCH(DR$9,Benefit_Master!$G$3:$BC$3,0)),0)*P26,0)</f>
        <v>0</v>
      </c>
      <c r="DS26" s="64">
        <f>ROUND(IFERROR(INDEX(Benefit_Master!$G$4:$BC$135,MATCH($DN26,Benefit_Master!$BD$4:$BD$135,0),MATCH(DS$9,Benefit_Master!$G$3:$BC$3,0)),0)*Q26,0)</f>
        <v>0</v>
      </c>
      <c r="DT26" s="64">
        <f>ROUND(IFERROR(INDEX(Benefit_Master!$G$4:$BC$135,MATCH($DN26,Benefit_Master!$BD$4:$BD$135,0),MATCH(DT$9,Benefit_Master!$G$3:$BC$3,0)),0)*R26,0)</f>
        <v>0</v>
      </c>
      <c r="DU26" s="64">
        <f>ROUND(IFERROR(INDEX(Benefit_Master!$G$4:$BC$135,MATCH($DN26,Benefit_Master!$BD$4:$BD$135,0),MATCH(DU$9,Benefit_Master!$G$3:$BC$3,0)),0)*S26,0)</f>
        <v>0</v>
      </c>
      <c r="DV26" s="64">
        <f>ROUND(IFERROR(INDEX(Benefit_Master!$G$4:$BC$135,MATCH($DN26,Benefit_Master!$BD$4:$BD$135,0),MATCH(DV$9,Benefit_Master!$G$3:$BC$3,0)),0)*T26,0)</f>
        <v>0</v>
      </c>
      <c r="DW26" s="64">
        <f>ROUND(IFERROR(INDEX(Benefit_Master!$G$4:$BC$135,MATCH($DN26,Benefit_Master!$BD$4:$BD$135,0),MATCH(DW$9,Benefit_Master!$G$3:$BC$3,0)),0)*U26,0)</f>
        <v>0</v>
      </c>
      <c r="DX26" s="64">
        <f>ROUND(IFERROR(INDEX(Benefit_Master!$G$4:$BC$135,MATCH($DN26,Benefit_Master!$BD$4:$BD$135,0),MATCH(DX$9,Benefit_Master!$G$3:$BC$3,0)),0)*V26,0)</f>
        <v>0</v>
      </c>
      <c r="DY26" s="64">
        <f>ROUND(IFERROR(INDEX(Benefit_Master!$G$4:$BC$135,MATCH($DN26,Benefit_Master!$BD$4:$BD$135,0),MATCH(DY$9,Benefit_Master!$G$3:$BC$3,0)),0)*W26,0)</f>
        <v>0</v>
      </c>
      <c r="DZ26" s="64">
        <f>ROUND(IFERROR(INDEX(Benefit_Master!$G$4:$BC$135,MATCH($DN26,Benefit_Master!$BD$4:$BD$135,0),MATCH(DZ$9,Benefit_Master!$G$3:$BC$3,0)),0)*X26,0)</f>
        <v>0</v>
      </c>
      <c r="EA26" s="66">
        <f t="shared" si="24"/>
        <v>0</v>
      </c>
      <c r="EB26" s="64">
        <f>ROUND(IFERROR(INDEX(Benefit_Master!$G$4:$BC$135,MATCH($DN26,Benefit_Master!$BD$4:$BD$135,0),MATCH(EB$9,Benefit_Master!$G$3:$BC$3,0)),0)*Z26,0)</f>
        <v>0</v>
      </c>
      <c r="EC26" s="64">
        <f>ROUND(IFERROR(INDEX(Benefit_Master!$G$4:$BC$135,MATCH($DN26,Benefit_Master!$BD$4:$BD$135,0),MATCH(EC$9,Benefit_Master!$G$3:$BC$3,0)),0)*AA26,0)</f>
        <v>0</v>
      </c>
      <c r="ED26" s="64">
        <f>ROUND(IFERROR(INDEX(Benefit_Master!$G$4:$BC$135,MATCH($DN26,Benefit_Master!$BD$4:$BD$135,0),MATCH(ED$9,Benefit_Master!$G$3:$BC$3,0)),0)*AB26,0)</f>
        <v>0</v>
      </c>
      <c r="EE26" s="64">
        <f>ROUND(IFERROR(INDEX(Benefit_Master!$G$4:$BC$135,MATCH($DN26,Benefit_Master!$BD$4:$BD$135,0),MATCH(EE$9,Benefit_Master!$G$3:$BC$3,0)),0)*AC26,0)</f>
        <v>0</v>
      </c>
      <c r="EF26" s="64">
        <f>ROUND(IFERROR(INDEX(Benefit_Master!$G$4:$BC$135,MATCH($DN26,Benefit_Master!$BD$4:$BD$135,0),MATCH(EF$9,Benefit_Master!$G$3:$BC$3,0)),0)*AD26,0)</f>
        <v>0</v>
      </c>
      <c r="EG26" s="64">
        <f>ROUND(IFERROR(INDEX(Benefit_Master!$G$4:$BC$135,MATCH($DN26,Benefit_Master!$BD$4:$BD$135,0),MATCH(EG$9,Benefit_Master!$G$3:$BC$3,0)),0)*AE26,0)</f>
        <v>0</v>
      </c>
      <c r="EH26" s="64">
        <f>ROUND(IFERROR(INDEX(Benefit_Master!$G$4:$BC$135,MATCH($DN26,Benefit_Master!$BD$4:$BD$135,0),MATCH(EH$9,Benefit_Master!$G$3:$BC$3,0)),0)*AF26,0)</f>
        <v>0</v>
      </c>
      <c r="EI26" s="64">
        <f>ROUND(IFERROR(INDEX(Benefit_Master!$G$4:$BC$135,MATCH($DN26,Benefit_Master!$BD$4:$BD$135,0),MATCH(EI$9,Benefit_Master!$G$3:$BC$3,0)),0)*AG26,0)</f>
        <v>0</v>
      </c>
      <c r="EJ26" s="64">
        <f>ROUND(IFERROR(INDEX(Benefit_Master!$G$4:$BC$135,MATCH($DN26,Benefit_Master!$BD$4:$BD$135,0),MATCH(EJ$9,Benefit_Master!$G$3:$BC$3,0)),0)*AH26,0)</f>
        <v>0</v>
      </c>
      <c r="EK26" s="64">
        <f>ROUND(IFERROR(INDEX(Benefit_Master!$G$4:$BC$135,MATCH($DN26,Benefit_Master!$BD$4:$BD$135,0),MATCH(EK$9,Benefit_Master!$G$3:$BC$3,0)),0)*AI26,0)</f>
        <v>0</v>
      </c>
      <c r="EL26" s="64">
        <f>ROUND(IFERROR(INDEX(Benefit_Master!$G$4:$BC$135,MATCH($DN26,Benefit_Master!$BD$4:$BD$135,0),MATCH(EL$9,Benefit_Master!$G$3:$BC$3,0)),0)*AJ26,0)</f>
        <v>0</v>
      </c>
      <c r="EM26" s="64">
        <f>ROUND(IFERROR(INDEX(Benefit_Master!$G$4:$BC$135,MATCH($DN26,Benefit_Master!$BD$4:$BD$135,0),MATCH(EM$9,Benefit_Master!$G$3:$BC$3,0)),0)*AK26,0)</f>
        <v>0</v>
      </c>
      <c r="EN26" s="66">
        <f t="shared" si="25"/>
        <v>0</v>
      </c>
      <c r="EO26" s="64">
        <f>ROUND(IFERROR(INDEX(Benefit_Master!$G$4:$BC$135,MATCH($DN26,Benefit_Master!$BD$4:$BD$135,0),MATCH(EO$9,Benefit_Master!$G$3:$BC$3,0)),0)*AM26,0)</f>
        <v>0</v>
      </c>
      <c r="EP26" s="64">
        <f>ROUND(IFERROR(INDEX(Benefit_Master!$G$4:$BC$135,MATCH($DN26,Benefit_Master!$BD$4:$BD$135,0),MATCH(EP$9,Benefit_Master!$G$3:$BC$3,0)),0)*AN26,0)</f>
        <v>0</v>
      </c>
      <c r="EQ26" s="64">
        <f>ROUND(IFERROR(INDEX(Benefit_Master!$G$4:$BC$135,MATCH($DN26,Benefit_Master!$BD$4:$BD$135,0),MATCH(EQ$9,Benefit_Master!$G$3:$BC$3,0)),0)*AO26,0)</f>
        <v>0</v>
      </c>
      <c r="ER26" s="64">
        <f>ROUND(IFERROR(INDEX(Benefit_Master!$G$4:$BC$135,MATCH($DN26,Benefit_Master!$BD$4:$BD$135,0),MATCH(ER$9,Benefit_Master!$G$3:$BC$3,0)),0)*AP26,0)</f>
        <v>0</v>
      </c>
      <c r="ES26" s="64">
        <f>ROUND(IFERROR(INDEX(Benefit_Master!$G$4:$BC$135,MATCH($DN26,Benefit_Master!$BD$4:$BD$135,0),MATCH(ES$9,Benefit_Master!$G$3:$BC$3,0)),0)*AQ26,0)</f>
        <v>0</v>
      </c>
      <c r="ET26" s="64">
        <f>ROUND(IFERROR(INDEX(Benefit_Master!$G$4:$BC$135,MATCH($DN26,Benefit_Master!$BD$4:$BD$135,0),MATCH(ET$9,Benefit_Master!$G$3:$BC$3,0)),0)*AR26,0)</f>
        <v>0</v>
      </c>
      <c r="EU26" s="64">
        <f>ROUND(IFERROR(INDEX(Benefit_Master!$G$4:$BC$135,MATCH($DN26,Benefit_Master!$BD$4:$BD$135,0),MATCH(EU$9,Benefit_Master!$G$3:$BC$3,0)),0)*AS26,0)</f>
        <v>0</v>
      </c>
      <c r="EV26" s="64">
        <f>ROUND(IFERROR(INDEX(Benefit_Master!$G$4:$BC$135,MATCH($DN26,Benefit_Master!$BD$4:$BD$135,0),MATCH(EV$9,Benefit_Master!$G$3:$BC$3,0)),0)*AT26,0)</f>
        <v>0</v>
      </c>
      <c r="EW26" s="64">
        <f>ROUND(IFERROR(INDEX(Benefit_Master!$G$4:$BC$135,MATCH($DN26,Benefit_Master!$BD$4:$BD$135,0),MATCH(EW$9,Benefit_Master!$G$3:$BC$3,0)),0)*AU26,0)</f>
        <v>0</v>
      </c>
      <c r="EX26" s="64">
        <f>ROUND(IFERROR(INDEX(Benefit_Master!$G$4:$BC$135,MATCH($DN26,Benefit_Master!$BD$4:$BD$135,0),MATCH(EX$9,Benefit_Master!$G$3:$BC$3,0)),0)*AV26,0)</f>
        <v>0</v>
      </c>
      <c r="EY26" s="64">
        <f>ROUND(IFERROR(INDEX(Benefit_Master!$G$4:$BC$135,MATCH($DN26,Benefit_Master!$BD$4:$BD$135,0),MATCH(EY$9,Benefit_Master!$G$3:$BC$3,0)),0)*AW26,0)</f>
        <v>0</v>
      </c>
      <c r="EZ26" s="64">
        <f>ROUND(IFERROR(INDEX(Benefit_Master!$G$4:$BC$135,MATCH($DN26,Benefit_Master!$BD$4:$BD$135,0),MATCH(EZ$9,Benefit_Master!$G$3:$BC$3,0)),0)*AX26,0)</f>
        <v>0</v>
      </c>
      <c r="FA26" s="66">
        <f t="shared" si="26"/>
        <v>0</v>
      </c>
      <c r="FB26" s="64">
        <f>ROUND(IFERROR(INDEX(Benefit_Master!$G$4:$BC$135,MATCH($DN26,Benefit_Master!$BD$4:$BD$135,0),MATCH(FB$9,Benefit_Master!$G$3:$BC$3,0)),0)*AZ26,0)</f>
        <v>0</v>
      </c>
      <c r="FC26" s="64">
        <f>ROUND(IFERROR(INDEX(Benefit_Master!$G$4:$BC$135,MATCH($DN26,Benefit_Master!$BD$4:$BD$135,0),MATCH(FC$9,Benefit_Master!$G$3:$BC$3,0)),0)*BA26,0)</f>
        <v>0</v>
      </c>
      <c r="FD26" s="64">
        <f>ROUND(IFERROR(INDEX(Benefit_Master!$G$4:$BC$135,MATCH($DN26,Benefit_Master!$BD$4:$BD$135,0),MATCH(FD$9,Benefit_Master!$G$3:$BC$3,0)),0)*BB26,0)</f>
        <v>0</v>
      </c>
      <c r="FE26" s="64">
        <f>ROUND(IFERROR(INDEX(Benefit_Master!$G$4:$BC$135,MATCH($DN26,Benefit_Master!$BD$4:$BD$135,0),MATCH(FE$9,Benefit_Master!$G$3:$BC$3,0)),0)*BC26,0)</f>
        <v>0</v>
      </c>
      <c r="FF26" s="64">
        <f>ROUND(IFERROR(INDEX(Benefit_Master!$G$4:$BC$135,MATCH($DN26,Benefit_Master!$BD$4:$BD$135,0),MATCH(FF$9,Benefit_Master!$G$3:$BC$3,0)),0)*BD26,0)</f>
        <v>0</v>
      </c>
      <c r="FG26" s="64">
        <f>ROUND(IFERROR(INDEX(Benefit_Master!$G$4:$BC$135,MATCH($DN26,Benefit_Master!$BD$4:$BD$135,0),MATCH(FG$9,Benefit_Master!$G$3:$BC$3,0)),0)*BE26,0)</f>
        <v>0</v>
      </c>
      <c r="FH26" s="64">
        <f>ROUND(IFERROR(INDEX(Benefit_Master!$G$4:$BC$135,MATCH($DN26,Benefit_Master!$BD$4:$BD$135,0),MATCH(FH$9,Benefit_Master!$G$3:$BC$3,0)),0)*BF26,0)</f>
        <v>0</v>
      </c>
      <c r="FI26" s="64">
        <f>ROUND(IFERROR(INDEX(Benefit_Master!$G$4:$BC$135,MATCH($DN26,Benefit_Master!$BD$4:$BD$135,0),MATCH(FI$9,Benefit_Master!$G$3:$BC$3,0)),0)*BG26,0)</f>
        <v>0</v>
      </c>
      <c r="FJ26" s="64">
        <f>ROUND(IFERROR(INDEX(Benefit_Master!$G$4:$BC$135,MATCH($DN26,Benefit_Master!$BD$4:$BD$135,0),MATCH(FJ$9,Benefit_Master!$G$3:$BC$3,0)),0)*BH26,0)</f>
        <v>0</v>
      </c>
      <c r="FK26" s="64">
        <f>ROUND(IFERROR(INDEX(Benefit_Master!$G$4:$BC$135,MATCH($DN26,Benefit_Master!$BD$4:$BD$135,0),MATCH(FK$9,Benefit_Master!$G$3:$BC$3,0)),0)*BI26,0)</f>
        <v>0</v>
      </c>
      <c r="FL26" s="64">
        <f>ROUND(IFERROR(INDEX(Benefit_Master!$G$4:$BC$135,MATCH($DN26,Benefit_Master!$BD$4:$BD$135,0),MATCH(FL$9,Benefit_Master!$G$3:$BC$3,0)),0)*BJ26,0)</f>
        <v>0</v>
      </c>
      <c r="FM26" s="64">
        <f>ROUND(IFERROR(INDEX(Benefit_Master!$G$4:$BC$135,MATCH($DN26,Benefit_Master!$BD$4:$BD$135,0),MATCH(FM$9,Benefit_Master!$G$3:$BC$3,0)),0)*BK26,0)</f>
        <v>0</v>
      </c>
      <c r="FN26" s="66">
        <f t="shared" si="27"/>
        <v>0</v>
      </c>
    </row>
    <row r="27" spans="2:170" s="12" customFormat="1" ht="15" customHeight="1">
      <c r="B27" s="93">
        <f t="shared" si="28"/>
        <v>15</v>
      </c>
      <c r="C27" s="89"/>
      <c r="D27" s="97"/>
      <c r="E27" s="1157"/>
      <c r="F27" s="425"/>
      <c r="G27" s="94" t="str">
        <f>IFERROR(VLOOKUP($F27,Master!$B$1:$C$7,2,0),"-")</f>
        <v>-</v>
      </c>
      <c r="H27" s="95">
        <f t="shared" si="12"/>
        <v>0</v>
      </c>
      <c r="I27" s="138">
        <f t="shared" si="13"/>
        <v>0</v>
      </c>
      <c r="J27" s="138">
        <f t="shared" si="14"/>
        <v>0</v>
      </c>
      <c r="K27" s="96"/>
      <c r="L27"/>
      <c r="M27" s="58"/>
      <c r="N27" s="59"/>
      <c r="O27" s="59"/>
      <c r="P27" s="59"/>
      <c r="Q27" s="59"/>
      <c r="R27" s="59"/>
      <c r="S27" s="59"/>
      <c r="T27" s="59"/>
      <c r="U27" s="679"/>
      <c r="V27" s="56"/>
      <c r="W27" s="56"/>
      <c r="X27" s="56"/>
      <c r="Y27" s="60">
        <f t="shared" si="15"/>
        <v>0</v>
      </c>
      <c r="Z27" s="55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60">
        <f t="shared" si="16"/>
        <v>0</v>
      </c>
      <c r="AM27" s="58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60">
        <f t="shared" si="17"/>
        <v>0</v>
      </c>
      <c r="AZ27" s="58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60">
        <f t="shared" si="18"/>
        <v>0</v>
      </c>
      <c r="BM27"/>
      <c r="BN27" s="64">
        <f>ROUND(IFERROR(INDEX('Labor Cost_Master'!$G$4:$BC$135,MATCH($DN27,'Labor Cost_Master'!$BD$4:$BD$135,0),MATCH(BN$9,'Labor Cost_Master'!$G$3:$BC$3,0)),0)*M27,0)</f>
        <v>0</v>
      </c>
      <c r="BO27" s="64">
        <f>ROUND(IFERROR(INDEX('Labor Cost_Master'!$G$4:$BC$135,MATCH($DN27,'Labor Cost_Master'!$BD$4:$BD$135,0),MATCH(BO$9,'Labor Cost_Master'!$G$3:$BC$3,0)),0)*N27,0)</f>
        <v>0</v>
      </c>
      <c r="BP27" s="64">
        <f>ROUND(IFERROR(INDEX('Labor Cost_Master'!$G$4:$BC$135,MATCH($DN27,'Labor Cost_Master'!$BD$4:$BD$135,0),MATCH(BP$9,'Labor Cost_Master'!$G$3:$BC$3,0)),0)*O27,0)</f>
        <v>0</v>
      </c>
      <c r="BQ27" s="64">
        <f>ROUND(IFERROR(INDEX('Labor Cost_Master'!$G$4:$BC$135,MATCH($DN27,'Labor Cost_Master'!$BD$4:$BD$135,0),MATCH(BQ$9,'Labor Cost_Master'!$G$3:$BC$3,0)),0)*P27,0)</f>
        <v>0</v>
      </c>
      <c r="BR27" s="64">
        <f>ROUND(IFERROR(INDEX('Labor Cost_Master'!$G$4:$BC$135,MATCH($DN27,'Labor Cost_Master'!$BD$4:$BD$135,0),MATCH(BR$9,'Labor Cost_Master'!$G$3:$BC$3,0)),0)*Q27,0)</f>
        <v>0</v>
      </c>
      <c r="BS27" s="64">
        <f>ROUND(IFERROR(INDEX('Labor Cost_Master'!$G$4:$BC$135,MATCH($DN27,'Labor Cost_Master'!$BD$4:$BD$135,0),MATCH(BS$9,'Labor Cost_Master'!$G$3:$BC$3,0)),0)*R27,0)</f>
        <v>0</v>
      </c>
      <c r="BT27" s="64">
        <f>ROUND(IFERROR(INDEX('Labor Cost_Master'!$G$4:$BC$135,MATCH($DN27,'Labor Cost_Master'!$BD$4:$BD$135,0),MATCH(BT$9,'Labor Cost_Master'!$G$3:$BC$3,0)),0)*S27,0)</f>
        <v>0</v>
      </c>
      <c r="BU27" s="64">
        <f>ROUND(IFERROR(INDEX('Labor Cost_Master'!$G$4:$BC$135,MATCH($DN27,'Labor Cost_Master'!$BD$4:$BD$135,0),MATCH(BU$9,'Labor Cost_Master'!$G$3:$BC$3,0)),0)*T27,0)</f>
        <v>0</v>
      </c>
      <c r="BV27" s="64">
        <f>ROUND(IFERROR(INDEX('Labor Cost_Master'!$G$4:$BC$135,MATCH($DN27,'Labor Cost_Master'!$BD$4:$BD$135,0),MATCH(BV$9,'Labor Cost_Master'!$G$3:$BC$3,0)),0)*U27,0)</f>
        <v>0</v>
      </c>
      <c r="BW27" s="64">
        <f>ROUND(IFERROR(INDEX('Labor Cost_Master'!$G$4:$BC$135,MATCH($DN27,'Labor Cost_Master'!$BD$4:$BD$135,0),MATCH(BW$9,'Labor Cost_Master'!$G$3:$BC$3,0)),0)*V27,0)</f>
        <v>0</v>
      </c>
      <c r="BX27" s="64">
        <f>ROUND(IFERROR(INDEX('Labor Cost_Master'!$G$4:$BC$135,MATCH($DN27,'Labor Cost_Master'!$BD$4:$BD$135,0),MATCH(BX$9,'Labor Cost_Master'!$G$3:$BC$3,0)),0)*W27,0)</f>
        <v>0</v>
      </c>
      <c r="BY27" s="64">
        <f>ROUND(IFERROR(INDEX('Labor Cost_Master'!$G$4:$BC$135,MATCH($DN27,'Labor Cost_Master'!$BD$4:$BD$135,0),MATCH(BY$9,'Labor Cost_Master'!$G$3:$BC$3,0)),0)*X27,0)</f>
        <v>0</v>
      </c>
      <c r="BZ27" s="66">
        <f t="shared" si="19"/>
        <v>0</v>
      </c>
      <c r="CA27" s="64">
        <f>ROUND(IFERROR(INDEX('Labor Cost_Master'!$G$4:$BC$135,MATCH($DN27,'Labor Cost_Master'!$BD$4:$BD$135,0),MATCH(CA$9,'Labor Cost_Master'!$G$3:$BC$3,0)),0)*Z27,0)</f>
        <v>0</v>
      </c>
      <c r="CB27" s="64">
        <f>ROUND(IFERROR(INDEX('Labor Cost_Master'!$G$4:$BC$135,MATCH($DN27,'Labor Cost_Master'!$BD$4:$BD$135,0),MATCH(CB$9,'Labor Cost_Master'!$G$3:$BC$3,0)),0)*AA27,0)</f>
        <v>0</v>
      </c>
      <c r="CC27" s="64">
        <f>ROUND(IFERROR(INDEX('Labor Cost_Master'!$G$4:$BC$135,MATCH($DN27,'Labor Cost_Master'!$BD$4:$BD$135,0),MATCH(CC$9,'Labor Cost_Master'!$G$3:$BC$3,0)),0)*AB27,0)</f>
        <v>0</v>
      </c>
      <c r="CD27" s="64">
        <f>ROUND(IFERROR(INDEX('Labor Cost_Master'!$G$4:$BC$135,MATCH($DN27,'Labor Cost_Master'!$BD$4:$BD$135,0),MATCH(CD$9,'Labor Cost_Master'!$G$3:$BC$3,0)),0)*AC27,0)</f>
        <v>0</v>
      </c>
      <c r="CE27" s="64">
        <f>ROUND(IFERROR(INDEX('Labor Cost_Master'!$G$4:$BC$135,MATCH($DN27,'Labor Cost_Master'!$BD$4:$BD$135,0),MATCH(CE$9,'Labor Cost_Master'!$G$3:$BC$3,0)),0)*AD27,0)</f>
        <v>0</v>
      </c>
      <c r="CF27" s="64">
        <f>ROUND(IFERROR(INDEX('Labor Cost_Master'!$G$4:$BC$135,MATCH($DN27,'Labor Cost_Master'!$BD$4:$BD$135,0),MATCH(CF$9,'Labor Cost_Master'!$G$3:$BC$3,0)),0)*AE27,0)</f>
        <v>0</v>
      </c>
      <c r="CG27" s="64">
        <f>ROUND(IFERROR(INDEX('Labor Cost_Master'!$G$4:$BC$135,MATCH($DN27,'Labor Cost_Master'!$BD$4:$BD$135,0),MATCH(CG$9,'Labor Cost_Master'!$G$3:$BC$3,0)),0)*AF27,0)</f>
        <v>0</v>
      </c>
      <c r="CH27" s="64">
        <f>ROUND(IFERROR(INDEX('Labor Cost_Master'!$G$4:$BC$135,MATCH($DN27,'Labor Cost_Master'!$BD$4:$BD$135,0),MATCH(CH$9,'Labor Cost_Master'!$G$3:$BC$3,0)),0)*AG27,0)</f>
        <v>0</v>
      </c>
      <c r="CI27" s="64">
        <f>ROUND(IFERROR(INDEX('Labor Cost_Master'!$G$4:$BC$135,MATCH($DN27,'Labor Cost_Master'!$BD$4:$BD$135,0),MATCH(CI$9,'Labor Cost_Master'!$G$3:$BC$3,0)),0)*AH27,0)</f>
        <v>0</v>
      </c>
      <c r="CJ27" s="64">
        <f>ROUND(IFERROR(INDEX('Labor Cost_Master'!$G$4:$BC$135,MATCH($DN27,'Labor Cost_Master'!$BD$4:$BD$135,0),MATCH(CJ$9,'Labor Cost_Master'!$G$3:$BC$3,0)),0)*AI27,0)</f>
        <v>0</v>
      </c>
      <c r="CK27" s="64">
        <f>ROUND(IFERROR(INDEX('Labor Cost_Master'!$G$4:$BC$135,MATCH($DN27,'Labor Cost_Master'!$BD$4:$BD$135,0),MATCH(CK$9,'Labor Cost_Master'!$G$3:$BC$3,0)),0)*AJ27,0)</f>
        <v>0</v>
      </c>
      <c r="CL27" s="64">
        <f>ROUND(IFERROR(INDEX('Labor Cost_Master'!$G$4:$BC$135,MATCH($DN27,'Labor Cost_Master'!$BD$4:$BD$135,0),MATCH(CL$9,'Labor Cost_Master'!$G$3:$BC$3,0)),0)*AK27,0)</f>
        <v>0</v>
      </c>
      <c r="CM27" s="66">
        <f t="shared" si="20"/>
        <v>0</v>
      </c>
      <c r="CN27" s="64">
        <f>ROUND(IFERROR(INDEX('Labor Cost_Master'!$G$4:$BC$135,MATCH($DN27,'Labor Cost_Master'!$BD$4:$BD$135,0),MATCH(CN$9,'Labor Cost_Master'!$G$3:$BC$3,0)),0)*AM27,0)</f>
        <v>0</v>
      </c>
      <c r="CO27" s="64">
        <f>ROUND(IFERROR(INDEX('Labor Cost_Master'!$G$4:$BC$135,MATCH($DN27,'Labor Cost_Master'!$BD$4:$BD$135,0),MATCH(CO$9,'Labor Cost_Master'!$G$3:$BC$3,0)),0)*AN27,0)</f>
        <v>0</v>
      </c>
      <c r="CP27" s="64">
        <f>ROUND(IFERROR(INDEX('Labor Cost_Master'!$G$4:$BC$135,MATCH($DN27,'Labor Cost_Master'!$BD$4:$BD$135,0),MATCH(CP$9,'Labor Cost_Master'!$G$3:$BC$3,0)),0)*AO27,0)</f>
        <v>0</v>
      </c>
      <c r="CQ27" s="64">
        <f>ROUND(IFERROR(INDEX('Labor Cost_Master'!$G$4:$BC$135,MATCH($DN27,'Labor Cost_Master'!$BD$4:$BD$135,0),MATCH(CQ$9,'Labor Cost_Master'!$G$3:$BC$3,0)),0)*AP27,0)</f>
        <v>0</v>
      </c>
      <c r="CR27" s="64">
        <f>ROUND(IFERROR(INDEX('Labor Cost_Master'!$G$4:$BC$135,MATCH($DN27,'Labor Cost_Master'!$BD$4:$BD$135,0),MATCH(CR$9,'Labor Cost_Master'!$G$3:$BC$3,0)),0)*AQ27,0)</f>
        <v>0</v>
      </c>
      <c r="CS27" s="64">
        <f>ROUND(IFERROR(INDEX('Labor Cost_Master'!$G$4:$BC$135,MATCH($DN27,'Labor Cost_Master'!$BD$4:$BD$135,0),MATCH(CS$9,'Labor Cost_Master'!$G$3:$BC$3,0)),0)*AR27,0)</f>
        <v>0</v>
      </c>
      <c r="CT27" s="64">
        <f>ROUND(IFERROR(INDEX('Labor Cost_Master'!$G$4:$BC$135,MATCH($DN27,'Labor Cost_Master'!$BD$4:$BD$135,0),MATCH(CT$9,'Labor Cost_Master'!$G$3:$BC$3,0)),0)*AS27,0)</f>
        <v>0</v>
      </c>
      <c r="CU27" s="64">
        <f>ROUND(IFERROR(INDEX('Labor Cost_Master'!$G$4:$BC$135,MATCH($DN27,'Labor Cost_Master'!$BD$4:$BD$135,0),MATCH(CU$9,'Labor Cost_Master'!$G$3:$BC$3,0)),0)*AT27,0)</f>
        <v>0</v>
      </c>
      <c r="CV27" s="64">
        <f>ROUND(IFERROR(INDEX('Labor Cost_Master'!$G$4:$BC$135,MATCH($DN27,'Labor Cost_Master'!$BD$4:$BD$135,0),MATCH(CV$9,'Labor Cost_Master'!$G$3:$BC$3,0)),0)*AU27,0)</f>
        <v>0</v>
      </c>
      <c r="CW27" s="64">
        <f>ROUND(IFERROR(INDEX('Labor Cost_Master'!$G$4:$BC$135,MATCH($DN27,'Labor Cost_Master'!$BD$4:$BD$135,0),MATCH(CW$9,'Labor Cost_Master'!$G$3:$BC$3,0)),0)*AV27,0)</f>
        <v>0</v>
      </c>
      <c r="CX27" s="64">
        <f>ROUND(IFERROR(INDEX('Labor Cost_Master'!$G$4:$BC$135,MATCH($DN27,'Labor Cost_Master'!$BD$4:$BD$135,0),MATCH(CX$9,'Labor Cost_Master'!$G$3:$BC$3,0)),0)*AW27,0)</f>
        <v>0</v>
      </c>
      <c r="CY27" s="64">
        <f>ROUND(IFERROR(INDEX('Labor Cost_Master'!$G$4:$BC$135,MATCH($DN27,'Labor Cost_Master'!$BD$4:$BD$135,0),MATCH(CY$9,'Labor Cost_Master'!$G$3:$BC$3,0)),0)*AX27,0)</f>
        <v>0</v>
      </c>
      <c r="CZ27" s="66">
        <f t="shared" si="21"/>
        <v>0</v>
      </c>
      <c r="DA27" s="64">
        <f>ROUND(IFERROR(INDEX('Labor Cost_Master'!$G$4:$BC$135,MATCH($DN27,'Labor Cost_Master'!$BD$4:$BD$135,0),MATCH(DA$9,'Labor Cost_Master'!$G$3:$BC$3,0)),0)*AZ27,0)</f>
        <v>0</v>
      </c>
      <c r="DB27" s="64">
        <f>ROUND(IFERROR(INDEX('Labor Cost_Master'!$G$4:$BC$135,MATCH($DN27,'Labor Cost_Master'!$BD$4:$BD$135,0),MATCH(DB$9,'Labor Cost_Master'!$G$3:$BC$3,0)),0)*BA27,0)</f>
        <v>0</v>
      </c>
      <c r="DC27" s="1166">
        <f>ROUND(IFERROR(INDEX('Labor Cost_Master'!$G$4:$BC$135,MATCH($DN27,'Labor Cost_Master'!$BD$4:$BD$135,0),MATCH(DC$9,'Labor Cost_Master'!$G$3:$BC$3,0)),0)*BB27,0)*1.05</f>
        <v>0</v>
      </c>
      <c r="DD27" s="64">
        <f>ROUND(IFERROR(INDEX('Labor Cost_Master'!$G$4:$BC$135,MATCH($DN27,'Labor Cost_Master'!$BD$4:$BD$135,0),MATCH(DD$9,'Labor Cost_Master'!$G$3:$BC$3,0)),0)*BC27,0)*1.05</f>
        <v>0</v>
      </c>
      <c r="DE27" s="64">
        <f>ROUND(IFERROR(INDEX('Labor Cost_Master'!$G$4:$BC$135,MATCH($DN27,'Labor Cost_Master'!$BD$4:$BD$135,0),MATCH(DE$9,'Labor Cost_Master'!$G$3:$BC$3,0)),0)*BD27,0)*1.05</f>
        <v>0</v>
      </c>
      <c r="DF27" s="64">
        <f>ROUND(IFERROR(INDEX('Labor Cost_Master'!$G$4:$BC$135,MATCH($DN27,'Labor Cost_Master'!$BD$4:$BD$135,0),MATCH(DF$9,'Labor Cost_Master'!$G$3:$BC$3,0)),0)*BE27,0)*1.05</f>
        <v>0</v>
      </c>
      <c r="DG27" s="64">
        <f>ROUND(IFERROR(INDEX('Labor Cost_Master'!$G$4:$BC$135,MATCH($DN27,'Labor Cost_Master'!$BD$4:$BD$135,0),MATCH(DG$9,'Labor Cost_Master'!$G$3:$BC$3,0)),0)*BF27,0)*1.05</f>
        <v>0</v>
      </c>
      <c r="DH27" s="64">
        <f>ROUND(IFERROR(INDEX('Labor Cost_Master'!$G$4:$BC$135,MATCH($DN27,'Labor Cost_Master'!$BD$4:$BD$135,0),MATCH(DH$9,'Labor Cost_Master'!$G$3:$BC$3,0)),0)*BG27,0)*1.05</f>
        <v>0</v>
      </c>
      <c r="DI27" s="64">
        <f>ROUND(IFERROR(INDEX('Labor Cost_Master'!$G$4:$BC$135,MATCH($DN27,'Labor Cost_Master'!$BD$4:$BD$135,0),MATCH(DI$9,'Labor Cost_Master'!$G$3:$BC$3,0)),0)*BH27,0)*1.05</f>
        <v>0</v>
      </c>
      <c r="DJ27" s="64">
        <f>ROUND(IFERROR(INDEX('Labor Cost_Master'!$G$4:$BC$135,MATCH($DN27,'Labor Cost_Master'!$BD$4:$BD$135,0),MATCH(DJ$9,'Labor Cost_Master'!$G$3:$BC$3,0)),0)*BI27,0)*1.05</f>
        <v>0</v>
      </c>
      <c r="DK27" s="64">
        <f>ROUND(IFERROR(INDEX('Labor Cost_Master'!$G$4:$BC$135,MATCH($DN27,'Labor Cost_Master'!$BD$4:$BD$135,0),MATCH(DK$9,'Labor Cost_Master'!$G$3:$BC$3,0)),0)*BJ27,0)*1.05</f>
        <v>0</v>
      </c>
      <c r="DL27" s="64">
        <f>ROUND(IFERROR(INDEX('Labor Cost_Master'!$G$4:$BC$135,MATCH($DN27,'Labor Cost_Master'!$BD$4:$BD$135,0),MATCH(DL$9,'Labor Cost_Master'!$G$3:$BC$3,0)),0)*BK27,0)*1.05</f>
        <v>0</v>
      </c>
      <c r="DM27" s="66">
        <f t="shared" si="22"/>
        <v>0</v>
      </c>
      <c r="DN27" s="80" t="str">
        <f t="shared" si="23"/>
        <v/>
      </c>
      <c r="DO27" s="64">
        <f>ROUND(IFERROR(INDEX(Benefit_Master!$G$4:$BC$135,MATCH($DN27,Benefit_Master!$BD$4:$BD$135,0),MATCH(DO$9,Benefit_Master!$G$3:$BC$3,0)),0)*M27,0)</f>
        <v>0</v>
      </c>
      <c r="DP27" s="64">
        <f>ROUND(IFERROR(INDEX(Benefit_Master!$G$4:$BC$135,MATCH($DN27,Benefit_Master!$BD$4:$BD$135,0),MATCH(DP$9,Benefit_Master!$G$3:$BC$3,0)),0)*N27,0)</f>
        <v>0</v>
      </c>
      <c r="DQ27" s="64">
        <f>ROUND(IFERROR(INDEX(Benefit_Master!$G$4:$BC$135,MATCH($DN27,Benefit_Master!$BD$4:$BD$135,0),MATCH(DQ$9,Benefit_Master!$G$3:$BC$3,0)),0)*O27,0)</f>
        <v>0</v>
      </c>
      <c r="DR27" s="64">
        <f>ROUND(IFERROR(INDEX(Benefit_Master!$G$4:$BC$135,MATCH($DN27,Benefit_Master!$BD$4:$BD$135,0),MATCH(DR$9,Benefit_Master!$G$3:$BC$3,0)),0)*P27,0)</f>
        <v>0</v>
      </c>
      <c r="DS27" s="64">
        <f>ROUND(IFERROR(INDEX(Benefit_Master!$G$4:$BC$135,MATCH($DN27,Benefit_Master!$BD$4:$BD$135,0),MATCH(DS$9,Benefit_Master!$G$3:$BC$3,0)),0)*Q27,0)</f>
        <v>0</v>
      </c>
      <c r="DT27" s="64">
        <f>ROUND(IFERROR(INDEX(Benefit_Master!$G$4:$BC$135,MATCH($DN27,Benefit_Master!$BD$4:$BD$135,0),MATCH(DT$9,Benefit_Master!$G$3:$BC$3,0)),0)*R27,0)</f>
        <v>0</v>
      </c>
      <c r="DU27" s="64">
        <f>ROUND(IFERROR(INDEX(Benefit_Master!$G$4:$BC$135,MATCH($DN27,Benefit_Master!$BD$4:$BD$135,0),MATCH(DU$9,Benefit_Master!$G$3:$BC$3,0)),0)*S27,0)</f>
        <v>0</v>
      </c>
      <c r="DV27" s="64">
        <f>ROUND(IFERROR(INDEX(Benefit_Master!$G$4:$BC$135,MATCH($DN27,Benefit_Master!$BD$4:$BD$135,0),MATCH(DV$9,Benefit_Master!$G$3:$BC$3,0)),0)*T27,0)</f>
        <v>0</v>
      </c>
      <c r="DW27" s="64">
        <f>ROUND(IFERROR(INDEX(Benefit_Master!$G$4:$BC$135,MATCH($DN27,Benefit_Master!$BD$4:$BD$135,0),MATCH(DW$9,Benefit_Master!$G$3:$BC$3,0)),0)*U27,0)</f>
        <v>0</v>
      </c>
      <c r="DX27" s="64">
        <f>ROUND(IFERROR(INDEX(Benefit_Master!$G$4:$BC$135,MATCH($DN27,Benefit_Master!$BD$4:$BD$135,0),MATCH(DX$9,Benefit_Master!$G$3:$BC$3,0)),0)*V27,0)</f>
        <v>0</v>
      </c>
      <c r="DY27" s="64">
        <f>ROUND(IFERROR(INDEX(Benefit_Master!$G$4:$BC$135,MATCH($DN27,Benefit_Master!$BD$4:$BD$135,0),MATCH(DY$9,Benefit_Master!$G$3:$BC$3,0)),0)*W27,0)</f>
        <v>0</v>
      </c>
      <c r="DZ27" s="64">
        <f>ROUND(IFERROR(INDEX(Benefit_Master!$G$4:$BC$135,MATCH($DN27,Benefit_Master!$BD$4:$BD$135,0),MATCH(DZ$9,Benefit_Master!$G$3:$BC$3,0)),0)*X27,0)</f>
        <v>0</v>
      </c>
      <c r="EA27" s="66">
        <f t="shared" si="24"/>
        <v>0</v>
      </c>
      <c r="EB27" s="64">
        <f>ROUND(IFERROR(INDEX(Benefit_Master!$G$4:$BC$135,MATCH($DN27,Benefit_Master!$BD$4:$BD$135,0),MATCH(EB$9,Benefit_Master!$G$3:$BC$3,0)),0)*Z27,0)</f>
        <v>0</v>
      </c>
      <c r="EC27" s="64">
        <f>ROUND(IFERROR(INDEX(Benefit_Master!$G$4:$BC$135,MATCH($DN27,Benefit_Master!$BD$4:$BD$135,0),MATCH(EC$9,Benefit_Master!$G$3:$BC$3,0)),0)*AA27,0)</f>
        <v>0</v>
      </c>
      <c r="ED27" s="64">
        <f>ROUND(IFERROR(INDEX(Benefit_Master!$G$4:$BC$135,MATCH($DN27,Benefit_Master!$BD$4:$BD$135,0),MATCH(ED$9,Benefit_Master!$G$3:$BC$3,0)),0)*AB27,0)</f>
        <v>0</v>
      </c>
      <c r="EE27" s="64">
        <f>ROUND(IFERROR(INDEX(Benefit_Master!$G$4:$BC$135,MATCH($DN27,Benefit_Master!$BD$4:$BD$135,0),MATCH(EE$9,Benefit_Master!$G$3:$BC$3,0)),0)*AC27,0)</f>
        <v>0</v>
      </c>
      <c r="EF27" s="64">
        <f>ROUND(IFERROR(INDEX(Benefit_Master!$G$4:$BC$135,MATCH($DN27,Benefit_Master!$BD$4:$BD$135,0),MATCH(EF$9,Benefit_Master!$G$3:$BC$3,0)),0)*AD27,0)</f>
        <v>0</v>
      </c>
      <c r="EG27" s="64">
        <f>ROUND(IFERROR(INDEX(Benefit_Master!$G$4:$BC$135,MATCH($DN27,Benefit_Master!$BD$4:$BD$135,0),MATCH(EG$9,Benefit_Master!$G$3:$BC$3,0)),0)*AE27,0)</f>
        <v>0</v>
      </c>
      <c r="EH27" s="64">
        <f>ROUND(IFERROR(INDEX(Benefit_Master!$G$4:$BC$135,MATCH($DN27,Benefit_Master!$BD$4:$BD$135,0),MATCH(EH$9,Benefit_Master!$G$3:$BC$3,0)),0)*AF27,0)</f>
        <v>0</v>
      </c>
      <c r="EI27" s="64">
        <f>ROUND(IFERROR(INDEX(Benefit_Master!$G$4:$BC$135,MATCH($DN27,Benefit_Master!$BD$4:$BD$135,0),MATCH(EI$9,Benefit_Master!$G$3:$BC$3,0)),0)*AG27,0)</f>
        <v>0</v>
      </c>
      <c r="EJ27" s="64">
        <f>ROUND(IFERROR(INDEX(Benefit_Master!$G$4:$BC$135,MATCH($DN27,Benefit_Master!$BD$4:$BD$135,0),MATCH(EJ$9,Benefit_Master!$G$3:$BC$3,0)),0)*AH27,0)</f>
        <v>0</v>
      </c>
      <c r="EK27" s="64">
        <f>ROUND(IFERROR(INDEX(Benefit_Master!$G$4:$BC$135,MATCH($DN27,Benefit_Master!$BD$4:$BD$135,0),MATCH(EK$9,Benefit_Master!$G$3:$BC$3,0)),0)*AI27,0)</f>
        <v>0</v>
      </c>
      <c r="EL27" s="64">
        <f>ROUND(IFERROR(INDEX(Benefit_Master!$G$4:$BC$135,MATCH($DN27,Benefit_Master!$BD$4:$BD$135,0),MATCH(EL$9,Benefit_Master!$G$3:$BC$3,0)),0)*AJ27,0)</f>
        <v>0</v>
      </c>
      <c r="EM27" s="64">
        <f>ROUND(IFERROR(INDEX(Benefit_Master!$G$4:$BC$135,MATCH($DN27,Benefit_Master!$BD$4:$BD$135,0),MATCH(EM$9,Benefit_Master!$G$3:$BC$3,0)),0)*AK27,0)</f>
        <v>0</v>
      </c>
      <c r="EN27" s="66">
        <f t="shared" si="25"/>
        <v>0</v>
      </c>
      <c r="EO27" s="64">
        <f>ROUND(IFERROR(INDEX(Benefit_Master!$G$4:$BC$135,MATCH($DN27,Benefit_Master!$BD$4:$BD$135,0),MATCH(EO$9,Benefit_Master!$G$3:$BC$3,0)),0)*AM27,0)</f>
        <v>0</v>
      </c>
      <c r="EP27" s="64">
        <f>ROUND(IFERROR(INDEX(Benefit_Master!$G$4:$BC$135,MATCH($DN27,Benefit_Master!$BD$4:$BD$135,0),MATCH(EP$9,Benefit_Master!$G$3:$BC$3,0)),0)*AN27,0)</f>
        <v>0</v>
      </c>
      <c r="EQ27" s="64">
        <f>ROUND(IFERROR(INDEX(Benefit_Master!$G$4:$BC$135,MATCH($DN27,Benefit_Master!$BD$4:$BD$135,0),MATCH(EQ$9,Benefit_Master!$G$3:$BC$3,0)),0)*AO27,0)</f>
        <v>0</v>
      </c>
      <c r="ER27" s="64">
        <f>ROUND(IFERROR(INDEX(Benefit_Master!$G$4:$BC$135,MATCH($DN27,Benefit_Master!$BD$4:$BD$135,0),MATCH(ER$9,Benefit_Master!$G$3:$BC$3,0)),0)*AP27,0)</f>
        <v>0</v>
      </c>
      <c r="ES27" s="64">
        <f>ROUND(IFERROR(INDEX(Benefit_Master!$G$4:$BC$135,MATCH($DN27,Benefit_Master!$BD$4:$BD$135,0),MATCH(ES$9,Benefit_Master!$G$3:$BC$3,0)),0)*AQ27,0)</f>
        <v>0</v>
      </c>
      <c r="ET27" s="64">
        <f>ROUND(IFERROR(INDEX(Benefit_Master!$G$4:$BC$135,MATCH($DN27,Benefit_Master!$BD$4:$BD$135,0),MATCH(ET$9,Benefit_Master!$G$3:$BC$3,0)),0)*AR27,0)</f>
        <v>0</v>
      </c>
      <c r="EU27" s="64">
        <f>ROUND(IFERROR(INDEX(Benefit_Master!$G$4:$BC$135,MATCH($DN27,Benefit_Master!$BD$4:$BD$135,0),MATCH(EU$9,Benefit_Master!$G$3:$BC$3,0)),0)*AS27,0)</f>
        <v>0</v>
      </c>
      <c r="EV27" s="64">
        <f>ROUND(IFERROR(INDEX(Benefit_Master!$G$4:$BC$135,MATCH($DN27,Benefit_Master!$BD$4:$BD$135,0),MATCH(EV$9,Benefit_Master!$G$3:$BC$3,0)),0)*AT27,0)</f>
        <v>0</v>
      </c>
      <c r="EW27" s="64">
        <f>ROUND(IFERROR(INDEX(Benefit_Master!$G$4:$BC$135,MATCH($DN27,Benefit_Master!$BD$4:$BD$135,0),MATCH(EW$9,Benefit_Master!$G$3:$BC$3,0)),0)*AU27,0)</f>
        <v>0</v>
      </c>
      <c r="EX27" s="64">
        <f>ROUND(IFERROR(INDEX(Benefit_Master!$G$4:$BC$135,MATCH($DN27,Benefit_Master!$BD$4:$BD$135,0),MATCH(EX$9,Benefit_Master!$G$3:$BC$3,0)),0)*AV27,0)</f>
        <v>0</v>
      </c>
      <c r="EY27" s="64">
        <f>ROUND(IFERROR(INDEX(Benefit_Master!$G$4:$BC$135,MATCH($DN27,Benefit_Master!$BD$4:$BD$135,0),MATCH(EY$9,Benefit_Master!$G$3:$BC$3,0)),0)*AW27,0)</f>
        <v>0</v>
      </c>
      <c r="EZ27" s="64">
        <f>ROUND(IFERROR(INDEX(Benefit_Master!$G$4:$BC$135,MATCH($DN27,Benefit_Master!$BD$4:$BD$135,0),MATCH(EZ$9,Benefit_Master!$G$3:$BC$3,0)),0)*AX27,0)</f>
        <v>0</v>
      </c>
      <c r="FA27" s="66">
        <f t="shared" si="26"/>
        <v>0</v>
      </c>
      <c r="FB27" s="64">
        <f>ROUND(IFERROR(INDEX(Benefit_Master!$G$4:$BC$135,MATCH($DN27,Benefit_Master!$BD$4:$BD$135,0),MATCH(FB$9,Benefit_Master!$G$3:$BC$3,0)),0)*AZ27,0)</f>
        <v>0</v>
      </c>
      <c r="FC27" s="64">
        <f>ROUND(IFERROR(INDEX(Benefit_Master!$G$4:$BC$135,MATCH($DN27,Benefit_Master!$BD$4:$BD$135,0),MATCH(FC$9,Benefit_Master!$G$3:$BC$3,0)),0)*BA27,0)</f>
        <v>0</v>
      </c>
      <c r="FD27" s="64">
        <f>ROUND(IFERROR(INDEX(Benefit_Master!$G$4:$BC$135,MATCH($DN27,Benefit_Master!$BD$4:$BD$135,0),MATCH(FD$9,Benefit_Master!$G$3:$BC$3,0)),0)*BB27,0)</f>
        <v>0</v>
      </c>
      <c r="FE27" s="64">
        <f>ROUND(IFERROR(INDEX(Benefit_Master!$G$4:$BC$135,MATCH($DN27,Benefit_Master!$BD$4:$BD$135,0),MATCH(FE$9,Benefit_Master!$G$3:$BC$3,0)),0)*BC27,0)</f>
        <v>0</v>
      </c>
      <c r="FF27" s="64">
        <f>ROUND(IFERROR(INDEX(Benefit_Master!$G$4:$BC$135,MATCH($DN27,Benefit_Master!$BD$4:$BD$135,0),MATCH(FF$9,Benefit_Master!$G$3:$BC$3,0)),0)*BD27,0)</f>
        <v>0</v>
      </c>
      <c r="FG27" s="64">
        <f>ROUND(IFERROR(INDEX(Benefit_Master!$G$4:$BC$135,MATCH($DN27,Benefit_Master!$BD$4:$BD$135,0),MATCH(FG$9,Benefit_Master!$G$3:$BC$3,0)),0)*BE27,0)</f>
        <v>0</v>
      </c>
      <c r="FH27" s="64">
        <f>ROUND(IFERROR(INDEX(Benefit_Master!$G$4:$BC$135,MATCH($DN27,Benefit_Master!$BD$4:$BD$135,0),MATCH(FH$9,Benefit_Master!$G$3:$BC$3,0)),0)*BF27,0)</f>
        <v>0</v>
      </c>
      <c r="FI27" s="64">
        <f>ROUND(IFERROR(INDEX(Benefit_Master!$G$4:$BC$135,MATCH($DN27,Benefit_Master!$BD$4:$BD$135,0),MATCH(FI$9,Benefit_Master!$G$3:$BC$3,0)),0)*BG27,0)</f>
        <v>0</v>
      </c>
      <c r="FJ27" s="64">
        <f>ROUND(IFERROR(INDEX(Benefit_Master!$G$4:$BC$135,MATCH($DN27,Benefit_Master!$BD$4:$BD$135,0),MATCH(FJ$9,Benefit_Master!$G$3:$BC$3,0)),0)*BH27,0)</f>
        <v>0</v>
      </c>
      <c r="FK27" s="64">
        <f>ROUND(IFERROR(INDEX(Benefit_Master!$G$4:$BC$135,MATCH($DN27,Benefit_Master!$BD$4:$BD$135,0),MATCH(FK$9,Benefit_Master!$G$3:$BC$3,0)),0)*BI27,0)</f>
        <v>0</v>
      </c>
      <c r="FL27" s="64">
        <f>ROUND(IFERROR(INDEX(Benefit_Master!$G$4:$BC$135,MATCH($DN27,Benefit_Master!$BD$4:$BD$135,0),MATCH(FL$9,Benefit_Master!$G$3:$BC$3,0)),0)*BJ27,0)</f>
        <v>0</v>
      </c>
      <c r="FM27" s="64">
        <f>ROUND(IFERROR(INDEX(Benefit_Master!$G$4:$BC$135,MATCH($DN27,Benefit_Master!$BD$4:$BD$135,0),MATCH(FM$9,Benefit_Master!$G$3:$BC$3,0)),0)*BK27,0)</f>
        <v>0</v>
      </c>
      <c r="FN27" s="66">
        <f t="shared" si="27"/>
        <v>0</v>
      </c>
    </row>
    <row r="28" spans="2:170" s="12" customFormat="1" ht="15" customHeight="1">
      <c r="B28" s="93">
        <f t="shared" si="28"/>
        <v>16</v>
      </c>
      <c r="C28" s="89"/>
      <c r="D28" s="97"/>
      <c r="E28" s="1157"/>
      <c r="F28" s="425"/>
      <c r="G28" s="94" t="str">
        <f>IFERROR(VLOOKUP($F28,Master!$B$1:$C$7,2,0),"-")</f>
        <v>-</v>
      </c>
      <c r="H28" s="95">
        <f t="shared" si="12"/>
        <v>0</v>
      </c>
      <c r="I28" s="138">
        <f t="shared" si="13"/>
        <v>0</v>
      </c>
      <c r="J28" s="138">
        <f t="shared" si="14"/>
        <v>0</v>
      </c>
      <c r="K28" s="96"/>
      <c r="L28"/>
      <c r="M28" s="58"/>
      <c r="N28" s="59"/>
      <c r="O28" s="59"/>
      <c r="P28" s="59"/>
      <c r="Q28" s="59"/>
      <c r="R28" s="59"/>
      <c r="S28" s="59"/>
      <c r="T28" s="59"/>
      <c r="U28" s="679"/>
      <c r="V28" s="56"/>
      <c r="W28" s="56"/>
      <c r="X28" s="56"/>
      <c r="Y28" s="60">
        <f t="shared" si="15"/>
        <v>0</v>
      </c>
      <c r="Z28" s="55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60">
        <f t="shared" si="16"/>
        <v>0</v>
      </c>
      <c r="AM28" s="58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60">
        <f t="shared" si="17"/>
        <v>0</v>
      </c>
      <c r="AZ28" s="58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60">
        <f t="shared" si="18"/>
        <v>0</v>
      </c>
      <c r="BM28"/>
      <c r="BN28" s="64">
        <f>ROUND(IFERROR(INDEX('Labor Cost_Master'!$G$4:$BC$135,MATCH($DN28,'Labor Cost_Master'!$BD$4:$BD$135,0),MATCH(BN$9,'Labor Cost_Master'!$G$3:$BC$3,0)),0)*M28,0)</f>
        <v>0</v>
      </c>
      <c r="BO28" s="64">
        <f>ROUND(IFERROR(INDEX('Labor Cost_Master'!$G$4:$BC$135,MATCH($DN28,'Labor Cost_Master'!$BD$4:$BD$135,0),MATCH(BO$9,'Labor Cost_Master'!$G$3:$BC$3,0)),0)*N28,0)</f>
        <v>0</v>
      </c>
      <c r="BP28" s="64">
        <f>ROUND(IFERROR(INDEX('Labor Cost_Master'!$G$4:$BC$135,MATCH($DN28,'Labor Cost_Master'!$BD$4:$BD$135,0),MATCH(BP$9,'Labor Cost_Master'!$G$3:$BC$3,0)),0)*O28,0)</f>
        <v>0</v>
      </c>
      <c r="BQ28" s="64">
        <f>ROUND(IFERROR(INDEX('Labor Cost_Master'!$G$4:$BC$135,MATCH($DN28,'Labor Cost_Master'!$BD$4:$BD$135,0),MATCH(BQ$9,'Labor Cost_Master'!$G$3:$BC$3,0)),0)*P28,0)</f>
        <v>0</v>
      </c>
      <c r="BR28" s="64">
        <f>ROUND(IFERROR(INDEX('Labor Cost_Master'!$G$4:$BC$135,MATCH($DN28,'Labor Cost_Master'!$BD$4:$BD$135,0),MATCH(BR$9,'Labor Cost_Master'!$G$3:$BC$3,0)),0)*Q28,0)</f>
        <v>0</v>
      </c>
      <c r="BS28" s="64">
        <f>ROUND(IFERROR(INDEX('Labor Cost_Master'!$G$4:$BC$135,MATCH($DN28,'Labor Cost_Master'!$BD$4:$BD$135,0),MATCH(BS$9,'Labor Cost_Master'!$G$3:$BC$3,0)),0)*R28,0)</f>
        <v>0</v>
      </c>
      <c r="BT28" s="64">
        <f>ROUND(IFERROR(INDEX('Labor Cost_Master'!$G$4:$BC$135,MATCH($DN28,'Labor Cost_Master'!$BD$4:$BD$135,0),MATCH(BT$9,'Labor Cost_Master'!$G$3:$BC$3,0)),0)*S28,0)</f>
        <v>0</v>
      </c>
      <c r="BU28" s="64">
        <f>ROUND(IFERROR(INDEX('Labor Cost_Master'!$G$4:$BC$135,MATCH($DN28,'Labor Cost_Master'!$BD$4:$BD$135,0),MATCH(BU$9,'Labor Cost_Master'!$G$3:$BC$3,0)),0)*T28,0)</f>
        <v>0</v>
      </c>
      <c r="BV28" s="64">
        <f>ROUND(IFERROR(INDEX('Labor Cost_Master'!$G$4:$BC$135,MATCH($DN28,'Labor Cost_Master'!$BD$4:$BD$135,0),MATCH(BV$9,'Labor Cost_Master'!$G$3:$BC$3,0)),0)*U28,0)</f>
        <v>0</v>
      </c>
      <c r="BW28" s="64">
        <f>ROUND(IFERROR(INDEX('Labor Cost_Master'!$G$4:$BC$135,MATCH($DN28,'Labor Cost_Master'!$BD$4:$BD$135,0),MATCH(BW$9,'Labor Cost_Master'!$G$3:$BC$3,0)),0)*V28,0)</f>
        <v>0</v>
      </c>
      <c r="BX28" s="64">
        <f>ROUND(IFERROR(INDEX('Labor Cost_Master'!$G$4:$BC$135,MATCH($DN28,'Labor Cost_Master'!$BD$4:$BD$135,0),MATCH(BX$9,'Labor Cost_Master'!$G$3:$BC$3,0)),0)*W28,0)</f>
        <v>0</v>
      </c>
      <c r="BY28" s="64">
        <f>ROUND(IFERROR(INDEX('Labor Cost_Master'!$G$4:$BC$135,MATCH($DN28,'Labor Cost_Master'!$BD$4:$BD$135,0),MATCH(BY$9,'Labor Cost_Master'!$G$3:$BC$3,0)),0)*X28,0)</f>
        <v>0</v>
      </c>
      <c r="BZ28" s="66">
        <f t="shared" si="19"/>
        <v>0</v>
      </c>
      <c r="CA28" s="64">
        <f>ROUND(IFERROR(INDEX('Labor Cost_Master'!$G$4:$BC$135,MATCH($DN28,'Labor Cost_Master'!$BD$4:$BD$135,0),MATCH(CA$9,'Labor Cost_Master'!$G$3:$BC$3,0)),0)*Z28,0)</f>
        <v>0</v>
      </c>
      <c r="CB28" s="64">
        <f>ROUND(IFERROR(INDEX('Labor Cost_Master'!$G$4:$BC$135,MATCH($DN28,'Labor Cost_Master'!$BD$4:$BD$135,0),MATCH(CB$9,'Labor Cost_Master'!$G$3:$BC$3,0)),0)*AA28,0)</f>
        <v>0</v>
      </c>
      <c r="CC28" s="64">
        <f>ROUND(IFERROR(INDEX('Labor Cost_Master'!$G$4:$BC$135,MATCH($DN28,'Labor Cost_Master'!$BD$4:$BD$135,0),MATCH(CC$9,'Labor Cost_Master'!$G$3:$BC$3,0)),0)*AB28,0)</f>
        <v>0</v>
      </c>
      <c r="CD28" s="64">
        <f>ROUND(IFERROR(INDEX('Labor Cost_Master'!$G$4:$BC$135,MATCH($DN28,'Labor Cost_Master'!$BD$4:$BD$135,0),MATCH(CD$9,'Labor Cost_Master'!$G$3:$BC$3,0)),0)*AC28,0)</f>
        <v>0</v>
      </c>
      <c r="CE28" s="64">
        <f>ROUND(IFERROR(INDEX('Labor Cost_Master'!$G$4:$BC$135,MATCH($DN28,'Labor Cost_Master'!$BD$4:$BD$135,0),MATCH(CE$9,'Labor Cost_Master'!$G$3:$BC$3,0)),0)*AD28,0)</f>
        <v>0</v>
      </c>
      <c r="CF28" s="64">
        <f>ROUND(IFERROR(INDEX('Labor Cost_Master'!$G$4:$BC$135,MATCH($DN28,'Labor Cost_Master'!$BD$4:$BD$135,0),MATCH(CF$9,'Labor Cost_Master'!$G$3:$BC$3,0)),0)*AE28,0)</f>
        <v>0</v>
      </c>
      <c r="CG28" s="64">
        <f>ROUND(IFERROR(INDEX('Labor Cost_Master'!$G$4:$BC$135,MATCH($DN28,'Labor Cost_Master'!$BD$4:$BD$135,0),MATCH(CG$9,'Labor Cost_Master'!$G$3:$BC$3,0)),0)*AF28,0)</f>
        <v>0</v>
      </c>
      <c r="CH28" s="64">
        <f>ROUND(IFERROR(INDEX('Labor Cost_Master'!$G$4:$BC$135,MATCH($DN28,'Labor Cost_Master'!$BD$4:$BD$135,0),MATCH(CH$9,'Labor Cost_Master'!$G$3:$BC$3,0)),0)*AG28,0)</f>
        <v>0</v>
      </c>
      <c r="CI28" s="64">
        <f>ROUND(IFERROR(INDEX('Labor Cost_Master'!$G$4:$BC$135,MATCH($DN28,'Labor Cost_Master'!$BD$4:$BD$135,0),MATCH(CI$9,'Labor Cost_Master'!$G$3:$BC$3,0)),0)*AH28,0)</f>
        <v>0</v>
      </c>
      <c r="CJ28" s="64">
        <f>ROUND(IFERROR(INDEX('Labor Cost_Master'!$G$4:$BC$135,MATCH($DN28,'Labor Cost_Master'!$BD$4:$BD$135,0),MATCH(CJ$9,'Labor Cost_Master'!$G$3:$BC$3,0)),0)*AI28,0)</f>
        <v>0</v>
      </c>
      <c r="CK28" s="64">
        <f>ROUND(IFERROR(INDEX('Labor Cost_Master'!$G$4:$BC$135,MATCH($DN28,'Labor Cost_Master'!$BD$4:$BD$135,0),MATCH(CK$9,'Labor Cost_Master'!$G$3:$BC$3,0)),0)*AJ28,0)</f>
        <v>0</v>
      </c>
      <c r="CL28" s="64">
        <f>ROUND(IFERROR(INDEX('Labor Cost_Master'!$G$4:$BC$135,MATCH($DN28,'Labor Cost_Master'!$BD$4:$BD$135,0),MATCH(CL$9,'Labor Cost_Master'!$G$3:$BC$3,0)),0)*AK28,0)</f>
        <v>0</v>
      </c>
      <c r="CM28" s="66">
        <f t="shared" si="20"/>
        <v>0</v>
      </c>
      <c r="CN28" s="64">
        <f>ROUND(IFERROR(INDEX('Labor Cost_Master'!$G$4:$BC$135,MATCH($DN28,'Labor Cost_Master'!$BD$4:$BD$135,0),MATCH(CN$9,'Labor Cost_Master'!$G$3:$BC$3,0)),0)*AM28,0)</f>
        <v>0</v>
      </c>
      <c r="CO28" s="64">
        <f>ROUND(IFERROR(INDEX('Labor Cost_Master'!$G$4:$BC$135,MATCH($DN28,'Labor Cost_Master'!$BD$4:$BD$135,0),MATCH(CO$9,'Labor Cost_Master'!$G$3:$BC$3,0)),0)*AN28,0)</f>
        <v>0</v>
      </c>
      <c r="CP28" s="64">
        <f>ROUND(IFERROR(INDEX('Labor Cost_Master'!$G$4:$BC$135,MATCH($DN28,'Labor Cost_Master'!$BD$4:$BD$135,0),MATCH(CP$9,'Labor Cost_Master'!$G$3:$BC$3,0)),0)*AO28,0)</f>
        <v>0</v>
      </c>
      <c r="CQ28" s="64">
        <f>ROUND(IFERROR(INDEX('Labor Cost_Master'!$G$4:$BC$135,MATCH($DN28,'Labor Cost_Master'!$BD$4:$BD$135,0),MATCH(CQ$9,'Labor Cost_Master'!$G$3:$BC$3,0)),0)*AP28,0)</f>
        <v>0</v>
      </c>
      <c r="CR28" s="64">
        <f>ROUND(IFERROR(INDEX('Labor Cost_Master'!$G$4:$BC$135,MATCH($DN28,'Labor Cost_Master'!$BD$4:$BD$135,0),MATCH(CR$9,'Labor Cost_Master'!$G$3:$BC$3,0)),0)*AQ28,0)</f>
        <v>0</v>
      </c>
      <c r="CS28" s="64">
        <f>ROUND(IFERROR(INDEX('Labor Cost_Master'!$G$4:$BC$135,MATCH($DN28,'Labor Cost_Master'!$BD$4:$BD$135,0),MATCH(CS$9,'Labor Cost_Master'!$G$3:$BC$3,0)),0)*AR28,0)</f>
        <v>0</v>
      </c>
      <c r="CT28" s="64">
        <f>ROUND(IFERROR(INDEX('Labor Cost_Master'!$G$4:$BC$135,MATCH($DN28,'Labor Cost_Master'!$BD$4:$BD$135,0),MATCH(CT$9,'Labor Cost_Master'!$G$3:$BC$3,0)),0)*AS28,0)</f>
        <v>0</v>
      </c>
      <c r="CU28" s="64">
        <f>ROUND(IFERROR(INDEX('Labor Cost_Master'!$G$4:$BC$135,MATCH($DN28,'Labor Cost_Master'!$BD$4:$BD$135,0),MATCH(CU$9,'Labor Cost_Master'!$G$3:$BC$3,0)),0)*AT28,0)</f>
        <v>0</v>
      </c>
      <c r="CV28" s="64">
        <f>ROUND(IFERROR(INDEX('Labor Cost_Master'!$G$4:$BC$135,MATCH($DN28,'Labor Cost_Master'!$BD$4:$BD$135,0),MATCH(CV$9,'Labor Cost_Master'!$G$3:$BC$3,0)),0)*AU28,0)</f>
        <v>0</v>
      </c>
      <c r="CW28" s="64">
        <f>ROUND(IFERROR(INDEX('Labor Cost_Master'!$G$4:$BC$135,MATCH($DN28,'Labor Cost_Master'!$BD$4:$BD$135,0),MATCH(CW$9,'Labor Cost_Master'!$G$3:$BC$3,0)),0)*AV28,0)</f>
        <v>0</v>
      </c>
      <c r="CX28" s="64">
        <f>ROUND(IFERROR(INDEX('Labor Cost_Master'!$G$4:$BC$135,MATCH($DN28,'Labor Cost_Master'!$BD$4:$BD$135,0),MATCH(CX$9,'Labor Cost_Master'!$G$3:$BC$3,0)),0)*AW28,0)</f>
        <v>0</v>
      </c>
      <c r="CY28" s="64">
        <f>ROUND(IFERROR(INDEX('Labor Cost_Master'!$G$4:$BC$135,MATCH($DN28,'Labor Cost_Master'!$BD$4:$BD$135,0),MATCH(CY$9,'Labor Cost_Master'!$G$3:$BC$3,0)),0)*AX28,0)</f>
        <v>0</v>
      </c>
      <c r="CZ28" s="66">
        <f t="shared" si="21"/>
        <v>0</v>
      </c>
      <c r="DA28" s="64">
        <f>ROUND(IFERROR(INDEX('Labor Cost_Master'!$G$4:$BC$135,MATCH($DN28,'Labor Cost_Master'!$BD$4:$BD$135,0),MATCH(DA$9,'Labor Cost_Master'!$G$3:$BC$3,0)),0)*AZ28,0)</f>
        <v>0</v>
      </c>
      <c r="DB28" s="64">
        <f>ROUND(IFERROR(INDEX('Labor Cost_Master'!$G$4:$BC$135,MATCH($DN28,'Labor Cost_Master'!$BD$4:$BD$135,0),MATCH(DB$9,'Labor Cost_Master'!$G$3:$BC$3,0)),0)*BA28,0)</f>
        <v>0</v>
      </c>
      <c r="DC28" s="1166">
        <f>ROUND(IFERROR(INDEX('Labor Cost_Master'!$G$4:$BC$135,MATCH($DN28,'Labor Cost_Master'!$BD$4:$BD$135,0),MATCH(DC$9,'Labor Cost_Master'!$G$3:$BC$3,0)),0)*BB28,0)*1.05</f>
        <v>0</v>
      </c>
      <c r="DD28" s="64">
        <f>ROUND(IFERROR(INDEX('Labor Cost_Master'!$G$4:$BC$135,MATCH($DN28,'Labor Cost_Master'!$BD$4:$BD$135,0),MATCH(DD$9,'Labor Cost_Master'!$G$3:$BC$3,0)),0)*BC28,0)*1.05</f>
        <v>0</v>
      </c>
      <c r="DE28" s="64">
        <f>ROUND(IFERROR(INDEX('Labor Cost_Master'!$G$4:$BC$135,MATCH($DN28,'Labor Cost_Master'!$BD$4:$BD$135,0),MATCH(DE$9,'Labor Cost_Master'!$G$3:$BC$3,0)),0)*BD28,0)*1.05</f>
        <v>0</v>
      </c>
      <c r="DF28" s="64">
        <f>ROUND(IFERROR(INDEX('Labor Cost_Master'!$G$4:$BC$135,MATCH($DN28,'Labor Cost_Master'!$BD$4:$BD$135,0),MATCH(DF$9,'Labor Cost_Master'!$G$3:$BC$3,0)),0)*BE28,0)*1.05</f>
        <v>0</v>
      </c>
      <c r="DG28" s="64">
        <f>ROUND(IFERROR(INDEX('Labor Cost_Master'!$G$4:$BC$135,MATCH($DN28,'Labor Cost_Master'!$BD$4:$BD$135,0),MATCH(DG$9,'Labor Cost_Master'!$G$3:$BC$3,0)),0)*BF28,0)*1.05</f>
        <v>0</v>
      </c>
      <c r="DH28" s="64">
        <f>ROUND(IFERROR(INDEX('Labor Cost_Master'!$G$4:$BC$135,MATCH($DN28,'Labor Cost_Master'!$BD$4:$BD$135,0),MATCH(DH$9,'Labor Cost_Master'!$G$3:$BC$3,0)),0)*BG28,0)*1.05</f>
        <v>0</v>
      </c>
      <c r="DI28" s="64">
        <f>ROUND(IFERROR(INDEX('Labor Cost_Master'!$G$4:$BC$135,MATCH($DN28,'Labor Cost_Master'!$BD$4:$BD$135,0),MATCH(DI$9,'Labor Cost_Master'!$G$3:$BC$3,0)),0)*BH28,0)*1.05</f>
        <v>0</v>
      </c>
      <c r="DJ28" s="64">
        <f>ROUND(IFERROR(INDEX('Labor Cost_Master'!$G$4:$BC$135,MATCH($DN28,'Labor Cost_Master'!$BD$4:$BD$135,0),MATCH(DJ$9,'Labor Cost_Master'!$G$3:$BC$3,0)),0)*BI28,0)*1.05</f>
        <v>0</v>
      </c>
      <c r="DK28" s="64">
        <f>ROUND(IFERROR(INDEX('Labor Cost_Master'!$G$4:$BC$135,MATCH($DN28,'Labor Cost_Master'!$BD$4:$BD$135,0),MATCH(DK$9,'Labor Cost_Master'!$G$3:$BC$3,0)),0)*BJ28,0)*1.05</f>
        <v>0</v>
      </c>
      <c r="DL28" s="64">
        <f>ROUND(IFERROR(INDEX('Labor Cost_Master'!$G$4:$BC$135,MATCH($DN28,'Labor Cost_Master'!$BD$4:$BD$135,0),MATCH(DL$9,'Labor Cost_Master'!$G$3:$BC$3,0)),0)*BK28,0)*1.05</f>
        <v>0</v>
      </c>
      <c r="DM28" s="66">
        <f t="shared" si="22"/>
        <v>0</v>
      </c>
      <c r="DN28" s="80" t="str">
        <f t="shared" si="23"/>
        <v/>
      </c>
      <c r="DO28" s="64">
        <f>ROUND(IFERROR(INDEX(Benefit_Master!$G$4:$BC$135,MATCH($DN28,Benefit_Master!$BD$4:$BD$135,0),MATCH(DO$9,Benefit_Master!$G$3:$BC$3,0)),0)*M28,0)</f>
        <v>0</v>
      </c>
      <c r="DP28" s="64">
        <f>ROUND(IFERROR(INDEX(Benefit_Master!$G$4:$BC$135,MATCH($DN28,Benefit_Master!$BD$4:$BD$135,0),MATCH(DP$9,Benefit_Master!$G$3:$BC$3,0)),0)*N28,0)</f>
        <v>0</v>
      </c>
      <c r="DQ28" s="64">
        <f>ROUND(IFERROR(INDEX(Benefit_Master!$G$4:$BC$135,MATCH($DN28,Benefit_Master!$BD$4:$BD$135,0),MATCH(DQ$9,Benefit_Master!$G$3:$BC$3,0)),0)*O28,0)</f>
        <v>0</v>
      </c>
      <c r="DR28" s="64">
        <f>ROUND(IFERROR(INDEX(Benefit_Master!$G$4:$BC$135,MATCH($DN28,Benefit_Master!$BD$4:$BD$135,0),MATCH(DR$9,Benefit_Master!$G$3:$BC$3,0)),0)*P28,0)</f>
        <v>0</v>
      </c>
      <c r="DS28" s="64">
        <f>ROUND(IFERROR(INDEX(Benefit_Master!$G$4:$BC$135,MATCH($DN28,Benefit_Master!$BD$4:$BD$135,0),MATCH(DS$9,Benefit_Master!$G$3:$BC$3,0)),0)*Q28,0)</f>
        <v>0</v>
      </c>
      <c r="DT28" s="64">
        <f>ROUND(IFERROR(INDEX(Benefit_Master!$G$4:$BC$135,MATCH($DN28,Benefit_Master!$BD$4:$BD$135,0),MATCH(DT$9,Benefit_Master!$G$3:$BC$3,0)),0)*R28,0)</f>
        <v>0</v>
      </c>
      <c r="DU28" s="64">
        <f>ROUND(IFERROR(INDEX(Benefit_Master!$G$4:$BC$135,MATCH($DN28,Benefit_Master!$BD$4:$BD$135,0),MATCH(DU$9,Benefit_Master!$G$3:$BC$3,0)),0)*S28,0)</f>
        <v>0</v>
      </c>
      <c r="DV28" s="64">
        <f>ROUND(IFERROR(INDEX(Benefit_Master!$G$4:$BC$135,MATCH($DN28,Benefit_Master!$BD$4:$BD$135,0),MATCH(DV$9,Benefit_Master!$G$3:$BC$3,0)),0)*T28,0)</f>
        <v>0</v>
      </c>
      <c r="DW28" s="64">
        <f>ROUND(IFERROR(INDEX(Benefit_Master!$G$4:$BC$135,MATCH($DN28,Benefit_Master!$BD$4:$BD$135,0),MATCH(DW$9,Benefit_Master!$G$3:$BC$3,0)),0)*U28,0)</f>
        <v>0</v>
      </c>
      <c r="DX28" s="64">
        <f>ROUND(IFERROR(INDEX(Benefit_Master!$G$4:$BC$135,MATCH($DN28,Benefit_Master!$BD$4:$BD$135,0),MATCH(DX$9,Benefit_Master!$G$3:$BC$3,0)),0)*V28,0)</f>
        <v>0</v>
      </c>
      <c r="DY28" s="64">
        <f>ROUND(IFERROR(INDEX(Benefit_Master!$G$4:$BC$135,MATCH($DN28,Benefit_Master!$BD$4:$BD$135,0),MATCH(DY$9,Benefit_Master!$G$3:$BC$3,0)),0)*W28,0)</f>
        <v>0</v>
      </c>
      <c r="DZ28" s="64">
        <f>ROUND(IFERROR(INDEX(Benefit_Master!$G$4:$BC$135,MATCH($DN28,Benefit_Master!$BD$4:$BD$135,0),MATCH(DZ$9,Benefit_Master!$G$3:$BC$3,0)),0)*X28,0)</f>
        <v>0</v>
      </c>
      <c r="EA28" s="66">
        <f t="shared" si="24"/>
        <v>0</v>
      </c>
      <c r="EB28" s="64">
        <f>ROUND(IFERROR(INDEX(Benefit_Master!$G$4:$BC$135,MATCH($DN28,Benefit_Master!$BD$4:$BD$135,0),MATCH(EB$9,Benefit_Master!$G$3:$BC$3,0)),0)*Z28,0)</f>
        <v>0</v>
      </c>
      <c r="EC28" s="64">
        <f>ROUND(IFERROR(INDEX(Benefit_Master!$G$4:$BC$135,MATCH($DN28,Benefit_Master!$BD$4:$BD$135,0),MATCH(EC$9,Benefit_Master!$G$3:$BC$3,0)),0)*AA28,0)</f>
        <v>0</v>
      </c>
      <c r="ED28" s="64">
        <f>ROUND(IFERROR(INDEX(Benefit_Master!$G$4:$BC$135,MATCH($DN28,Benefit_Master!$BD$4:$BD$135,0),MATCH(ED$9,Benefit_Master!$G$3:$BC$3,0)),0)*AB28,0)</f>
        <v>0</v>
      </c>
      <c r="EE28" s="64">
        <f>ROUND(IFERROR(INDEX(Benefit_Master!$G$4:$BC$135,MATCH($DN28,Benefit_Master!$BD$4:$BD$135,0),MATCH(EE$9,Benefit_Master!$G$3:$BC$3,0)),0)*AC28,0)</f>
        <v>0</v>
      </c>
      <c r="EF28" s="64">
        <f>ROUND(IFERROR(INDEX(Benefit_Master!$G$4:$BC$135,MATCH($DN28,Benefit_Master!$BD$4:$BD$135,0),MATCH(EF$9,Benefit_Master!$G$3:$BC$3,0)),0)*AD28,0)</f>
        <v>0</v>
      </c>
      <c r="EG28" s="64">
        <f>ROUND(IFERROR(INDEX(Benefit_Master!$G$4:$BC$135,MATCH($DN28,Benefit_Master!$BD$4:$BD$135,0),MATCH(EG$9,Benefit_Master!$G$3:$BC$3,0)),0)*AE28,0)</f>
        <v>0</v>
      </c>
      <c r="EH28" s="64">
        <f>ROUND(IFERROR(INDEX(Benefit_Master!$G$4:$BC$135,MATCH($DN28,Benefit_Master!$BD$4:$BD$135,0),MATCH(EH$9,Benefit_Master!$G$3:$BC$3,0)),0)*AF28,0)</f>
        <v>0</v>
      </c>
      <c r="EI28" s="64">
        <f>ROUND(IFERROR(INDEX(Benefit_Master!$G$4:$BC$135,MATCH($DN28,Benefit_Master!$BD$4:$BD$135,0),MATCH(EI$9,Benefit_Master!$G$3:$BC$3,0)),0)*AG28,0)</f>
        <v>0</v>
      </c>
      <c r="EJ28" s="64">
        <f>ROUND(IFERROR(INDEX(Benefit_Master!$G$4:$BC$135,MATCH($DN28,Benefit_Master!$BD$4:$BD$135,0),MATCH(EJ$9,Benefit_Master!$G$3:$BC$3,0)),0)*AH28,0)</f>
        <v>0</v>
      </c>
      <c r="EK28" s="64">
        <f>ROUND(IFERROR(INDEX(Benefit_Master!$G$4:$BC$135,MATCH($DN28,Benefit_Master!$BD$4:$BD$135,0),MATCH(EK$9,Benefit_Master!$G$3:$BC$3,0)),0)*AI28,0)</f>
        <v>0</v>
      </c>
      <c r="EL28" s="64">
        <f>ROUND(IFERROR(INDEX(Benefit_Master!$G$4:$BC$135,MATCH($DN28,Benefit_Master!$BD$4:$BD$135,0),MATCH(EL$9,Benefit_Master!$G$3:$BC$3,0)),0)*AJ28,0)</f>
        <v>0</v>
      </c>
      <c r="EM28" s="64">
        <f>ROUND(IFERROR(INDEX(Benefit_Master!$G$4:$BC$135,MATCH($DN28,Benefit_Master!$BD$4:$BD$135,0),MATCH(EM$9,Benefit_Master!$G$3:$BC$3,0)),0)*AK28,0)</f>
        <v>0</v>
      </c>
      <c r="EN28" s="66">
        <f t="shared" si="25"/>
        <v>0</v>
      </c>
      <c r="EO28" s="64">
        <f>ROUND(IFERROR(INDEX(Benefit_Master!$G$4:$BC$135,MATCH($DN28,Benefit_Master!$BD$4:$BD$135,0),MATCH(EO$9,Benefit_Master!$G$3:$BC$3,0)),0)*AM28,0)</f>
        <v>0</v>
      </c>
      <c r="EP28" s="64">
        <f>ROUND(IFERROR(INDEX(Benefit_Master!$G$4:$BC$135,MATCH($DN28,Benefit_Master!$BD$4:$BD$135,0),MATCH(EP$9,Benefit_Master!$G$3:$BC$3,0)),0)*AN28,0)</f>
        <v>0</v>
      </c>
      <c r="EQ28" s="64">
        <f>ROUND(IFERROR(INDEX(Benefit_Master!$G$4:$BC$135,MATCH($DN28,Benefit_Master!$BD$4:$BD$135,0),MATCH(EQ$9,Benefit_Master!$G$3:$BC$3,0)),0)*AO28,0)</f>
        <v>0</v>
      </c>
      <c r="ER28" s="64">
        <f>ROUND(IFERROR(INDEX(Benefit_Master!$G$4:$BC$135,MATCH($DN28,Benefit_Master!$BD$4:$BD$135,0),MATCH(ER$9,Benefit_Master!$G$3:$BC$3,0)),0)*AP28,0)</f>
        <v>0</v>
      </c>
      <c r="ES28" s="64">
        <f>ROUND(IFERROR(INDEX(Benefit_Master!$G$4:$BC$135,MATCH($DN28,Benefit_Master!$BD$4:$BD$135,0),MATCH(ES$9,Benefit_Master!$G$3:$BC$3,0)),0)*AQ28,0)</f>
        <v>0</v>
      </c>
      <c r="ET28" s="64">
        <f>ROUND(IFERROR(INDEX(Benefit_Master!$G$4:$BC$135,MATCH($DN28,Benefit_Master!$BD$4:$BD$135,0),MATCH(ET$9,Benefit_Master!$G$3:$BC$3,0)),0)*AR28,0)</f>
        <v>0</v>
      </c>
      <c r="EU28" s="64">
        <f>ROUND(IFERROR(INDEX(Benefit_Master!$G$4:$BC$135,MATCH($DN28,Benefit_Master!$BD$4:$BD$135,0),MATCH(EU$9,Benefit_Master!$G$3:$BC$3,0)),0)*AS28,0)</f>
        <v>0</v>
      </c>
      <c r="EV28" s="64">
        <f>ROUND(IFERROR(INDEX(Benefit_Master!$G$4:$BC$135,MATCH($DN28,Benefit_Master!$BD$4:$BD$135,0),MATCH(EV$9,Benefit_Master!$G$3:$BC$3,0)),0)*AT28,0)</f>
        <v>0</v>
      </c>
      <c r="EW28" s="64">
        <f>ROUND(IFERROR(INDEX(Benefit_Master!$G$4:$BC$135,MATCH($DN28,Benefit_Master!$BD$4:$BD$135,0),MATCH(EW$9,Benefit_Master!$G$3:$BC$3,0)),0)*AU28,0)</f>
        <v>0</v>
      </c>
      <c r="EX28" s="64">
        <f>ROUND(IFERROR(INDEX(Benefit_Master!$G$4:$BC$135,MATCH($DN28,Benefit_Master!$BD$4:$BD$135,0),MATCH(EX$9,Benefit_Master!$G$3:$BC$3,0)),0)*AV28,0)</f>
        <v>0</v>
      </c>
      <c r="EY28" s="64">
        <f>ROUND(IFERROR(INDEX(Benefit_Master!$G$4:$BC$135,MATCH($DN28,Benefit_Master!$BD$4:$BD$135,0),MATCH(EY$9,Benefit_Master!$G$3:$BC$3,0)),0)*AW28,0)</f>
        <v>0</v>
      </c>
      <c r="EZ28" s="64">
        <f>ROUND(IFERROR(INDEX(Benefit_Master!$G$4:$BC$135,MATCH($DN28,Benefit_Master!$BD$4:$BD$135,0),MATCH(EZ$9,Benefit_Master!$G$3:$BC$3,0)),0)*AX28,0)</f>
        <v>0</v>
      </c>
      <c r="FA28" s="66">
        <f t="shared" si="26"/>
        <v>0</v>
      </c>
      <c r="FB28" s="64">
        <f>ROUND(IFERROR(INDEX(Benefit_Master!$G$4:$BC$135,MATCH($DN28,Benefit_Master!$BD$4:$BD$135,0),MATCH(FB$9,Benefit_Master!$G$3:$BC$3,0)),0)*AZ28,0)</f>
        <v>0</v>
      </c>
      <c r="FC28" s="64">
        <f>ROUND(IFERROR(INDEX(Benefit_Master!$G$4:$BC$135,MATCH($DN28,Benefit_Master!$BD$4:$BD$135,0),MATCH(FC$9,Benefit_Master!$G$3:$BC$3,0)),0)*BA28,0)</f>
        <v>0</v>
      </c>
      <c r="FD28" s="64">
        <f>ROUND(IFERROR(INDEX(Benefit_Master!$G$4:$BC$135,MATCH($DN28,Benefit_Master!$BD$4:$BD$135,0),MATCH(FD$9,Benefit_Master!$G$3:$BC$3,0)),0)*BB28,0)</f>
        <v>0</v>
      </c>
      <c r="FE28" s="64">
        <f>ROUND(IFERROR(INDEX(Benefit_Master!$G$4:$BC$135,MATCH($DN28,Benefit_Master!$BD$4:$BD$135,0),MATCH(FE$9,Benefit_Master!$G$3:$BC$3,0)),0)*BC28,0)</f>
        <v>0</v>
      </c>
      <c r="FF28" s="64">
        <f>ROUND(IFERROR(INDEX(Benefit_Master!$G$4:$BC$135,MATCH($DN28,Benefit_Master!$BD$4:$BD$135,0),MATCH(FF$9,Benefit_Master!$G$3:$BC$3,0)),0)*BD28,0)</f>
        <v>0</v>
      </c>
      <c r="FG28" s="64">
        <f>ROUND(IFERROR(INDEX(Benefit_Master!$G$4:$BC$135,MATCH($DN28,Benefit_Master!$BD$4:$BD$135,0),MATCH(FG$9,Benefit_Master!$G$3:$BC$3,0)),0)*BE28,0)</f>
        <v>0</v>
      </c>
      <c r="FH28" s="64">
        <f>ROUND(IFERROR(INDEX(Benefit_Master!$G$4:$BC$135,MATCH($DN28,Benefit_Master!$BD$4:$BD$135,0),MATCH(FH$9,Benefit_Master!$G$3:$BC$3,0)),0)*BF28,0)</f>
        <v>0</v>
      </c>
      <c r="FI28" s="64">
        <f>ROUND(IFERROR(INDEX(Benefit_Master!$G$4:$BC$135,MATCH($DN28,Benefit_Master!$BD$4:$BD$135,0),MATCH(FI$9,Benefit_Master!$G$3:$BC$3,0)),0)*BG28,0)</f>
        <v>0</v>
      </c>
      <c r="FJ28" s="64">
        <f>ROUND(IFERROR(INDEX(Benefit_Master!$G$4:$BC$135,MATCH($DN28,Benefit_Master!$BD$4:$BD$135,0),MATCH(FJ$9,Benefit_Master!$G$3:$BC$3,0)),0)*BH28,0)</f>
        <v>0</v>
      </c>
      <c r="FK28" s="64">
        <f>ROUND(IFERROR(INDEX(Benefit_Master!$G$4:$BC$135,MATCH($DN28,Benefit_Master!$BD$4:$BD$135,0),MATCH(FK$9,Benefit_Master!$G$3:$BC$3,0)),0)*BI28,0)</f>
        <v>0</v>
      </c>
      <c r="FL28" s="64">
        <f>ROUND(IFERROR(INDEX(Benefit_Master!$G$4:$BC$135,MATCH($DN28,Benefit_Master!$BD$4:$BD$135,0),MATCH(FL$9,Benefit_Master!$G$3:$BC$3,0)),0)*BJ28,0)</f>
        <v>0</v>
      </c>
      <c r="FM28" s="64">
        <f>ROUND(IFERROR(INDEX(Benefit_Master!$G$4:$BC$135,MATCH($DN28,Benefit_Master!$BD$4:$BD$135,0),MATCH(FM$9,Benefit_Master!$G$3:$BC$3,0)),0)*BK28,0)</f>
        <v>0</v>
      </c>
      <c r="FN28" s="66">
        <f t="shared" si="27"/>
        <v>0</v>
      </c>
    </row>
    <row r="29" spans="2:170" s="12" customFormat="1" ht="15" customHeight="1">
      <c r="B29" s="93">
        <f t="shared" si="28"/>
        <v>17</v>
      </c>
      <c r="C29" s="89"/>
      <c r="D29" s="97"/>
      <c r="E29" s="1157"/>
      <c r="F29" s="425"/>
      <c r="G29" s="94" t="str">
        <f>IFERROR(VLOOKUP($F29,Master!$B$1:$C$7,2,0),"-")</f>
        <v>-</v>
      </c>
      <c r="H29" s="95">
        <f t="shared" si="12"/>
        <v>0</v>
      </c>
      <c r="I29" s="138">
        <f t="shared" si="13"/>
        <v>0</v>
      </c>
      <c r="J29" s="138">
        <f t="shared" si="14"/>
        <v>0</v>
      </c>
      <c r="K29" s="96"/>
      <c r="L29"/>
      <c r="M29" s="58"/>
      <c r="N29" s="59"/>
      <c r="O29" s="59"/>
      <c r="P29" s="59"/>
      <c r="Q29" s="59"/>
      <c r="R29" s="59"/>
      <c r="S29" s="59"/>
      <c r="T29" s="59"/>
      <c r="U29" s="679"/>
      <c r="V29" s="56"/>
      <c r="W29" s="56"/>
      <c r="X29" s="56"/>
      <c r="Y29" s="60">
        <f t="shared" si="15"/>
        <v>0</v>
      </c>
      <c r="Z29" s="55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60">
        <f t="shared" si="16"/>
        <v>0</v>
      </c>
      <c r="AM29" s="58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60">
        <f t="shared" si="17"/>
        <v>0</v>
      </c>
      <c r="AZ29" s="58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60">
        <f t="shared" si="18"/>
        <v>0</v>
      </c>
      <c r="BM29"/>
      <c r="BN29" s="64">
        <f>ROUND(IFERROR(INDEX('Labor Cost_Master'!$G$4:$BC$135,MATCH($DN29,'Labor Cost_Master'!$BD$4:$BD$135,0),MATCH(BN$9,'Labor Cost_Master'!$G$3:$BC$3,0)),0)*M29,0)</f>
        <v>0</v>
      </c>
      <c r="BO29" s="64">
        <f>ROUND(IFERROR(INDEX('Labor Cost_Master'!$G$4:$BC$135,MATCH($DN29,'Labor Cost_Master'!$BD$4:$BD$135,0),MATCH(BO$9,'Labor Cost_Master'!$G$3:$BC$3,0)),0)*N29,0)</f>
        <v>0</v>
      </c>
      <c r="BP29" s="64">
        <f>ROUND(IFERROR(INDEX('Labor Cost_Master'!$G$4:$BC$135,MATCH($DN29,'Labor Cost_Master'!$BD$4:$BD$135,0),MATCH(BP$9,'Labor Cost_Master'!$G$3:$BC$3,0)),0)*O29,0)</f>
        <v>0</v>
      </c>
      <c r="BQ29" s="64">
        <f>ROUND(IFERROR(INDEX('Labor Cost_Master'!$G$4:$BC$135,MATCH($DN29,'Labor Cost_Master'!$BD$4:$BD$135,0),MATCH(BQ$9,'Labor Cost_Master'!$G$3:$BC$3,0)),0)*P29,0)</f>
        <v>0</v>
      </c>
      <c r="BR29" s="64">
        <f>ROUND(IFERROR(INDEX('Labor Cost_Master'!$G$4:$BC$135,MATCH($DN29,'Labor Cost_Master'!$BD$4:$BD$135,0),MATCH(BR$9,'Labor Cost_Master'!$G$3:$BC$3,0)),0)*Q29,0)</f>
        <v>0</v>
      </c>
      <c r="BS29" s="64">
        <f>ROUND(IFERROR(INDEX('Labor Cost_Master'!$G$4:$BC$135,MATCH($DN29,'Labor Cost_Master'!$BD$4:$BD$135,0),MATCH(BS$9,'Labor Cost_Master'!$G$3:$BC$3,0)),0)*R29,0)</f>
        <v>0</v>
      </c>
      <c r="BT29" s="64">
        <f>ROUND(IFERROR(INDEX('Labor Cost_Master'!$G$4:$BC$135,MATCH($DN29,'Labor Cost_Master'!$BD$4:$BD$135,0),MATCH(BT$9,'Labor Cost_Master'!$G$3:$BC$3,0)),0)*S29,0)</f>
        <v>0</v>
      </c>
      <c r="BU29" s="64">
        <f>ROUND(IFERROR(INDEX('Labor Cost_Master'!$G$4:$BC$135,MATCH($DN29,'Labor Cost_Master'!$BD$4:$BD$135,0),MATCH(BU$9,'Labor Cost_Master'!$G$3:$BC$3,0)),0)*T29,0)</f>
        <v>0</v>
      </c>
      <c r="BV29" s="64">
        <f>ROUND(IFERROR(INDEX('Labor Cost_Master'!$G$4:$BC$135,MATCH($DN29,'Labor Cost_Master'!$BD$4:$BD$135,0),MATCH(BV$9,'Labor Cost_Master'!$G$3:$BC$3,0)),0)*U29,0)</f>
        <v>0</v>
      </c>
      <c r="BW29" s="64">
        <f>ROUND(IFERROR(INDEX('Labor Cost_Master'!$G$4:$BC$135,MATCH($DN29,'Labor Cost_Master'!$BD$4:$BD$135,0),MATCH(BW$9,'Labor Cost_Master'!$G$3:$BC$3,0)),0)*V29,0)</f>
        <v>0</v>
      </c>
      <c r="BX29" s="64">
        <f>ROUND(IFERROR(INDEX('Labor Cost_Master'!$G$4:$BC$135,MATCH($DN29,'Labor Cost_Master'!$BD$4:$BD$135,0),MATCH(BX$9,'Labor Cost_Master'!$G$3:$BC$3,0)),0)*W29,0)</f>
        <v>0</v>
      </c>
      <c r="BY29" s="64">
        <f>ROUND(IFERROR(INDEX('Labor Cost_Master'!$G$4:$BC$135,MATCH($DN29,'Labor Cost_Master'!$BD$4:$BD$135,0),MATCH(BY$9,'Labor Cost_Master'!$G$3:$BC$3,0)),0)*X29,0)</f>
        <v>0</v>
      </c>
      <c r="BZ29" s="66">
        <f t="shared" si="19"/>
        <v>0</v>
      </c>
      <c r="CA29" s="64">
        <f>ROUND(IFERROR(INDEX('Labor Cost_Master'!$G$4:$BC$135,MATCH($DN29,'Labor Cost_Master'!$BD$4:$BD$135,0),MATCH(CA$9,'Labor Cost_Master'!$G$3:$BC$3,0)),0)*Z29,0)</f>
        <v>0</v>
      </c>
      <c r="CB29" s="64">
        <f>ROUND(IFERROR(INDEX('Labor Cost_Master'!$G$4:$BC$135,MATCH($DN29,'Labor Cost_Master'!$BD$4:$BD$135,0),MATCH(CB$9,'Labor Cost_Master'!$G$3:$BC$3,0)),0)*AA29,0)</f>
        <v>0</v>
      </c>
      <c r="CC29" s="64">
        <f>ROUND(IFERROR(INDEX('Labor Cost_Master'!$G$4:$BC$135,MATCH($DN29,'Labor Cost_Master'!$BD$4:$BD$135,0),MATCH(CC$9,'Labor Cost_Master'!$G$3:$BC$3,0)),0)*AB29,0)</f>
        <v>0</v>
      </c>
      <c r="CD29" s="64">
        <f>ROUND(IFERROR(INDEX('Labor Cost_Master'!$G$4:$BC$135,MATCH($DN29,'Labor Cost_Master'!$BD$4:$BD$135,0),MATCH(CD$9,'Labor Cost_Master'!$G$3:$BC$3,0)),0)*AC29,0)</f>
        <v>0</v>
      </c>
      <c r="CE29" s="64">
        <f>ROUND(IFERROR(INDEX('Labor Cost_Master'!$G$4:$BC$135,MATCH($DN29,'Labor Cost_Master'!$BD$4:$BD$135,0),MATCH(CE$9,'Labor Cost_Master'!$G$3:$BC$3,0)),0)*AD29,0)</f>
        <v>0</v>
      </c>
      <c r="CF29" s="64">
        <f>ROUND(IFERROR(INDEX('Labor Cost_Master'!$G$4:$BC$135,MATCH($DN29,'Labor Cost_Master'!$BD$4:$BD$135,0),MATCH(CF$9,'Labor Cost_Master'!$G$3:$BC$3,0)),0)*AE29,0)</f>
        <v>0</v>
      </c>
      <c r="CG29" s="64">
        <f>ROUND(IFERROR(INDEX('Labor Cost_Master'!$G$4:$BC$135,MATCH($DN29,'Labor Cost_Master'!$BD$4:$BD$135,0),MATCH(CG$9,'Labor Cost_Master'!$G$3:$BC$3,0)),0)*AF29,0)</f>
        <v>0</v>
      </c>
      <c r="CH29" s="64">
        <f>ROUND(IFERROR(INDEX('Labor Cost_Master'!$G$4:$BC$135,MATCH($DN29,'Labor Cost_Master'!$BD$4:$BD$135,0),MATCH(CH$9,'Labor Cost_Master'!$G$3:$BC$3,0)),0)*AG29,0)</f>
        <v>0</v>
      </c>
      <c r="CI29" s="64">
        <f>ROUND(IFERROR(INDEX('Labor Cost_Master'!$G$4:$BC$135,MATCH($DN29,'Labor Cost_Master'!$BD$4:$BD$135,0),MATCH(CI$9,'Labor Cost_Master'!$G$3:$BC$3,0)),0)*AH29,0)</f>
        <v>0</v>
      </c>
      <c r="CJ29" s="64">
        <f>ROUND(IFERROR(INDEX('Labor Cost_Master'!$G$4:$BC$135,MATCH($DN29,'Labor Cost_Master'!$BD$4:$BD$135,0),MATCH(CJ$9,'Labor Cost_Master'!$G$3:$BC$3,0)),0)*AI29,0)</f>
        <v>0</v>
      </c>
      <c r="CK29" s="64">
        <f>ROUND(IFERROR(INDEX('Labor Cost_Master'!$G$4:$BC$135,MATCH($DN29,'Labor Cost_Master'!$BD$4:$BD$135,0),MATCH(CK$9,'Labor Cost_Master'!$G$3:$BC$3,0)),0)*AJ29,0)</f>
        <v>0</v>
      </c>
      <c r="CL29" s="64">
        <f>ROUND(IFERROR(INDEX('Labor Cost_Master'!$G$4:$BC$135,MATCH($DN29,'Labor Cost_Master'!$BD$4:$BD$135,0),MATCH(CL$9,'Labor Cost_Master'!$G$3:$BC$3,0)),0)*AK29,0)</f>
        <v>0</v>
      </c>
      <c r="CM29" s="66">
        <f t="shared" si="20"/>
        <v>0</v>
      </c>
      <c r="CN29" s="64">
        <f>ROUND(IFERROR(INDEX('Labor Cost_Master'!$G$4:$BC$135,MATCH($DN29,'Labor Cost_Master'!$BD$4:$BD$135,0),MATCH(CN$9,'Labor Cost_Master'!$G$3:$BC$3,0)),0)*AM29,0)</f>
        <v>0</v>
      </c>
      <c r="CO29" s="64">
        <f>ROUND(IFERROR(INDEX('Labor Cost_Master'!$G$4:$BC$135,MATCH($DN29,'Labor Cost_Master'!$BD$4:$BD$135,0),MATCH(CO$9,'Labor Cost_Master'!$G$3:$BC$3,0)),0)*AN29,0)</f>
        <v>0</v>
      </c>
      <c r="CP29" s="64">
        <f>ROUND(IFERROR(INDEX('Labor Cost_Master'!$G$4:$BC$135,MATCH($DN29,'Labor Cost_Master'!$BD$4:$BD$135,0),MATCH(CP$9,'Labor Cost_Master'!$G$3:$BC$3,0)),0)*AO29,0)</f>
        <v>0</v>
      </c>
      <c r="CQ29" s="64">
        <f>ROUND(IFERROR(INDEX('Labor Cost_Master'!$G$4:$BC$135,MATCH($DN29,'Labor Cost_Master'!$BD$4:$BD$135,0),MATCH(CQ$9,'Labor Cost_Master'!$G$3:$BC$3,0)),0)*AP29,0)</f>
        <v>0</v>
      </c>
      <c r="CR29" s="64">
        <f>ROUND(IFERROR(INDEX('Labor Cost_Master'!$G$4:$BC$135,MATCH($DN29,'Labor Cost_Master'!$BD$4:$BD$135,0),MATCH(CR$9,'Labor Cost_Master'!$G$3:$BC$3,0)),0)*AQ29,0)</f>
        <v>0</v>
      </c>
      <c r="CS29" s="64">
        <f>ROUND(IFERROR(INDEX('Labor Cost_Master'!$G$4:$BC$135,MATCH($DN29,'Labor Cost_Master'!$BD$4:$BD$135,0),MATCH(CS$9,'Labor Cost_Master'!$G$3:$BC$3,0)),0)*AR29,0)</f>
        <v>0</v>
      </c>
      <c r="CT29" s="64">
        <f>ROUND(IFERROR(INDEX('Labor Cost_Master'!$G$4:$BC$135,MATCH($DN29,'Labor Cost_Master'!$BD$4:$BD$135,0),MATCH(CT$9,'Labor Cost_Master'!$G$3:$BC$3,0)),0)*AS29,0)</f>
        <v>0</v>
      </c>
      <c r="CU29" s="64">
        <f>ROUND(IFERROR(INDEX('Labor Cost_Master'!$G$4:$BC$135,MATCH($DN29,'Labor Cost_Master'!$BD$4:$BD$135,0),MATCH(CU$9,'Labor Cost_Master'!$G$3:$BC$3,0)),0)*AT29,0)</f>
        <v>0</v>
      </c>
      <c r="CV29" s="64">
        <f>ROUND(IFERROR(INDEX('Labor Cost_Master'!$G$4:$BC$135,MATCH($DN29,'Labor Cost_Master'!$BD$4:$BD$135,0),MATCH(CV$9,'Labor Cost_Master'!$G$3:$BC$3,0)),0)*AU29,0)</f>
        <v>0</v>
      </c>
      <c r="CW29" s="64">
        <f>ROUND(IFERROR(INDEX('Labor Cost_Master'!$G$4:$BC$135,MATCH($DN29,'Labor Cost_Master'!$BD$4:$BD$135,0),MATCH(CW$9,'Labor Cost_Master'!$G$3:$BC$3,0)),0)*AV29,0)</f>
        <v>0</v>
      </c>
      <c r="CX29" s="64">
        <f>ROUND(IFERROR(INDEX('Labor Cost_Master'!$G$4:$BC$135,MATCH($DN29,'Labor Cost_Master'!$BD$4:$BD$135,0),MATCH(CX$9,'Labor Cost_Master'!$G$3:$BC$3,0)),0)*AW29,0)</f>
        <v>0</v>
      </c>
      <c r="CY29" s="64">
        <f>ROUND(IFERROR(INDEX('Labor Cost_Master'!$G$4:$BC$135,MATCH($DN29,'Labor Cost_Master'!$BD$4:$BD$135,0),MATCH(CY$9,'Labor Cost_Master'!$G$3:$BC$3,0)),0)*AX29,0)</f>
        <v>0</v>
      </c>
      <c r="CZ29" s="66">
        <f t="shared" si="21"/>
        <v>0</v>
      </c>
      <c r="DA29" s="64">
        <f>ROUND(IFERROR(INDEX('Labor Cost_Master'!$G$4:$BC$135,MATCH($DN29,'Labor Cost_Master'!$BD$4:$BD$135,0),MATCH(DA$9,'Labor Cost_Master'!$G$3:$BC$3,0)),0)*AZ29,0)</f>
        <v>0</v>
      </c>
      <c r="DB29" s="64">
        <f>ROUND(IFERROR(INDEX('Labor Cost_Master'!$G$4:$BC$135,MATCH($DN29,'Labor Cost_Master'!$BD$4:$BD$135,0),MATCH(DB$9,'Labor Cost_Master'!$G$3:$BC$3,0)),0)*BA29,0)</f>
        <v>0</v>
      </c>
      <c r="DC29" s="1166">
        <f>ROUND(IFERROR(INDEX('Labor Cost_Master'!$G$4:$BC$135,MATCH($DN29,'Labor Cost_Master'!$BD$4:$BD$135,0),MATCH(DC$9,'Labor Cost_Master'!$G$3:$BC$3,0)),0)*BB29,0)*1.05</f>
        <v>0</v>
      </c>
      <c r="DD29" s="64">
        <f>ROUND(IFERROR(INDEX('Labor Cost_Master'!$G$4:$BC$135,MATCH($DN29,'Labor Cost_Master'!$BD$4:$BD$135,0),MATCH(DD$9,'Labor Cost_Master'!$G$3:$BC$3,0)),0)*BC29,0)*1.05</f>
        <v>0</v>
      </c>
      <c r="DE29" s="64">
        <f>ROUND(IFERROR(INDEX('Labor Cost_Master'!$G$4:$BC$135,MATCH($DN29,'Labor Cost_Master'!$BD$4:$BD$135,0),MATCH(DE$9,'Labor Cost_Master'!$G$3:$BC$3,0)),0)*BD29,0)*1.05</f>
        <v>0</v>
      </c>
      <c r="DF29" s="64">
        <f>ROUND(IFERROR(INDEX('Labor Cost_Master'!$G$4:$BC$135,MATCH($DN29,'Labor Cost_Master'!$BD$4:$BD$135,0),MATCH(DF$9,'Labor Cost_Master'!$G$3:$BC$3,0)),0)*BE29,0)*1.05</f>
        <v>0</v>
      </c>
      <c r="DG29" s="64">
        <f>ROUND(IFERROR(INDEX('Labor Cost_Master'!$G$4:$BC$135,MATCH($DN29,'Labor Cost_Master'!$BD$4:$BD$135,0),MATCH(DG$9,'Labor Cost_Master'!$G$3:$BC$3,0)),0)*BF29,0)*1.05</f>
        <v>0</v>
      </c>
      <c r="DH29" s="64">
        <f>ROUND(IFERROR(INDEX('Labor Cost_Master'!$G$4:$BC$135,MATCH($DN29,'Labor Cost_Master'!$BD$4:$BD$135,0),MATCH(DH$9,'Labor Cost_Master'!$G$3:$BC$3,0)),0)*BG29,0)*1.05</f>
        <v>0</v>
      </c>
      <c r="DI29" s="64">
        <f>ROUND(IFERROR(INDEX('Labor Cost_Master'!$G$4:$BC$135,MATCH($DN29,'Labor Cost_Master'!$BD$4:$BD$135,0),MATCH(DI$9,'Labor Cost_Master'!$G$3:$BC$3,0)),0)*BH29,0)*1.05</f>
        <v>0</v>
      </c>
      <c r="DJ29" s="64">
        <f>ROUND(IFERROR(INDEX('Labor Cost_Master'!$G$4:$BC$135,MATCH($DN29,'Labor Cost_Master'!$BD$4:$BD$135,0),MATCH(DJ$9,'Labor Cost_Master'!$G$3:$BC$3,0)),0)*BI29,0)*1.05</f>
        <v>0</v>
      </c>
      <c r="DK29" s="64">
        <f>ROUND(IFERROR(INDEX('Labor Cost_Master'!$G$4:$BC$135,MATCH($DN29,'Labor Cost_Master'!$BD$4:$BD$135,0),MATCH(DK$9,'Labor Cost_Master'!$G$3:$BC$3,0)),0)*BJ29,0)*1.05</f>
        <v>0</v>
      </c>
      <c r="DL29" s="64">
        <f>ROUND(IFERROR(INDEX('Labor Cost_Master'!$G$4:$BC$135,MATCH($DN29,'Labor Cost_Master'!$BD$4:$BD$135,0),MATCH(DL$9,'Labor Cost_Master'!$G$3:$BC$3,0)),0)*BK29,0)*1.05</f>
        <v>0</v>
      </c>
      <c r="DM29" s="66">
        <f t="shared" si="22"/>
        <v>0</v>
      </c>
      <c r="DN29" s="80" t="str">
        <f t="shared" si="23"/>
        <v/>
      </c>
      <c r="DO29" s="64">
        <f>ROUND(IFERROR(INDEX(Benefit_Master!$G$4:$BC$135,MATCH($DN29,Benefit_Master!$BD$4:$BD$135,0),MATCH(DO$9,Benefit_Master!$G$3:$BC$3,0)),0)*M29,0)</f>
        <v>0</v>
      </c>
      <c r="DP29" s="64">
        <f>ROUND(IFERROR(INDEX(Benefit_Master!$G$4:$BC$135,MATCH($DN29,Benefit_Master!$BD$4:$BD$135,0),MATCH(DP$9,Benefit_Master!$G$3:$BC$3,0)),0)*N29,0)</f>
        <v>0</v>
      </c>
      <c r="DQ29" s="64">
        <f>ROUND(IFERROR(INDEX(Benefit_Master!$G$4:$BC$135,MATCH($DN29,Benefit_Master!$BD$4:$BD$135,0),MATCH(DQ$9,Benefit_Master!$G$3:$BC$3,0)),0)*O29,0)</f>
        <v>0</v>
      </c>
      <c r="DR29" s="64">
        <f>ROUND(IFERROR(INDEX(Benefit_Master!$G$4:$BC$135,MATCH($DN29,Benefit_Master!$BD$4:$BD$135,0),MATCH(DR$9,Benefit_Master!$G$3:$BC$3,0)),0)*P29,0)</f>
        <v>0</v>
      </c>
      <c r="DS29" s="64">
        <f>ROUND(IFERROR(INDEX(Benefit_Master!$G$4:$BC$135,MATCH($DN29,Benefit_Master!$BD$4:$BD$135,0),MATCH(DS$9,Benefit_Master!$G$3:$BC$3,0)),0)*Q29,0)</f>
        <v>0</v>
      </c>
      <c r="DT29" s="64">
        <f>ROUND(IFERROR(INDEX(Benefit_Master!$G$4:$BC$135,MATCH($DN29,Benefit_Master!$BD$4:$BD$135,0),MATCH(DT$9,Benefit_Master!$G$3:$BC$3,0)),0)*R29,0)</f>
        <v>0</v>
      </c>
      <c r="DU29" s="64">
        <f>ROUND(IFERROR(INDEX(Benefit_Master!$G$4:$BC$135,MATCH($DN29,Benefit_Master!$BD$4:$BD$135,0),MATCH(DU$9,Benefit_Master!$G$3:$BC$3,0)),0)*S29,0)</f>
        <v>0</v>
      </c>
      <c r="DV29" s="64">
        <f>ROUND(IFERROR(INDEX(Benefit_Master!$G$4:$BC$135,MATCH($DN29,Benefit_Master!$BD$4:$BD$135,0),MATCH(DV$9,Benefit_Master!$G$3:$BC$3,0)),0)*T29,0)</f>
        <v>0</v>
      </c>
      <c r="DW29" s="64">
        <f>ROUND(IFERROR(INDEX(Benefit_Master!$G$4:$BC$135,MATCH($DN29,Benefit_Master!$BD$4:$BD$135,0),MATCH(DW$9,Benefit_Master!$G$3:$BC$3,0)),0)*U29,0)</f>
        <v>0</v>
      </c>
      <c r="DX29" s="64">
        <f>ROUND(IFERROR(INDEX(Benefit_Master!$G$4:$BC$135,MATCH($DN29,Benefit_Master!$BD$4:$BD$135,0),MATCH(DX$9,Benefit_Master!$G$3:$BC$3,0)),0)*V29,0)</f>
        <v>0</v>
      </c>
      <c r="DY29" s="64">
        <f>ROUND(IFERROR(INDEX(Benefit_Master!$G$4:$BC$135,MATCH($DN29,Benefit_Master!$BD$4:$BD$135,0),MATCH(DY$9,Benefit_Master!$G$3:$BC$3,0)),0)*W29,0)</f>
        <v>0</v>
      </c>
      <c r="DZ29" s="64">
        <f>ROUND(IFERROR(INDEX(Benefit_Master!$G$4:$BC$135,MATCH($DN29,Benefit_Master!$BD$4:$BD$135,0),MATCH(DZ$9,Benefit_Master!$G$3:$BC$3,0)),0)*X29,0)</f>
        <v>0</v>
      </c>
      <c r="EA29" s="66">
        <f t="shared" si="24"/>
        <v>0</v>
      </c>
      <c r="EB29" s="64">
        <f>ROUND(IFERROR(INDEX(Benefit_Master!$G$4:$BC$135,MATCH($DN29,Benefit_Master!$BD$4:$BD$135,0),MATCH(EB$9,Benefit_Master!$G$3:$BC$3,0)),0)*Z29,0)</f>
        <v>0</v>
      </c>
      <c r="EC29" s="64">
        <f>ROUND(IFERROR(INDEX(Benefit_Master!$G$4:$BC$135,MATCH($DN29,Benefit_Master!$BD$4:$BD$135,0),MATCH(EC$9,Benefit_Master!$G$3:$BC$3,0)),0)*AA29,0)</f>
        <v>0</v>
      </c>
      <c r="ED29" s="64">
        <f>ROUND(IFERROR(INDEX(Benefit_Master!$G$4:$BC$135,MATCH($DN29,Benefit_Master!$BD$4:$BD$135,0),MATCH(ED$9,Benefit_Master!$G$3:$BC$3,0)),0)*AB29,0)</f>
        <v>0</v>
      </c>
      <c r="EE29" s="64">
        <f>ROUND(IFERROR(INDEX(Benefit_Master!$G$4:$BC$135,MATCH($DN29,Benefit_Master!$BD$4:$BD$135,0),MATCH(EE$9,Benefit_Master!$G$3:$BC$3,0)),0)*AC29,0)</f>
        <v>0</v>
      </c>
      <c r="EF29" s="64">
        <f>ROUND(IFERROR(INDEX(Benefit_Master!$G$4:$BC$135,MATCH($DN29,Benefit_Master!$BD$4:$BD$135,0),MATCH(EF$9,Benefit_Master!$G$3:$BC$3,0)),0)*AD29,0)</f>
        <v>0</v>
      </c>
      <c r="EG29" s="64">
        <f>ROUND(IFERROR(INDEX(Benefit_Master!$G$4:$BC$135,MATCH($DN29,Benefit_Master!$BD$4:$BD$135,0),MATCH(EG$9,Benefit_Master!$G$3:$BC$3,0)),0)*AE29,0)</f>
        <v>0</v>
      </c>
      <c r="EH29" s="64">
        <f>ROUND(IFERROR(INDEX(Benefit_Master!$G$4:$BC$135,MATCH($DN29,Benefit_Master!$BD$4:$BD$135,0),MATCH(EH$9,Benefit_Master!$G$3:$BC$3,0)),0)*AF29,0)</f>
        <v>0</v>
      </c>
      <c r="EI29" s="64">
        <f>ROUND(IFERROR(INDEX(Benefit_Master!$G$4:$BC$135,MATCH($DN29,Benefit_Master!$BD$4:$BD$135,0),MATCH(EI$9,Benefit_Master!$G$3:$BC$3,0)),0)*AG29,0)</f>
        <v>0</v>
      </c>
      <c r="EJ29" s="64">
        <f>ROUND(IFERROR(INDEX(Benefit_Master!$G$4:$BC$135,MATCH($DN29,Benefit_Master!$BD$4:$BD$135,0),MATCH(EJ$9,Benefit_Master!$G$3:$BC$3,0)),0)*AH29,0)</f>
        <v>0</v>
      </c>
      <c r="EK29" s="64">
        <f>ROUND(IFERROR(INDEX(Benefit_Master!$G$4:$BC$135,MATCH($DN29,Benefit_Master!$BD$4:$BD$135,0),MATCH(EK$9,Benefit_Master!$G$3:$BC$3,0)),0)*AI29,0)</f>
        <v>0</v>
      </c>
      <c r="EL29" s="64">
        <f>ROUND(IFERROR(INDEX(Benefit_Master!$G$4:$BC$135,MATCH($DN29,Benefit_Master!$BD$4:$BD$135,0),MATCH(EL$9,Benefit_Master!$G$3:$BC$3,0)),0)*AJ29,0)</f>
        <v>0</v>
      </c>
      <c r="EM29" s="64">
        <f>ROUND(IFERROR(INDEX(Benefit_Master!$G$4:$BC$135,MATCH($DN29,Benefit_Master!$BD$4:$BD$135,0),MATCH(EM$9,Benefit_Master!$G$3:$BC$3,0)),0)*AK29,0)</f>
        <v>0</v>
      </c>
      <c r="EN29" s="66">
        <f t="shared" si="25"/>
        <v>0</v>
      </c>
      <c r="EO29" s="64">
        <f>ROUND(IFERROR(INDEX(Benefit_Master!$G$4:$BC$135,MATCH($DN29,Benefit_Master!$BD$4:$BD$135,0),MATCH(EO$9,Benefit_Master!$G$3:$BC$3,0)),0)*AM29,0)</f>
        <v>0</v>
      </c>
      <c r="EP29" s="64">
        <f>ROUND(IFERROR(INDEX(Benefit_Master!$G$4:$BC$135,MATCH($DN29,Benefit_Master!$BD$4:$BD$135,0),MATCH(EP$9,Benefit_Master!$G$3:$BC$3,0)),0)*AN29,0)</f>
        <v>0</v>
      </c>
      <c r="EQ29" s="64">
        <f>ROUND(IFERROR(INDEX(Benefit_Master!$G$4:$BC$135,MATCH($DN29,Benefit_Master!$BD$4:$BD$135,0),MATCH(EQ$9,Benefit_Master!$G$3:$BC$3,0)),0)*AO29,0)</f>
        <v>0</v>
      </c>
      <c r="ER29" s="64">
        <f>ROUND(IFERROR(INDEX(Benefit_Master!$G$4:$BC$135,MATCH($DN29,Benefit_Master!$BD$4:$BD$135,0),MATCH(ER$9,Benefit_Master!$G$3:$BC$3,0)),0)*AP29,0)</f>
        <v>0</v>
      </c>
      <c r="ES29" s="64">
        <f>ROUND(IFERROR(INDEX(Benefit_Master!$G$4:$BC$135,MATCH($DN29,Benefit_Master!$BD$4:$BD$135,0),MATCH(ES$9,Benefit_Master!$G$3:$BC$3,0)),0)*AQ29,0)</f>
        <v>0</v>
      </c>
      <c r="ET29" s="64">
        <f>ROUND(IFERROR(INDEX(Benefit_Master!$G$4:$BC$135,MATCH($DN29,Benefit_Master!$BD$4:$BD$135,0),MATCH(ET$9,Benefit_Master!$G$3:$BC$3,0)),0)*AR29,0)</f>
        <v>0</v>
      </c>
      <c r="EU29" s="64">
        <f>ROUND(IFERROR(INDEX(Benefit_Master!$G$4:$BC$135,MATCH($DN29,Benefit_Master!$BD$4:$BD$135,0),MATCH(EU$9,Benefit_Master!$G$3:$BC$3,0)),0)*AS29,0)</f>
        <v>0</v>
      </c>
      <c r="EV29" s="64">
        <f>ROUND(IFERROR(INDEX(Benefit_Master!$G$4:$BC$135,MATCH($DN29,Benefit_Master!$BD$4:$BD$135,0),MATCH(EV$9,Benefit_Master!$G$3:$BC$3,0)),0)*AT29,0)</f>
        <v>0</v>
      </c>
      <c r="EW29" s="64">
        <f>ROUND(IFERROR(INDEX(Benefit_Master!$G$4:$BC$135,MATCH($DN29,Benefit_Master!$BD$4:$BD$135,0),MATCH(EW$9,Benefit_Master!$G$3:$BC$3,0)),0)*AU29,0)</f>
        <v>0</v>
      </c>
      <c r="EX29" s="64">
        <f>ROUND(IFERROR(INDEX(Benefit_Master!$G$4:$BC$135,MATCH($DN29,Benefit_Master!$BD$4:$BD$135,0),MATCH(EX$9,Benefit_Master!$G$3:$BC$3,0)),0)*AV29,0)</f>
        <v>0</v>
      </c>
      <c r="EY29" s="64">
        <f>ROUND(IFERROR(INDEX(Benefit_Master!$G$4:$BC$135,MATCH($DN29,Benefit_Master!$BD$4:$BD$135,0),MATCH(EY$9,Benefit_Master!$G$3:$BC$3,0)),0)*AW29,0)</f>
        <v>0</v>
      </c>
      <c r="EZ29" s="64">
        <f>ROUND(IFERROR(INDEX(Benefit_Master!$G$4:$BC$135,MATCH($DN29,Benefit_Master!$BD$4:$BD$135,0),MATCH(EZ$9,Benefit_Master!$G$3:$BC$3,0)),0)*AX29,0)</f>
        <v>0</v>
      </c>
      <c r="FA29" s="66">
        <f t="shared" si="26"/>
        <v>0</v>
      </c>
      <c r="FB29" s="64">
        <f>ROUND(IFERROR(INDEX(Benefit_Master!$G$4:$BC$135,MATCH($DN29,Benefit_Master!$BD$4:$BD$135,0),MATCH(FB$9,Benefit_Master!$G$3:$BC$3,0)),0)*AZ29,0)</f>
        <v>0</v>
      </c>
      <c r="FC29" s="64">
        <f>ROUND(IFERROR(INDEX(Benefit_Master!$G$4:$BC$135,MATCH($DN29,Benefit_Master!$BD$4:$BD$135,0),MATCH(FC$9,Benefit_Master!$G$3:$BC$3,0)),0)*BA29,0)</f>
        <v>0</v>
      </c>
      <c r="FD29" s="64">
        <f>ROUND(IFERROR(INDEX(Benefit_Master!$G$4:$BC$135,MATCH($DN29,Benefit_Master!$BD$4:$BD$135,0),MATCH(FD$9,Benefit_Master!$G$3:$BC$3,0)),0)*BB29,0)</f>
        <v>0</v>
      </c>
      <c r="FE29" s="64">
        <f>ROUND(IFERROR(INDEX(Benefit_Master!$G$4:$BC$135,MATCH($DN29,Benefit_Master!$BD$4:$BD$135,0),MATCH(FE$9,Benefit_Master!$G$3:$BC$3,0)),0)*BC29,0)</f>
        <v>0</v>
      </c>
      <c r="FF29" s="64">
        <f>ROUND(IFERROR(INDEX(Benefit_Master!$G$4:$BC$135,MATCH($DN29,Benefit_Master!$BD$4:$BD$135,0),MATCH(FF$9,Benefit_Master!$G$3:$BC$3,0)),0)*BD29,0)</f>
        <v>0</v>
      </c>
      <c r="FG29" s="64">
        <f>ROUND(IFERROR(INDEX(Benefit_Master!$G$4:$BC$135,MATCH($DN29,Benefit_Master!$BD$4:$BD$135,0),MATCH(FG$9,Benefit_Master!$G$3:$BC$3,0)),0)*BE29,0)</f>
        <v>0</v>
      </c>
      <c r="FH29" s="64">
        <f>ROUND(IFERROR(INDEX(Benefit_Master!$G$4:$BC$135,MATCH($DN29,Benefit_Master!$BD$4:$BD$135,0),MATCH(FH$9,Benefit_Master!$G$3:$BC$3,0)),0)*BF29,0)</f>
        <v>0</v>
      </c>
      <c r="FI29" s="64">
        <f>ROUND(IFERROR(INDEX(Benefit_Master!$G$4:$BC$135,MATCH($DN29,Benefit_Master!$BD$4:$BD$135,0),MATCH(FI$9,Benefit_Master!$G$3:$BC$3,0)),0)*BG29,0)</f>
        <v>0</v>
      </c>
      <c r="FJ29" s="64">
        <f>ROUND(IFERROR(INDEX(Benefit_Master!$G$4:$BC$135,MATCH($DN29,Benefit_Master!$BD$4:$BD$135,0),MATCH(FJ$9,Benefit_Master!$G$3:$BC$3,0)),0)*BH29,0)</f>
        <v>0</v>
      </c>
      <c r="FK29" s="64">
        <f>ROUND(IFERROR(INDEX(Benefit_Master!$G$4:$BC$135,MATCH($DN29,Benefit_Master!$BD$4:$BD$135,0),MATCH(FK$9,Benefit_Master!$G$3:$BC$3,0)),0)*BI29,0)</f>
        <v>0</v>
      </c>
      <c r="FL29" s="64">
        <f>ROUND(IFERROR(INDEX(Benefit_Master!$G$4:$BC$135,MATCH($DN29,Benefit_Master!$BD$4:$BD$135,0),MATCH(FL$9,Benefit_Master!$G$3:$BC$3,0)),0)*BJ29,0)</f>
        <v>0</v>
      </c>
      <c r="FM29" s="64">
        <f>ROUND(IFERROR(INDEX(Benefit_Master!$G$4:$BC$135,MATCH($DN29,Benefit_Master!$BD$4:$BD$135,0),MATCH(FM$9,Benefit_Master!$G$3:$BC$3,0)),0)*BK29,0)</f>
        <v>0</v>
      </c>
      <c r="FN29" s="66">
        <f t="shared" si="27"/>
        <v>0</v>
      </c>
    </row>
    <row r="30" spans="2:170" s="12" customFormat="1" ht="15" customHeight="1">
      <c r="B30" s="93">
        <f t="shared" si="28"/>
        <v>18</v>
      </c>
      <c r="C30" s="89"/>
      <c r="D30" s="97"/>
      <c r="E30" s="1157"/>
      <c r="F30" s="425"/>
      <c r="G30" s="94" t="str">
        <f>IFERROR(VLOOKUP($F30,Master!$B$1:$C$7,2,0),"-")</f>
        <v>-</v>
      </c>
      <c r="H30" s="95">
        <f t="shared" si="12"/>
        <v>0</v>
      </c>
      <c r="I30" s="138">
        <f t="shared" si="13"/>
        <v>0</v>
      </c>
      <c r="J30" s="138">
        <f t="shared" si="14"/>
        <v>0</v>
      </c>
      <c r="K30" s="96"/>
      <c r="L30"/>
      <c r="M30" s="58"/>
      <c r="N30" s="59"/>
      <c r="O30" s="59"/>
      <c r="P30" s="59"/>
      <c r="Q30" s="59"/>
      <c r="R30" s="59"/>
      <c r="S30" s="59"/>
      <c r="T30" s="59"/>
      <c r="U30" s="679"/>
      <c r="V30" s="56"/>
      <c r="W30" s="56"/>
      <c r="X30" s="56"/>
      <c r="Y30" s="60">
        <f t="shared" si="15"/>
        <v>0</v>
      </c>
      <c r="Z30" s="55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60">
        <f t="shared" si="16"/>
        <v>0</v>
      </c>
      <c r="AM30" s="58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60">
        <f t="shared" si="17"/>
        <v>0</v>
      </c>
      <c r="AZ30" s="58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60">
        <f t="shared" si="18"/>
        <v>0</v>
      </c>
      <c r="BM30"/>
      <c r="BN30" s="64">
        <f>ROUND(IFERROR(INDEX('Labor Cost_Master'!$G$4:$BC$135,MATCH($DN30,'Labor Cost_Master'!$BD$4:$BD$135,0),MATCH(BN$9,'Labor Cost_Master'!$G$3:$BC$3,0)),0)*M30,0)</f>
        <v>0</v>
      </c>
      <c r="BO30" s="64">
        <f>ROUND(IFERROR(INDEX('Labor Cost_Master'!$G$4:$BC$135,MATCH($DN30,'Labor Cost_Master'!$BD$4:$BD$135,0),MATCH(BO$9,'Labor Cost_Master'!$G$3:$BC$3,0)),0)*N30,0)</f>
        <v>0</v>
      </c>
      <c r="BP30" s="64">
        <f>ROUND(IFERROR(INDEX('Labor Cost_Master'!$G$4:$BC$135,MATCH($DN30,'Labor Cost_Master'!$BD$4:$BD$135,0),MATCH(BP$9,'Labor Cost_Master'!$G$3:$BC$3,0)),0)*O30,0)</f>
        <v>0</v>
      </c>
      <c r="BQ30" s="64">
        <f>ROUND(IFERROR(INDEX('Labor Cost_Master'!$G$4:$BC$135,MATCH($DN30,'Labor Cost_Master'!$BD$4:$BD$135,0),MATCH(BQ$9,'Labor Cost_Master'!$G$3:$BC$3,0)),0)*P30,0)</f>
        <v>0</v>
      </c>
      <c r="BR30" s="64">
        <f>ROUND(IFERROR(INDEX('Labor Cost_Master'!$G$4:$BC$135,MATCH($DN30,'Labor Cost_Master'!$BD$4:$BD$135,0),MATCH(BR$9,'Labor Cost_Master'!$G$3:$BC$3,0)),0)*Q30,0)</f>
        <v>0</v>
      </c>
      <c r="BS30" s="64">
        <f>ROUND(IFERROR(INDEX('Labor Cost_Master'!$G$4:$BC$135,MATCH($DN30,'Labor Cost_Master'!$BD$4:$BD$135,0),MATCH(BS$9,'Labor Cost_Master'!$G$3:$BC$3,0)),0)*R30,0)</f>
        <v>0</v>
      </c>
      <c r="BT30" s="64">
        <f>ROUND(IFERROR(INDEX('Labor Cost_Master'!$G$4:$BC$135,MATCH($DN30,'Labor Cost_Master'!$BD$4:$BD$135,0),MATCH(BT$9,'Labor Cost_Master'!$G$3:$BC$3,0)),0)*S30,0)</f>
        <v>0</v>
      </c>
      <c r="BU30" s="64">
        <f>ROUND(IFERROR(INDEX('Labor Cost_Master'!$G$4:$BC$135,MATCH($DN30,'Labor Cost_Master'!$BD$4:$BD$135,0),MATCH(BU$9,'Labor Cost_Master'!$G$3:$BC$3,0)),0)*T30,0)</f>
        <v>0</v>
      </c>
      <c r="BV30" s="64">
        <f>ROUND(IFERROR(INDEX('Labor Cost_Master'!$G$4:$BC$135,MATCH($DN30,'Labor Cost_Master'!$BD$4:$BD$135,0),MATCH(BV$9,'Labor Cost_Master'!$G$3:$BC$3,0)),0)*U30,0)</f>
        <v>0</v>
      </c>
      <c r="BW30" s="64">
        <f>ROUND(IFERROR(INDEX('Labor Cost_Master'!$G$4:$BC$135,MATCH($DN30,'Labor Cost_Master'!$BD$4:$BD$135,0),MATCH(BW$9,'Labor Cost_Master'!$G$3:$BC$3,0)),0)*V30,0)</f>
        <v>0</v>
      </c>
      <c r="BX30" s="64">
        <f>ROUND(IFERROR(INDEX('Labor Cost_Master'!$G$4:$BC$135,MATCH($DN30,'Labor Cost_Master'!$BD$4:$BD$135,0),MATCH(BX$9,'Labor Cost_Master'!$G$3:$BC$3,0)),0)*W30,0)</f>
        <v>0</v>
      </c>
      <c r="BY30" s="64">
        <f>ROUND(IFERROR(INDEX('Labor Cost_Master'!$G$4:$BC$135,MATCH($DN30,'Labor Cost_Master'!$BD$4:$BD$135,0),MATCH(BY$9,'Labor Cost_Master'!$G$3:$BC$3,0)),0)*X30,0)</f>
        <v>0</v>
      </c>
      <c r="BZ30" s="66">
        <f t="shared" si="19"/>
        <v>0</v>
      </c>
      <c r="CA30" s="64">
        <f>ROUND(IFERROR(INDEX('Labor Cost_Master'!$G$4:$BC$135,MATCH($DN30,'Labor Cost_Master'!$BD$4:$BD$135,0),MATCH(CA$9,'Labor Cost_Master'!$G$3:$BC$3,0)),0)*Z30,0)</f>
        <v>0</v>
      </c>
      <c r="CB30" s="64">
        <f>ROUND(IFERROR(INDEX('Labor Cost_Master'!$G$4:$BC$135,MATCH($DN30,'Labor Cost_Master'!$BD$4:$BD$135,0),MATCH(CB$9,'Labor Cost_Master'!$G$3:$BC$3,0)),0)*AA30,0)</f>
        <v>0</v>
      </c>
      <c r="CC30" s="64">
        <f>ROUND(IFERROR(INDEX('Labor Cost_Master'!$G$4:$BC$135,MATCH($DN30,'Labor Cost_Master'!$BD$4:$BD$135,0),MATCH(CC$9,'Labor Cost_Master'!$G$3:$BC$3,0)),0)*AB30,0)</f>
        <v>0</v>
      </c>
      <c r="CD30" s="64">
        <f>ROUND(IFERROR(INDEX('Labor Cost_Master'!$G$4:$BC$135,MATCH($DN30,'Labor Cost_Master'!$BD$4:$BD$135,0),MATCH(CD$9,'Labor Cost_Master'!$G$3:$BC$3,0)),0)*AC30,0)</f>
        <v>0</v>
      </c>
      <c r="CE30" s="64">
        <f>ROUND(IFERROR(INDEX('Labor Cost_Master'!$G$4:$BC$135,MATCH($DN30,'Labor Cost_Master'!$BD$4:$BD$135,0),MATCH(CE$9,'Labor Cost_Master'!$G$3:$BC$3,0)),0)*AD30,0)</f>
        <v>0</v>
      </c>
      <c r="CF30" s="64">
        <f>ROUND(IFERROR(INDEX('Labor Cost_Master'!$G$4:$BC$135,MATCH($DN30,'Labor Cost_Master'!$BD$4:$BD$135,0),MATCH(CF$9,'Labor Cost_Master'!$G$3:$BC$3,0)),0)*AE30,0)</f>
        <v>0</v>
      </c>
      <c r="CG30" s="64">
        <f>ROUND(IFERROR(INDEX('Labor Cost_Master'!$G$4:$BC$135,MATCH($DN30,'Labor Cost_Master'!$BD$4:$BD$135,0),MATCH(CG$9,'Labor Cost_Master'!$G$3:$BC$3,0)),0)*AF30,0)</f>
        <v>0</v>
      </c>
      <c r="CH30" s="64">
        <f>ROUND(IFERROR(INDEX('Labor Cost_Master'!$G$4:$BC$135,MATCH($DN30,'Labor Cost_Master'!$BD$4:$BD$135,0),MATCH(CH$9,'Labor Cost_Master'!$G$3:$BC$3,0)),0)*AG30,0)</f>
        <v>0</v>
      </c>
      <c r="CI30" s="64">
        <f>ROUND(IFERROR(INDEX('Labor Cost_Master'!$G$4:$BC$135,MATCH($DN30,'Labor Cost_Master'!$BD$4:$BD$135,0),MATCH(CI$9,'Labor Cost_Master'!$G$3:$BC$3,0)),0)*AH30,0)</f>
        <v>0</v>
      </c>
      <c r="CJ30" s="64">
        <f>ROUND(IFERROR(INDEX('Labor Cost_Master'!$G$4:$BC$135,MATCH($DN30,'Labor Cost_Master'!$BD$4:$BD$135,0),MATCH(CJ$9,'Labor Cost_Master'!$G$3:$BC$3,0)),0)*AI30,0)</f>
        <v>0</v>
      </c>
      <c r="CK30" s="64">
        <f>ROUND(IFERROR(INDEX('Labor Cost_Master'!$G$4:$BC$135,MATCH($DN30,'Labor Cost_Master'!$BD$4:$BD$135,0),MATCH(CK$9,'Labor Cost_Master'!$G$3:$BC$3,0)),0)*AJ30,0)</f>
        <v>0</v>
      </c>
      <c r="CL30" s="64">
        <f>ROUND(IFERROR(INDEX('Labor Cost_Master'!$G$4:$BC$135,MATCH($DN30,'Labor Cost_Master'!$BD$4:$BD$135,0),MATCH(CL$9,'Labor Cost_Master'!$G$3:$BC$3,0)),0)*AK30,0)</f>
        <v>0</v>
      </c>
      <c r="CM30" s="66">
        <f t="shared" si="20"/>
        <v>0</v>
      </c>
      <c r="CN30" s="64">
        <f>ROUND(IFERROR(INDEX('Labor Cost_Master'!$G$4:$BC$135,MATCH($DN30,'Labor Cost_Master'!$BD$4:$BD$135,0),MATCH(CN$9,'Labor Cost_Master'!$G$3:$BC$3,0)),0)*AM30,0)</f>
        <v>0</v>
      </c>
      <c r="CO30" s="64">
        <f>ROUND(IFERROR(INDEX('Labor Cost_Master'!$G$4:$BC$135,MATCH($DN30,'Labor Cost_Master'!$BD$4:$BD$135,0),MATCH(CO$9,'Labor Cost_Master'!$G$3:$BC$3,0)),0)*AN30,0)</f>
        <v>0</v>
      </c>
      <c r="CP30" s="64">
        <f>ROUND(IFERROR(INDEX('Labor Cost_Master'!$G$4:$BC$135,MATCH($DN30,'Labor Cost_Master'!$BD$4:$BD$135,0),MATCH(CP$9,'Labor Cost_Master'!$G$3:$BC$3,0)),0)*AO30,0)</f>
        <v>0</v>
      </c>
      <c r="CQ30" s="64">
        <f>ROUND(IFERROR(INDEX('Labor Cost_Master'!$G$4:$BC$135,MATCH($DN30,'Labor Cost_Master'!$BD$4:$BD$135,0),MATCH(CQ$9,'Labor Cost_Master'!$G$3:$BC$3,0)),0)*AP30,0)</f>
        <v>0</v>
      </c>
      <c r="CR30" s="64">
        <f>ROUND(IFERROR(INDEX('Labor Cost_Master'!$G$4:$BC$135,MATCH($DN30,'Labor Cost_Master'!$BD$4:$BD$135,0),MATCH(CR$9,'Labor Cost_Master'!$G$3:$BC$3,0)),0)*AQ30,0)</f>
        <v>0</v>
      </c>
      <c r="CS30" s="64">
        <f>ROUND(IFERROR(INDEX('Labor Cost_Master'!$G$4:$BC$135,MATCH($DN30,'Labor Cost_Master'!$BD$4:$BD$135,0),MATCH(CS$9,'Labor Cost_Master'!$G$3:$BC$3,0)),0)*AR30,0)</f>
        <v>0</v>
      </c>
      <c r="CT30" s="64">
        <f>ROUND(IFERROR(INDEX('Labor Cost_Master'!$G$4:$BC$135,MATCH($DN30,'Labor Cost_Master'!$BD$4:$BD$135,0),MATCH(CT$9,'Labor Cost_Master'!$G$3:$BC$3,0)),0)*AS30,0)</f>
        <v>0</v>
      </c>
      <c r="CU30" s="64">
        <f>ROUND(IFERROR(INDEX('Labor Cost_Master'!$G$4:$BC$135,MATCH($DN30,'Labor Cost_Master'!$BD$4:$BD$135,0),MATCH(CU$9,'Labor Cost_Master'!$G$3:$BC$3,0)),0)*AT30,0)</f>
        <v>0</v>
      </c>
      <c r="CV30" s="64">
        <f>ROUND(IFERROR(INDEX('Labor Cost_Master'!$G$4:$BC$135,MATCH($DN30,'Labor Cost_Master'!$BD$4:$BD$135,0),MATCH(CV$9,'Labor Cost_Master'!$G$3:$BC$3,0)),0)*AU30,0)</f>
        <v>0</v>
      </c>
      <c r="CW30" s="64">
        <f>ROUND(IFERROR(INDEX('Labor Cost_Master'!$G$4:$BC$135,MATCH($DN30,'Labor Cost_Master'!$BD$4:$BD$135,0),MATCH(CW$9,'Labor Cost_Master'!$G$3:$BC$3,0)),0)*AV30,0)</f>
        <v>0</v>
      </c>
      <c r="CX30" s="64">
        <f>ROUND(IFERROR(INDEX('Labor Cost_Master'!$G$4:$BC$135,MATCH($DN30,'Labor Cost_Master'!$BD$4:$BD$135,0),MATCH(CX$9,'Labor Cost_Master'!$G$3:$BC$3,0)),0)*AW30,0)</f>
        <v>0</v>
      </c>
      <c r="CY30" s="64">
        <f>ROUND(IFERROR(INDEX('Labor Cost_Master'!$G$4:$BC$135,MATCH($DN30,'Labor Cost_Master'!$BD$4:$BD$135,0),MATCH(CY$9,'Labor Cost_Master'!$G$3:$BC$3,0)),0)*AX30,0)</f>
        <v>0</v>
      </c>
      <c r="CZ30" s="66">
        <f t="shared" si="21"/>
        <v>0</v>
      </c>
      <c r="DA30" s="64">
        <f>ROUND(IFERROR(INDEX('Labor Cost_Master'!$G$4:$BC$135,MATCH($DN30,'Labor Cost_Master'!$BD$4:$BD$135,0),MATCH(DA$9,'Labor Cost_Master'!$G$3:$BC$3,0)),0)*AZ30,0)</f>
        <v>0</v>
      </c>
      <c r="DB30" s="64">
        <f>ROUND(IFERROR(INDEX('Labor Cost_Master'!$G$4:$BC$135,MATCH($DN30,'Labor Cost_Master'!$BD$4:$BD$135,0),MATCH(DB$9,'Labor Cost_Master'!$G$3:$BC$3,0)),0)*BA30,0)</f>
        <v>0</v>
      </c>
      <c r="DC30" s="1166">
        <f>ROUND(IFERROR(INDEX('Labor Cost_Master'!$G$4:$BC$135,MATCH($DN30,'Labor Cost_Master'!$BD$4:$BD$135,0),MATCH(DC$9,'Labor Cost_Master'!$G$3:$BC$3,0)),0)*BB30,0)*1.05</f>
        <v>0</v>
      </c>
      <c r="DD30" s="64">
        <f>ROUND(IFERROR(INDEX('Labor Cost_Master'!$G$4:$BC$135,MATCH($DN30,'Labor Cost_Master'!$BD$4:$BD$135,0),MATCH(DD$9,'Labor Cost_Master'!$G$3:$BC$3,0)),0)*BC30,0)*1.05</f>
        <v>0</v>
      </c>
      <c r="DE30" s="64">
        <f>ROUND(IFERROR(INDEX('Labor Cost_Master'!$G$4:$BC$135,MATCH($DN30,'Labor Cost_Master'!$BD$4:$BD$135,0),MATCH(DE$9,'Labor Cost_Master'!$G$3:$BC$3,0)),0)*BD30,0)*1.05</f>
        <v>0</v>
      </c>
      <c r="DF30" s="64">
        <f>ROUND(IFERROR(INDEX('Labor Cost_Master'!$G$4:$BC$135,MATCH($DN30,'Labor Cost_Master'!$BD$4:$BD$135,0),MATCH(DF$9,'Labor Cost_Master'!$G$3:$BC$3,0)),0)*BE30,0)*1.05</f>
        <v>0</v>
      </c>
      <c r="DG30" s="64">
        <f>ROUND(IFERROR(INDEX('Labor Cost_Master'!$G$4:$BC$135,MATCH($DN30,'Labor Cost_Master'!$BD$4:$BD$135,0),MATCH(DG$9,'Labor Cost_Master'!$G$3:$BC$3,0)),0)*BF30,0)*1.05</f>
        <v>0</v>
      </c>
      <c r="DH30" s="64">
        <f>ROUND(IFERROR(INDEX('Labor Cost_Master'!$G$4:$BC$135,MATCH($DN30,'Labor Cost_Master'!$BD$4:$BD$135,0),MATCH(DH$9,'Labor Cost_Master'!$G$3:$BC$3,0)),0)*BG30,0)*1.05</f>
        <v>0</v>
      </c>
      <c r="DI30" s="64">
        <f>ROUND(IFERROR(INDEX('Labor Cost_Master'!$G$4:$BC$135,MATCH($DN30,'Labor Cost_Master'!$BD$4:$BD$135,0),MATCH(DI$9,'Labor Cost_Master'!$G$3:$BC$3,0)),0)*BH30,0)*1.05</f>
        <v>0</v>
      </c>
      <c r="DJ30" s="64">
        <f>ROUND(IFERROR(INDEX('Labor Cost_Master'!$G$4:$BC$135,MATCH($DN30,'Labor Cost_Master'!$BD$4:$BD$135,0),MATCH(DJ$9,'Labor Cost_Master'!$G$3:$BC$3,0)),0)*BI30,0)*1.05</f>
        <v>0</v>
      </c>
      <c r="DK30" s="64">
        <f>ROUND(IFERROR(INDEX('Labor Cost_Master'!$G$4:$BC$135,MATCH($DN30,'Labor Cost_Master'!$BD$4:$BD$135,0),MATCH(DK$9,'Labor Cost_Master'!$G$3:$BC$3,0)),0)*BJ30,0)*1.05</f>
        <v>0</v>
      </c>
      <c r="DL30" s="64">
        <f>ROUND(IFERROR(INDEX('Labor Cost_Master'!$G$4:$BC$135,MATCH($DN30,'Labor Cost_Master'!$BD$4:$BD$135,0),MATCH(DL$9,'Labor Cost_Master'!$G$3:$BC$3,0)),0)*BK30,0)*1.05</f>
        <v>0</v>
      </c>
      <c r="DM30" s="66">
        <f t="shared" si="22"/>
        <v>0</v>
      </c>
      <c r="DN30" s="80" t="str">
        <f t="shared" si="23"/>
        <v/>
      </c>
      <c r="DO30" s="64">
        <f>ROUND(IFERROR(INDEX(Benefit_Master!$G$4:$BC$135,MATCH($DN30,Benefit_Master!$BD$4:$BD$135,0),MATCH(DO$9,Benefit_Master!$G$3:$BC$3,0)),0)*M30,0)</f>
        <v>0</v>
      </c>
      <c r="DP30" s="64">
        <f>ROUND(IFERROR(INDEX(Benefit_Master!$G$4:$BC$135,MATCH($DN30,Benefit_Master!$BD$4:$BD$135,0),MATCH(DP$9,Benefit_Master!$G$3:$BC$3,0)),0)*N30,0)</f>
        <v>0</v>
      </c>
      <c r="DQ30" s="64">
        <f>ROUND(IFERROR(INDEX(Benefit_Master!$G$4:$BC$135,MATCH($DN30,Benefit_Master!$BD$4:$BD$135,0),MATCH(DQ$9,Benefit_Master!$G$3:$BC$3,0)),0)*O30,0)</f>
        <v>0</v>
      </c>
      <c r="DR30" s="64">
        <f>ROUND(IFERROR(INDEX(Benefit_Master!$G$4:$BC$135,MATCH($DN30,Benefit_Master!$BD$4:$BD$135,0),MATCH(DR$9,Benefit_Master!$G$3:$BC$3,0)),0)*P30,0)</f>
        <v>0</v>
      </c>
      <c r="DS30" s="64">
        <f>ROUND(IFERROR(INDEX(Benefit_Master!$G$4:$BC$135,MATCH($DN30,Benefit_Master!$BD$4:$BD$135,0),MATCH(DS$9,Benefit_Master!$G$3:$BC$3,0)),0)*Q30,0)</f>
        <v>0</v>
      </c>
      <c r="DT30" s="64">
        <f>ROUND(IFERROR(INDEX(Benefit_Master!$G$4:$BC$135,MATCH($DN30,Benefit_Master!$BD$4:$BD$135,0),MATCH(DT$9,Benefit_Master!$G$3:$BC$3,0)),0)*R30,0)</f>
        <v>0</v>
      </c>
      <c r="DU30" s="64">
        <f>ROUND(IFERROR(INDEX(Benefit_Master!$G$4:$BC$135,MATCH($DN30,Benefit_Master!$BD$4:$BD$135,0),MATCH(DU$9,Benefit_Master!$G$3:$BC$3,0)),0)*S30,0)</f>
        <v>0</v>
      </c>
      <c r="DV30" s="64">
        <f>ROUND(IFERROR(INDEX(Benefit_Master!$G$4:$BC$135,MATCH($DN30,Benefit_Master!$BD$4:$BD$135,0),MATCH(DV$9,Benefit_Master!$G$3:$BC$3,0)),0)*T30,0)</f>
        <v>0</v>
      </c>
      <c r="DW30" s="64">
        <f>ROUND(IFERROR(INDEX(Benefit_Master!$G$4:$BC$135,MATCH($DN30,Benefit_Master!$BD$4:$BD$135,0),MATCH(DW$9,Benefit_Master!$G$3:$BC$3,0)),0)*U30,0)</f>
        <v>0</v>
      </c>
      <c r="DX30" s="64">
        <f>ROUND(IFERROR(INDEX(Benefit_Master!$G$4:$BC$135,MATCH($DN30,Benefit_Master!$BD$4:$BD$135,0),MATCH(DX$9,Benefit_Master!$G$3:$BC$3,0)),0)*V30,0)</f>
        <v>0</v>
      </c>
      <c r="DY30" s="64">
        <f>ROUND(IFERROR(INDEX(Benefit_Master!$G$4:$BC$135,MATCH($DN30,Benefit_Master!$BD$4:$BD$135,0),MATCH(DY$9,Benefit_Master!$G$3:$BC$3,0)),0)*W30,0)</f>
        <v>0</v>
      </c>
      <c r="DZ30" s="64">
        <f>ROUND(IFERROR(INDEX(Benefit_Master!$G$4:$BC$135,MATCH($DN30,Benefit_Master!$BD$4:$BD$135,0),MATCH(DZ$9,Benefit_Master!$G$3:$BC$3,0)),0)*X30,0)</f>
        <v>0</v>
      </c>
      <c r="EA30" s="66">
        <f t="shared" si="24"/>
        <v>0</v>
      </c>
      <c r="EB30" s="64">
        <f>ROUND(IFERROR(INDEX(Benefit_Master!$G$4:$BC$135,MATCH($DN30,Benefit_Master!$BD$4:$BD$135,0),MATCH(EB$9,Benefit_Master!$G$3:$BC$3,0)),0)*Z30,0)</f>
        <v>0</v>
      </c>
      <c r="EC30" s="64">
        <f>ROUND(IFERROR(INDEX(Benefit_Master!$G$4:$BC$135,MATCH($DN30,Benefit_Master!$BD$4:$BD$135,0),MATCH(EC$9,Benefit_Master!$G$3:$BC$3,0)),0)*AA30,0)</f>
        <v>0</v>
      </c>
      <c r="ED30" s="64">
        <f>ROUND(IFERROR(INDEX(Benefit_Master!$G$4:$BC$135,MATCH($DN30,Benefit_Master!$BD$4:$BD$135,0),MATCH(ED$9,Benefit_Master!$G$3:$BC$3,0)),0)*AB30,0)</f>
        <v>0</v>
      </c>
      <c r="EE30" s="64">
        <f>ROUND(IFERROR(INDEX(Benefit_Master!$G$4:$BC$135,MATCH($DN30,Benefit_Master!$BD$4:$BD$135,0),MATCH(EE$9,Benefit_Master!$G$3:$BC$3,0)),0)*AC30,0)</f>
        <v>0</v>
      </c>
      <c r="EF30" s="64">
        <f>ROUND(IFERROR(INDEX(Benefit_Master!$G$4:$BC$135,MATCH($DN30,Benefit_Master!$BD$4:$BD$135,0),MATCH(EF$9,Benefit_Master!$G$3:$BC$3,0)),0)*AD30,0)</f>
        <v>0</v>
      </c>
      <c r="EG30" s="64">
        <f>ROUND(IFERROR(INDEX(Benefit_Master!$G$4:$BC$135,MATCH($DN30,Benefit_Master!$BD$4:$BD$135,0),MATCH(EG$9,Benefit_Master!$G$3:$BC$3,0)),0)*AE30,0)</f>
        <v>0</v>
      </c>
      <c r="EH30" s="64">
        <f>ROUND(IFERROR(INDEX(Benefit_Master!$G$4:$BC$135,MATCH($DN30,Benefit_Master!$BD$4:$BD$135,0),MATCH(EH$9,Benefit_Master!$G$3:$BC$3,0)),0)*AF30,0)</f>
        <v>0</v>
      </c>
      <c r="EI30" s="64">
        <f>ROUND(IFERROR(INDEX(Benefit_Master!$G$4:$BC$135,MATCH($DN30,Benefit_Master!$BD$4:$BD$135,0),MATCH(EI$9,Benefit_Master!$G$3:$BC$3,0)),0)*AG30,0)</f>
        <v>0</v>
      </c>
      <c r="EJ30" s="64">
        <f>ROUND(IFERROR(INDEX(Benefit_Master!$G$4:$BC$135,MATCH($DN30,Benefit_Master!$BD$4:$BD$135,0),MATCH(EJ$9,Benefit_Master!$G$3:$BC$3,0)),0)*AH30,0)</f>
        <v>0</v>
      </c>
      <c r="EK30" s="64">
        <f>ROUND(IFERROR(INDEX(Benefit_Master!$G$4:$BC$135,MATCH($DN30,Benefit_Master!$BD$4:$BD$135,0),MATCH(EK$9,Benefit_Master!$G$3:$BC$3,0)),0)*AI30,0)</f>
        <v>0</v>
      </c>
      <c r="EL30" s="64">
        <f>ROUND(IFERROR(INDEX(Benefit_Master!$G$4:$BC$135,MATCH($DN30,Benefit_Master!$BD$4:$BD$135,0),MATCH(EL$9,Benefit_Master!$G$3:$BC$3,0)),0)*AJ30,0)</f>
        <v>0</v>
      </c>
      <c r="EM30" s="64">
        <f>ROUND(IFERROR(INDEX(Benefit_Master!$G$4:$BC$135,MATCH($DN30,Benefit_Master!$BD$4:$BD$135,0),MATCH(EM$9,Benefit_Master!$G$3:$BC$3,0)),0)*AK30,0)</f>
        <v>0</v>
      </c>
      <c r="EN30" s="66">
        <f t="shared" si="25"/>
        <v>0</v>
      </c>
      <c r="EO30" s="64">
        <f>ROUND(IFERROR(INDEX(Benefit_Master!$G$4:$BC$135,MATCH($DN30,Benefit_Master!$BD$4:$BD$135,0),MATCH(EO$9,Benefit_Master!$G$3:$BC$3,0)),0)*AM30,0)</f>
        <v>0</v>
      </c>
      <c r="EP30" s="64">
        <f>ROUND(IFERROR(INDEX(Benefit_Master!$G$4:$BC$135,MATCH($DN30,Benefit_Master!$BD$4:$BD$135,0),MATCH(EP$9,Benefit_Master!$G$3:$BC$3,0)),0)*AN30,0)</f>
        <v>0</v>
      </c>
      <c r="EQ30" s="64">
        <f>ROUND(IFERROR(INDEX(Benefit_Master!$G$4:$BC$135,MATCH($DN30,Benefit_Master!$BD$4:$BD$135,0),MATCH(EQ$9,Benefit_Master!$G$3:$BC$3,0)),0)*AO30,0)</f>
        <v>0</v>
      </c>
      <c r="ER30" s="64">
        <f>ROUND(IFERROR(INDEX(Benefit_Master!$G$4:$BC$135,MATCH($DN30,Benefit_Master!$BD$4:$BD$135,0),MATCH(ER$9,Benefit_Master!$G$3:$BC$3,0)),0)*AP30,0)</f>
        <v>0</v>
      </c>
      <c r="ES30" s="64">
        <f>ROUND(IFERROR(INDEX(Benefit_Master!$G$4:$BC$135,MATCH($DN30,Benefit_Master!$BD$4:$BD$135,0),MATCH(ES$9,Benefit_Master!$G$3:$BC$3,0)),0)*AQ30,0)</f>
        <v>0</v>
      </c>
      <c r="ET30" s="64">
        <f>ROUND(IFERROR(INDEX(Benefit_Master!$G$4:$BC$135,MATCH($DN30,Benefit_Master!$BD$4:$BD$135,0),MATCH(ET$9,Benefit_Master!$G$3:$BC$3,0)),0)*AR30,0)</f>
        <v>0</v>
      </c>
      <c r="EU30" s="64">
        <f>ROUND(IFERROR(INDEX(Benefit_Master!$G$4:$BC$135,MATCH($DN30,Benefit_Master!$BD$4:$BD$135,0),MATCH(EU$9,Benefit_Master!$G$3:$BC$3,0)),0)*AS30,0)</f>
        <v>0</v>
      </c>
      <c r="EV30" s="64">
        <f>ROUND(IFERROR(INDEX(Benefit_Master!$G$4:$BC$135,MATCH($DN30,Benefit_Master!$BD$4:$BD$135,0),MATCH(EV$9,Benefit_Master!$G$3:$BC$3,0)),0)*AT30,0)</f>
        <v>0</v>
      </c>
      <c r="EW30" s="64">
        <f>ROUND(IFERROR(INDEX(Benefit_Master!$G$4:$BC$135,MATCH($DN30,Benefit_Master!$BD$4:$BD$135,0),MATCH(EW$9,Benefit_Master!$G$3:$BC$3,0)),0)*AU30,0)</f>
        <v>0</v>
      </c>
      <c r="EX30" s="64">
        <f>ROUND(IFERROR(INDEX(Benefit_Master!$G$4:$BC$135,MATCH($DN30,Benefit_Master!$BD$4:$BD$135,0),MATCH(EX$9,Benefit_Master!$G$3:$BC$3,0)),0)*AV30,0)</f>
        <v>0</v>
      </c>
      <c r="EY30" s="64">
        <f>ROUND(IFERROR(INDEX(Benefit_Master!$G$4:$BC$135,MATCH($DN30,Benefit_Master!$BD$4:$BD$135,0),MATCH(EY$9,Benefit_Master!$G$3:$BC$3,0)),0)*AW30,0)</f>
        <v>0</v>
      </c>
      <c r="EZ30" s="64">
        <f>ROUND(IFERROR(INDEX(Benefit_Master!$G$4:$BC$135,MATCH($DN30,Benefit_Master!$BD$4:$BD$135,0),MATCH(EZ$9,Benefit_Master!$G$3:$BC$3,0)),0)*AX30,0)</f>
        <v>0</v>
      </c>
      <c r="FA30" s="66">
        <f t="shared" si="26"/>
        <v>0</v>
      </c>
      <c r="FB30" s="64">
        <f>ROUND(IFERROR(INDEX(Benefit_Master!$G$4:$BC$135,MATCH($DN30,Benefit_Master!$BD$4:$BD$135,0),MATCH(FB$9,Benefit_Master!$G$3:$BC$3,0)),0)*AZ30,0)</f>
        <v>0</v>
      </c>
      <c r="FC30" s="64">
        <f>ROUND(IFERROR(INDEX(Benefit_Master!$G$4:$BC$135,MATCH($DN30,Benefit_Master!$BD$4:$BD$135,0),MATCH(FC$9,Benefit_Master!$G$3:$BC$3,0)),0)*BA30,0)</f>
        <v>0</v>
      </c>
      <c r="FD30" s="64">
        <f>ROUND(IFERROR(INDEX(Benefit_Master!$G$4:$BC$135,MATCH($DN30,Benefit_Master!$BD$4:$BD$135,0),MATCH(FD$9,Benefit_Master!$G$3:$BC$3,0)),0)*BB30,0)</f>
        <v>0</v>
      </c>
      <c r="FE30" s="64">
        <f>ROUND(IFERROR(INDEX(Benefit_Master!$G$4:$BC$135,MATCH($DN30,Benefit_Master!$BD$4:$BD$135,0),MATCH(FE$9,Benefit_Master!$G$3:$BC$3,0)),0)*BC30,0)</f>
        <v>0</v>
      </c>
      <c r="FF30" s="64">
        <f>ROUND(IFERROR(INDEX(Benefit_Master!$G$4:$BC$135,MATCH($DN30,Benefit_Master!$BD$4:$BD$135,0),MATCH(FF$9,Benefit_Master!$G$3:$BC$3,0)),0)*BD30,0)</f>
        <v>0</v>
      </c>
      <c r="FG30" s="64">
        <f>ROUND(IFERROR(INDEX(Benefit_Master!$G$4:$BC$135,MATCH($DN30,Benefit_Master!$BD$4:$BD$135,0),MATCH(FG$9,Benefit_Master!$G$3:$BC$3,0)),0)*BE30,0)</f>
        <v>0</v>
      </c>
      <c r="FH30" s="64">
        <f>ROUND(IFERROR(INDEX(Benefit_Master!$G$4:$BC$135,MATCH($DN30,Benefit_Master!$BD$4:$BD$135,0),MATCH(FH$9,Benefit_Master!$G$3:$BC$3,0)),0)*BF30,0)</f>
        <v>0</v>
      </c>
      <c r="FI30" s="64">
        <f>ROUND(IFERROR(INDEX(Benefit_Master!$G$4:$BC$135,MATCH($DN30,Benefit_Master!$BD$4:$BD$135,0),MATCH(FI$9,Benefit_Master!$G$3:$BC$3,0)),0)*BG30,0)</f>
        <v>0</v>
      </c>
      <c r="FJ30" s="64">
        <f>ROUND(IFERROR(INDEX(Benefit_Master!$G$4:$BC$135,MATCH($DN30,Benefit_Master!$BD$4:$BD$135,0),MATCH(FJ$9,Benefit_Master!$G$3:$BC$3,0)),0)*BH30,0)</f>
        <v>0</v>
      </c>
      <c r="FK30" s="64">
        <f>ROUND(IFERROR(INDEX(Benefit_Master!$G$4:$BC$135,MATCH($DN30,Benefit_Master!$BD$4:$BD$135,0),MATCH(FK$9,Benefit_Master!$G$3:$BC$3,0)),0)*BI30,0)</f>
        <v>0</v>
      </c>
      <c r="FL30" s="64">
        <f>ROUND(IFERROR(INDEX(Benefit_Master!$G$4:$BC$135,MATCH($DN30,Benefit_Master!$BD$4:$BD$135,0),MATCH(FL$9,Benefit_Master!$G$3:$BC$3,0)),0)*BJ30,0)</f>
        <v>0</v>
      </c>
      <c r="FM30" s="64">
        <f>ROUND(IFERROR(INDEX(Benefit_Master!$G$4:$BC$135,MATCH($DN30,Benefit_Master!$BD$4:$BD$135,0),MATCH(FM$9,Benefit_Master!$G$3:$BC$3,0)),0)*BK30,0)</f>
        <v>0</v>
      </c>
      <c r="FN30" s="66">
        <f t="shared" si="27"/>
        <v>0</v>
      </c>
    </row>
    <row r="31" spans="2:170" s="12" customFormat="1" ht="15" customHeight="1">
      <c r="B31" s="93">
        <f t="shared" si="28"/>
        <v>19</v>
      </c>
      <c r="C31" s="89"/>
      <c r="D31" s="97"/>
      <c r="E31" s="1157"/>
      <c r="F31" s="425"/>
      <c r="G31" s="94" t="str">
        <f>IFERROR(VLOOKUP($F31,Master!$B$1:$C$7,2,0),"-")</f>
        <v>-</v>
      </c>
      <c r="H31" s="95">
        <f t="shared" si="12"/>
        <v>0</v>
      </c>
      <c r="I31" s="138">
        <f t="shared" si="13"/>
        <v>0</v>
      </c>
      <c r="J31" s="138">
        <f t="shared" si="14"/>
        <v>0</v>
      </c>
      <c r="K31" s="96"/>
      <c r="L31"/>
      <c r="M31" s="58"/>
      <c r="N31" s="59"/>
      <c r="O31" s="59"/>
      <c r="P31" s="59"/>
      <c r="Q31" s="59"/>
      <c r="R31" s="59"/>
      <c r="S31" s="59"/>
      <c r="T31" s="59"/>
      <c r="U31" s="679"/>
      <c r="V31" s="56"/>
      <c r="W31" s="56"/>
      <c r="X31" s="56"/>
      <c r="Y31" s="60">
        <f t="shared" si="15"/>
        <v>0</v>
      </c>
      <c r="Z31" s="55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60">
        <f t="shared" si="16"/>
        <v>0</v>
      </c>
      <c r="AM31" s="58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60">
        <f t="shared" si="17"/>
        <v>0</v>
      </c>
      <c r="AZ31" s="58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60">
        <f t="shared" si="18"/>
        <v>0</v>
      </c>
      <c r="BM31"/>
      <c r="BN31" s="64">
        <f>ROUND(IFERROR(INDEX('Labor Cost_Master'!$G$4:$BC$135,MATCH($DN31,'Labor Cost_Master'!$BD$4:$BD$135,0),MATCH(BN$9,'Labor Cost_Master'!$G$3:$BC$3,0)),0)*M31,0)</f>
        <v>0</v>
      </c>
      <c r="BO31" s="64">
        <f>ROUND(IFERROR(INDEX('Labor Cost_Master'!$G$4:$BC$135,MATCH($DN31,'Labor Cost_Master'!$BD$4:$BD$135,0),MATCH(BO$9,'Labor Cost_Master'!$G$3:$BC$3,0)),0)*N31,0)</f>
        <v>0</v>
      </c>
      <c r="BP31" s="64">
        <f>ROUND(IFERROR(INDEX('Labor Cost_Master'!$G$4:$BC$135,MATCH($DN31,'Labor Cost_Master'!$BD$4:$BD$135,0),MATCH(BP$9,'Labor Cost_Master'!$G$3:$BC$3,0)),0)*O31,0)</f>
        <v>0</v>
      </c>
      <c r="BQ31" s="64">
        <f>ROUND(IFERROR(INDEX('Labor Cost_Master'!$G$4:$BC$135,MATCH($DN31,'Labor Cost_Master'!$BD$4:$BD$135,0),MATCH(BQ$9,'Labor Cost_Master'!$G$3:$BC$3,0)),0)*P31,0)</f>
        <v>0</v>
      </c>
      <c r="BR31" s="64">
        <f>ROUND(IFERROR(INDEX('Labor Cost_Master'!$G$4:$BC$135,MATCH($DN31,'Labor Cost_Master'!$BD$4:$BD$135,0),MATCH(BR$9,'Labor Cost_Master'!$G$3:$BC$3,0)),0)*Q31,0)</f>
        <v>0</v>
      </c>
      <c r="BS31" s="64">
        <f>ROUND(IFERROR(INDEX('Labor Cost_Master'!$G$4:$BC$135,MATCH($DN31,'Labor Cost_Master'!$BD$4:$BD$135,0),MATCH(BS$9,'Labor Cost_Master'!$G$3:$BC$3,0)),0)*R31,0)</f>
        <v>0</v>
      </c>
      <c r="BT31" s="64">
        <f>ROUND(IFERROR(INDEX('Labor Cost_Master'!$G$4:$BC$135,MATCH($DN31,'Labor Cost_Master'!$BD$4:$BD$135,0),MATCH(BT$9,'Labor Cost_Master'!$G$3:$BC$3,0)),0)*S31,0)</f>
        <v>0</v>
      </c>
      <c r="BU31" s="64">
        <f>ROUND(IFERROR(INDEX('Labor Cost_Master'!$G$4:$BC$135,MATCH($DN31,'Labor Cost_Master'!$BD$4:$BD$135,0),MATCH(BU$9,'Labor Cost_Master'!$G$3:$BC$3,0)),0)*T31,0)</f>
        <v>0</v>
      </c>
      <c r="BV31" s="64">
        <f>ROUND(IFERROR(INDEX('Labor Cost_Master'!$G$4:$BC$135,MATCH($DN31,'Labor Cost_Master'!$BD$4:$BD$135,0),MATCH(BV$9,'Labor Cost_Master'!$G$3:$BC$3,0)),0)*U31,0)</f>
        <v>0</v>
      </c>
      <c r="BW31" s="64">
        <f>ROUND(IFERROR(INDEX('Labor Cost_Master'!$G$4:$BC$135,MATCH($DN31,'Labor Cost_Master'!$BD$4:$BD$135,0),MATCH(BW$9,'Labor Cost_Master'!$G$3:$BC$3,0)),0)*V31,0)</f>
        <v>0</v>
      </c>
      <c r="BX31" s="64">
        <f>ROUND(IFERROR(INDEX('Labor Cost_Master'!$G$4:$BC$135,MATCH($DN31,'Labor Cost_Master'!$BD$4:$BD$135,0),MATCH(BX$9,'Labor Cost_Master'!$G$3:$BC$3,0)),0)*W31,0)</f>
        <v>0</v>
      </c>
      <c r="BY31" s="64">
        <f>ROUND(IFERROR(INDEX('Labor Cost_Master'!$G$4:$BC$135,MATCH($DN31,'Labor Cost_Master'!$BD$4:$BD$135,0),MATCH(BY$9,'Labor Cost_Master'!$G$3:$BC$3,0)),0)*X31,0)</f>
        <v>0</v>
      </c>
      <c r="BZ31" s="66">
        <f t="shared" si="19"/>
        <v>0</v>
      </c>
      <c r="CA31" s="64">
        <f>ROUND(IFERROR(INDEX('Labor Cost_Master'!$G$4:$BC$135,MATCH($DN31,'Labor Cost_Master'!$BD$4:$BD$135,0),MATCH(CA$9,'Labor Cost_Master'!$G$3:$BC$3,0)),0)*Z31,0)</f>
        <v>0</v>
      </c>
      <c r="CB31" s="64">
        <f>ROUND(IFERROR(INDEX('Labor Cost_Master'!$G$4:$BC$135,MATCH($DN31,'Labor Cost_Master'!$BD$4:$BD$135,0),MATCH(CB$9,'Labor Cost_Master'!$G$3:$BC$3,0)),0)*AA31,0)</f>
        <v>0</v>
      </c>
      <c r="CC31" s="64">
        <f>ROUND(IFERROR(INDEX('Labor Cost_Master'!$G$4:$BC$135,MATCH($DN31,'Labor Cost_Master'!$BD$4:$BD$135,0),MATCH(CC$9,'Labor Cost_Master'!$G$3:$BC$3,0)),0)*AB31,0)</f>
        <v>0</v>
      </c>
      <c r="CD31" s="64">
        <f>ROUND(IFERROR(INDEX('Labor Cost_Master'!$G$4:$BC$135,MATCH($DN31,'Labor Cost_Master'!$BD$4:$BD$135,0),MATCH(CD$9,'Labor Cost_Master'!$G$3:$BC$3,0)),0)*AC31,0)</f>
        <v>0</v>
      </c>
      <c r="CE31" s="64">
        <f>ROUND(IFERROR(INDEX('Labor Cost_Master'!$G$4:$BC$135,MATCH($DN31,'Labor Cost_Master'!$BD$4:$BD$135,0),MATCH(CE$9,'Labor Cost_Master'!$G$3:$BC$3,0)),0)*AD31,0)</f>
        <v>0</v>
      </c>
      <c r="CF31" s="64">
        <f>ROUND(IFERROR(INDEX('Labor Cost_Master'!$G$4:$BC$135,MATCH($DN31,'Labor Cost_Master'!$BD$4:$BD$135,0),MATCH(CF$9,'Labor Cost_Master'!$G$3:$BC$3,0)),0)*AE31,0)</f>
        <v>0</v>
      </c>
      <c r="CG31" s="64">
        <f>ROUND(IFERROR(INDEX('Labor Cost_Master'!$G$4:$BC$135,MATCH($DN31,'Labor Cost_Master'!$BD$4:$BD$135,0),MATCH(CG$9,'Labor Cost_Master'!$G$3:$BC$3,0)),0)*AF31,0)</f>
        <v>0</v>
      </c>
      <c r="CH31" s="64">
        <f>ROUND(IFERROR(INDEX('Labor Cost_Master'!$G$4:$BC$135,MATCH($DN31,'Labor Cost_Master'!$BD$4:$BD$135,0),MATCH(CH$9,'Labor Cost_Master'!$G$3:$BC$3,0)),0)*AG31,0)</f>
        <v>0</v>
      </c>
      <c r="CI31" s="64">
        <f>ROUND(IFERROR(INDEX('Labor Cost_Master'!$G$4:$BC$135,MATCH($DN31,'Labor Cost_Master'!$BD$4:$BD$135,0),MATCH(CI$9,'Labor Cost_Master'!$G$3:$BC$3,0)),0)*AH31,0)</f>
        <v>0</v>
      </c>
      <c r="CJ31" s="64">
        <f>ROUND(IFERROR(INDEX('Labor Cost_Master'!$G$4:$BC$135,MATCH($DN31,'Labor Cost_Master'!$BD$4:$BD$135,0),MATCH(CJ$9,'Labor Cost_Master'!$G$3:$BC$3,0)),0)*AI31,0)</f>
        <v>0</v>
      </c>
      <c r="CK31" s="64">
        <f>ROUND(IFERROR(INDEX('Labor Cost_Master'!$G$4:$BC$135,MATCH($DN31,'Labor Cost_Master'!$BD$4:$BD$135,0),MATCH(CK$9,'Labor Cost_Master'!$G$3:$BC$3,0)),0)*AJ31,0)</f>
        <v>0</v>
      </c>
      <c r="CL31" s="64">
        <f>ROUND(IFERROR(INDEX('Labor Cost_Master'!$G$4:$BC$135,MATCH($DN31,'Labor Cost_Master'!$BD$4:$BD$135,0),MATCH(CL$9,'Labor Cost_Master'!$G$3:$BC$3,0)),0)*AK31,0)</f>
        <v>0</v>
      </c>
      <c r="CM31" s="66">
        <f t="shared" si="20"/>
        <v>0</v>
      </c>
      <c r="CN31" s="64">
        <f>ROUND(IFERROR(INDEX('Labor Cost_Master'!$G$4:$BC$135,MATCH($DN31,'Labor Cost_Master'!$BD$4:$BD$135,0),MATCH(CN$9,'Labor Cost_Master'!$G$3:$BC$3,0)),0)*AM31,0)</f>
        <v>0</v>
      </c>
      <c r="CO31" s="64">
        <f>ROUND(IFERROR(INDEX('Labor Cost_Master'!$G$4:$BC$135,MATCH($DN31,'Labor Cost_Master'!$BD$4:$BD$135,0),MATCH(CO$9,'Labor Cost_Master'!$G$3:$BC$3,0)),0)*AN31,0)</f>
        <v>0</v>
      </c>
      <c r="CP31" s="64">
        <f>ROUND(IFERROR(INDEX('Labor Cost_Master'!$G$4:$BC$135,MATCH($DN31,'Labor Cost_Master'!$BD$4:$BD$135,0),MATCH(CP$9,'Labor Cost_Master'!$G$3:$BC$3,0)),0)*AO31,0)</f>
        <v>0</v>
      </c>
      <c r="CQ31" s="64">
        <f>ROUND(IFERROR(INDEX('Labor Cost_Master'!$G$4:$BC$135,MATCH($DN31,'Labor Cost_Master'!$BD$4:$BD$135,0),MATCH(CQ$9,'Labor Cost_Master'!$G$3:$BC$3,0)),0)*AP31,0)</f>
        <v>0</v>
      </c>
      <c r="CR31" s="64">
        <f>ROUND(IFERROR(INDEX('Labor Cost_Master'!$G$4:$BC$135,MATCH($DN31,'Labor Cost_Master'!$BD$4:$BD$135,0),MATCH(CR$9,'Labor Cost_Master'!$G$3:$BC$3,0)),0)*AQ31,0)</f>
        <v>0</v>
      </c>
      <c r="CS31" s="64">
        <f>ROUND(IFERROR(INDEX('Labor Cost_Master'!$G$4:$BC$135,MATCH($DN31,'Labor Cost_Master'!$BD$4:$BD$135,0),MATCH(CS$9,'Labor Cost_Master'!$G$3:$BC$3,0)),0)*AR31,0)</f>
        <v>0</v>
      </c>
      <c r="CT31" s="64">
        <f>ROUND(IFERROR(INDEX('Labor Cost_Master'!$G$4:$BC$135,MATCH($DN31,'Labor Cost_Master'!$BD$4:$BD$135,0),MATCH(CT$9,'Labor Cost_Master'!$G$3:$BC$3,0)),0)*AS31,0)</f>
        <v>0</v>
      </c>
      <c r="CU31" s="64">
        <f>ROUND(IFERROR(INDEX('Labor Cost_Master'!$G$4:$BC$135,MATCH($DN31,'Labor Cost_Master'!$BD$4:$BD$135,0),MATCH(CU$9,'Labor Cost_Master'!$G$3:$BC$3,0)),0)*AT31,0)</f>
        <v>0</v>
      </c>
      <c r="CV31" s="64">
        <f>ROUND(IFERROR(INDEX('Labor Cost_Master'!$G$4:$BC$135,MATCH($DN31,'Labor Cost_Master'!$BD$4:$BD$135,0),MATCH(CV$9,'Labor Cost_Master'!$G$3:$BC$3,0)),0)*AU31,0)</f>
        <v>0</v>
      </c>
      <c r="CW31" s="64">
        <f>ROUND(IFERROR(INDEX('Labor Cost_Master'!$G$4:$BC$135,MATCH($DN31,'Labor Cost_Master'!$BD$4:$BD$135,0),MATCH(CW$9,'Labor Cost_Master'!$G$3:$BC$3,0)),0)*AV31,0)</f>
        <v>0</v>
      </c>
      <c r="CX31" s="64">
        <f>ROUND(IFERROR(INDEX('Labor Cost_Master'!$G$4:$BC$135,MATCH($DN31,'Labor Cost_Master'!$BD$4:$BD$135,0),MATCH(CX$9,'Labor Cost_Master'!$G$3:$BC$3,0)),0)*AW31,0)</f>
        <v>0</v>
      </c>
      <c r="CY31" s="64">
        <f>ROUND(IFERROR(INDEX('Labor Cost_Master'!$G$4:$BC$135,MATCH($DN31,'Labor Cost_Master'!$BD$4:$BD$135,0),MATCH(CY$9,'Labor Cost_Master'!$G$3:$BC$3,0)),0)*AX31,0)</f>
        <v>0</v>
      </c>
      <c r="CZ31" s="66">
        <f t="shared" si="21"/>
        <v>0</v>
      </c>
      <c r="DA31" s="64">
        <f>ROUND(IFERROR(INDEX('Labor Cost_Master'!$G$4:$BC$135,MATCH($DN31,'Labor Cost_Master'!$BD$4:$BD$135,0),MATCH(DA$9,'Labor Cost_Master'!$G$3:$BC$3,0)),0)*AZ31,0)</f>
        <v>0</v>
      </c>
      <c r="DB31" s="64">
        <f>ROUND(IFERROR(INDEX('Labor Cost_Master'!$G$4:$BC$135,MATCH($DN31,'Labor Cost_Master'!$BD$4:$BD$135,0),MATCH(DB$9,'Labor Cost_Master'!$G$3:$BC$3,0)),0)*BA31,0)</f>
        <v>0</v>
      </c>
      <c r="DC31" s="1166">
        <f>ROUND(IFERROR(INDEX('Labor Cost_Master'!$G$4:$BC$135,MATCH($DN31,'Labor Cost_Master'!$BD$4:$BD$135,0),MATCH(DC$9,'Labor Cost_Master'!$G$3:$BC$3,0)),0)*BB31,0)*1.05</f>
        <v>0</v>
      </c>
      <c r="DD31" s="64">
        <f>ROUND(IFERROR(INDEX('Labor Cost_Master'!$G$4:$BC$135,MATCH($DN31,'Labor Cost_Master'!$BD$4:$BD$135,0),MATCH(DD$9,'Labor Cost_Master'!$G$3:$BC$3,0)),0)*BC31,0)*1.05</f>
        <v>0</v>
      </c>
      <c r="DE31" s="64">
        <f>ROUND(IFERROR(INDEX('Labor Cost_Master'!$G$4:$BC$135,MATCH($DN31,'Labor Cost_Master'!$BD$4:$BD$135,0),MATCH(DE$9,'Labor Cost_Master'!$G$3:$BC$3,0)),0)*BD31,0)*1.05</f>
        <v>0</v>
      </c>
      <c r="DF31" s="64">
        <f>ROUND(IFERROR(INDEX('Labor Cost_Master'!$G$4:$BC$135,MATCH($DN31,'Labor Cost_Master'!$BD$4:$BD$135,0),MATCH(DF$9,'Labor Cost_Master'!$G$3:$BC$3,0)),0)*BE31,0)*1.05</f>
        <v>0</v>
      </c>
      <c r="DG31" s="64">
        <f>ROUND(IFERROR(INDEX('Labor Cost_Master'!$G$4:$BC$135,MATCH($DN31,'Labor Cost_Master'!$BD$4:$BD$135,0),MATCH(DG$9,'Labor Cost_Master'!$G$3:$BC$3,0)),0)*BF31,0)*1.05</f>
        <v>0</v>
      </c>
      <c r="DH31" s="64">
        <f>ROUND(IFERROR(INDEX('Labor Cost_Master'!$G$4:$BC$135,MATCH($DN31,'Labor Cost_Master'!$BD$4:$BD$135,0),MATCH(DH$9,'Labor Cost_Master'!$G$3:$BC$3,0)),0)*BG31,0)*1.05</f>
        <v>0</v>
      </c>
      <c r="DI31" s="64">
        <f>ROUND(IFERROR(INDEX('Labor Cost_Master'!$G$4:$BC$135,MATCH($DN31,'Labor Cost_Master'!$BD$4:$BD$135,0),MATCH(DI$9,'Labor Cost_Master'!$G$3:$BC$3,0)),0)*BH31,0)*1.05</f>
        <v>0</v>
      </c>
      <c r="DJ31" s="64">
        <f>ROUND(IFERROR(INDEX('Labor Cost_Master'!$G$4:$BC$135,MATCH($DN31,'Labor Cost_Master'!$BD$4:$BD$135,0),MATCH(DJ$9,'Labor Cost_Master'!$G$3:$BC$3,0)),0)*BI31,0)*1.05</f>
        <v>0</v>
      </c>
      <c r="DK31" s="64">
        <f>ROUND(IFERROR(INDEX('Labor Cost_Master'!$G$4:$BC$135,MATCH($DN31,'Labor Cost_Master'!$BD$4:$BD$135,0),MATCH(DK$9,'Labor Cost_Master'!$G$3:$BC$3,0)),0)*BJ31,0)*1.05</f>
        <v>0</v>
      </c>
      <c r="DL31" s="64">
        <f>ROUND(IFERROR(INDEX('Labor Cost_Master'!$G$4:$BC$135,MATCH($DN31,'Labor Cost_Master'!$BD$4:$BD$135,0),MATCH(DL$9,'Labor Cost_Master'!$G$3:$BC$3,0)),0)*BK31,0)*1.05</f>
        <v>0</v>
      </c>
      <c r="DM31" s="66">
        <f t="shared" si="22"/>
        <v>0</v>
      </c>
      <c r="DN31" s="80" t="str">
        <f t="shared" si="23"/>
        <v/>
      </c>
      <c r="DO31" s="64">
        <f>ROUND(IFERROR(INDEX(Benefit_Master!$G$4:$BC$135,MATCH($DN31,Benefit_Master!$BD$4:$BD$135,0),MATCH(DO$9,Benefit_Master!$G$3:$BC$3,0)),0)*M31,0)</f>
        <v>0</v>
      </c>
      <c r="DP31" s="64">
        <f>ROUND(IFERROR(INDEX(Benefit_Master!$G$4:$BC$135,MATCH($DN31,Benefit_Master!$BD$4:$BD$135,0),MATCH(DP$9,Benefit_Master!$G$3:$BC$3,0)),0)*N31,0)</f>
        <v>0</v>
      </c>
      <c r="DQ31" s="64">
        <f>ROUND(IFERROR(INDEX(Benefit_Master!$G$4:$BC$135,MATCH($DN31,Benefit_Master!$BD$4:$BD$135,0),MATCH(DQ$9,Benefit_Master!$G$3:$BC$3,0)),0)*O31,0)</f>
        <v>0</v>
      </c>
      <c r="DR31" s="64">
        <f>ROUND(IFERROR(INDEX(Benefit_Master!$G$4:$BC$135,MATCH($DN31,Benefit_Master!$BD$4:$BD$135,0),MATCH(DR$9,Benefit_Master!$G$3:$BC$3,0)),0)*P31,0)</f>
        <v>0</v>
      </c>
      <c r="DS31" s="64">
        <f>ROUND(IFERROR(INDEX(Benefit_Master!$G$4:$BC$135,MATCH($DN31,Benefit_Master!$BD$4:$BD$135,0),MATCH(DS$9,Benefit_Master!$G$3:$BC$3,0)),0)*Q31,0)</f>
        <v>0</v>
      </c>
      <c r="DT31" s="64">
        <f>ROUND(IFERROR(INDEX(Benefit_Master!$G$4:$BC$135,MATCH($DN31,Benefit_Master!$BD$4:$BD$135,0),MATCH(DT$9,Benefit_Master!$G$3:$BC$3,0)),0)*R31,0)</f>
        <v>0</v>
      </c>
      <c r="DU31" s="64">
        <f>ROUND(IFERROR(INDEX(Benefit_Master!$G$4:$BC$135,MATCH($DN31,Benefit_Master!$BD$4:$BD$135,0),MATCH(DU$9,Benefit_Master!$G$3:$BC$3,0)),0)*S31,0)</f>
        <v>0</v>
      </c>
      <c r="DV31" s="64">
        <f>ROUND(IFERROR(INDEX(Benefit_Master!$G$4:$BC$135,MATCH($DN31,Benefit_Master!$BD$4:$BD$135,0),MATCH(DV$9,Benefit_Master!$G$3:$BC$3,0)),0)*T31,0)</f>
        <v>0</v>
      </c>
      <c r="DW31" s="64">
        <f>ROUND(IFERROR(INDEX(Benefit_Master!$G$4:$BC$135,MATCH($DN31,Benefit_Master!$BD$4:$BD$135,0),MATCH(DW$9,Benefit_Master!$G$3:$BC$3,0)),0)*U31,0)</f>
        <v>0</v>
      </c>
      <c r="DX31" s="64">
        <f>ROUND(IFERROR(INDEX(Benefit_Master!$G$4:$BC$135,MATCH($DN31,Benefit_Master!$BD$4:$BD$135,0),MATCH(DX$9,Benefit_Master!$G$3:$BC$3,0)),0)*V31,0)</f>
        <v>0</v>
      </c>
      <c r="DY31" s="64">
        <f>ROUND(IFERROR(INDEX(Benefit_Master!$G$4:$BC$135,MATCH($DN31,Benefit_Master!$BD$4:$BD$135,0),MATCH(DY$9,Benefit_Master!$G$3:$BC$3,0)),0)*W31,0)</f>
        <v>0</v>
      </c>
      <c r="DZ31" s="64">
        <f>ROUND(IFERROR(INDEX(Benefit_Master!$G$4:$BC$135,MATCH($DN31,Benefit_Master!$BD$4:$BD$135,0),MATCH(DZ$9,Benefit_Master!$G$3:$BC$3,0)),0)*X31,0)</f>
        <v>0</v>
      </c>
      <c r="EA31" s="66">
        <f t="shared" si="24"/>
        <v>0</v>
      </c>
      <c r="EB31" s="64">
        <f>ROUND(IFERROR(INDEX(Benefit_Master!$G$4:$BC$135,MATCH($DN31,Benefit_Master!$BD$4:$BD$135,0),MATCH(EB$9,Benefit_Master!$G$3:$BC$3,0)),0)*Z31,0)</f>
        <v>0</v>
      </c>
      <c r="EC31" s="64">
        <f>ROUND(IFERROR(INDEX(Benefit_Master!$G$4:$BC$135,MATCH($DN31,Benefit_Master!$BD$4:$BD$135,0),MATCH(EC$9,Benefit_Master!$G$3:$BC$3,0)),0)*AA31,0)</f>
        <v>0</v>
      </c>
      <c r="ED31" s="64">
        <f>ROUND(IFERROR(INDEX(Benefit_Master!$G$4:$BC$135,MATCH($DN31,Benefit_Master!$BD$4:$BD$135,0),MATCH(ED$9,Benefit_Master!$G$3:$BC$3,0)),0)*AB31,0)</f>
        <v>0</v>
      </c>
      <c r="EE31" s="64">
        <f>ROUND(IFERROR(INDEX(Benefit_Master!$G$4:$BC$135,MATCH($DN31,Benefit_Master!$BD$4:$BD$135,0),MATCH(EE$9,Benefit_Master!$G$3:$BC$3,0)),0)*AC31,0)</f>
        <v>0</v>
      </c>
      <c r="EF31" s="64">
        <f>ROUND(IFERROR(INDEX(Benefit_Master!$G$4:$BC$135,MATCH($DN31,Benefit_Master!$BD$4:$BD$135,0),MATCH(EF$9,Benefit_Master!$G$3:$BC$3,0)),0)*AD31,0)</f>
        <v>0</v>
      </c>
      <c r="EG31" s="64">
        <f>ROUND(IFERROR(INDEX(Benefit_Master!$G$4:$BC$135,MATCH($DN31,Benefit_Master!$BD$4:$BD$135,0),MATCH(EG$9,Benefit_Master!$G$3:$BC$3,0)),0)*AE31,0)</f>
        <v>0</v>
      </c>
      <c r="EH31" s="64">
        <f>ROUND(IFERROR(INDEX(Benefit_Master!$G$4:$BC$135,MATCH($DN31,Benefit_Master!$BD$4:$BD$135,0),MATCH(EH$9,Benefit_Master!$G$3:$BC$3,0)),0)*AF31,0)</f>
        <v>0</v>
      </c>
      <c r="EI31" s="64">
        <f>ROUND(IFERROR(INDEX(Benefit_Master!$G$4:$BC$135,MATCH($DN31,Benefit_Master!$BD$4:$BD$135,0),MATCH(EI$9,Benefit_Master!$G$3:$BC$3,0)),0)*AG31,0)</f>
        <v>0</v>
      </c>
      <c r="EJ31" s="64">
        <f>ROUND(IFERROR(INDEX(Benefit_Master!$G$4:$BC$135,MATCH($DN31,Benefit_Master!$BD$4:$BD$135,0),MATCH(EJ$9,Benefit_Master!$G$3:$BC$3,0)),0)*AH31,0)</f>
        <v>0</v>
      </c>
      <c r="EK31" s="64">
        <f>ROUND(IFERROR(INDEX(Benefit_Master!$G$4:$BC$135,MATCH($DN31,Benefit_Master!$BD$4:$BD$135,0),MATCH(EK$9,Benefit_Master!$G$3:$BC$3,0)),0)*AI31,0)</f>
        <v>0</v>
      </c>
      <c r="EL31" s="64">
        <f>ROUND(IFERROR(INDEX(Benefit_Master!$G$4:$BC$135,MATCH($DN31,Benefit_Master!$BD$4:$BD$135,0),MATCH(EL$9,Benefit_Master!$G$3:$BC$3,0)),0)*AJ31,0)</f>
        <v>0</v>
      </c>
      <c r="EM31" s="64">
        <f>ROUND(IFERROR(INDEX(Benefit_Master!$G$4:$BC$135,MATCH($DN31,Benefit_Master!$BD$4:$BD$135,0),MATCH(EM$9,Benefit_Master!$G$3:$BC$3,0)),0)*AK31,0)</f>
        <v>0</v>
      </c>
      <c r="EN31" s="66">
        <f t="shared" si="25"/>
        <v>0</v>
      </c>
      <c r="EO31" s="64">
        <f>ROUND(IFERROR(INDEX(Benefit_Master!$G$4:$BC$135,MATCH($DN31,Benefit_Master!$BD$4:$BD$135,0),MATCH(EO$9,Benefit_Master!$G$3:$BC$3,0)),0)*AM31,0)</f>
        <v>0</v>
      </c>
      <c r="EP31" s="64">
        <f>ROUND(IFERROR(INDEX(Benefit_Master!$G$4:$BC$135,MATCH($DN31,Benefit_Master!$BD$4:$BD$135,0),MATCH(EP$9,Benefit_Master!$G$3:$BC$3,0)),0)*AN31,0)</f>
        <v>0</v>
      </c>
      <c r="EQ31" s="64">
        <f>ROUND(IFERROR(INDEX(Benefit_Master!$G$4:$BC$135,MATCH($DN31,Benefit_Master!$BD$4:$BD$135,0),MATCH(EQ$9,Benefit_Master!$G$3:$BC$3,0)),0)*AO31,0)</f>
        <v>0</v>
      </c>
      <c r="ER31" s="64">
        <f>ROUND(IFERROR(INDEX(Benefit_Master!$G$4:$BC$135,MATCH($DN31,Benefit_Master!$BD$4:$BD$135,0),MATCH(ER$9,Benefit_Master!$G$3:$BC$3,0)),0)*AP31,0)</f>
        <v>0</v>
      </c>
      <c r="ES31" s="64">
        <f>ROUND(IFERROR(INDEX(Benefit_Master!$G$4:$BC$135,MATCH($DN31,Benefit_Master!$BD$4:$BD$135,0),MATCH(ES$9,Benefit_Master!$G$3:$BC$3,0)),0)*AQ31,0)</f>
        <v>0</v>
      </c>
      <c r="ET31" s="64">
        <f>ROUND(IFERROR(INDEX(Benefit_Master!$G$4:$BC$135,MATCH($DN31,Benefit_Master!$BD$4:$BD$135,0),MATCH(ET$9,Benefit_Master!$G$3:$BC$3,0)),0)*AR31,0)</f>
        <v>0</v>
      </c>
      <c r="EU31" s="64">
        <f>ROUND(IFERROR(INDEX(Benefit_Master!$G$4:$BC$135,MATCH($DN31,Benefit_Master!$BD$4:$BD$135,0),MATCH(EU$9,Benefit_Master!$G$3:$BC$3,0)),0)*AS31,0)</f>
        <v>0</v>
      </c>
      <c r="EV31" s="64">
        <f>ROUND(IFERROR(INDEX(Benefit_Master!$G$4:$BC$135,MATCH($DN31,Benefit_Master!$BD$4:$BD$135,0),MATCH(EV$9,Benefit_Master!$G$3:$BC$3,0)),0)*AT31,0)</f>
        <v>0</v>
      </c>
      <c r="EW31" s="64">
        <f>ROUND(IFERROR(INDEX(Benefit_Master!$G$4:$BC$135,MATCH($DN31,Benefit_Master!$BD$4:$BD$135,0),MATCH(EW$9,Benefit_Master!$G$3:$BC$3,0)),0)*AU31,0)</f>
        <v>0</v>
      </c>
      <c r="EX31" s="64">
        <f>ROUND(IFERROR(INDEX(Benefit_Master!$G$4:$BC$135,MATCH($DN31,Benefit_Master!$BD$4:$BD$135,0),MATCH(EX$9,Benefit_Master!$G$3:$BC$3,0)),0)*AV31,0)</f>
        <v>0</v>
      </c>
      <c r="EY31" s="64">
        <f>ROUND(IFERROR(INDEX(Benefit_Master!$G$4:$BC$135,MATCH($DN31,Benefit_Master!$BD$4:$BD$135,0),MATCH(EY$9,Benefit_Master!$G$3:$BC$3,0)),0)*AW31,0)</f>
        <v>0</v>
      </c>
      <c r="EZ31" s="64">
        <f>ROUND(IFERROR(INDEX(Benefit_Master!$G$4:$BC$135,MATCH($DN31,Benefit_Master!$BD$4:$BD$135,0),MATCH(EZ$9,Benefit_Master!$G$3:$BC$3,0)),0)*AX31,0)</f>
        <v>0</v>
      </c>
      <c r="FA31" s="66">
        <f t="shared" si="26"/>
        <v>0</v>
      </c>
      <c r="FB31" s="64">
        <f>ROUND(IFERROR(INDEX(Benefit_Master!$G$4:$BC$135,MATCH($DN31,Benefit_Master!$BD$4:$BD$135,0),MATCH(FB$9,Benefit_Master!$G$3:$BC$3,0)),0)*AZ31,0)</f>
        <v>0</v>
      </c>
      <c r="FC31" s="64">
        <f>ROUND(IFERROR(INDEX(Benefit_Master!$G$4:$BC$135,MATCH($DN31,Benefit_Master!$BD$4:$BD$135,0),MATCH(FC$9,Benefit_Master!$G$3:$BC$3,0)),0)*BA31,0)</f>
        <v>0</v>
      </c>
      <c r="FD31" s="64">
        <f>ROUND(IFERROR(INDEX(Benefit_Master!$G$4:$BC$135,MATCH($DN31,Benefit_Master!$BD$4:$BD$135,0),MATCH(FD$9,Benefit_Master!$G$3:$BC$3,0)),0)*BB31,0)</f>
        <v>0</v>
      </c>
      <c r="FE31" s="64">
        <f>ROUND(IFERROR(INDEX(Benefit_Master!$G$4:$BC$135,MATCH($DN31,Benefit_Master!$BD$4:$BD$135,0),MATCH(FE$9,Benefit_Master!$G$3:$BC$3,0)),0)*BC31,0)</f>
        <v>0</v>
      </c>
      <c r="FF31" s="64">
        <f>ROUND(IFERROR(INDEX(Benefit_Master!$G$4:$BC$135,MATCH($DN31,Benefit_Master!$BD$4:$BD$135,0),MATCH(FF$9,Benefit_Master!$G$3:$BC$3,0)),0)*BD31,0)</f>
        <v>0</v>
      </c>
      <c r="FG31" s="64">
        <f>ROUND(IFERROR(INDEX(Benefit_Master!$G$4:$BC$135,MATCH($DN31,Benefit_Master!$BD$4:$BD$135,0),MATCH(FG$9,Benefit_Master!$G$3:$BC$3,0)),0)*BE31,0)</f>
        <v>0</v>
      </c>
      <c r="FH31" s="64">
        <f>ROUND(IFERROR(INDEX(Benefit_Master!$G$4:$BC$135,MATCH($DN31,Benefit_Master!$BD$4:$BD$135,0),MATCH(FH$9,Benefit_Master!$G$3:$BC$3,0)),0)*BF31,0)</f>
        <v>0</v>
      </c>
      <c r="FI31" s="64">
        <f>ROUND(IFERROR(INDEX(Benefit_Master!$G$4:$BC$135,MATCH($DN31,Benefit_Master!$BD$4:$BD$135,0),MATCH(FI$9,Benefit_Master!$G$3:$BC$3,0)),0)*BG31,0)</f>
        <v>0</v>
      </c>
      <c r="FJ31" s="64">
        <f>ROUND(IFERROR(INDEX(Benefit_Master!$G$4:$BC$135,MATCH($DN31,Benefit_Master!$BD$4:$BD$135,0),MATCH(FJ$9,Benefit_Master!$G$3:$BC$3,0)),0)*BH31,0)</f>
        <v>0</v>
      </c>
      <c r="FK31" s="64">
        <f>ROUND(IFERROR(INDEX(Benefit_Master!$G$4:$BC$135,MATCH($DN31,Benefit_Master!$BD$4:$BD$135,0),MATCH(FK$9,Benefit_Master!$G$3:$BC$3,0)),0)*BI31,0)</f>
        <v>0</v>
      </c>
      <c r="FL31" s="64">
        <f>ROUND(IFERROR(INDEX(Benefit_Master!$G$4:$BC$135,MATCH($DN31,Benefit_Master!$BD$4:$BD$135,0),MATCH(FL$9,Benefit_Master!$G$3:$BC$3,0)),0)*BJ31,0)</f>
        <v>0</v>
      </c>
      <c r="FM31" s="64">
        <f>ROUND(IFERROR(INDEX(Benefit_Master!$G$4:$BC$135,MATCH($DN31,Benefit_Master!$BD$4:$BD$135,0),MATCH(FM$9,Benefit_Master!$G$3:$BC$3,0)),0)*BK31,0)</f>
        <v>0</v>
      </c>
      <c r="FN31" s="66">
        <f t="shared" si="27"/>
        <v>0</v>
      </c>
    </row>
    <row r="32" spans="2:170" s="12" customFormat="1" ht="15" customHeight="1">
      <c r="B32" s="93">
        <f t="shared" si="28"/>
        <v>20</v>
      </c>
      <c r="C32" s="89"/>
      <c r="D32" s="97"/>
      <c r="E32" s="1157"/>
      <c r="F32" s="425"/>
      <c r="G32" s="94" t="str">
        <f>IFERROR(VLOOKUP($F32,Master!$B$1:$C$7,2,0),"-")</f>
        <v>-</v>
      </c>
      <c r="H32" s="95">
        <f t="shared" si="12"/>
        <v>0</v>
      </c>
      <c r="I32" s="138">
        <f t="shared" si="13"/>
        <v>0</v>
      </c>
      <c r="J32" s="138">
        <f t="shared" si="14"/>
        <v>0</v>
      </c>
      <c r="K32" s="96"/>
      <c r="L32"/>
      <c r="M32" s="58"/>
      <c r="N32" s="59"/>
      <c r="O32" s="59"/>
      <c r="P32" s="59"/>
      <c r="Q32" s="59"/>
      <c r="R32" s="59"/>
      <c r="S32" s="59"/>
      <c r="T32" s="59"/>
      <c r="U32" s="679"/>
      <c r="V32" s="56"/>
      <c r="W32" s="56"/>
      <c r="X32" s="56"/>
      <c r="Y32" s="60">
        <f t="shared" si="15"/>
        <v>0</v>
      </c>
      <c r="Z32" s="55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60">
        <f t="shared" si="16"/>
        <v>0</v>
      </c>
      <c r="AM32" s="58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60">
        <f t="shared" si="17"/>
        <v>0</v>
      </c>
      <c r="AZ32" s="58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60">
        <f t="shared" si="18"/>
        <v>0</v>
      </c>
      <c r="BM32"/>
      <c r="BN32" s="64">
        <f>ROUND(IFERROR(INDEX('Labor Cost_Master'!$G$4:$BC$135,MATCH($DN32,'Labor Cost_Master'!$BD$4:$BD$135,0),MATCH(BN$9,'Labor Cost_Master'!$G$3:$BC$3,0)),0)*M32,0)</f>
        <v>0</v>
      </c>
      <c r="BO32" s="64">
        <f>ROUND(IFERROR(INDEX('Labor Cost_Master'!$G$4:$BC$135,MATCH($DN32,'Labor Cost_Master'!$BD$4:$BD$135,0),MATCH(BO$9,'Labor Cost_Master'!$G$3:$BC$3,0)),0)*N32,0)</f>
        <v>0</v>
      </c>
      <c r="BP32" s="64">
        <f>ROUND(IFERROR(INDEX('Labor Cost_Master'!$G$4:$BC$135,MATCH($DN32,'Labor Cost_Master'!$BD$4:$BD$135,0),MATCH(BP$9,'Labor Cost_Master'!$G$3:$BC$3,0)),0)*O32,0)</f>
        <v>0</v>
      </c>
      <c r="BQ32" s="64">
        <f>ROUND(IFERROR(INDEX('Labor Cost_Master'!$G$4:$BC$135,MATCH($DN32,'Labor Cost_Master'!$BD$4:$BD$135,0),MATCH(BQ$9,'Labor Cost_Master'!$G$3:$BC$3,0)),0)*P32,0)</f>
        <v>0</v>
      </c>
      <c r="BR32" s="64">
        <f>ROUND(IFERROR(INDEX('Labor Cost_Master'!$G$4:$BC$135,MATCH($DN32,'Labor Cost_Master'!$BD$4:$BD$135,0),MATCH(BR$9,'Labor Cost_Master'!$G$3:$BC$3,0)),0)*Q32,0)</f>
        <v>0</v>
      </c>
      <c r="BS32" s="64">
        <f>ROUND(IFERROR(INDEX('Labor Cost_Master'!$G$4:$BC$135,MATCH($DN32,'Labor Cost_Master'!$BD$4:$BD$135,0),MATCH(BS$9,'Labor Cost_Master'!$G$3:$BC$3,0)),0)*R32,0)</f>
        <v>0</v>
      </c>
      <c r="BT32" s="64">
        <f>ROUND(IFERROR(INDEX('Labor Cost_Master'!$G$4:$BC$135,MATCH($DN32,'Labor Cost_Master'!$BD$4:$BD$135,0),MATCH(BT$9,'Labor Cost_Master'!$G$3:$BC$3,0)),0)*S32,0)</f>
        <v>0</v>
      </c>
      <c r="BU32" s="64">
        <f>ROUND(IFERROR(INDEX('Labor Cost_Master'!$G$4:$BC$135,MATCH($DN32,'Labor Cost_Master'!$BD$4:$BD$135,0),MATCH(BU$9,'Labor Cost_Master'!$G$3:$BC$3,0)),0)*T32,0)</f>
        <v>0</v>
      </c>
      <c r="BV32" s="64">
        <f>ROUND(IFERROR(INDEX('Labor Cost_Master'!$G$4:$BC$135,MATCH($DN32,'Labor Cost_Master'!$BD$4:$BD$135,0),MATCH(BV$9,'Labor Cost_Master'!$G$3:$BC$3,0)),0)*U32,0)</f>
        <v>0</v>
      </c>
      <c r="BW32" s="64">
        <f>ROUND(IFERROR(INDEX('Labor Cost_Master'!$G$4:$BC$135,MATCH($DN32,'Labor Cost_Master'!$BD$4:$BD$135,0),MATCH(BW$9,'Labor Cost_Master'!$G$3:$BC$3,0)),0)*V32,0)</f>
        <v>0</v>
      </c>
      <c r="BX32" s="64">
        <f>ROUND(IFERROR(INDEX('Labor Cost_Master'!$G$4:$BC$135,MATCH($DN32,'Labor Cost_Master'!$BD$4:$BD$135,0),MATCH(BX$9,'Labor Cost_Master'!$G$3:$BC$3,0)),0)*W32,0)</f>
        <v>0</v>
      </c>
      <c r="BY32" s="64">
        <f>ROUND(IFERROR(INDEX('Labor Cost_Master'!$G$4:$BC$135,MATCH($DN32,'Labor Cost_Master'!$BD$4:$BD$135,0),MATCH(BY$9,'Labor Cost_Master'!$G$3:$BC$3,0)),0)*X32,0)</f>
        <v>0</v>
      </c>
      <c r="BZ32" s="66">
        <f t="shared" si="19"/>
        <v>0</v>
      </c>
      <c r="CA32" s="64">
        <f>ROUND(IFERROR(INDEX('Labor Cost_Master'!$G$4:$BC$135,MATCH($DN32,'Labor Cost_Master'!$BD$4:$BD$135,0),MATCH(CA$9,'Labor Cost_Master'!$G$3:$BC$3,0)),0)*Z32,0)</f>
        <v>0</v>
      </c>
      <c r="CB32" s="64">
        <f>ROUND(IFERROR(INDEX('Labor Cost_Master'!$G$4:$BC$135,MATCH($DN32,'Labor Cost_Master'!$BD$4:$BD$135,0),MATCH(CB$9,'Labor Cost_Master'!$G$3:$BC$3,0)),0)*AA32,0)</f>
        <v>0</v>
      </c>
      <c r="CC32" s="64">
        <f>ROUND(IFERROR(INDEX('Labor Cost_Master'!$G$4:$BC$135,MATCH($DN32,'Labor Cost_Master'!$BD$4:$BD$135,0),MATCH(CC$9,'Labor Cost_Master'!$G$3:$BC$3,0)),0)*AB32,0)</f>
        <v>0</v>
      </c>
      <c r="CD32" s="64">
        <f>ROUND(IFERROR(INDEX('Labor Cost_Master'!$G$4:$BC$135,MATCH($DN32,'Labor Cost_Master'!$BD$4:$BD$135,0),MATCH(CD$9,'Labor Cost_Master'!$G$3:$BC$3,0)),0)*AC32,0)</f>
        <v>0</v>
      </c>
      <c r="CE32" s="64">
        <f>ROUND(IFERROR(INDEX('Labor Cost_Master'!$G$4:$BC$135,MATCH($DN32,'Labor Cost_Master'!$BD$4:$BD$135,0),MATCH(CE$9,'Labor Cost_Master'!$G$3:$BC$3,0)),0)*AD32,0)</f>
        <v>0</v>
      </c>
      <c r="CF32" s="64">
        <f>ROUND(IFERROR(INDEX('Labor Cost_Master'!$G$4:$BC$135,MATCH($DN32,'Labor Cost_Master'!$BD$4:$BD$135,0),MATCH(CF$9,'Labor Cost_Master'!$G$3:$BC$3,0)),0)*AE32,0)</f>
        <v>0</v>
      </c>
      <c r="CG32" s="64">
        <f>ROUND(IFERROR(INDEX('Labor Cost_Master'!$G$4:$BC$135,MATCH($DN32,'Labor Cost_Master'!$BD$4:$BD$135,0),MATCH(CG$9,'Labor Cost_Master'!$G$3:$BC$3,0)),0)*AF32,0)</f>
        <v>0</v>
      </c>
      <c r="CH32" s="64">
        <f>ROUND(IFERROR(INDEX('Labor Cost_Master'!$G$4:$BC$135,MATCH($DN32,'Labor Cost_Master'!$BD$4:$BD$135,0),MATCH(CH$9,'Labor Cost_Master'!$G$3:$BC$3,0)),0)*AG32,0)</f>
        <v>0</v>
      </c>
      <c r="CI32" s="64">
        <f>ROUND(IFERROR(INDEX('Labor Cost_Master'!$G$4:$BC$135,MATCH($DN32,'Labor Cost_Master'!$BD$4:$BD$135,0),MATCH(CI$9,'Labor Cost_Master'!$G$3:$BC$3,0)),0)*AH32,0)</f>
        <v>0</v>
      </c>
      <c r="CJ32" s="64">
        <f>ROUND(IFERROR(INDEX('Labor Cost_Master'!$G$4:$BC$135,MATCH($DN32,'Labor Cost_Master'!$BD$4:$BD$135,0),MATCH(CJ$9,'Labor Cost_Master'!$G$3:$BC$3,0)),0)*AI32,0)</f>
        <v>0</v>
      </c>
      <c r="CK32" s="64">
        <f>ROUND(IFERROR(INDEX('Labor Cost_Master'!$G$4:$BC$135,MATCH($DN32,'Labor Cost_Master'!$BD$4:$BD$135,0),MATCH(CK$9,'Labor Cost_Master'!$G$3:$BC$3,0)),0)*AJ32,0)</f>
        <v>0</v>
      </c>
      <c r="CL32" s="64">
        <f>ROUND(IFERROR(INDEX('Labor Cost_Master'!$G$4:$BC$135,MATCH($DN32,'Labor Cost_Master'!$BD$4:$BD$135,0),MATCH(CL$9,'Labor Cost_Master'!$G$3:$BC$3,0)),0)*AK32,0)</f>
        <v>0</v>
      </c>
      <c r="CM32" s="66">
        <f t="shared" si="20"/>
        <v>0</v>
      </c>
      <c r="CN32" s="64">
        <f>ROUND(IFERROR(INDEX('Labor Cost_Master'!$G$4:$BC$135,MATCH($DN32,'Labor Cost_Master'!$BD$4:$BD$135,0),MATCH(CN$9,'Labor Cost_Master'!$G$3:$BC$3,0)),0)*AM32,0)</f>
        <v>0</v>
      </c>
      <c r="CO32" s="64">
        <f>ROUND(IFERROR(INDEX('Labor Cost_Master'!$G$4:$BC$135,MATCH($DN32,'Labor Cost_Master'!$BD$4:$BD$135,0),MATCH(CO$9,'Labor Cost_Master'!$G$3:$BC$3,0)),0)*AN32,0)</f>
        <v>0</v>
      </c>
      <c r="CP32" s="64">
        <f>ROUND(IFERROR(INDEX('Labor Cost_Master'!$G$4:$BC$135,MATCH($DN32,'Labor Cost_Master'!$BD$4:$BD$135,0),MATCH(CP$9,'Labor Cost_Master'!$G$3:$BC$3,0)),0)*AO32,0)</f>
        <v>0</v>
      </c>
      <c r="CQ32" s="64">
        <f>ROUND(IFERROR(INDEX('Labor Cost_Master'!$G$4:$BC$135,MATCH($DN32,'Labor Cost_Master'!$BD$4:$BD$135,0),MATCH(CQ$9,'Labor Cost_Master'!$G$3:$BC$3,0)),0)*AP32,0)</f>
        <v>0</v>
      </c>
      <c r="CR32" s="64">
        <f>ROUND(IFERROR(INDEX('Labor Cost_Master'!$G$4:$BC$135,MATCH($DN32,'Labor Cost_Master'!$BD$4:$BD$135,0),MATCH(CR$9,'Labor Cost_Master'!$G$3:$BC$3,0)),0)*AQ32,0)</f>
        <v>0</v>
      </c>
      <c r="CS32" s="64">
        <f>ROUND(IFERROR(INDEX('Labor Cost_Master'!$G$4:$BC$135,MATCH($DN32,'Labor Cost_Master'!$BD$4:$BD$135,0),MATCH(CS$9,'Labor Cost_Master'!$G$3:$BC$3,0)),0)*AR32,0)</f>
        <v>0</v>
      </c>
      <c r="CT32" s="64">
        <f>ROUND(IFERROR(INDEX('Labor Cost_Master'!$G$4:$BC$135,MATCH($DN32,'Labor Cost_Master'!$BD$4:$BD$135,0),MATCH(CT$9,'Labor Cost_Master'!$G$3:$BC$3,0)),0)*AS32,0)</f>
        <v>0</v>
      </c>
      <c r="CU32" s="64">
        <f>ROUND(IFERROR(INDEX('Labor Cost_Master'!$G$4:$BC$135,MATCH($DN32,'Labor Cost_Master'!$BD$4:$BD$135,0),MATCH(CU$9,'Labor Cost_Master'!$G$3:$BC$3,0)),0)*AT32,0)</f>
        <v>0</v>
      </c>
      <c r="CV32" s="64">
        <f>ROUND(IFERROR(INDEX('Labor Cost_Master'!$G$4:$BC$135,MATCH($DN32,'Labor Cost_Master'!$BD$4:$BD$135,0),MATCH(CV$9,'Labor Cost_Master'!$G$3:$BC$3,0)),0)*AU32,0)</f>
        <v>0</v>
      </c>
      <c r="CW32" s="64">
        <f>ROUND(IFERROR(INDEX('Labor Cost_Master'!$G$4:$BC$135,MATCH($DN32,'Labor Cost_Master'!$BD$4:$BD$135,0),MATCH(CW$9,'Labor Cost_Master'!$G$3:$BC$3,0)),0)*AV32,0)</f>
        <v>0</v>
      </c>
      <c r="CX32" s="64">
        <f>ROUND(IFERROR(INDEX('Labor Cost_Master'!$G$4:$BC$135,MATCH($DN32,'Labor Cost_Master'!$BD$4:$BD$135,0),MATCH(CX$9,'Labor Cost_Master'!$G$3:$BC$3,0)),0)*AW32,0)</f>
        <v>0</v>
      </c>
      <c r="CY32" s="64">
        <f>ROUND(IFERROR(INDEX('Labor Cost_Master'!$G$4:$BC$135,MATCH($DN32,'Labor Cost_Master'!$BD$4:$BD$135,0),MATCH(CY$9,'Labor Cost_Master'!$G$3:$BC$3,0)),0)*AX32,0)</f>
        <v>0</v>
      </c>
      <c r="CZ32" s="66">
        <f t="shared" si="21"/>
        <v>0</v>
      </c>
      <c r="DA32" s="64">
        <f>ROUND(IFERROR(INDEX('Labor Cost_Master'!$G$4:$BC$135,MATCH($DN32,'Labor Cost_Master'!$BD$4:$BD$135,0),MATCH(DA$9,'Labor Cost_Master'!$G$3:$BC$3,0)),0)*AZ32,0)</f>
        <v>0</v>
      </c>
      <c r="DB32" s="64">
        <f>ROUND(IFERROR(INDEX('Labor Cost_Master'!$G$4:$BC$135,MATCH($DN32,'Labor Cost_Master'!$BD$4:$BD$135,0),MATCH(DB$9,'Labor Cost_Master'!$G$3:$BC$3,0)),0)*BA32,0)</f>
        <v>0</v>
      </c>
      <c r="DC32" s="1166">
        <f>ROUND(IFERROR(INDEX('Labor Cost_Master'!$G$4:$BC$135,MATCH($DN32,'Labor Cost_Master'!$BD$4:$BD$135,0),MATCH(DC$9,'Labor Cost_Master'!$G$3:$BC$3,0)),0)*BB32,0)*1.05</f>
        <v>0</v>
      </c>
      <c r="DD32" s="64">
        <f>ROUND(IFERROR(INDEX('Labor Cost_Master'!$G$4:$BC$135,MATCH($DN32,'Labor Cost_Master'!$BD$4:$BD$135,0),MATCH(DD$9,'Labor Cost_Master'!$G$3:$BC$3,0)),0)*BC32,0)*1.05</f>
        <v>0</v>
      </c>
      <c r="DE32" s="64">
        <f>ROUND(IFERROR(INDEX('Labor Cost_Master'!$G$4:$BC$135,MATCH($DN32,'Labor Cost_Master'!$BD$4:$BD$135,0),MATCH(DE$9,'Labor Cost_Master'!$G$3:$BC$3,0)),0)*BD32,0)*1.05</f>
        <v>0</v>
      </c>
      <c r="DF32" s="64">
        <f>ROUND(IFERROR(INDEX('Labor Cost_Master'!$G$4:$BC$135,MATCH($DN32,'Labor Cost_Master'!$BD$4:$BD$135,0),MATCH(DF$9,'Labor Cost_Master'!$G$3:$BC$3,0)),0)*BE32,0)*1.05</f>
        <v>0</v>
      </c>
      <c r="DG32" s="64">
        <f>ROUND(IFERROR(INDEX('Labor Cost_Master'!$G$4:$BC$135,MATCH($DN32,'Labor Cost_Master'!$BD$4:$BD$135,0),MATCH(DG$9,'Labor Cost_Master'!$G$3:$BC$3,0)),0)*BF32,0)*1.05</f>
        <v>0</v>
      </c>
      <c r="DH32" s="64">
        <f>ROUND(IFERROR(INDEX('Labor Cost_Master'!$G$4:$BC$135,MATCH($DN32,'Labor Cost_Master'!$BD$4:$BD$135,0),MATCH(DH$9,'Labor Cost_Master'!$G$3:$BC$3,0)),0)*BG32,0)*1.05</f>
        <v>0</v>
      </c>
      <c r="DI32" s="64">
        <f>ROUND(IFERROR(INDEX('Labor Cost_Master'!$G$4:$BC$135,MATCH($DN32,'Labor Cost_Master'!$BD$4:$BD$135,0),MATCH(DI$9,'Labor Cost_Master'!$G$3:$BC$3,0)),0)*BH32,0)*1.05</f>
        <v>0</v>
      </c>
      <c r="DJ32" s="64">
        <f>ROUND(IFERROR(INDEX('Labor Cost_Master'!$G$4:$BC$135,MATCH($DN32,'Labor Cost_Master'!$BD$4:$BD$135,0),MATCH(DJ$9,'Labor Cost_Master'!$G$3:$BC$3,0)),0)*BI32,0)*1.05</f>
        <v>0</v>
      </c>
      <c r="DK32" s="64">
        <f>ROUND(IFERROR(INDEX('Labor Cost_Master'!$G$4:$BC$135,MATCH($DN32,'Labor Cost_Master'!$BD$4:$BD$135,0),MATCH(DK$9,'Labor Cost_Master'!$G$3:$BC$3,0)),0)*BJ32,0)*1.05</f>
        <v>0</v>
      </c>
      <c r="DL32" s="64">
        <f>ROUND(IFERROR(INDEX('Labor Cost_Master'!$G$4:$BC$135,MATCH($DN32,'Labor Cost_Master'!$BD$4:$BD$135,0),MATCH(DL$9,'Labor Cost_Master'!$G$3:$BC$3,0)),0)*BK32,0)*1.05</f>
        <v>0</v>
      </c>
      <c r="DM32" s="66">
        <f t="shared" si="22"/>
        <v>0</v>
      </c>
      <c r="DN32" s="80" t="str">
        <f t="shared" si="23"/>
        <v/>
      </c>
      <c r="DO32" s="64">
        <f>ROUND(IFERROR(INDEX(Benefit_Master!$G$4:$BC$135,MATCH($DN32,Benefit_Master!$BD$4:$BD$135,0),MATCH(DO$9,Benefit_Master!$G$3:$BC$3,0)),0)*M32,0)</f>
        <v>0</v>
      </c>
      <c r="DP32" s="64">
        <f>ROUND(IFERROR(INDEX(Benefit_Master!$G$4:$BC$135,MATCH($DN32,Benefit_Master!$BD$4:$BD$135,0),MATCH(DP$9,Benefit_Master!$G$3:$BC$3,0)),0)*N32,0)</f>
        <v>0</v>
      </c>
      <c r="DQ32" s="64">
        <f>ROUND(IFERROR(INDEX(Benefit_Master!$G$4:$BC$135,MATCH($DN32,Benefit_Master!$BD$4:$BD$135,0),MATCH(DQ$9,Benefit_Master!$G$3:$BC$3,0)),0)*O32,0)</f>
        <v>0</v>
      </c>
      <c r="DR32" s="64">
        <f>ROUND(IFERROR(INDEX(Benefit_Master!$G$4:$BC$135,MATCH($DN32,Benefit_Master!$BD$4:$BD$135,0),MATCH(DR$9,Benefit_Master!$G$3:$BC$3,0)),0)*P32,0)</f>
        <v>0</v>
      </c>
      <c r="DS32" s="64">
        <f>ROUND(IFERROR(INDEX(Benefit_Master!$G$4:$BC$135,MATCH($DN32,Benefit_Master!$BD$4:$BD$135,0),MATCH(DS$9,Benefit_Master!$G$3:$BC$3,0)),0)*Q32,0)</f>
        <v>0</v>
      </c>
      <c r="DT32" s="64">
        <f>ROUND(IFERROR(INDEX(Benefit_Master!$G$4:$BC$135,MATCH($DN32,Benefit_Master!$BD$4:$BD$135,0),MATCH(DT$9,Benefit_Master!$G$3:$BC$3,0)),0)*R32,0)</f>
        <v>0</v>
      </c>
      <c r="DU32" s="64">
        <f>ROUND(IFERROR(INDEX(Benefit_Master!$G$4:$BC$135,MATCH($DN32,Benefit_Master!$BD$4:$BD$135,0),MATCH(DU$9,Benefit_Master!$G$3:$BC$3,0)),0)*S32,0)</f>
        <v>0</v>
      </c>
      <c r="DV32" s="64">
        <f>ROUND(IFERROR(INDEX(Benefit_Master!$G$4:$BC$135,MATCH($DN32,Benefit_Master!$BD$4:$BD$135,0),MATCH(DV$9,Benefit_Master!$G$3:$BC$3,0)),0)*T32,0)</f>
        <v>0</v>
      </c>
      <c r="DW32" s="64">
        <f>ROUND(IFERROR(INDEX(Benefit_Master!$G$4:$BC$135,MATCH($DN32,Benefit_Master!$BD$4:$BD$135,0),MATCH(DW$9,Benefit_Master!$G$3:$BC$3,0)),0)*U32,0)</f>
        <v>0</v>
      </c>
      <c r="DX32" s="64">
        <f>ROUND(IFERROR(INDEX(Benefit_Master!$G$4:$BC$135,MATCH($DN32,Benefit_Master!$BD$4:$BD$135,0),MATCH(DX$9,Benefit_Master!$G$3:$BC$3,0)),0)*V32,0)</f>
        <v>0</v>
      </c>
      <c r="DY32" s="64">
        <f>ROUND(IFERROR(INDEX(Benefit_Master!$G$4:$BC$135,MATCH($DN32,Benefit_Master!$BD$4:$BD$135,0),MATCH(DY$9,Benefit_Master!$G$3:$BC$3,0)),0)*W32,0)</f>
        <v>0</v>
      </c>
      <c r="DZ32" s="64">
        <f>ROUND(IFERROR(INDEX(Benefit_Master!$G$4:$BC$135,MATCH($DN32,Benefit_Master!$BD$4:$BD$135,0),MATCH(DZ$9,Benefit_Master!$G$3:$BC$3,0)),0)*X32,0)</f>
        <v>0</v>
      </c>
      <c r="EA32" s="66">
        <f t="shared" si="24"/>
        <v>0</v>
      </c>
      <c r="EB32" s="64">
        <f>ROUND(IFERROR(INDEX(Benefit_Master!$G$4:$BC$135,MATCH($DN32,Benefit_Master!$BD$4:$BD$135,0),MATCH(EB$9,Benefit_Master!$G$3:$BC$3,0)),0)*Z32,0)</f>
        <v>0</v>
      </c>
      <c r="EC32" s="64">
        <f>ROUND(IFERROR(INDEX(Benefit_Master!$G$4:$BC$135,MATCH($DN32,Benefit_Master!$BD$4:$BD$135,0),MATCH(EC$9,Benefit_Master!$G$3:$BC$3,0)),0)*AA32,0)</f>
        <v>0</v>
      </c>
      <c r="ED32" s="64">
        <f>ROUND(IFERROR(INDEX(Benefit_Master!$G$4:$BC$135,MATCH($DN32,Benefit_Master!$BD$4:$BD$135,0),MATCH(ED$9,Benefit_Master!$G$3:$BC$3,0)),0)*AB32,0)</f>
        <v>0</v>
      </c>
      <c r="EE32" s="64">
        <f>ROUND(IFERROR(INDEX(Benefit_Master!$G$4:$BC$135,MATCH($DN32,Benefit_Master!$BD$4:$BD$135,0),MATCH(EE$9,Benefit_Master!$G$3:$BC$3,0)),0)*AC32,0)</f>
        <v>0</v>
      </c>
      <c r="EF32" s="64">
        <f>ROUND(IFERROR(INDEX(Benefit_Master!$G$4:$BC$135,MATCH($DN32,Benefit_Master!$BD$4:$BD$135,0),MATCH(EF$9,Benefit_Master!$G$3:$BC$3,0)),0)*AD32,0)</f>
        <v>0</v>
      </c>
      <c r="EG32" s="64">
        <f>ROUND(IFERROR(INDEX(Benefit_Master!$G$4:$BC$135,MATCH($DN32,Benefit_Master!$BD$4:$BD$135,0),MATCH(EG$9,Benefit_Master!$G$3:$BC$3,0)),0)*AE32,0)</f>
        <v>0</v>
      </c>
      <c r="EH32" s="64">
        <f>ROUND(IFERROR(INDEX(Benefit_Master!$G$4:$BC$135,MATCH($DN32,Benefit_Master!$BD$4:$BD$135,0),MATCH(EH$9,Benefit_Master!$G$3:$BC$3,0)),0)*AF32,0)</f>
        <v>0</v>
      </c>
      <c r="EI32" s="64">
        <f>ROUND(IFERROR(INDEX(Benefit_Master!$G$4:$BC$135,MATCH($DN32,Benefit_Master!$BD$4:$BD$135,0),MATCH(EI$9,Benefit_Master!$G$3:$BC$3,0)),0)*AG32,0)</f>
        <v>0</v>
      </c>
      <c r="EJ32" s="64">
        <f>ROUND(IFERROR(INDEX(Benefit_Master!$G$4:$BC$135,MATCH($DN32,Benefit_Master!$BD$4:$BD$135,0),MATCH(EJ$9,Benefit_Master!$G$3:$BC$3,0)),0)*AH32,0)</f>
        <v>0</v>
      </c>
      <c r="EK32" s="64">
        <f>ROUND(IFERROR(INDEX(Benefit_Master!$G$4:$BC$135,MATCH($DN32,Benefit_Master!$BD$4:$BD$135,0),MATCH(EK$9,Benefit_Master!$G$3:$BC$3,0)),0)*AI32,0)</f>
        <v>0</v>
      </c>
      <c r="EL32" s="64">
        <f>ROUND(IFERROR(INDEX(Benefit_Master!$G$4:$BC$135,MATCH($DN32,Benefit_Master!$BD$4:$BD$135,0),MATCH(EL$9,Benefit_Master!$G$3:$BC$3,0)),0)*AJ32,0)</f>
        <v>0</v>
      </c>
      <c r="EM32" s="64">
        <f>ROUND(IFERROR(INDEX(Benefit_Master!$G$4:$BC$135,MATCH($DN32,Benefit_Master!$BD$4:$BD$135,0),MATCH(EM$9,Benefit_Master!$G$3:$BC$3,0)),0)*AK32,0)</f>
        <v>0</v>
      </c>
      <c r="EN32" s="66">
        <f t="shared" si="25"/>
        <v>0</v>
      </c>
      <c r="EO32" s="64">
        <f>ROUND(IFERROR(INDEX(Benefit_Master!$G$4:$BC$135,MATCH($DN32,Benefit_Master!$BD$4:$BD$135,0),MATCH(EO$9,Benefit_Master!$G$3:$BC$3,0)),0)*AM32,0)</f>
        <v>0</v>
      </c>
      <c r="EP32" s="64">
        <f>ROUND(IFERROR(INDEX(Benefit_Master!$G$4:$BC$135,MATCH($DN32,Benefit_Master!$BD$4:$BD$135,0),MATCH(EP$9,Benefit_Master!$G$3:$BC$3,0)),0)*AN32,0)</f>
        <v>0</v>
      </c>
      <c r="EQ32" s="64">
        <f>ROUND(IFERROR(INDEX(Benefit_Master!$G$4:$BC$135,MATCH($DN32,Benefit_Master!$BD$4:$BD$135,0),MATCH(EQ$9,Benefit_Master!$G$3:$BC$3,0)),0)*AO32,0)</f>
        <v>0</v>
      </c>
      <c r="ER32" s="64">
        <f>ROUND(IFERROR(INDEX(Benefit_Master!$G$4:$BC$135,MATCH($DN32,Benefit_Master!$BD$4:$BD$135,0),MATCH(ER$9,Benefit_Master!$G$3:$BC$3,0)),0)*AP32,0)</f>
        <v>0</v>
      </c>
      <c r="ES32" s="64">
        <f>ROUND(IFERROR(INDEX(Benefit_Master!$G$4:$BC$135,MATCH($DN32,Benefit_Master!$BD$4:$BD$135,0),MATCH(ES$9,Benefit_Master!$G$3:$BC$3,0)),0)*AQ32,0)</f>
        <v>0</v>
      </c>
      <c r="ET32" s="64">
        <f>ROUND(IFERROR(INDEX(Benefit_Master!$G$4:$BC$135,MATCH($DN32,Benefit_Master!$BD$4:$BD$135,0),MATCH(ET$9,Benefit_Master!$G$3:$BC$3,0)),0)*AR32,0)</f>
        <v>0</v>
      </c>
      <c r="EU32" s="64">
        <f>ROUND(IFERROR(INDEX(Benefit_Master!$G$4:$BC$135,MATCH($DN32,Benefit_Master!$BD$4:$BD$135,0),MATCH(EU$9,Benefit_Master!$G$3:$BC$3,0)),0)*AS32,0)</f>
        <v>0</v>
      </c>
      <c r="EV32" s="64">
        <f>ROUND(IFERROR(INDEX(Benefit_Master!$G$4:$BC$135,MATCH($DN32,Benefit_Master!$BD$4:$BD$135,0),MATCH(EV$9,Benefit_Master!$G$3:$BC$3,0)),0)*AT32,0)</f>
        <v>0</v>
      </c>
      <c r="EW32" s="64">
        <f>ROUND(IFERROR(INDEX(Benefit_Master!$G$4:$BC$135,MATCH($DN32,Benefit_Master!$BD$4:$BD$135,0),MATCH(EW$9,Benefit_Master!$G$3:$BC$3,0)),0)*AU32,0)</f>
        <v>0</v>
      </c>
      <c r="EX32" s="64">
        <f>ROUND(IFERROR(INDEX(Benefit_Master!$G$4:$BC$135,MATCH($DN32,Benefit_Master!$BD$4:$BD$135,0),MATCH(EX$9,Benefit_Master!$G$3:$BC$3,0)),0)*AV32,0)</f>
        <v>0</v>
      </c>
      <c r="EY32" s="64">
        <f>ROUND(IFERROR(INDEX(Benefit_Master!$G$4:$BC$135,MATCH($DN32,Benefit_Master!$BD$4:$BD$135,0),MATCH(EY$9,Benefit_Master!$G$3:$BC$3,0)),0)*AW32,0)</f>
        <v>0</v>
      </c>
      <c r="EZ32" s="64">
        <f>ROUND(IFERROR(INDEX(Benefit_Master!$G$4:$BC$135,MATCH($DN32,Benefit_Master!$BD$4:$BD$135,0),MATCH(EZ$9,Benefit_Master!$G$3:$BC$3,0)),0)*AX32,0)</f>
        <v>0</v>
      </c>
      <c r="FA32" s="66">
        <f t="shared" si="26"/>
        <v>0</v>
      </c>
      <c r="FB32" s="64">
        <f>ROUND(IFERROR(INDEX(Benefit_Master!$G$4:$BC$135,MATCH($DN32,Benefit_Master!$BD$4:$BD$135,0),MATCH(FB$9,Benefit_Master!$G$3:$BC$3,0)),0)*AZ32,0)</f>
        <v>0</v>
      </c>
      <c r="FC32" s="64">
        <f>ROUND(IFERROR(INDEX(Benefit_Master!$G$4:$BC$135,MATCH($DN32,Benefit_Master!$BD$4:$BD$135,0),MATCH(FC$9,Benefit_Master!$G$3:$BC$3,0)),0)*BA32,0)</f>
        <v>0</v>
      </c>
      <c r="FD32" s="64">
        <f>ROUND(IFERROR(INDEX(Benefit_Master!$G$4:$BC$135,MATCH($DN32,Benefit_Master!$BD$4:$BD$135,0),MATCH(FD$9,Benefit_Master!$G$3:$BC$3,0)),0)*BB32,0)</f>
        <v>0</v>
      </c>
      <c r="FE32" s="64">
        <f>ROUND(IFERROR(INDEX(Benefit_Master!$G$4:$BC$135,MATCH($DN32,Benefit_Master!$BD$4:$BD$135,0),MATCH(FE$9,Benefit_Master!$G$3:$BC$3,0)),0)*BC32,0)</f>
        <v>0</v>
      </c>
      <c r="FF32" s="64">
        <f>ROUND(IFERROR(INDEX(Benefit_Master!$G$4:$BC$135,MATCH($DN32,Benefit_Master!$BD$4:$BD$135,0),MATCH(FF$9,Benefit_Master!$G$3:$BC$3,0)),0)*BD32,0)</f>
        <v>0</v>
      </c>
      <c r="FG32" s="64">
        <f>ROUND(IFERROR(INDEX(Benefit_Master!$G$4:$BC$135,MATCH($DN32,Benefit_Master!$BD$4:$BD$135,0),MATCH(FG$9,Benefit_Master!$G$3:$BC$3,0)),0)*BE32,0)</f>
        <v>0</v>
      </c>
      <c r="FH32" s="64">
        <f>ROUND(IFERROR(INDEX(Benefit_Master!$G$4:$BC$135,MATCH($DN32,Benefit_Master!$BD$4:$BD$135,0),MATCH(FH$9,Benefit_Master!$G$3:$BC$3,0)),0)*BF32,0)</f>
        <v>0</v>
      </c>
      <c r="FI32" s="64">
        <f>ROUND(IFERROR(INDEX(Benefit_Master!$G$4:$BC$135,MATCH($DN32,Benefit_Master!$BD$4:$BD$135,0),MATCH(FI$9,Benefit_Master!$G$3:$BC$3,0)),0)*BG32,0)</f>
        <v>0</v>
      </c>
      <c r="FJ32" s="64">
        <f>ROUND(IFERROR(INDEX(Benefit_Master!$G$4:$BC$135,MATCH($DN32,Benefit_Master!$BD$4:$BD$135,0),MATCH(FJ$9,Benefit_Master!$G$3:$BC$3,0)),0)*BH32,0)</f>
        <v>0</v>
      </c>
      <c r="FK32" s="64">
        <f>ROUND(IFERROR(INDEX(Benefit_Master!$G$4:$BC$135,MATCH($DN32,Benefit_Master!$BD$4:$BD$135,0),MATCH(FK$9,Benefit_Master!$G$3:$BC$3,0)),0)*BI32,0)</f>
        <v>0</v>
      </c>
      <c r="FL32" s="64">
        <f>ROUND(IFERROR(INDEX(Benefit_Master!$G$4:$BC$135,MATCH($DN32,Benefit_Master!$BD$4:$BD$135,0),MATCH(FL$9,Benefit_Master!$G$3:$BC$3,0)),0)*BJ32,0)</f>
        <v>0</v>
      </c>
      <c r="FM32" s="64">
        <f>ROUND(IFERROR(INDEX(Benefit_Master!$G$4:$BC$135,MATCH($DN32,Benefit_Master!$BD$4:$BD$135,0),MATCH(FM$9,Benefit_Master!$G$3:$BC$3,0)),0)*BK32,0)</f>
        <v>0</v>
      </c>
      <c r="FN32" s="66">
        <f t="shared" si="27"/>
        <v>0</v>
      </c>
    </row>
    <row r="33" spans="2:170" s="12" customFormat="1" ht="15" customHeight="1">
      <c r="B33" s="93">
        <f t="shared" si="28"/>
        <v>21</v>
      </c>
      <c r="C33" s="89"/>
      <c r="D33" s="97"/>
      <c r="E33" s="1157"/>
      <c r="F33" s="425"/>
      <c r="G33" s="94" t="str">
        <f>IFERROR(VLOOKUP($F33,Master!$B$1:$C$7,2,0),"-")</f>
        <v>-</v>
      </c>
      <c r="H33" s="95">
        <f t="shared" si="12"/>
        <v>0</v>
      </c>
      <c r="I33" s="138">
        <f t="shared" si="13"/>
        <v>0</v>
      </c>
      <c r="J33" s="138">
        <f t="shared" si="14"/>
        <v>0</v>
      </c>
      <c r="K33" s="96"/>
      <c r="L33"/>
      <c r="M33" s="58"/>
      <c r="N33" s="59"/>
      <c r="O33" s="59"/>
      <c r="P33" s="59"/>
      <c r="Q33" s="59"/>
      <c r="R33" s="59"/>
      <c r="S33" s="59"/>
      <c r="T33" s="59"/>
      <c r="U33" s="679"/>
      <c r="V33" s="56"/>
      <c r="W33" s="56"/>
      <c r="X33" s="56"/>
      <c r="Y33" s="60">
        <f t="shared" si="15"/>
        <v>0</v>
      </c>
      <c r="Z33" s="55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60">
        <f t="shared" si="16"/>
        <v>0</v>
      </c>
      <c r="AM33" s="58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60">
        <f t="shared" si="17"/>
        <v>0</v>
      </c>
      <c r="AZ33" s="58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60">
        <f t="shared" si="18"/>
        <v>0</v>
      </c>
      <c r="BM33"/>
      <c r="BN33" s="64">
        <f>ROUND(IFERROR(INDEX('Labor Cost_Master'!$G$4:$BC$135,MATCH($DN33,'Labor Cost_Master'!$BD$4:$BD$135,0),MATCH(BN$9,'Labor Cost_Master'!$G$3:$BC$3,0)),0)*M33,0)</f>
        <v>0</v>
      </c>
      <c r="BO33" s="64">
        <f>ROUND(IFERROR(INDEX('Labor Cost_Master'!$G$4:$BC$135,MATCH($DN33,'Labor Cost_Master'!$BD$4:$BD$135,0),MATCH(BO$9,'Labor Cost_Master'!$G$3:$BC$3,0)),0)*N33,0)</f>
        <v>0</v>
      </c>
      <c r="BP33" s="64">
        <f>ROUND(IFERROR(INDEX('Labor Cost_Master'!$G$4:$BC$135,MATCH($DN33,'Labor Cost_Master'!$BD$4:$BD$135,0),MATCH(BP$9,'Labor Cost_Master'!$G$3:$BC$3,0)),0)*O33,0)</f>
        <v>0</v>
      </c>
      <c r="BQ33" s="64">
        <f>ROUND(IFERROR(INDEX('Labor Cost_Master'!$G$4:$BC$135,MATCH($DN33,'Labor Cost_Master'!$BD$4:$BD$135,0),MATCH(BQ$9,'Labor Cost_Master'!$G$3:$BC$3,0)),0)*P33,0)</f>
        <v>0</v>
      </c>
      <c r="BR33" s="64">
        <f>ROUND(IFERROR(INDEX('Labor Cost_Master'!$G$4:$BC$135,MATCH($DN33,'Labor Cost_Master'!$BD$4:$BD$135,0),MATCH(BR$9,'Labor Cost_Master'!$G$3:$BC$3,0)),0)*Q33,0)</f>
        <v>0</v>
      </c>
      <c r="BS33" s="64">
        <f>ROUND(IFERROR(INDEX('Labor Cost_Master'!$G$4:$BC$135,MATCH($DN33,'Labor Cost_Master'!$BD$4:$BD$135,0),MATCH(BS$9,'Labor Cost_Master'!$G$3:$BC$3,0)),0)*R33,0)</f>
        <v>0</v>
      </c>
      <c r="BT33" s="64">
        <f>ROUND(IFERROR(INDEX('Labor Cost_Master'!$G$4:$BC$135,MATCH($DN33,'Labor Cost_Master'!$BD$4:$BD$135,0),MATCH(BT$9,'Labor Cost_Master'!$G$3:$BC$3,0)),0)*S33,0)</f>
        <v>0</v>
      </c>
      <c r="BU33" s="64">
        <f>ROUND(IFERROR(INDEX('Labor Cost_Master'!$G$4:$BC$135,MATCH($DN33,'Labor Cost_Master'!$BD$4:$BD$135,0),MATCH(BU$9,'Labor Cost_Master'!$G$3:$BC$3,0)),0)*T33,0)</f>
        <v>0</v>
      </c>
      <c r="BV33" s="64">
        <f>ROUND(IFERROR(INDEX('Labor Cost_Master'!$G$4:$BC$135,MATCH($DN33,'Labor Cost_Master'!$BD$4:$BD$135,0),MATCH(BV$9,'Labor Cost_Master'!$G$3:$BC$3,0)),0)*U33,0)</f>
        <v>0</v>
      </c>
      <c r="BW33" s="64">
        <f>ROUND(IFERROR(INDEX('Labor Cost_Master'!$G$4:$BC$135,MATCH($DN33,'Labor Cost_Master'!$BD$4:$BD$135,0),MATCH(BW$9,'Labor Cost_Master'!$G$3:$BC$3,0)),0)*V33,0)</f>
        <v>0</v>
      </c>
      <c r="BX33" s="64">
        <f>ROUND(IFERROR(INDEX('Labor Cost_Master'!$G$4:$BC$135,MATCH($DN33,'Labor Cost_Master'!$BD$4:$BD$135,0),MATCH(BX$9,'Labor Cost_Master'!$G$3:$BC$3,0)),0)*W33,0)</f>
        <v>0</v>
      </c>
      <c r="BY33" s="64">
        <f>ROUND(IFERROR(INDEX('Labor Cost_Master'!$G$4:$BC$135,MATCH($DN33,'Labor Cost_Master'!$BD$4:$BD$135,0),MATCH(BY$9,'Labor Cost_Master'!$G$3:$BC$3,0)),0)*X33,0)</f>
        <v>0</v>
      </c>
      <c r="BZ33" s="66">
        <f t="shared" si="19"/>
        <v>0</v>
      </c>
      <c r="CA33" s="64">
        <f>ROUND(IFERROR(INDEX('Labor Cost_Master'!$G$4:$BC$135,MATCH($DN33,'Labor Cost_Master'!$BD$4:$BD$135,0),MATCH(CA$9,'Labor Cost_Master'!$G$3:$BC$3,0)),0)*Z33,0)</f>
        <v>0</v>
      </c>
      <c r="CB33" s="64">
        <f>ROUND(IFERROR(INDEX('Labor Cost_Master'!$G$4:$BC$135,MATCH($DN33,'Labor Cost_Master'!$BD$4:$BD$135,0),MATCH(CB$9,'Labor Cost_Master'!$G$3:$BC$3,0)),0)*AA33,0)</f>
        <v>0</v>
      </c>
      <c r="CC33" s="64">
        <f>ROUND(IFERROR(INDEX('Labor Cost_Master'!$G$4:$BC$135,MATCH($DN33,'Labor Cost_Master'!$BD$4:$BD$135,0),MATCH(CC$9,'Labor Cost_Master'!$G$3:$BC$3,0)),0)*AB33,0)</f>
        <v>0</v>
      </c>
      <c r="CD33" s="64">
        <f>ROUND(IFERROR(INDEX('Labor Cost_Master'!$G$4:$BC$135,MATCH($DN33,'Labor Cost_Master'!$BD$4:$BD$135,0),MATCH(CD$9,'Labor Cost_Master'!$G$3:$BC$3,0)),0)*AC33,0)</f>
        <v>0</v>
      </c>
      <c r="CE33" s="64">
        <f>ROUND(IFERROR(INDEX('Labor Cost_Master'!$G$4:$BC$135,MATCH($DN33,'Labor Cost_Master'!$BD$4:$BD$135,0),MATCH(CE$9,'Labor Cost_Master'!$G$3:$BC$3,0)),0)*AD33,0)</f>
        <v>0</v>
      </c>
      <c r="CF33" s="64">
        <f>ROUND(IFERROR(INDEX('Labor Cost_Master'!$G$4:$BC$135,MATCH($DN33,'Labor Cost_Master'!$BD$4:$BD$135,0),MATCH(CF$9,'Labor Cost_Master'!$G$3:$BC$3,0)),0)*AE33,0)</f>
        <v>0</v>
      </c>
      <c r="CG33" s="64">
        <f>ROUND(IFERROR(INDEX('Labor Cost_Master'!$G$4:$BC$135,MATCH($DN33,'Labor Cost_Master'!$BD$4:$BD$135,0),MATCH(CG$9,'Labor Cost_Master'!$G$3:$BC$3,0)),0)*AF33,0)</f>
        <v>0</v>
      </c>
      <c r="CH33" s="64">
        <f>ROUND(IFERROR(INDEX('Labor Cost_Master'!$G$4:$BC$135,MATCH($DN33,'Labor Cost_Master'!$BD$4:$BD$135,0),MATCH(CH$9,'Labor Cost_Master'!$G$3:$BC$3,0)),0)*AG33,0)</f>
        <v>0</v>
      </c>
      <c r="CI33" s="64">
        <f>ROUND(IFERROR(INDEX('Labor Cost_Master'!$G$4:$BC$135,MATCH($DN33,'Labor Cost_Master'!$BD$4:$BD$135,0),MATCH(CI$9,'Labor Cost_Master'!$G$3:$BC$3,0)),0)*AH33,0)</f>
        <v>0</v>
      </c>
      <c r="CJ33" s="64">
        <f>ROUND(IFERROR(INDEX('Labor Cost_Master'!$G$4:$BC$135,MATCH($DN33,'Labor Cost_Master'!$BD$4:$BD$135,0),MATCH(CJ$9,'Labor Cost_Master'!$G$3:$BC$3,0)),0)*AI33,0)</f>
        <v>0</v>
      </c>
      <c r="CK33" s="64">
        <f>ROUND(IFERROR(INDEX('Labor Cost_Master'!$G$4:$BC$135,MATCH($DN33,'Labor Cost_Master'!$BD$4:$BD$135,0),MATCH(CK$9,'Labor Cost_Master'!$G$3:$BC$3,0)),0)*AJ33,0)</f>
        <v>0</v>
      </c>
      <c r="CL33" s="64">
        <f>ROUND(IFERROR(INDEX('Labor Cost_Master'!$G$4:$BC$135,MATCH($DN33,'Labor Cost_Master'!$BD$4:$BD$135,0),MATCH(CL$9,'Labor Cost_Master'!$G$3:$BC$3,0)),0)*AK33,0)</f>
        <v>0</v>
      </c>
      <c r="CM33" s="66">
        <f t="shared" si="20"/>
        <v>0</v>
      </c>
      <c r="CN33" s="64">
        <f>ROUND(IFERROR(INDEX('Labor Cost_Master'!$G$4:$BC$135,MATCH($DN33,'Labor Cost_Master'!$BD$4:$BD$135,0),MATCH(CN$9,'Labor Cost_Master'!$G$3:$BC$3,0)),0)*AM33,0)</f>
        <v>0</v>
      </c>
      <c r="CO33" s="64">
        <f>ROUND(IFERROR(INDEX('Labor Cost_Master'!$G$4:$BC$135,MATCH($DN33,'Labor Cost_Master'!$BD$4:$BD$135,0),MATCH(CO$9,'Labor Cost_Master'!$G$3:$BC$3,0)),0)*AN33,0)</f>
        <v>0</v>
      </c>
      <c r="CP33" s="64">
        <f>ROUND(IFERROR(INDEX('Labor Cost_Master'!$G$4:$BC$135,MATCH($DN33,'Labor Cost_Master'!$BD$4:$BD$135,0),MATCH(CP$9,'Labor Cost_Master'!$G$3:$BC$3,0)),0)*AO33,0)</f>
        <v>0</v>
      </c>
      <c r="CQ33" s="64">
        <f>ROUND(IFERROR(INDEX('Labor Cost_Master'!$G$4:$BC$135,MATCH($DN33,'Labor Cost_Master'!$BD$4:$BD$135,0),MATCH(CQ$9,'Labor Cost_Master'!$G$3:$BC$3,0)),0)*AP33,0)</f>
        <v>0</v>
      </c>
      <c r="CR33" s="64">
        <f>ROUND(IFERROR(INDEX('Labor Cost_Master'!$G$4:$BC$135,MATCH($DN33,'Labor Cost_Master'!$BD$4:$BD$135,0),MATCH(CR$9,'Labor Cost_Master'!$G$3:$BC$3,0)),0)*AQ33,0)</f>
        <v>0</v>
      </c>
      <c r="CS33" s="64">
        <f>ROUND(IFERROR(INDEX('Labor Cost_Master'!$G$4:$BC$135,MATCH($DN33,'Labor Cost_Master'!$BD$4:$BD$135,0),MATCH(CS$9,'Labor Cost_Master'!$G$3:$BC$3,0)),0)*AR33,0)</f>
        <v>0</v>
      </c>
      <c r="CT33" s="64">
        <f>ROUND(IFERROR(INDEX('Labor Cost_Master'!$G$4:$BC$135,MATCH($DN33,'Labor Cost_Master'!$BD$4:$BD$135,0),MATCH(CT$9,'Labor Cost_Master'!$G$3:$BC$3,0)),0)*AS33,0)</f>
        <v>0</v>
      </c>
      <c r="CU33" s="64">
        <f>ROUND(IFERROR(INDEX('Labor Cost_Master'!$G$4:$BC$135,MATCH($DN33,'Labor Cost_Master'!$BD$4:$BD$135,0),MATCH(CU$9,'Labor Cost_Master'!$G$3:$BC$3,0)),0)*AT33,0)</f>
        <v>0</v>
      </c>
      <c r="CV33" s="64">
        <f>ROUND(IFERROR(INDEX('Labor Cost_Master'!$G$4:$BC$135,MATCH($DN33,'Labor Cost_Master'!$BD$4:$BD$135,0),MATCH(CV$9,'Labor Cost_Master'!$G$3:$BC$3,0)),0)*AU33,0)</f>
        <v>0</v>
      </c>
      <c r="CW33" s="64">
        <f>ROUND(IFERROR(INDEX('Labor Cost_Master'!$G$4:$BC$135,MATCH($DN33,'Labor Cost_Master'!$BD$4:$BD$135,0),MATCH(CW$9,'Labor Cost_Master'!$G$3:$BC$3,0)),0)*AV33,0)</f>
        <v>0</v>
      </c>
      <c r="CX33" s="64">
        <f>ROUND(IFERROR(INDEX('Labor Cost_Master'!$G$4:$BC$135,MATCH($DN33,'Labor Cost_Master'!$BD$4:$BD$135,0),MATCH(CX$9,'Labor Cost_Master'!$G$3:$BC$3,0)),0)*AW33,0)</f>
        <v>0</v>
      </c>
      <c r="CY33" s="64">
        <f>ROUND(IFERROR(INDEX('Labor Cost_Master'!$G$4:$BC$135,MATCH($DN33,'Labor Cost_Master'!$BD$4:$BD$135,0),MATCH(CY$9,'Labor Cost_Master'!$G$3:$BC$3,0)),0)*AX33,0)</f>
        <v>0</v>
      </c>
      <c r="CZ33" s="66">
        <f t="shared" si="21"/>
        <v>0</v>
      </c>
      <c r="DA33" s="64">
        <f>ROUND(IFERROR(INDEX('Labor Cost_Master'!$G$4:$BC$135,MATCH($DN33,'Labor Cost_Master'!$BD$4:$BD$135,0),MATCH(DA$9,'Labor Cost_Master'!$G$3:$BC$3,0)),0)*AZ33,0)</f>
        <v>0</v>
      </c>
      <c r="DB33" s="64">
        <f>ROUND(IFERROR(INDEX('Labor Cost_Master'!$G$4:$BC$135,MATCH($DN33,'Labor Cost_Master'!$BD$4:$BD$135,0),MATCH(DB$9,'Labor Cost_Master'!$G$3:$BC$3,0)),0)*BA33,0)</f>
        <v>0</v>
      </c>
      <c r="DC33" s="1166">
        <f>ROUND(IFERROR(INDEX('Labor Cost_Master'!$G$4:$BC$135,MATCH($DN33,'Labor Cost_Master'!$BD$4:$BD$135,0),MATCH(DC$9,'Labor Cost_Master'!$G$3:$BC$3,0)),0)*BB33,0)*1.05</f>
        <v>0</v>
      </c>
      <c r="DD33" s="64">
        <f>ROUND(IFERROR(INDEX('Labor Cost_Master'!$G$4:$BC$135,MATCH($DN33,'Labor Cost_Master'!$BD$4:$BD$135,0),MATCH(DD$9,'Labor Cost_Master'!$G$3:$BC$3,0)),0)*BC33,0)*1.05</f>
        <v>0</v>
      </c>
      <c r="DE33" s="64">
        <f>ROUND(IFERROR(INDEX('Labor Cost_Master'!$G$4:$BC$135,MATCH($DN33,'Labor Cost_Master'!$BD$4:$BD$135,0),MATCH(DE$9,'Labor Cost_Master'!$G$3:$BC$3,0)),0)*BD33,0)*1.05</f>
        <v>0</v>
      </c>
      <c r="DF33" s="64">
        <f>ROUND(IFERROR(INDEX('Labor Cost_Master'!$G$4:$BC$135,MATCH($DN33,'Labor Cost_Master'!$BD$4:$BD$135,0),MATCH(DF$9,'Labor Cost_Master'!$G$3:$BC$3,0)),0)*BE33,0)*1.05</f>
        <v>0</v>
      </c>
      <c r="DG33" s="64">
        <f>ROUND(IFERROR(INDEX('Labor Cost_Master'!$G$4:$BC$135,MATCH($DN33,'Labor Cost_Master'!$BD$4:$BD$135,0),MATCH(DG$9,'Labor Cost_Master'!$G$3:$BC$3,0)),0)*BF33,0)*1.05</f>
        <v>0</v>
      </c>
      <c r="DH33" s="64">
        <f>ROUND(IFERROR(INDEX('Labor Cost_Master'!$G$4:$BC$135,MATCH($DN33,'Labor Cost_Master'!$BD$4:$BD$135,0),MATCH(DH$9,'Labor Cost_Master'!$G$3:$BC$3,0)),0)*BG33,0)*1.05</f>
        <v>0</v>
      </c>
      <c r="DI33" s="64">
        <f>ROUND(IFERROR(INDEX('Labor Cost_Master'!$G$4:$BC$135,MATCH($DN33,'Labor Cost_Master'!$BD$4:$BD$135,0),MATCH(DI$9,'Labor Cost_Master'!$G$3:$BC$3,0)),0)*BH33,0)*1.05</f>
        <v>0</v>
      </c>
      <c r="DJ33" s="64">
        <f>ROUND(IFERROR(INDEX('Labor Cost_Master'!$G$4:$BC$135,MATCH($DN33,'Labor Cost_Master'!$BD$4:$BD$135,0),MATCH(DJ$9,'Labor Cost_Master'!$G$3:$BC$3,0)),0)*BI33,0)*1.05</f>
        <v>0</v>
      </c>
      <c r="DK33" s="64">
        <f>ROUND(IFERROR(INDEX('Labor Cost_Master'!$G$4:$BC$135,MATCH($DN33,'Labor Cost_Master'!$BD$4:$BD$135,0),MATCH(DK$9,'Labor Cost_Master'!$G$3:$BC$3,0)),0)*BJ33,0)*1.05</f>
        <v>0</v>
      </c>
      <c r="DL33" s="64">
        <f>ROUND(IFERROR(INDEX('Labor Cost_Master'!$G$4:$BC$135,MATCH($DN33,'Labor Cost_Master'!$BD$4:$BD$135,0),MATCH(DL$9,'Labor Cost_Master'!$G$3:$BC$3,0)),0)*BK33,0)*1.05</f>
        <v>0</v>
      </c>
      <c r="DM33" s="66">
        <f t="shared" si="22"/>
        <v>0</v>
      </c>
      <c r="DN33" s="80" t="str">
        <f t="shared" si="23"/>
        <v/>
      </c>
      <c r="DO33" s="64">
        <f>ROUND(IFERROR(INDEX(Benefit_Master!$G$4:$BC$135,MATCH($DN33,Benefit_Master!$BD$4:$BD$135,0),MATCH(DO$9,Benefit_Master!$G$3:$BC$3,0)),0)*M33,0)</f>
        <v>0</v>
      </c>
      <c r="DP33" s="64">
        <f>ROUND(IFERROR(INDEX(Benefit_Master!$G$4:$BC$135,MATCH($DN33,Benefit_Master!$BD$4:$BD$135,0),MATCH(DP$9,Benefit_Master!$G$3:$BC$3,0)),0)*N33,0)</f>
        <v>0</v>
      </c>
      <c r="DQ33" s="64">
        <f>ROUND(IFERROR(INDEX(Benefit_Master!$G$4:$BC$135,MATCH($DN33,Benefit_Master!$BD$4:$BD$135,0),MATCH(DQ$9,Benefit_Master!$G$3:$BC$3,0)),0)*O33,0)</f>
        <v>0</v>
      </c>
      <c r="DR33" s="64">
        <f>ROUND(IFERROR(INDEX(Benefit_Master!$G$4:$BC$135,MATCH($DN33,Benefit_Master!$BD$4:$BD$135,0),MATCH(DR$9,Benefit_Master!$G$3:$BC$3,0)),0)*P33,0)</f>
        <v>0</v>
      </c>
      <c r="DS33" s="64">
        <f>ROUND(IFERROR(INDEX(Benefit_Master!$G$4:$BC$135,MATCH($DN33,Benefit_Master!$BD$4:$BD$135,0),MATCH(DS$9,Benefit_Master!$G$3:$BC$3,0)),0)*Q33,0)</f>
        <v>0</v>
      </c>
      <c r="DT33" s="64">
        <f>ROUND(IFERROR(INDEX(Benefit_Master!$G$4:$BC$135,MATCH($DN33,Benefit_Master!$BD$4:$BD$135,0),MATCH(DT$9,Benefit_Master!$G$3:$BC$3,0)),0)*R33,0)</f>
        <v>0</v>
      </c>
      <c r="DU33" s="64">
        <f>ROUND(IFERROR(INDEX(Benefit_Master!$G$4:$BC$135,MATCH($DN33,Benefit_Master!$BD$4:$BD$135,0),MATCH(DU$9,Benefit_Master!$G$3:$BC$3,0)),0)*S33,0)</f>
        <v>0</v>
      </c>
      <c r="DV33" s="64">
        <f>ROUND(IFERROR(INDEX(Benefit_Master!$G$4:$BC$135,MATCH($DN33,Benefit_Master!$BD$4:$BD$135,0),MATCH(DV$9,Benefit_Master!$G$3:$BC$3,0)),0)*T33,0)</f>
        <v>0</v>
      </c>
      <c r="DW33" s="64">
        <f>ROUND(IFERROR(INDEX(Benefit_Master!$G$4:$BC$135,MATCH($DN33,Benefit_Master!$BD$4:$BD$135,0),MATCH(DW$9,Benefit_Master!$G$3:$BC$3,0)),0)*U33,0)</f>
        <v>0</v>
      </c>
      <c r="DX33" s="64">
        <f>ROUND(IFERROR(INDEX(Benefit_Master!$G$4:$BC$135,MATCH($DN33,Benefit_Master!$BD$4:$BD$135,0),MATCH(DX$9,Benefit_Master!$G$3:$BC$3,0)),0)*V33,0)</f>
        <v>0</v>
      </c>
      <c r="DY33" s="64">
        <f>ROUND(IFERROR(INDEX(Benefit_Master!$G$4:$BC$135,MATCH($DN33,Benefit_Master!$BD$4:$BD$135,0),MATCH(DY$9,Benefit_Master!$G$3:$BC$3,0)),0)*W33,0)</f>
        <v>0</v>
      </c>
      <c r="DZ33" s="64">
        <f>ROUND(IFERROR(INDEX(Benefit_Master!$G$4:$BC$135,MATCH($DN33,Benefit_Master!$BD$4:$BD$135,0),MATCH(DZ$9,Benefit_Master!$G$3:$BC$3,0)),0)*X33,0)</f>
        <v>0</v>
      </c>
      <c r="EA33" s="66">
        <f t="shared" si="24"/>
        <v>0</v>
      </c>
      <c r="EB33" s="64">
        <f>ROUND(IFERROR(INDEX(Benefit_Master!$G$4:$BC$135,MATCH($DN33,Benefit_Master!$BD$4:$BD$135,0),MATCH(EB$9,Benefit_Master!$G$3:$BC$3,0)),0)*Z33,0)</f>
        <v>0</v>
      </c>
      <c r="EC33" s="64">
        <f>ROUND(IFERROR(INDEX(Benefit_Master!$G$4:$BC$135,MATCH($DN33,Benefit_Master!$BD$4:$BD$135,0),MATCH(EC$9,Benefit_Master!$G$3:$BC$3,0)),0)*AA33,0)</f>
        <v>0</v>
      </c>
      <c r="ED33" s="64">
        <f>ROUND(IFERROR(INDEX(Benefit_Master!$G$4:$BC$135,MATCH($DN33,Benefit_Master!$BD$4:$BD$135,0),MATCH(ED$9,Benefit_Master!$G$3:$BC$3,0)),0)*AB33,0)</f>
        <v>0</v>
      </c>
      <c r="EE33" s="64">
        <f>ROUND(IFERROR(INDEX(Benefit_Master!$G$4:$BC$135,MATCH($DN33,Benefit_Master!$BD$4:$BD$135,0),MATCH(EE$9,Benefit_Master!$G$3:$BC$3,0)),0)*AC33,0)</f>
        <v>0</v>
      </c>
      <c r="EF33" s="64">
        <f>ROUND(IFERROR(INDEX(Benefit_Master!$G$4:$BC$135,MATCH($DN33,Benefit_Master!$BD$4:$BD$135,0),MATCH(EF$9,Benefit_Master!$G$3:$BC$3,0)),0)*AD33,0)</f>
        <v>0</v>
      </c>
      <c r="EG33" s="64">
        <f>ROUND(IFERROR(INDEX(Benefit_Master!$G$4:$BC$135,MATCH($DN33,Benefit_Master!$BD$4:$BD$135,0),MATCH(EG$9,Benefit_Master!$G$3:$BC$3,0)),0)*AE33,0)</f>
        <v>0</v>
      </c>
      <c r="EH33" s="64">
        <f>ROUND(IFERROR(INDEX(Benefit_Master!$G$4:$BC$135,MATCH($DN33,Benefit_Master!$BD$4:$BD$135,0),MATCH(EH$9,Benefit_Master!$G$3:$BC$3,0)),0)*AF33,0)</f>
        <v>0</v>
      </c>
      <c r="EI33" s="64">
        <f>ROUND(IFERROR(INDEX(Benefit_Master!$G$4:$BC$135,MATCH($DN33,Benefit_Master!$BD$4:$BD$135,0),MATCH(EI$9,Benefit_Master!$G$3:$BC$3,0)),0)*AG33,0)</f>
        <v>0</v>
      </c>
      <c r="EJ33" s="64">
        <f>ROUND(IFERROR(INDEX(Benefit_Master!$G$4:$BC$135,MATCH($DN33,Benefit_Master!$BD$4:$BD$135,0),MATCH(EJ$9,Benefit_Master!$G$3:$BC$3,0)),0)*AH33,0)</f>
        <v>0</v>
      </c>
      <c r="EK33" s="64">
        <f>ROUND(IFERROR(INDEX(Benefit_Master!$G$4:$BC$135,MATCH($DN33,Benefit_Master!$BD$4:$BD$135,0),MATCH(EK$9,Benefit_Master!$G$3:$BC$3,0)),0)*AI33,0)</f>
        <v>0</v>
      </c>
      <c r="EL33" s="64">
        <f>ROUND(IFERROR(INDEX(Benefit_Master!$G$4:$BC$135,MATCH($DN33,Benefit_Master!$BD$4:$BD$135,0),MATCH(EL$9,Benefit_Master!$G$3:$BC$3,0)),0)*AJ33,0)</f>
        <v>0</v>
      </c>
      <c r="EM33" s="64">
        <f>ROUND(IFERROR(INDEX(Benefit_Master!$G$4:$BC$135,MATCH($DN33,Benefit_Master!$BD$4:$BD$135,0),MATCH(EM$9,Benefit_Master!$G$3:$BC$3,0)),0)*AK33,0)</f>
        <v>0</v>
      </c>
      <c r="EN33" s="66">
        <f t="shared" si="25"/>
        <v>0</v>
      </c>
      <c r="EO33" s="64">
        <f>ROUND(IFERROR(INDEX(Benefit_Master!$G$4:$BC$135,MATCH($DN33,Benefit_Master!$BD$4:$BD$135,0),MATCH(EO$9,Benefit_Master!$G$3:$BC$3,0)),0)*AM33,0)</f>
        <v>0</v>
      </c>
      <c r="EP33" s="64">
        <f>ROUND(IFERROR(INDEX(Benefit_Master!$G$4:$BC$135,MATCH($DN33,Benefit_Master!$BD$4:$BD$135,0),MATCH(EP$9,Benefit_Master!$G$3:$BC$3,0)),0)*AN33,0)</f>
        <v>0</v>
      </c>
      <c r="EQ33" s="64">
        <f>ROUND(IFERROR(INDEX(Benefit_Master!$G$4:$BC$135,MATCH($DN33,Benefit_Master!$BD$4:$BD$135,0),MATCH(EQ$9,Benefit_Master!$G$3:$BC$3,0)),0)*AO33,0)</f>
        <v>0</v>
      </c>
      <c r="ER33" s="64">
        <f>ROUND(IFERROR(INDEX(Benefit_Master!$G$4:$BC$135,MATCH($DN33,Benefit_Master!$BD$4:$BD$135,0),MATCH(ER$9,Benefit_Master!$G$3:$BC$3,0)),0)*AP33,0)</f>
        <v>0</v>
      </c>
      <c r="ES33" s="64">
        <f>ROUND(IFERROR(INDEX(Benefit_Master!$G$4:$BC$135,MATCH($DN33,Benefit_Master!$BD$4:$BD$135,0),MATCH(ES$9,Benefit_Master!$G$3:$BC$3,0)),0)*AQ33,0)</f>
        <v>0</v>
      </c>
      <c r="ET33" s="64">
        <f>ROUND(IFERROR(INDEX(Benefit_Master!$G$4:$BC$135,MATCH($DN33,Benefit_Master!$BD$4:$BD$135,0),MATCH(ET$9,Benefit_Master!$G$3:$BC$3,0)),0)*AR33,0)</f>
        <v>0</v>
      </c>
      <c r="EU33" s="64">
        <f>ROUND(IFERROR(INDEX(Benefit_Master!$G$4:$BC$135,MATCH($DN33,Benefit_Master!$BD$4:$BD$135,0),MATCH(EU$9,Benefit_Master!$G$3:$BC$3,0)),0)*AS33,0)</f>
        <v>0</v>
      </c>
      <c r="EV33" s="64">
        <f>ROUND(IFERROR(INDEX(Benefit_Master!$G$4:$BC$135,MATCH($DN33,Benefit_Master!$BD$4:$BD$135,0),MATCH(EV$9,Benefit_Master!$G$3:$BC$3,0)),0)*AT33,0)</f>
        <v>0</v>
      </c>
      <c r="EW33" s="64">
        <f>ROUND(IFERROR(INDEX(Benefit_Master!$G$4:$BC$135,MATCH($DN33,Benefit_Master!$BD$4:$BD$135,0),MATCH(EW$9,Benefit_Master!$G$3:$BC$3,0)),0)*AU33,0)</f>
        <v>0</v>
      </c>
      <c r="EX33" s="64">
        <f>ROUND(IFERROR(INDEX(Benefit_Master!$G$4:$BC$135,MATCH($DN33,Benefit_Master!$BD$4:$BD$135,0),MATCH(EX$9,Benefit_Master!$G$3:$BC$3,0)),0)*AV33,0)</f>
        <v>0</v>
      </c>
      <c r="EY33" s="64">
        <f>ROUND(IFERROR(INDEX(Benefit_Master!$G$4:$BC$135,MATCH($DN33,Benefit_Master!$BD$4:$BD$135,0),MATCH(EY$9,Benefit_Master!$G$3:$BC$3,0)),0)*AW33,0)</f>
        <v>0</v>
      </c>
      <c r="EZ33" s="64">
        <f>ROUND(IFERROR(INDEX(Benefit_Master!$G$4:$BC$135,MATCH($DN33,Benefit_Master!$BD$4:$BD$135,0),MATCH(EZ$9,Benefit_Master!$G$3:$BC$3,0)),0)*AX33,0)</f>
        <v>0</v>
      </c>
      <c r="FA33" s="66">
        <f t="shared" si="26"/>
        <v>0</v>
      </c>
      <c r="FB33" s="64">
        <f>ROUND(IFERROR(INDEX(Benefit_Master!$G$4:$BC$135,MATCH($DN33,Benefit_Master!$BD$4:$BD$135,0),MATCH(FB$9,Benefit_Master!$G$3:$BC$3,0)),0)*AZ33,0)</f>
        <v>0</v>
      </c>
      <c r="FC33" s="64">
        <f>ROUND(IFERROR(INDEX(Benefit_Master!$G$4:$BC$135,MATCH($DN33,Benefit_Master!$BD$4:$BD$135,0),MATCH(FC$9,Benefit_Master!$G$3:$BC$3,0)),0)*BA33,0)</f>
        <v>0</v>
      </c>
      <c r="FD33" s="64">
        <f>ROUND(IFERROR(INDEX(Benefit_Master!$G$4:$BC$135,MATCH($DN33,Benefit_Master!$BD$4:$BD$135,0),MATCH(FD$9,Benefit_Master!$G$3:$BC$3,0)),0)*BB33,0)</f>
        <v>0</v>
      </c>
      <c r="FE33" s="64">
        <f>ROUND(IFERROR(INDEX(Benefit_Master!$G$4:$BC$135,MATCH($DN33,Benefit_Master!$BD$4:$BD$135,0),MATCH(FE$9,Benefit_Master!$G$3:$BC$3,0)),0)*BC33,0)</f>
        <v>0</v>
      </c>
      <c r="FF33" s="64">
        <f>ROUND(IFERROR(INDEX(Benefit_Master!$G$4:$BC$135,MATCH($DN33,Benefit_Master!$BD$4:$BD$135,0),MATCH(FF$9,Benefit_Master!$G$3:$BC$3,0)),0)*BD33,0)</f>
        <v>0</v>
      </c>
      <c r="FG33" s="64">
        <f>ROUND(IFERROR(INDEX(Benefit_Master!$G$4:$BC$135,MATCH($DN33,Benefit_Master!$BD$4:$BD$135,0),MATCH(FG$9,Benefit_Master!$G$3:$BC$3,0)),0)*BE33,0)</f>
        <v>0</v>
      </c>
      <c r="FH33" s="64">
        <f>ROUND(IFERROR(INDEX(Benefit_Master!$G$4:$BC$135,MATCH($DN33,Benefit_Master!$BD$4:$BD$135,0),MATCH(FH$9,Benefit_Master!$G$3:$BC$3,0)),0)*BF33,0)</f>
        <v>0</v>
      </c>
      <c r="FI33" s="64">
        <f>ROUND(IFERROR(INDEX(Benefit_Master!$G$4:$BC$135,MATCH($DN33,Benefit_Master!$BD$4:$BD$135,0),MATCH(FI$9,Benefit_Master!$G$3:$BC$3,0)),0)*BG33,0)</f>
        <v>0</v>
      </c>
      <c r="FJ33" s="64">
        <f>ROUND(IFERROR(INDEX(Benefit_Master!$G$4:$BC$135,MATCH($DN33,Benefit_Master!$BD$4:$BD$135,0),MATCH(FJ$9,Benefit_Master!$G$3:$BC$3,0)),0)*BH33,0)</f>
        <v>0</v>
      </c>
      <c r="FK33" s="64">
        <f>ROUND(IFERROR(INDEX(Benefit_Master!$G$4:$BC$135,MATCH($DN33,Benefit_Master!$BD$4:$BD$135,0),MATCH(FK$9,Benefit_Master!$G$3:$BC$3,0)),0)*BI33,0)</f>
        <v>0</v>
      </c>
      <c r="FL33" s="64">
        <f>ROUND(IFERROR(INDEX(Benefit_Master!$G$4:$BC$135,MATCH($DN33,Benefit_Master!$BD$4:$BD$135,0),MATCH(FL$9,Benefit_Master!$G$3:$BC$3,0)),0)*BJ33,0)</f>
        <v>0</v>
      </c>
      <c r="FM33" s="64">
        <f>ROUND(IFERROR(INDEX(Benefit_Master!$G$4:$BC$135,MATCH($DN33,Benefit_Master!$BD$4:$BD$135,0),MATCH(FM$9,Benefit_Master!$G$3:$BC$3,0)),0)*BK33,0)</f>
        <v>0</v>
      </c>
      <c r="FN33" s="66">
        <f t="shared" si="27"/>
        <v>0</v>
      </c>
    </row>
    <row r="34" spans="2:170" s="12" customFormat="1" ht="15" customHeight="1">
      <c r="B34" s="93">
        <f t="shared" si="28"/>
        <v>22</v>
      </c>
      <c r="C34" s="89"/>
      <c r="D34" s="97"/>
      <c r="E34" s="1157"/>
      <c r="F34" s="425"/>
      <c r="G34" s="94" t="str">
        <f>IFERROR(VLOOKUP($F34,Master!$B$1:$C$7,2,0),"-")</f>
        <v>-</v>
      </c>
      <c r="H34" s="95">
        <f t="shared" si="12"/>
        <v>0</v>
      </c>
      <c r="I34" s="138">
        <f t="shared" si="13"/>
        <v>0</v>
      </c>
      <c r="J34" s="138">
        <f t="shared" si="14"/>
        <v>0</v>
      </c>
      <c r="K34" s="96"/>
      <c r="L34"/>
      <c r="M34" s="58"/>
      <c r="N34" s="59"/>
      <c r="O34" s="59"/>
      <c r="P34" s="59"/>
      <c r="Q34" s="59"/>
      <c r="R34" s="59"/>
      <c r="S34" s="59"/>
      <c r="T34" s="59"/>
      <c r="U34" s="679"/>
      <c r="V34" s="56"/>
      <c r="W34" s="56"/>
      <c r="X34" s="56"/>
      <c r="Y34" s="60">
        <f t="shared" si="15"/>
        <v>0</v>
      </c>
      <c r="Z34" s="55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60">
        <f t="shared" si="16"/>
        <v>0</v>
      </c>
      <c r="AM34" s="58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60">
        <f t="shared" si="17"/>
        <v>0</v>
      </c>
      <c r="AZ34" s="58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60">
        <f t="shared" si="18"/>
        <v>0</v>
      </c>
      <c r="BM34"/>
      <c r="BN34" s="64">
        <f>ROUND(IFERROR(INDEX('Labor Cost_Master'!$G$4:$BC$135,MATCH($DN34,'Labor Cost_Master'!$BD$4:$BD$135,0),MATCH(BN$9,'Labor Cost_Master'!$G$3:$BC$3,0)),0)*M34,0)</f>
        <v>0</v>
      </c>
      <c r="BO34" s="64">
        <f>ROUND(IFERROR(INDEX('Labor Cost_Master'!$G$4:$BC$135,MATCH($DN34,'Labor Cost_Master'!$BD$4:$BD$135,0),MATCH(BO$9,'Labor Cost_Master'!$G$3:$BC$3,0)),0)*N34,0)</f>
        <v>0</v>
      </c>
      <c r="BP34" s="64">
        <f>ROUND(IFERROR(INDEX('Labor Cost_Master'!$G$4:$BC$135,MATCH($DN34,'Labor Cost_Master'!$BD$4:$BD$135,0),MATCH(BP$9,'Labor Cost_Master'!$G$3:$BC$3,0)),0)*O34,0)</f>
        <v>0</v>
      </c>
      <c r="BQ34" s="64">
        <f>ROUND(IFERROR(INDEX('Labor Cost_Master'!$G$4:$BC$135,MATCH($DN34,'Labor Cost_Master'!$BD$4:$BD$135,0),MATCH(BQ$9,'Labor Cost_Master'!$G$3:$BC$3,0)),0)*P34,0)</f>
        <v>0</v>
      </c>
      <c r="BR34" s="64">
        <f>ROUND(IFERROR(INDEX('Labor Cost_Master'!$G$4:$BC$135,MATCH($DN34,'Labor Cost_Master'!$BD$4:$BD$135,0),MATCH(BR$9,'Labor Cost_Master'!$G$3:$BC$3,0)),0)*Q34,0)</f>
        <v>0</v>
      </c>
      <c r="BS34" s="64">
        <f>ROUND(IFERROR(INDEX('Labor Cost_Master'!$G$4:$BC$135,MATCH($DN34,'Labor Cost_Master'!$BD$4:$BD$135,0),MATCH(BS$9,'Labor Cost_Master'!$G$3:$BC$3,0)),0)*R34,0)</f>
        <v>0</v>
      </c>
      <c r="BT34" s="64">
        <f>ROUND(IFERROR(INDEX('Labor Cost_Master'!$G$4:$BC$135,MATCH($DN34,'Labor Cost_Master'!$BD$4:$BD$135,0),MATCH(BT$9,'Labor Cost_Master'!$G$3:$BC$3,0)),0)*S34,0)</f>
        <v>0</v>
      </c>
      <c r="BU34" s="64">
        <f>ROUND(IFERROR(INDEX('Labor Cost_Master'!$G$4:$BC$135,MATCH($DN34,'Labor Cost_Master'!$BD$4:$BD$135,0),MATCH(BU$9,'Labor Cost_Master'!$G$3:$BC$3,0)),0)*T34,0)</f>
        <v>0</v>
      </c>
      <c r="BV34" s="64">
        <f>ROUND(IFERROR(INDEX('Labor Cost_Master'!$G$4:$BC$135,MATCH($DN34,'Labor Cost_Master'!$BD$4:$BD$135,0),MATCH(BV$9,'Labor Cost_Master'!$G$3:$BC$3,0)),0)*U34,0)</f>
        <v>0</v>
      </c>
      <c r="BW34" s="64">
        <f>ROUND(IFERROR(INDEX('Labor Cost_Master'!$G$4:$BC$135,MATCH($DN34,'Labor Cost_Master'!$BD$4:$BD$135,0),MATCH(BW$9,'Labor Cost_Master'!$G$3:$BC$3,0)),0)*V34,0)</f>
        <v>0</v>
      </c>
      <c r="BX34" s="64">
        <f>ROUND(IFERROR(INDEX('Labor Cost_Master'!$G$4:$BC$135,MATCH($DN34,'Labor Cost_Master'!$BD$4:$BD$135,0),MATCH(BX$9,'Labor Cost_Master'!$G$3:$BC$3,0)),0)*W34,0)</f>
        <v>0</v>
      </c>
      <c r="BY34" s="64">
        <f>ROUND(IFERROR(INDEX('Labor Cost_Master'!$G$4:$BC$135,MATCH($DN34,'Labor Cost_Master'!$BD$4:$BD$135,0),MATCH(BY$9,'Labor Cost_Master'!$G$3:$BC$3,0)),0)*X34,0)</f>
        <v>0</v>
      </c>
      <c r="BZ34" s="66">
        <f t="shared" si="19"/>
        <v>0</v>
      </c>
      <c r="CA34" s="64">
        <f>ROUND(IFERROR(INDEX('Labor Cost_Master'!$G$4:$BC$135,MATCH($DN34,'Labor Cost_Master'!$BD$4:$BD$135,0),MATCH(CA$9,'Labor Cost_Master'!$G$3:$BC$3,0)),0)*Z34,0)</f>
        <v>0</v>
      </c>
      <c r="CB34" s="64">
        <f>ROUND(IFERROR(INDEX('Labor Cost_Master'!$G$4:$BC$135,MATCH($DN34,'Labor Cost_Master'!$BD$4:$BD$135,0),MATCH(CB$9,'Labor Cost_Master'!$G$3:$BC$3,0)),0)*AA34,0)</f>
        <v>0</v>
      </c>
      <c r="CC34" s="64">
        <f>ROUND(IFERROR(INDEX('Labor Cost_Master'!$G$4:$BC$135,MATCH($DN34,'Labor Cost_Master'!$BD$4:$BD$135,0),MATCH(CC$9,'Labor Cost_Master'!$G$3:$BC$3,0)),0)*AB34,0)</f>
        <v>0</v>
      </c>
      <c r="CD34" s="64">
        <f>ROUND(IFERROR(INDEX('Labor Cost_Master'!$G$4:$BC$135,MATCH($DN34,'Labor Cost_Master'!$BD$4:$BD$135,0),MATCH(CD$9,'Labor Cost_Master'!$G$3:$BC$3,0)),0)*AC34,0)</f>
        <v>0</v>
      </c>
      <c r="CE34" s="64">
        <f>ROUND(IFERROR(INDEX('Labor Cost_Master'!$G$4:$BC$135,MATCH($DN34,'Labor Cost_Master'!$BD$4:$BD$135,0),MATCH(CE$9,'Labor Cost_Master'!$G$3:$BC$3,0)),0)*AD34,0)</f>
        <v>0</v>
      </c>
      <c r="CF34" s="64">
        <f>ROUND(IFERROR(INDEX('Labor Cost_Master'!$G$4:$BC$135,MATCH($DN34,'Labor Cost_Master'!$BD$4:$BD$135,0),MATCH(CF$9,'Labor Cost_Master'!$G$3:$BC$3,0)),0)*AE34,0)</f>
        <v>0</v>
      </c>
      <c r="CG34" s="64">
        <f>ROUND(IFERROR(INDEX('Labor Cost_Master'!$G$4:$BC$135,MATCH($DN34,'Labor Cost_Master'!$BD$4:$BD$135,0),MATCH(CG$9,'Labor Cost_Master'!$G$3:$BC$3,0)),0)*AF34,0)</f>
        <v>0</v>
      </c>
      <c r="CH34" s="64">
        <f>ROUND(IFERROR(INDEX('Labor Cost_Master'!$G$4:$BC$135,MATCH($DN34,'Labor Cost_Master'!$BD$4:$BD$135,0),MATCH(CH$9,'Labor Cost_Master'!$G$3:$BC$3,0)),0)*AG34,0)</f>
        <v>0</v>
      </c>
      <c r="CI34" s="64">
        <f>ROUND(IFERROR(INDEX('Labor Cost_Master'!$G$4:$BC$135,MATCH($DN34,'Labor Cost_Master'!$BD$4:$BD$135,0),MATCH(CI$9,'Labor Cost_Master'!$G$3:$BC$3,0)),0)*AH34,0)</f>
        <v>0</v>
      </c>
      <c r="CJ34" s="64">
        <f>ROUND(IFERROR(INDEX('Labor Cost_Master'!$G$4:$BC$135,MATCH($DN34,'Labor Cost_Master'!$BD$4:$BD$135,0),MATCH(CJ$9,'Labor Cost_Master'!$G$3:$BC$3,0)),0)*AI34,0)</f>
        <v>0</v>
      </c>
      <c r="CK34" s="64">
        <f>ROUND(IFERROR(INDEX('Labor Cost_Master'!$G$4:$BC$135,MATCH($DN34,'Labor Cost_Master'!$BD$4:$BD$135,0),MATCH(CK$9,'Labor Cost_Master'!$G$3:$BC$3,0)),0)*AJ34,0)</f>
        <v>0</v>
      </c>
      <c r="CL34" s="64">
        <f>ROUND(IFERROR(INDEX('Labor Cost_Master'!$G$4:$BC$135,MATCH($DN34,'Labor Cost_Master'!$BD$4:$BD$135,0),MATCH(CL$9,'Labor Cost_Master'!$G$3:$BC$3,0)),0)*AK34,0)</f>
        <v>0</v>
      </c>
      <c r="CM34" s="66">
        <f t="shared" si="20"/>
        <v>0</v>
      </c>
      <c r="CN34" s="64">
        <f>ROUND(IFERROR(INDEX('Labor Cost_Master'!$G$4:$BC$135,MATCH($DN34,'Labor Cost_Master'!$BD$4:$BD$135,0),MATCH(CN$9,'Labor Cost_Master'!$G$3:$BC$3,0)),0)*AM34,0)</f>
        <v>0</v>
      </c>
      <c r="CO34" s="64">
        <f>ROUND(IFERROR(INDEX('Labor Cost_Master'!$G$4:$BC$135,MATCH($DN34,'Labor Cost_Master'!$BD$4:$BD$135,0),MATCH(CO$9,'Labor Cost_Master'!$G$3:$BC$3,0)),0)*AN34,0)</f>
        <v>0</v>
      </c>
      <c r="CP34" s="64">
        <f>ROUND(IFERROR(INDEX('Labor Cost_Master'!$G$4:$BC$135,MATCH($DN34,'Labor Cost_Master'!$BD$4:$BD$135,0),MATCH(CP$9,'Labor Cost_Master'!$G$3:$BC$3,0)),0)*AO34,0)</f>
        <v>0</v>
      </c>
      <c r="CQ34" s="64">
        <f>ROUND(IFERROR(INDEX('Labor Cost_Master'!$G$4:$BC$135,MATCH($DN34,'Labor Cost_Master'!$BD$4:$BD$135,0),MATCH(CQ$9,'Labor Cost_Master'!$G$3:$BC$3,0)),0)*AP34,0)</f>
        <v>0</v>
      </c>
      <c r="CR34" s="64">
        <f>ROUND(IFERROR(INDEX('Labor Cost_Master'!$G$4:$BC$135,MATCH($DN34,'Labor Cost_Master'!$BD$4:$BD$135,0),MATCH(CR$9,'Labor Cost_Master'!$G$3:$BC$3,0)),0)*AQ34,0)</f>
        <v>0</v>
      </c>
      <c r="CS34" s="64">
        <f>ROUND(IFERROR(INDEX('Labor Cost_Master'!$G$4:$BC$135,MATCH($DN34,'Labor Cost_Master'!$BD$4:$BD$135,0),MATCH(CS$9,'Labor Cost_Master'!$G$3:$BC$3,0)),0)*AR34,0)</f>
        <v>0</v>
      </c>
      <c r="CT34" s="64">
        <f>ROUND(IFERROR(INDEX('Labor Cost_Master'!$G$4:$BC$135,MATCH($DN34,'Labor Cost_Master'!$BD$4:$BD$135,0),MATCH(CT$9,'Labor Cost_Master'!$G$3:$BC$3,0)),0)*AS34,0)</f>
        <v>0</v>
      </c>
      <c r="CU34" s="64">
        <f>ROUND(IFERROR(INDEX('Labor Cost_Master'!$G$4:$BC$135,MATCH($DN34,'Labor Cost_Master'!$BD$4:$BD$135,0),MATCH(CU$9,'Labor Cost_Master'!$G$3:$BC$3,0)),0)*AT34,0)</f>
        <v>0</v>
      </c>
      <c r="CV34" s="64">
        <f>ROUND(IFERROR(INDEX('Labor Cost_Master'!$G$4:$BC$135,MATCH($DN34,'Labor Cost_Master'!$BD$4:$BD$135,0),MATCH(CV$9,'Labor Cost_Master'!$G$3:$BC$3,0)),0)*AU34,0)</f>
        <v>0</v>
      </c>
      <c r="CW34" s="64">
        <f>ROUND(IFERROR(INDEX('Labor Cost_Master'!$G$4:$BC$135,MATCH($DN34,'Labor Cost_Master'!$BD$4:$BD$135,0),MATCH(CW$9,'Labor Cost_Master'!$G$3:$BC$3,0)),0)*AV34,0)</f>
        <v>0</v>
      </c>
      <c r="CX34" s="64">
        <f>ROUND(IFERROR(INDEX('Labor Cost_Master'!$G$4:$BC$135,MATCH($DN34,'Labor Cost_Master'!$BD$4:$BD$135,0),MATCH(CX$9,'Labor Cost_Master'!$G$3:$BC$3,0)),0)*AW34,0)</f>
        <v>0</v>
      </c>
      <c r="CY34" s="64">
        <f>ROUND(IFERROR(INDEX('Labor Cost_Master'!$G$4:$BC$135,MATCH($DN34,'Labor Cost_Master'!$BD$4:$BD$135,0),MATCH(CY$9,'Labor Cost_Master'!$G$3:$BC$3,0)),0)*AX34,0)</f>
        <v>0</v>
      </c>
      <c r="CZ34" s="66">
        <f t="shared" si="21"/>
        <v>0</v>
      </c>
      <c r="DA34" s="64">
        <f>ROUND(IFERROR(INDEX('Labor Cost_Master'!$G$4:$BC$135,MATCH($DN34,'Labor Cost_Master'!$BD$4:$BD$135,0),MATCH(DA$9,'Labor Cost_Master'!$G$3:$BC$3,0)),0)*AZ34,0)</f>
        <v>0</v>
      </c>
      <c r="DB34" s="64">
        <f>ROUND(IFERROR(INDEX('Labor Cost_Master'!$G$4:$BC$135,MATCH($DN34,'Labor Cost_Master'!$BD$4:$BD$135,0),MATCH(DB$9,'Labor Cost_Master'!$G$3:$BC$3,0)),0)*BA34,0)</f>
        <v>0</v>
      </c>
      <c r="DC34" s="1166">
        <f>ROUND(IFERROR(INDEX('Labor Cost_Master'!$G$4:$BC$135,MATCH($DN34,'Labor Cost_Master'!$BD$4:$BD$135,0),MATCH(DC$9,'Labor Cost_Master'!$G$3:$BC$3,0)),0)*BB34,0)*1.05</f>
        <v>0</v>
      </c>
      <c r="DD34" s="64">
        <f>ROUND(IFERROR(INDEX('Labor Cost_Master'!$G$4:$BC$135,MATCH($DN34,'Labor Cost_Master'!$BD$4:$BD$135,0),MATCH(DD$9,'Labor Cost_Master'!$G$3:$BC$3,0)),0)*BC34,0)*1.05</f>
        <v>0</v>
      </c>
      <c r="DE34" s="64">
        <f>ROUND(IFERROR(INDEX('Labor Cost_Master'!$G$4:$BC$135,MATCH($DN34,'Labor Cost_Master'!$BD$4:$BD$135,0),MATCH(DE$9,'Labor Cost_Master'!$G$3:$BC$3,0)),0)*BD34,0)*1.05</f>
        <v>0</v>
      </c>
      <c r="DF34" s="64">
        <f>ROUND(IFERROR(INDEX('Labor Cost_Master'!$G$4:$BC$135,MATCH($DN34,'Labor Cost_Master'!$BD$4:$BD$135,0),MATCH(DF$9,'Labor Cost_Master'!$G$3:$BC$3,0)),0)*BE34,0)*1.05</f>
        <v>0</v>
      </c>
      <c r="DG34" s="64">
        <f>ROUND(IFERROR(INDEX('Labor Cost_Master'!$G$4:$BC$135,MATCH($DN34,'Labor Cost_Master'!$BD$4:$BD$135,0),MATCH(DG$9,'Labor Cost_Master'!$G$3:$BC$3,0)),0)*BF34,0)*1.05</f>
        <v>0</v>
      </c>
      <c r="DH34" s="64">
        <f>ROUND(IFERROR(INDEX('Labor Cost_Master'!$G$4:$BC$135,MATCH($DN34,'Labor Cost_Master'!$BD$4:$BD$135,0),MATCH(DH$9,'Labor Cost_Master'!$G$3:$BC$3,0)),0)*BG34,0)*1.05</f>
        <v>0</v>
      </c>
      <c r="DI34" s="64">
        <f>ROUND(IFERROR(INDEX('Labor Cost_Master'!$G$4:$BC$135,MATCH($DN34,'Labor Cost_Master'!$BD$4:$BD$135,0),MATCH(DI$9,'Labor Cost_Master'!$G$3:$BC$3,0)),0)*BH34,0)*1.05</f>
        <v>0</v>
      </c>
      <c r="DJ34" s="64">
        <f>ROUND(IFERROR(INDEX('Labor Cost_Master'!$G$4:$BC$135,MATCH($DN34,'Labor Cost_Master'!$BD$4:$BD$135,0),MATCH(DJ$9,'Labor Cost_Master'!$G$3:$BC$3,0)),0)*BI34,0)*1.05</f>
        <v>0</v>
      </c>
      <c r="DK34" s="64">
        <f>ROUND(IFERROR(INDEX('Labor Cost_Master'!$G$4:$BC$135,MATCH($DN34,'Labor Cost_Master'!$BD$4:$BD$135,0),MATCH(DK$9,'Labor Cost_Master'!$G$3:$BC$3,0)),0)*BJ34,0)*1.05</f>
        <v>0</v>
      </c>
      <c r="DL34" s="64">
        <f>ROUND(IFERROR(INDEX('Labor Cost_Master'!$G$4:$BC$135,MATCH($DN34,'Labor Cost_Master'!$BD$4:$BD$135,0),MATCH(DL$9,'Labor Cost_Master'!$G$3:$BC$3,0)),0)*BK34,0)*1.05</f>
        <v>0</v>
      </c>
      <c r="DM34" s="66">
        <f t="shared" si="22"/>
        <v>0</v>
      </c>
      <c r="DN34" s="80" t="str">
        <f t="shared" si="23"/>
        <v/>
      </c>
      <c r="DO34" s="64">
        <f>ROUND(IFERROR(INDEX(Benefit_Master!$G$4:$BC$135,MATCH($DN34,Benefit_Master!$BD$4:$BD$135,0),MATCH(DO$9,Benefit_Master!$G$3:$BC$3,0)),0)*M34,0)</f>
        <v>0</v>
      </c>
      <c r="DP34" s="64">
        <f>ROUND(IFERROR(INDEX(Benefit_Master!$G$4:$BC$135,MATCH($DN34,Benefit_Master!$BD$4:$BD$135,0),MATCH(DP$9,Benefit_Master!$G$3:$BC$3,0)),0)*N34,0)</f>
        <v>0</v>
      </c>
      <c r="DQ34" s="64">
        <f>ROUND(IFERROR(INDEX(Benefit_Master!$G$4:$BC$135,MATCH($DN34,Benefit_Master!$BD$4:$BD$135,0),MATCH(DQ$9,Benefit_Master!$G$3:$BC$3,0)),0)*O34,0)</f>
        <v>0</v>
      </c>
      <c r="DR34" s="64">
        <f>ROUND(IFERROR(INDEX(Benefit_Master!$G$4:$BC$135,MATCH($DN34,Benefit_Master!$BD$4:$BD$135,0),MATCH(DR$9,Benefit_Master!$G$3:$BC$3,0)),0)*P34,0)</f>
        <v>0</v>
      </c>
      <c r="DS34" s="64">
        <f>ROUND(IFERROR(INDEX(Benefit_Master!$G$4:$BC$135,MATCH($DN34,Benefit_Master!$BD$4:$BD$135,0),MATCH(DS$9,Benefit_Master!$G$3:$BC$3,0)),0)*Q34,0)</f>
        <v>0</v>
      </c>
      <c r="DT34" s="64">
        <f>ROUND(IFERROR(INDEX(Benefit_Master!$G$4:$BC$135,MATCH($DN34,Benefit_Master!$BD$4:$BD$135,0),MATCH(DT$9,Benefit_Master!$G$3:$BC$3,0)),0)*R34,0)</f>
        <v>0</v>
      </c>
      <c r="DU34" s="64">
        <f>ROUND(IFERROR(INDEX(Benefit_Master!$G$4:$BC$135,MATCH($DN34,Benefit_Master!$BD$4:$BD$135,0),MATCH(DU$9,Benefit_Master!$G$3:$BC$3,0)),0)*S34,0)</f>
        <v>0</v>
      </c>
      <c r="DV34" s="64">
        <f>ROUND(IFERROR(INDEX(Benefit_Master!$G$4:$BC$135,MATCH($DN34,Benefit_Master!$BD$4:$BD$135,0),MATCH(DV$9,Benefit_Master!$G$3:$BC$3,0)),0)*T34,0)</f>
        <v>0</v>
      </c>
      <c r="DW34" s="64">
        <f>ROUND(IFERROR(INDEX(Benefit_Master!$G$4:$BC$135,MATCH($DN34,Benefit_Master!$BD$4:$BD$135,0),MATCH(DW$9,Benefit_Master!$G$3:$BC$3,0)),0)*U34,0)</f>
        <v>0</v>
      </c>
      <c r="DX34" s="64">
        <f>ROUND(IFERROR(INDEX(Benefit_Master!$G$4:$BC$135,MATCH($DN34,Benefit_Master!$BD$4:$BD$135,0),MATCH(DX$9,Benefit_Master!$G$3:$BC$3,0)),0)*V34,0)</f>
        <v>0</v>
      </c>
      <c r="DY34" s="64">
        <f>ROUND(IFERROR(INDEX(Benefit_Master!$G$4:$BC$135,MATCH($DN34,Benefit_Master!$BD$4:$BD$135,0),MATCH(DY$9,Benefit_Master!$G$3:$BC$3,0)),0)*W34,0)</f>
        <v>0</v>
      </c>
      <c r="DZ34" s="64">
        <f>ROUND(IFERROR(INDEX(Benefit_Master!$G$4:$BC$135,MATCH($DN34,Benefit_Master!$BD$4:$BD$135,0),MATCH(DZ$9,Benefit_Master!$G$3:$BC$3,0)),0)*X34,0)</f>
        <v>0</v>
      </c>
      <c r="EA34" s="66">
        <f t="shared" si="24"/>
        <v>0</v>
      </c>
      <c r="EB34" s="64">
        <f>ROUND(IFERROR(INDEX(Benefit_Master!$G$4:$BC$135,MATCH($DN34,Benefit_Master!$BD$4:$BD$135,0),MATCH(EB$9,Benefit_Master!$G$3:$BC$3,0)),0)*Z34,0)</f>
        <v>0</v>
      </c>
      <c r="EC34" s="64">
        <f>ROUND(IFERROR(INDEX(Benefit_Master!$G$4:$BC$135,MATCH($DN34,Benefit_Master!$BD$4:$BD$135,0),MATCH(EC$9,Benefit_Master!$G$3:$BC$3,0)),0)*AA34,0)</f>
        <v>0</v>
      </c>
      <c r="ED34" s="64">
        <f>ROUND(IFERROR(INDEX(Benefit_Master!$G$4:$BC$135,MATCH($DN34,Benefit_Master!$BD$4:$BD$135,0),MATCH(ED$9,Benefit_Master!$G$3:$BC$3,0)),0)*AB34,0)</f>
        <v>0</v>
      </c>
      <c r="EE34" s="64">
        <f>ROUND(IFERROR(INDEX(Benefit_Master!$G$4:$BC$135,MATCH($DN34,Benefit_Master!$BD$4:$BD$135,0),MATCH(EE$9,Benefit_Master!$G$3:$BC$3,0)),0)*AC34,0)</f>
        <v>0</v>
      </c>
      <c r="EF34" s="64">
        <f>ROUND(IFERROR(INDEX(Benefit_Master!$G$4:$BC$135,MATCH($DN34,Benefit_Master!$BD$4:$BD$135,0),MATCH(EF$9,Benefit_Master!$G$3:$BC$3,0)),0)*AD34,0)</f>
        <v>0</v>
      </c>
      <c r="EG34" s="64">
        <f>ROUND(IFERROR(INDEX(Benefit_Master!$G$4:$BC$135,MATCH($DN34,Benefit_Master!$BD$4:$BD$135,0),MATCH(EG$9,Benefit_Master!$G$3:$BC$3,0)),0)*AE34,0)</f>
        <v>0</v>
      </c>
      <c r="EH34" s="64">
        <f>ROUND(IFERROR(INDEX(Benefit_Master!$G$4:$BC$135,MATCH($DN34,Benefit_Master!$BD$4:$BD$135,0),MATCH(EH$9,Benefit_Master!$G$3:$BC$3,0)),0)*AF34,0)</f>
        <v>0</v>
      </c>
      <c r="EI34" s="64">
        <f>ROUND(IFERROR(INDEX(Benefit_Master!$G$4:$BC$135,MATCH($DN34,Benefit_Master!$BD$4:$BD$135,0),MATCH(EI$9,Benefit_Master!$G$3:$BC$3,0)),0)*AG34,0)</f>
        <v>0</v>
      </c>
      <c r="EJ34" s="64">
        <f>ROUND(IFERROR(INDEX(Benefit_Master!$G$4:$BC$135,MATCH($DN34,Benefit_Master!$BD$4:$BD$135,0),MATCH(EJ$9,Benefit_Master!$G$3:$BC$3,0)),0)*AH34,0)</f>
        <v>0</v>
      </c>
      <c r="EK34" s="64">
        <f>ROUND(IFERROR(INDEX(Benefit_Master!$G$4:$BC$135,MATCH($DN34,Benefit_Master!$BD$4:$BD$135,0),MATCH(EK$9,Benefit_Master!$G$3:$BC$3,0)),0)*AI34,0)</f>
        <v>0</v>
      </c>
      <c r="EL34" s="64">
        <f>ROUND(IFERROR(INDEX(Benefit_Master!$G$4:$BC$135,MATCH($DN34,Benefit_Master!$BD$4:$BD$135,0),MATCH(EL$9,Benefit_Master!$G$3:$BC$3,0)),0)*AJ34,0)</f>
        <v>0</v>
      </c>
      <c r="EM34" s="64">
        <f>ROUND(IFERROR(INDEX(Benefit_Master!$G$4:$BC$135,MATCH($DN34,Benefit_Master!$BD$4:$BD$135,0),MATCH(EM$9,Benefit_Master!$G$3:$BC$3,0)),0)*AK34,0)</f>
        <v>0</v>
      </c>
      <c r="EN34" s="66">
        <f t="shared" si="25"/>
        <v>0</v>
      </c>
      <c r="EO34" s="64">
        <f>ROUND(IFERROR(INDEX(Benefit_Master!$G$4:$BC$135,MATCH($DN34,Benefit_Master!$BD$4:$BD$135,0),MATCH(EO$9,Benefit_Master!$G$3:$BC$3,0)),0)*AM34,0)</f>
        <v>0</v>
      </c>
      <c r="EP34" s="64">
        <f>ROUND(IFERROR(INDEX(Benefit_Master!$G$4:$BC$135,MATCH($DN34,Benefit_Master!$BD$4:$BD$135,0),MATCH(EP$9,Benefit_Master!$G$3:$BC$3,0)),0)*AN34,0)</f>
        <v>0</v>
      </c>
      <c r="EQ34" s="64">
        <f>ROUND(IFERROR(INDEX(Benefit_Master!$G$4:$BC$135,MATCH($DN34,Benefit_Master!$BD$4:$BD$135,0),MATCH(EQ$9,Benefit_Master!$G$3:$BC$3,0)),0)*AO34,0)</f>
        <v>0</v>
      </c>
      <c r="ER34" s="64">
        <f>ROUND(IFERROR(INDEX(Benefit_Master!$G$4:$BC$135,MATCH($DN34,Benefit_Master!$BD$4:$BD$135,0),MATCH(ER$9,Benefit_Master!$G$3:$BC$3,0)),0)*AP34,0)</f>
        <v>0</v>
      </c>
      <c r="ES34" s="64">
        <f>ROUND(IFERROR(INDEX(Benefit_Master!$G$4:$BC$135,MATCH($DN34,Benefit_Master!$BD$4:$BD$135,0),MATCH(ES$9,Benefit_Master!$G$3:$BC$3,0)),0)*AQ34,0)</f>
        <v>0</v>
      </c>
      <c r="ET34" s="64">
        <f>ROUND(IFERROR(INDEX(Benefit_Master!$G$4:$BC$135,MATCH($DN34,Benefit_Master!$BD$4:$BD$135,0),MATCH(ET$9,Benefit_Master!$G$3:$BC$3,0)),0)*AR34,0)</f>
        <v>0</v>
      </c>
      <c r="EU34" s="64">
        <f>ROUND(IFERROR(INDEX(Benefit_Master!$G$4:$BC$135,MATCH($DN34,Benefit_Master!$BD$4:$BD$135,0),MATCH(EU$9,Benefit_Master!$G$3:$BC$3,0)),0)*AS34,0)</f>
        <v>0</v>
      </c>
      <c r="EV34" s="64">
        <f>ROUND(IFERROR(INDEX(Benefit_Master!$G$4:$BC$135,MATCH($DN34,Benefit_Master!$BD$4:$BD$135,0),MATCH(EV$9,Benefit_Master!$G$3:$BC$3,0)),0)*AT34,0)</f>
        <v>0</v>
      </c>
      <c r="EW34" s="64">
        <f>ROUND(IFERROR(INDEX(Benefit_Master!$G$4:$BC$135,MATCH($DN34,Benefit_Master!$BD$4:$BD$135,0),MATCH(EW$9,Benefit_Master!$G$3:$BC$3,0)),0)*AU34,0)</f>
        <v>0</v>
      </c>
      <c r="EX34" s="64">
        <f>ROUND(IFERROR(INDEX(Benefit_Master!$G$4:$BC$135,MATCH($DN34,Benefit_Master!$BD$4:$BD$135,0),MATCH(EX$9,Benefit_Master!$G$3:$BC$3,0)),0)*AV34,0)</f>
        <v>0</v>
      </c>
      <c r="EY34" s="64">
        <f>ROUND(IFERROR(INDEX(Benefit_Master!$G$4:$BC$135,MATCH($DN34,Benefit_Master!$BD$4:$BD$135,0),MATCH(EY$9,Benefit_Master!$G$3:$BC$3,0)),0)*AW34,0)</f>
        <v>0</v>
      </c>
      <c r="EZ34" s="64">
        <f>ROUND(IFERROR(INDEX(Benefit_Master!$G$4:$BC$135,MATCH($DN34,Benefit_Master!$BD$4:$BD$135,0),MATCH(EZ$9,Benefit_Master!$G$3:$BC$3,0)),0)*AX34,0)</f>
        <v>0</v>
      </c>
      <c r="FA34" s="66">
        <f t="shared" si="26"/>
        <v>0</v>
      </c>
      <c r="FB34" s="64">
        <f>ROUND(IFERROR(INDEX(Benefit_Master!$G$4:$BC$135,MATCH($DN34,Benefit_Master!$BD$4:$BD$135,0),MATCH(FB$9,Benefit_Master!$G$3:$BC$3,0)),0)*AZ34,0)</f>
        <v>0</v>
      </c>
      <c r="FC34" s="64">
        <f>ROUND(IFERROR(INDEX(Benefit_Master!$G$4:$BC$135,MATCH($DN34,Benefit_Master!$BD$4:$BD$135,0),MATCH(FC$9,Benefit_Master!$G$3:$BC$3,0)),0)*BA34,0)</f>
        <v>0</v>
      </c>
      <c r="FD34" s="64">
        <f>ROUND(IFERROR(INDEX(Benefit_Master!$G$4:$BC$135,MATCH($DN34,Benefit_Master!$BD$4:$BD$135,0),MATCH(FD$9,Benefit_Master!$G$3:$BC$3,0)),0)*BB34,0)</f>
        <v>0</v>
      </c>
      <c r="FE34" s="64">
        <f>ROUND(IFERROR(INDEX(Benefit_Master!$G$4:$BC$135,MATCH($DN34,Benefit_Master!$BD$4:$BD$135,0),MATCH(FE$9,Benefit_Master!$G$3:$BC$3,0)),0)*BC34,0)</f>
        <v>0</v>
      </c>
      <c r="FF34" s="64">
        <f>ROUND(IFERROR(INDEX(Benefit_Master!$G$4:$BC$135,MATCH($DN34,Benefit_Master!$BD$4:$BD$135,0),MATCH(FF$9,Benefit_Master!$G$3:$BC$3,0)),0)*BD34,0)</f>
        <v>0</v>
      </c>
      <c r="FG34" s="64">
        <f>ROUND(IFERROR(INDEX(Benefit_Master!$G$4:$BC$135,MATCH($DN34,Benefit_Master!$BD$4:$BD$135,0),MATCH(FG$9,Benefit_Master!$G$3:$BC$3,0)),0)*BE34,0)</f>
        <v>0</v>
      </c>
      <c r="FH34" s="64">
        <f>ROUND(IFERROR(INDEX(Benefit_Master!$G$4:$BC$135,MATCH($DN34,Benefit_Master!$BD$4:$BD$135,0),MATCH(FH$9,Benefit_Master!$G$3:$BC$3,0)),0)*BF34,0)</f>
        <v>0</v>
      </c>
      <c r="FI34" s="64">
        <f>ROUND(IFERROR(INDEX(Benefit_Master!$G$4:$BC$135,MATCH($DN34,Benefit_Master!$BD$4:$BD$135,0),MATCH(FI$9,Benefit_Master!$G$3:$BC$3,0)),0)*BG34,0)</f>
        <v>0</v>
      </c>
      <c r="FJ34" s="64">
        <f>ROUND(IFERROR(INDEX(Benefit_Master!$G$4:$BC$135,MATCH($DN34,Benefit_Master!$BD$4:$BD$135,0),MATCH(FJ$9,Benefit_Master!$G$3:$BC$3,0)),0)*BH34,0)</f>
        <v>0</v>
      </c>
      <c r="FK34" s="64">
        <f>ROUND(IFERROR(INDEX(Benefit_Master!$G$4:$BC$135,MATCH($DN34,Benefit_Master!$BD$4:$BD$135,0),MATCH(FK$9,Benefit_Master!$G$3:$BC$3,0)),0)*BI34,0)</f>
        <v>0</v>
      </c>
      <c r="FL34" s="64">
        <f>ROUND(IFERROR(INDEX(Benefit_Master!$G$4:$BC$135,MATCH($DN34,Benefit_Master!$BD$4:$BD$135,0),MATCH(FL$9,Benefit_Master!$G$3:$BC$3,0)),0)*BJ34,0)</f>
        <v>0</v>
      </c>
      <c r="FM34" s="64">
        <f>ROUND(IFERROR(INDEX(Benefit_Master!$G$4:$BC$135,MATCH($DN34,Benefit_Master!$BD$4:$BD$135,0),MATCH(FM$9,Benefit_Master!$G$3:$BC$3,0)),0)*BK34,0)</f>
        <v>0</v>
      </c>
      <c r="FN34" s="66">
        <f t="shared" si="27"/>
        <v>0</v>
      </c>
    </row>
    <row r="35" spans="2:170" s="12" customFormat="1" ht="15" customHeight="1">
      <c r="B35" s="93">
        <f t="shared" si="28"/>
        <v>23</v>
      </c>
      <c r="C35" s="89"/>
      <c r="D35" s="97"/>
      <c r="E35" s="1157"/>
      <c r="F35" s="425"/>
      <c r="G35" s="94" t="str">
        <f>IFERROR(VLOOKUP($F35,Master!$B$1:$C$7,2,0),"-")</f>
        <v>-</v>
      </c>
      <c r="H35" s="95">
        <f t="shared" si="12"/>
        <v>0</v>
      </c>
      <c r="I35" s="138">
        <f t="shared" si="13"/>
        <v>0</v>
      </c>
      <c r="J35" s="138">
        <f t="shared" si="14"/>
        <v>0</v>
      </c>
      <c r="K35" s="96"/>
      <c r="L35"/>
      <c r="M35" s="58"/>
      <c r="N35" s="59"/>
      <c r="O35" s="59"/>
      <c r="P35" s="59"/>
      <c r="Q35" s="59"/>
      <c r="R35" s="59"/>
      <c r="S35" s="59"/>
      <c r="T35" s="59"/>
      <c r="U35" s="679"/>
      <c r="V35" s="56"/>
      <c r="W35" s="56"/>
      <c r="X35" s="56"/>
      <c r="Y35" s="60">
        <f t="shared" si="15"/>
        <v>0</v>
      </c>
      <c r="Z35" s="55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60">
        <f t="shared" si="16"/>
        <v>0</v>
      </c>
      <c r="AM35" s="58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60">
        <f t="shared" si="17"/>
        <v>0</v>
      </c>
      <c r="AZ35" s="58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60">
        <f t="shared" si="18"/>
        <v>0</v>
      </c>
      <c r="BM35"/>
      <c r="BN35" s="64">
        <f>ROUND(IFERROR(INDEX('Labor Cost_Master'!$G$4:$BC$135,MATCH($DN35,'Labor Cost_Master'!$BD$4:$BD$135,0),MATCH(BN$9,'Labor Cost_Master'!$G$3:$BC$3,0)),0)*M35,0)</f>
        <v>0</v>
      </c>
      <c r="BO35" s="64">
        <f>ROUND(IFERROR(INDEX('Labor Cost_Master'!$G$4:$BC$135,MATCH($DN35,'Labor Cost_Master'!$BD$4:$BD$135,0),MATCH(BO$9,'Labor Cost_Master'!$G$3:$BC$3,0)),0)*N35,0)</f>
        <v>0</v>
      </c>
      <c r="BP35" s="64">
        <f>ROUND(IFERROR(INDEX('Labor Cost_Master'!$G$4:$BC$135,MATCH($DN35,'Labor Cost_Master'!$BD$4:$BD$135,0),MATCH(BP$9,'Labor Cost_Master'!$G$3:$BC$3,0)),0)*O35,0)</f>
        <v>0</v>
      </c>
      <c r="BQ35" s="64">
        <f>ROUND(IFERROR(INDEX('Labor Cost_Master'!$G$4:$BC$135,MATCH($DN35,'Labor Cost_Master'!$BD$4:$BD$135,0),MATCH(BQ$9,'Labor Cost_Master'!$G$3:$BC$3,0)),0)*P35,0)</f>
        <v>0</v>
      </c>
      <c r="BR35" s="64">
        <f>ROUND(IFERROR(INDEX('Labor Cost_Master'!$G$4:$BC$135,MATCH($DN35,'Labor Cost_Master'!$BD$4:$BD$135,0),MATCH(BR$9,'Labor Cost_Master'!$G$3:$BC$3,0)),0)*Q35,0)</f>
        <v>0</v>
      </c>
      <c r="BS35" s="64">
        <f>ROUND(IFERROR(INDEX('Labor Cost_Master'!$G$4:$BC$135,MATCH($DN35,'Labor Cost_Master'!$BD$4:$BD$135,0),MATCH(BS$9,'Labor Cost_Master'!$G$3:$BC$3,0)),0)*R35,0)</f>
        <v>0</v>
      </c>
      <c r="BT35" s="64">
        <f>ROUND(IFERROR(INDEX('Labor Cost_Master'!$G$4:$BC$135,MATCH($DN35,'Labor Cost_Master'!$BD$4:$BD$135,0),MATCH(BT$9,'Labor Cost_Master'!$G$3:$BC$3,0)),0)*S35,0)</f>
        <v>0</v>
      </c>
      <c r="BU35" s="64">
        <f>ROUND(IFERROR(INDEX('Labor Cost_Master'!$G$4:$BC$135,MATCH($DN35,'Labor Cost_Master'!$BD$4:$BD$135,0),MATCH(BU$9,'Labor Cost_Master'!$G$3:$BC$3,0)),0)*T35,0)</f>
        <v>0</v>
      </c>
      <c r="BV35" s="64">
        <f>ROUND(IFERROR(INDEX('Labor Cost_Master'!$G$4:$BC$135,MATCH($DN35,'Labor Cost_Master'!$BD$4:$BD$135,0),MATCH(BV$9,'Labor Cost_Master'!$G$3:$BC$3,0)),0)*U35,0)</f>
        <v>0</v>
      </c>
      <c r="BW35" s="64">
        <f>ROUND(IFERROR(INDEX('Labor Cost_Master'!$G$4:$BC$135,MATCH($DN35,'Labor Cost_Master'!$BD$4:$BD$135,0),MATCH(BW$9,'Labor Cost_Master'!$G$3:$BC$3,0)),0)*V35,0)</f>
        <v>0</v>
      </c>
      <c r="BX35" s="64">
        <f>ROUND(IFERROR(INDEX('Labor Cost_Master'!$G$4:$BC$135,MATCH($DN35,'Labor Cost_Master'!$BD$4:$BD$135,0),MATCH(BX$9,'Labor Cost_Master'!$G$3:$BC$3,0)),0)*W35,0)</f>
        <v>0</v>
      </c>
      <c r="BY35" s="64">
        <f>ROUND(IFERROR(INDEX('Labor Cost_Master'!$G$4:$BC$135,MATCH($DN35,'Labor Cost_Master'!$BD$4:$BD$135,0),MATCH(BY$9,'Labor Cost_Master'!$G$3:$BC$3,0)),0)*X35,0)</f>
        <v>0</v>
      </c>
      <c r="BZ35" s="66">
        <f t="shared" si="19"/>
        <v>0</v>
      </c>
      <c r="CA35" s="64">
        <f>ROUND(IFERROR(INDEX('Labor Cost_Master'!$G$4:$BC$135,MATCH($DN35,'Labor Cost_Master'!$BD$4:$BD$135,0),MATCH(CA$9,'Labor Cost_Master'!$G$3:$BC$3,0)),0)*Z35,0)</f>
        <v>0</v>
      </c>
      <c r="CB35" s="64">
        <f>ROUND(IFERROR(INDEX('Labor Cost_Master'!$G$4:$BC$135,MATCH($DN35,'Labor Cost_Master'!$BD$4:$BD$135,0),MATCH(CB$9,'Labor Cost_Master'!$G$3:$BC$3,0)),0)*AA35,0)</f>
        <v>0</v>
      </c>
      <c r="CC35" s="64">
        <f>ROUND(IFERROR(INDEX('Labor Cost_Master'!$G$4:$BC$135,MATCH($DN35,'Labor Cost_Master'!$BD$4:$BD$135,0),MATCH(CC$9,'Labor Cost_Master'!$G$3:$BC$3,0)),0)*AB35,0)</f>
        <v>0</v>
      </c>
      <c r="CD35" s="64">
        <f>ROUND(IFERROR(INDEX('Labor Cost_Master'!$G$4:$BC$135,MATCH($DN35,'Labor Cost_Master'!$BD$4:$BD$135,0),MATCH(CD$9,'Labor Cost_Master'!$G$3:$BC$3,0)),0)*AC35,0)</f>
        <v>0</v>
      </c>
      <c r="CE35" s="64">
        <f>ROUND(IFERROR(INDEX('Labor Cost_Master'!$G$4:$BC$135,MATCH($DN35,'Labor Cost_Master'!$BD$4:$BD$135,0),MATCH(CE$9,'Labor Cost_Master'!$G$3:$BC$3,0)),0)*AD35,0)</f>
        <v>0</v>
      </c>
      <c r="CF35" s="64">
        <f>ROUND(IFERROR(INDEX('Labor Cost_Master'!$G$4:$BC$135,MATCH($DN35,'Labor Cost_Master'!$BD$4:$BD$135,0),MATCH(CF$9,'Labor Cost_Master'!$G$3:$BC$3,0)),0)*AE35,0)</f>
        <v>0</v>
      </c>
      <c r="CG35" s="64">
        <f>ROUND(IFERROR(INDEX('Labor Cost_Master'!$G$4:$BC$135,MATCH($DN35,'Labor Cost_Master'!$BD$4:$BD$135,0),MATCH(CG$9,'Labor Cost_Master'!$G$3:$BC$3,0)),0)*AF35,0)</f>
        <v>0</v>
      </c>
      <c r="CH35" s="64">
        <f>ROUND(IFERROR(INDEX('Labor Cost_Master'!$G$4:$BC$135,MATCH($DN35,'Labor Cost_Master'!$BD$4:$BD$135,0),MATCH(CH$9,'Labor Cost_Master'!$G$3:$BC$3,0)),0)*AG35,0)</f>
        <v>0</v>
      </c>
      <c r="CI35" s="64">
        <f>ROUND(IFERROR(INDEX('Labor Cost_Master'!$G$4:$BC$135,MATCH($DN35,'Labor Cost_Master'!$BD$4:$BD$135,0),MATCH(CI$9,'Labor Cost_Master'!$G$3:$BC$3,0)),0)*AH35,0)</f>
        <v>0</v>
      </c>
      <c r="CJ35" s="64">
        <f>ROUND(IFERROR(INDEX('Labor Cost_Master'!$G$4:$BC$135,MATCH($DN35,'Labor Cost_Master'!$BD$4:$BD$135,0),MATCH(CJ$9,'Labor Cost_Master'!$G$3:$BC$3,0)),0)*AI35,0)</f>
        <v>0</v>
      </c>
      <c r="CK35" s="64">
        <f>ROUND(IFERROR(INDEX('Labor Cost_Master'!$G$4:$BC$135,MATCH($DN35,'Labor Cost_Master'!$BD$4:$BD$135,0),MATCH(CK$9,'Labor Cost_Master'!$G$3:$BC$3,0)),0)*AJ35,0)</f>
        <v>0</v>
      </c>
      <c r="CL35" s="64">
        <f>ROUND(IFERROR(INDEX('Labor Cost_Master'!$G$4:$BC$135,MATCH($DN35,'Labor Cost_Master'!$BD$4:$BD$135,0),MATCH(CL$9,'Labor Cost_Master'!$G$3:$BC$3,0)),0)*AK35,0)</f>
        <v>0</v>
      </c>
      <c r="CM35" s="66">
        <f t="shared" si="20"/>
        <v>0</v>
      </c>
      <c r="CN35" s="64">
        <f>ROUND(IFERROR(INDEX('Labor Cost_Master'!$G$4:$BC$135,MATCH($DN35,'Labor Cost_Master'!$BD$4:$BD$135,0),MATCH(CN$9,'Labor Cost_Master'!$G$3:$BC$3,0)),0)*AM35,0)</f>
        <v>0</v>
      </c>
      <c r="CO35" s="64">
        <f>ROUND(IFERROR(INDEX('Labor Cost_Master'!$G$4:$BC$135,MATCH($DN35,'Labor Cost_Master'!$BD$4:$BD$135,0),MATCH(CO$9,'Labor Cost_Master'!$G$3:$BC$3,0)),0)*AN35,0)</f>
        <v>0</v>
      </c>
      <c r="CP35" s="64">
        <f>ROUND(IFERROR(INDEX('Labor Cost_Master'!$G$4:$BC$135,MATCH($DN35,'Labor Cost_Master'!$BD$4:$BD$135,0),MATCH(CP$9,'Labor Cost_Master'!$G$3:$BC$3,0)),0)*AO35,0)</f>
        <v>0</v>
      </c>
      <c r="CQ35" s="64">
        <f>ROUND(IFERROR(INDEX('Labor Cost_Master'!$G$4:$BC$135,MATCH($DN35,'Labor Cost_Master'!$BD$4:$BD$135,0),MATCH(CQ$9,'Labor Cost_Master'!$G$3:$BC$3,0)),0)*AP35,0)</f>
        <v>0</v>
      </c>
      <c r="CR35" s="64">
        <f>ROUND(IFERROR(INDEX('Labor Cost_Master'!$G$4:$BC$135,MATCH($DN35,'Labor Cost_Master'!$BD$4:$BD$135,0),MATCH(CR$9,'Labor Cost_Master'!$G$3:$BC$3,0)),0)*AQ35,0)</f>
        <v>0</v>
      </c>
      <c r="CS35" s="64">
        <f>ROUND(IFERROR(INDEX('Labor Cost_Master'!$G$4:$BC$135,MATCH($DN35,'Labor Cost_Master'!$BD$4:$BD$135,0),MATCH(CS$9,'Labor Cost_Master'!$G$3:$BC$3,0)),0)*AR35,0)</f>
        <v>0</v>
      </c>
      <c r="CT35" s="64">
        <f>ROUND(IFERROR(INDEX('Labor Cost_Master'!$G$4:$BC$135,MATCH($DN35,'Labor Cost_Master'!$BD$4:$BD$135,0),MATCH(CT$9,'Labor Cost_Master'!$G$3:$BC$3,0)),0)*AS35,0)</f>
        <v>0</v>
      </c>
      <c r="CU35" s="64">
        <f>ROUND(IFERROR(INDEX('Labor Cost_Master'!$G$4:$BC$135,MATCH($DN35,'Labor Cost_Master'!$BD$4:$BD$135,0),MATCH(CU$9,'Labor Cost_Master'!$G$3:$BC$3,0)),0)*AT35,0)</f>
        <v>0</v>
      </c>
      <c r="CV35" s="64">
        <f>ROUND(IFERROR(INDEX('Labor Cost_Master'!$G$4:$BC$135,MATCH($DN35,'Labor Cost_Master'!$BD$4:$BD$135,0),MATCH(CV$9,'Labor Cost_Master'!$G$3:$BC$3,0)),0)*AU35,0)</f>
        <v>0</v>
      </c>
      <c r="CW35" s="64">
        <f>ROUND(IFERROR(INDEX('Labor Cost_Master'!$G$4:$BC$135,MATCH($DN35,'Labor Cost_Master'!$BD$4:$BD$135,0),MATCH(CW$9,'Labor Cost_Master'!$G$3:$BC$3,0)),0)*AV35,0)</f>
        <v>0</v>
      </c>
      <c r="CX35" s="64">
        <f>ROUND(IFERROR(INDEX('Labor Cost_Master'!$G$4:$BC$135,MATCH($DN35,'Labor Cost_Master'!$BD$4:$BD$135,0),MATCH(CX$9,'Labor Cost_Master'!$G$3:$BC$3,0)),0)*AW35,0)</f>
        <v>0</v>
      </c>
      <c r="CY35" s="64">
        <f>ROUND(IFERROR(INDEX('Labor Cost_Master'!$G$4:$BC$135,MATCH($DN35,'Labor Cost_Master'!$BD$4:$BD$135,0),MATCH(CY$9,'Labor Cost_Master'!$G$3:$BC$3,0)),0)*AX35,0)</f>
        <v>0</v>
      </c>
      <c r="CZ35" s="66">
        <f t="shared" si="21"/>
        <v>0</v>
      </c>
      <c r="DA35" s="64">
        <f>ROUND(IFERROR(INDEX('Labor Cost_Master'!$G$4:$BC$135,MATCH($DN35,'Labor Cost_Master'!$BD$4:$BD$135,0),MATCH(DA$9,'Labor Cost_Master'!$G$3:$BC$3,0)),0)*AZ35,0)</f>
        <v>0</v>
      </c>
      <c r="DB35" s="64">
        <f>ROUND(IFERROR(INDEX('Labor Cost_Master'!$G$4:$BC$135,MATCH($DN35,'Labor Cost_Master'!$BD$4:$BD$135,0),MATCH(DB$9,'Labor Cost_Master'!$G$3:$BC$3,0)),0)*BA35,0)</f>
        <v>0</v>
      </c>
      <c r="DC35" s="1166">
        <f>ROUND(IFERROR(INDEX('Labor Cost_Master'!$G$4:$BC$135,MATCH($DN35,'Labor Cost_Master'!$BD$4:$BD$135,0),MATCH(DC$9,'Labor Cost_Master'!$G$3:$BC$3,0)),0)*BB35,0)*1.05</f>
        <v>0</v>
      </c>
      <c r="DD35" s="64">
        <f>ROUND(IFERROR(INDEX('Labor Cost_Master'!$G$4:$BC$135,MATCH($DN35,'Labor Cost_Master'!$BD$4:$BD$135,0),MATCH(DD$9,'Labor Cost_Master'!$G$3:$BC$3,0)),0)*BC35,0)*1.05</f>
        <v>0</v>
      </c>
      <c r="DE35" s="64">
        <f>ROUND(IFERROR(INDEX('Labor Cost_Master'!$G$4:$BC$135,MATCH($DN35,'Labor Cost_Master'!$BD$4:$BD$135,0),MATCH(DE$9,'Labor Cost_Master'!$G$3:$BC$3,0)),0)*BD35,0)*1.05</f>
        <v>0</v>
      </c>
      <c r="DF35" s="64">
        <f>ROUND(IFERROR(INDEX('Labor Cost_Master'!$G$4:$BC$135,MATCH($DN35,'Labor Cost_Master'!$BD$4:$BD$135,0),MATCH(DF$9,'Labor Cost_Master'!$G$3:$BC$3,0)),0)*BE35,0)*1.05</f>
        <v>0</v>
      </c>
      <c r="DG35" s="64">
        <f>ROUND(IFERROR(INDEX('Labor Cost_Master'!$G$4:$BC$135,MATCH($DN35,'Labor Cost_Master'!$BD$4:$BD$135,0),MATCH(DG$9,'Labor Cost_Master'!$G$3:$BC$3,0)),0)*BF35,0)*1.05</f>
        <v>0</v>
      </c>
      <c r="DH35" s="64">
        <f>ROUND(IFERROR(INDEX('Labor Cost_Master'!$G$4:$BC$135,MATCH($DN35,'Labor Cost_Master'!$BD$4:$BD$135,0),MATCH(DH$9,'Labor Cost_Master'!$G$3:$BC$3,0)),0)*BG35,0)*1.05</f>
        <v>0</v>
      </c>
      <c r="DI35" s="64">
        <f>ROUND(IFERROR(INDEX('Labor Cost_Master'!$G$4:$BC$135,MATCH($DN35,'Labor Cost_Master'!$BD$4:$BD$135,0),MATCH(DI$9,'Labor Cost_Master'!$G$3:$BC$3,0)),0)*BH35,0)*1.05</f>
        <v>0</v>
      </c>
      <c r="DJ35" s="64">
        <f>ROUND(IFERROR(INDEX('Labor Cost_Master'!$G$4:$BC$135,MATCH($DN35,'Labor Cost_Master'!$BD$4:$BD$135,0),MATCH(DJ$9,'Labor Cost_Master'!$G$3:$BC$3,0)),0)*BI35,0)*1.05</f>
        <v>0</v>
      </c>
      <c r="DK35" s="64">
        <f>ROUND(IFERROR(INDEX('Labor Cost_Master'!$G$4:$BC$135,MATCH($DN35,'Labor Cost_Master'!$BD$4:$BD$135,0),MATCH(DK$9,'Labor Cost_Master'!$G$3:$BC$3,0)),0)*BJ35,0)*1.05</f>
        <v>0</v>
      </c>
      <c r="DL35" s="64">
        <f>ROUND(IFERROR(INDEX('Labor Cost_Master'!$G$4:$BC$135,MATCH($DN35,'Labor Cost_Master'!$BD$4:$BD$135,0),MATCH(DL$9,'Labor Cost_Master'!$G$3:$BC$3,0)),0)*BK35,0)*1.05</f>
        <v>0</v>
      </c>
      <c r="DM35" s="66">
        <f t="shared" si="22"/>
        <v>0</v>
      </c>
      <c r="DN35" s="80" t="str">
        <f t="shared" si="23"/>
        <v/>
      </c>
      <c r="DO35" s="64">
        <f>ROUND(IFERROR(INDEX(Benefit_Master!$G$4:$BC$135,MATCH($DN35,Benefit_Master!$BD$4:$BD$135,0),MATCH(DO$9,Benefit_Master!$G$3:$BC$3,0)),0)*M35,0)</f>
        <v>0</v>
      </c>
      <c r="DP35" s="64">
        <f>ROUND(IFERROR(INDEX(Benefit_Master!$G$4:$BC$135,MATCH($DN35,Benefit_Master!$BD$4:$BD$135,0),MATCH(DP$9,Benefit_Master!$G$3:$BC$3,0)),0)*N35,0)</f>
        <v>0</v>
      </c>
      <c r="DQ35" s="64">
        <f>ROUND(IFERROR(INDEX(Benefit_Master!$G$4:$BC$135,MATCH($DN35,Benefit_Master!$BD$4:$BD$135,0),MATCH(DQ$9,Benefit_Master!$G$3:$BC$3,0)),0)*O35,0)</f>
        <v>0</v>
      </c>
      <c r="DR35" s="64">
        <f>ROUND(IFERROR(INDEX(Benefit_Master!$G$4:$BC$135,MATCH($DN35,Benefit_Master!$BD$4:$BD$135,0),MATCH(DR$9,Benefit_Master!$G$3:$BC$3,0)),0)*P35,0)</f>
        <v>0</v>
      </c>
      <c r="DS35" s="64">
        <f>ROUND(IFERROR(INDEX(Benefit_Master!$G$4:$BC$135,MATCH($DN35,Benefit_Master!$BD$4:$BD$135,0),MATCH(DS$9,Benefit_Master!$G$3:$BC$3,0)),0)*Q35,0)</f>
        <v>0</v>
      </c>
      <c r="DT35" s="64">
        <f>ROUND(IFERROR(INDEX(Benefit_Master!$G$4:$BC$135,MATCH($DN35,Benefit_Master!$BD$4:$BD$135,0),MATCH(DT$9,Benefit_Master!$G$3:$BC$3,0)),0)*R35,0)</f>
        <v>0</v>
      </c>
      <c r="DU35" s="64">
        <f>ROUND(IFERROR(INDEX(Benefit_Master!$G$4:$BC$135,MATCH($DN35,Benefit_Master!$BD$4:$BD$135,0),MATCH(DU$9,Benefit_Master!$G$3:$BC$3,0)),0)*S35,0)</f>
        <v>0</v>
      </c>
      <c r="DV35" s="64">
        <f>ROUND(IFERROR(INDEX(Benefit_Master!$G$4:$BC$135,MATCH($DN35,Benefit_Master!$BD$4:$BD$135,0),MATCH(DV$9,Benefit_Master!$G$3:$BC$3,0)),0)*T35,0)</f>
        <v>0</v>
      </c>
      <c r="DW35" s="64">
        <f>ROUND(IFERROR(INDEX(Benefit_Master!$G$4:$BC$135,MATCH($DN35,Benefit_Master!$BD$4:$BD$135,0),MATCH(DW$9,Benefit_Master!$G$3:$BC$3,0)),0)*U35,0)</f>
        <v>0</v>
      </c>
      <c r="DX35" s="64">
        <f>ROUND(IFERROR(INDEX(Benefit_Master!$G$4:$BC$135,MATCH($DN35,Benefit_Master!$BD$4:$BD$135,0),MATCH(DX$9,Benefit_Master!$G$3:$BC$3,0)),0)*V35,0)</f>
        <v>0</v>
      </c>
      <c r="DY35" s="64">
        <f>ROUND(IFERROR(INDEX(Benefit_Master!$G$4:$BC$135,MATCH($DN35,Benefit_Master!$BD$4:$BD$135,0),MATCH(DY$9,Benefit_Master!$G$3:$BC$3,0)),0)*W35,0)</f>
        <v>0</v>
      </c>
      <c r="DZ35" s="64">
        <f>ROUND(IFERROR(INDEX(Benefit_Master!$G$4:$BC$135,MATCH($DN35,Benefit_Master!$BD$4:$BD$135,0),MATCH(DZ$9,Benefit_Master!$G$3:$BC$3,0)),0)*X35,0)</f>
        <v>0</v>
      </c>
      <c r="EA35" s="66">
        <f t="shared" si="24"/>
        <v>0</v>
      </c>
      <c r="EB35" s="64">
        <f>ROUND(IFERROR(INDEX(Benefit_Master!$G$4:$BC$135,MATCH($DN35,Benefit_Master!$BD$4:$BD$135,0),MATCH(EB$9,Benefit_Master!$G$3:$BC$3,0)),0)*Z35,0)</f>
        <v>0</v>
      </c>
      <c r="EC35" s="64">
        <f>ROUND(IFERROR(INDEX(Benefit_Master!$G$4:$BC$135,MATCH($DN35,Benefit_Master!$BD$4:$BD$135,0),MATCH(EC$9,Benefit_Master!$G$3:$BC$3,0)),0)*AA35,0)</f>
        <v>0</v>
      </c>
      <c r="ED35" s="64">
        <f>ROUND(IFERROR(INDEX(Benefit_Master!$G$4:$BC$135,MATCH($DN35,Benefit_Master!$BD$4:$BD$135,0),MATCH(ED$9,Benefit_Master!$G$3:$BC$3,0)),0)*AB35,0)</f>
        <v>0</v>
      </c>
      <c r="EE35" s="64">
        <f>ROUND(IFERROR(INDEX(Benefit_Master!$G$4:$BC$135,MATCH($DN35,Benefit_Master!$BD$4:$BD$135,0),MATCH(EE$9,Benefit_Master!$G$3:$BC$3,0)),0)*AC35,0)</f>
        <v>0</v>
      </c>
      <c r="EF35" s="64">
        <f>ROUND(IFERROR(INDEX(Benefit_Master!$G$4:$BC$135,MATCH($DN35,Benefit_Master!$BD$4:$BD$135,0),MATCH(EF$9,Benefit_Master!$G$3:$BC$3,0)),0)*AD35,0)</f>
        <v>0</v>
      </c>
      <c r="EG35" s="64">
        <f>ROUND(IFERROR(INDEX(Benefit_Master!$G$4:$BC$135,MATCH($DN35,Benefit_Master!$BD$4:$BD$135,0),MATCH(EG$9,Benefit_Master!$G$3:$BC$3,0)),0)*AE35,0)</f>
        <v>0</v>
      </c>
      <c r="EH35" s="64">
        <f>ROUND(IFERROR(INDEX(Benefit_Master!$G$4:$BC$135,MATCH($DN35,Benefit_Master!$BD$4:$BD$135,0),MATCH(EH$9,Benefit_Master!$G$3:$BC$3,0)),0)*AF35,0)</f>
        <v>0</v>
      </c>
      <c r="EI35" s="64">
        <f>ROUND(IFERROR(INDEX(Benefit_Master!$G$4:$BC$135,MATCH($DN35,Benefit_Master!$BD$4:$BD$135,0),MATCH(EI$9,Benefit_Master!$G$3:$BC$3,0)),0)*AG35,0)</f>
        <v>0</v>
      </c>
      <c r="EJ35" s="64">
        <f>ROUND(IFERROR(INDEX(Benefit_Master!$G$4:$BC$135,MATCH($DN35,Benefit_Master!$BD$4:$BD$135,0),MATCH(EJ$9,Benefit_Master!$G$3:$BC$3,0)),0)*AH35,0)</f>
        <v>0</v>
      </c>
      <c r="EK35" s="64">
        <f>ROUND(IFERROR(INDEX(Benefit_Master!$G$4:$BC$135,MATCH($DN35,Benefit_Master!$BD$4:$BD$135,0),MATCH(EK$9,Benefit_Master!$G$3:$BC$3,0)),0)*AI35,0)</f>
        <v>0</v>
      </c>
      <c r="EL35" s="64">
        <f>ROUND(IFERROR(INDEX(Benefit_Master!$G$4:$BC$135,MATCH($DN35,Benefit_Master!$BD$4:$BD$135,0),MATCH(EL$9,Benefit_Master!$G$3:$BC$3,0)),0)*AJ35,0)</f>
        <v>0</v>
      </c>
      <c r="EM35" s="64">
        <f>ROUND(IFERROR(INDEX(Benefit_Master!$G$4:$BC$135,MATCH($DN35,Benefit_Master!$BD$4:$BD$135,0),MATCH(EM$9,Benefit_Master!$G$3:$BC$3,0)),0)*AK35,0)</f>
        <v>0</v>
      </c>
      <c r="EN35" s="66">
        <f t="shared" si="25"/>
        <v>0</v>
      </c>
      <c r="EO35" s="64">
        <f>ROUND(IFERROR(INDEX(Benefit_Master!$G$4:$BC$135,MATCH($DN35,Benefit_Master!$BD$4:$BD$135,0),MATCH(EO$9,Benefit_Master!$G$3:$BC$3,0)),0)*AM35,0)</f>
        <v>0</v>
      </c>
      <c r="EP35" s="64">
        <f>ROUND(IFERROR(INDEX(Benefit_Master!$G$4:$BC$135,MATCH($DN35,Benefit_Master!$BD$4:$BD$135,0),MATCH(EP$9,Benefit_Master!$G$3:$BC$3,0)),0)*AN35,0)</f>
        <v>0</v>
      </c>
      <c r="EQ35" s="64">
        <f>ROUND(IFERROR(INDEX(Benefit_Master!$G$4:$BC$135,MATCH($DN35,Benefit_Master!$BD$4:$BD$135,0),MATCH(EQ$9,Benefit_Master!$G$3:$BC$3,0)),0)*AO35,0)</f>
        <v>0</v>
      </c>
      <c r="ER35" s="64">
        <f>ROUND(IFERROR(INDEX(Benefit_Master!$G$4:$BC$135,MATCH($DN35,Benefit_Master!$BD$4:$BD$135,0),MATCH(ER$9,Benefit_Master!$G$3:$BC$3,0)),0)*AP35,0)</f>
        <v>0</v>
      </c>
      <c r="ES35" s="64">
        <f>ROUND(IFERROR(INDEX(Benefit_Master!$G$4:$BC$135,MATCH($DN35,Benefit_Master!$BD$4:$BD$135,0),MATCH(ES$9,Benefit_Master!$G$3:$BC$3,0)),0)*AQ35,0)</f>
        <v>0</v>
      </c>
      <c r="ET35" s="64">
        <f>ROUND(IFERROR(INDEX(Benefit_Master!$G$4:$BC$135,MATCH($DN35,Benefit_Master!$BD$4:$BD$135,0),MATCH(ET$9,Benefit_Master!$G$3:$BC$3,0)),0)*AR35,0)</f>
        <v>0</v>
      </c>
      <c r="EU35" s="64">
        <f>ROUND(IFERROR(INDEX(Benefit_Master!$G$4:$BC$135,MATCH($DN35,Benefit_Master!$BD$4:$BD$135,0),MATCH(EU$9,Benefit_Master!$G$3:$BC$3,0)),0)*AS35,0)</f>
        <v>0</v>
      </c>
      <c r="EV35" s="64">
        <f>ROUND(IFERROR(INDEX(Benefit_Master!$G$4:$BC$135,MATCH($DN35,Benefit_Master!$BD$4:$BD$135,0),MATCH(EV$9,Benefit_Master!$G$3:$BC$3,0)),0)*AT35,0)</f>
        <v>0</v>
      </c>
      <c r="EW35" s="64">
        <f>ROUND(IFERROR(INDEX(Benefit_Master!$G$4:$BC$135,MATCH($DN35,Benefit_Master!$BD$4:$BD$135,0),MATCH(EW$9,Benefit_Master!$G$3:$BC$3,0)),0)*AU35,0)</f>
        <v>0</v>
      </c>
      <c r="EX35" s="64">
        <f>ROUND(IFERROR(INDEX(Benefit_Master!$G$4:$BC$135,MATCH($DN35,Benefit_Master!$BD$4:$BD$135,0),MATCH(EX$9,Benefit_Master!$G$3:$BC$3,0)),0)*AV35,0)</f>
        <v>0</v>
      </c>
      <c r="EY35" s="64">
        <f>ROUND(IFERROR(INDEX(Benefit_Master!$G$4:$BC$135,MATCH($DN35,Benefit_Master!$BD$4:$BD$135,0),MATCH(EY$9,Benefit_Master!$G$3:$BC$3,0)),0)*AW35,0)</f>
        <v>0</v>
      </c>
      <c r="EZ35" s="64">
        <f>ROUND(IFERROR(INDEX(Benefit_Master!$G$4:$BC$135,MATCH($DN35,Benefit_Master!$BD$4:$BD$135,0),MATCH(EZ$9,Benefit_Master!$G$3:$BC$3,0)),0)*AX35,0)</f>
        <v>0</v>
      </c>
      <c r="FA35" s="66">
        <f t="shared" si="26"/>
        <v>0</v>
      </c>
      <c r="FB35" s="64">
        <f>ROUND(IFERROR(INDEX(Benefit_Master!$G$4:$BC$135,MATCH($DN35,Benefit_Master!$BD$4:$BD$135,0),MATCH(FB$9,Benefit_Master!$G$3:$BC$3,0)),0)*AZ35,0)</f>
        <v>0</v>
      </c>
      <c r="FC35" s="64">
        <f>ROUND(IFERROR(INDEX(Benefit_Master!$G$4:$BC$135,MATCH($DN35,Benefit_Master!$BD$4:$BD$135,0),MATCH(FC$9,Benefit_Master!$G$3:$BC$3,0)),0)*BA35,0)</f>
        <v>0</v>
      </c>
      <c r="FD35" s="64">
        <f>ROUND(IFERROR(INDEX(Benefit_Master!$G$4:$BC$135,MATCH($DN35,Benefit_Master!$BD$4:$BD$135,0),MATCH(FD$9,Benefit_Master!$G$3:$BC$3,0)),0)*BB35,0)</f>
        <v>0</v>
      </c>
      <c r="FE35" s="64">
        <f>ROUND(IFERROR(INDEX(Benefit_Master!$G$4:$BC$135,MATCH($DN35,Benefit_Master!$BD$4:$BD$135,0),MATCH(FE$9,Benefit_Master!$G$3:$BC$3,0)),0)*BC35,0)</f>
        <v>0</v>
      </c>
      <c r="FF35" s="64">
        <f>ROUND(IFERROR(INDEX(Benefit_Master!$G$4:$BC$135,MATCH($DN35,Benefit_Master!$BD$4:$BD$135,0),MATCH(FF$9,Benefit_Master!$G$3:$BC$3,0)),0)*BD35,0)</f>
        <v>0</v>
      </c>
      <c r="FG35" s="64">
        <f>ROUND(IFERROR(INDEX(Benefit_Master!$G$4:$BC$135,MATCH($DN35,Benefit_Master!$BD$4:$BD$135,0),MATCH(FG$9,Benefit_Master!$G$3:$BC$3,0)),0)*BE35,0)</f>
        <v>0</v>
      </c>
      <c r="FH35" s="64">
        <f>ROUND(IFERROR(INDEX(Benefit_Master!$G$4:$BC$135,MATCH($DN35,Benefit_Master!$BD$4:$BD$135,0),MATCH(FH$9,Benefit_Master!$G$3:$BC$3,0)),0)*BF35,0)</f>
        <v>0</v>
      </c>
      <c r="FI35" s="64">
        <f>ROUND(IFERROR(INDEX(Benefit_Master!$G$4:$BC$135,MATCH($DN35,Benefit_Master!$BD$4:$BD$135,0),MATCH(FI$9,Benefit_Master!$G$3:$BC$3,0)),0)*BG35,0)</f>
        <v>0</v>
      </c>
      <c r="FJ35" s="64">
        <f>ROUND(IFERROR(INDEX(Benefit_Master!$G$4:$BC$135,MATCH($DN35,Benefit_Master!$BD$4:$BD$135,0),MATCH(FJ$9,Benefit_Master!$G$3:$BC$3,0)),0)*BH35,0)</f>
        <v>0</v>
      </c>
      <c r="FK35" s="64">
        <f>ROUND(IFERROR(INDEX(Benefit_Master!$G$4:$BC$135,MATCH($DN35,Benefit_Master!$BD$4:$BD$135,0),MATCH(FK$9,Benefit_Master!$G$3:$BC$3,0)),0)*BI35,0)</f>
        <v>0</v>
      </c>
      <c r="FL35" s="64">
        <f>ROUND(IFERROR(INDEX(Benefit_Master!$G$4:$BC$135,MATCH($DN35,Benefit_Master!$BD$4:$BD$135,0),MATCH(FL$9,Benefit_Master!$G$3:$BC$3,0)),0)*BJ35,0)</f>
        <v>0</v>
      </c>
      <c r="FM35" s="64">
        <f>ROUND(IFERROR(INDEX(Benefit_Master!$G$4:$BC$135,MATCH($DN35,Benefit_Master!$BD$4:$BD$135,0),MATCH(FM$9,Benefit_Master!$G$3:$BC$3,0)),0)*BK35,0)</f>
        <v>0</v>
      </c>
      <c r="FN35" s="66">
        <f t="shared" si="27"/>
        <v>0</v>
      </c>
    </row>
    <row r="36" spans="2:170" s="12" customFormat="1" ht="15" customHeight="1">
      <c r="B36" s="93">
        <f t="shared" si="28"/>
        <v>24</v>
      </c>
      <c r="C36" s="89"/>
      <c r="D36" s="97"/>
      <c r="E36" s="1157"/>
      <c r="F36" s="425"/>
      <c r="G36" s="94" t="str">
        <f>IFERROR(VLOOKUP($F36,Master!$B$1:$C$7,2,0),"-")</f>
        <v>-</v>
      </c>
      <c r="H36" s="95">
        <f t="shared" si="12"/>
        <v>0</v>
      </c>
      <c r="I36" s="138">
        <f t="shared" si="13"/>
        <v>0</v>
      </c>
      <c r="J36" s="138">
        <f t="shared" si="14"/>
        <v>0</v>
      </c>
      <c r="K36" s="96"/>
      <c r="L36"/>
      <c r="M36" s="58"/>
      <c r="N36" s="59"/>
      <c r="O36" s="59"/>
      <c r="P36" s="59"/>
      <c r="Q36" s="59"/>
      <c r="R36" s="59"/>
      <c r="S36" s="59"/>
      <c r="T36" s="59"/>
      <c r="U36" s="679"/>
      <c r="V36" s="56"/>
      <c r="W36" s="56"/>
      <c r="X36" s="56"/>
      <c r="Y36" s="60">
        <f t="shared" si="15"/>
        <v>0</v>
      </c>
      <c r="Z36" s="55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60">
        <f t="shared" si="16"/>
        <v>0</v>
      </c>
      <c r="AM36" s="58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60">
        <f t="shared" si="17"/>
        <v>0</v>
      </c>
      <c r="AZ36" s="58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60">
        <f t="shared" si="18"/>
        <v>0</v>
      </c>
      <c r="BM36"/>
      <c r="BN36" s="64">
        <f>ROUND(IFERROR(INDEX('Labor Cost_Master'!$G$4:$BC$135,MATCH($DN36,'Labor Cost_Master'!$BD$4:$BD$135,0),MATCH(BN$9,'Labor Cost_Master'!$G$3:$BC$3,0)),0)*M36,0)</f>
        <v>0</v>
      </c>
      <c r="BO36" s="64">
        <f>ROUND(IFERROR(INDEX('Labor Cost_Master'!$G$4:$BC$135,MATCH($DN36,'Labor Cost_Master'!$BD$4:$BD$135,0),MATCH(BO$9,'Labor Cost_Master'!$G$3:$BC$3,0)),0)*N36,0)</f>
        <v>0</v>
      </c>
      <c r="BP36" s="64">
        <f>ROUND(IFERROR(INDEX('Labor Cost_Master'!$G$4:$BC$135,MATCH($DN36,'Labor Cost_Master'!$BD$4:$BD$135,0),MATCH(BP$9,'Labor Cost_Master'!$G$3:$BC$3,0)),0)*O36,0)</f>
        <v>0</v>
      </c>
      <c r="BQ36" s="64">
        <f>ROUND(IFERROR(INDEX('Labor Cost_Master'!$G$4:$BC$135,MATCH($DN36,'Labor Cost_Master'!$BD$4:$BD$135,0),MATCH(BQ$9,'Labor Cost_Master'!$G$3:$BC$3,0)),0)*P36,0)</f>
        <v>0</v>
      </c>
      <c r="BR36" s="64">
        <f>ROUND(IFERROR(INDEX('Labor Cost_Master'!$G$4:$BC$135,MATCH($DN36,'Labor Cost_Master'!$BD$4:$BD$135,0),MATCH(BR$9,'Labor Cost_Master'!$G$3:$BC$3,0)),0)*Q36,0)</f>
        <v>0</v>
      </c>
      <c r="BS36" s="64">
        <f>ROUND(IFERROR(INDEX('Labor Cost_Master'!$G$4:$BC$135,MATCH($DN36,'Labor Cost_Master'!$BD$4:$BD$135,0),MATCH(BS$9,'Labor Cost_Master'!$G$3:$BC$3,0)),0)*R36,0)</f>
        <v>0</v>
      </c>
      <c r="BT36" s="64">
        <f>ROUND(IFERROR(INDEX('Labor Cost_Master'!$G$4:$BC$135,MATCH($DN36,'Labor Cost_Master'!$BD$4:$BD$135,0),MATCH(BT$9,'Labor Cost_Master'!$G$3:$BC$3,0)),0)*S36,0)</f>
        <v>0</v>
      </c>
      <c r="BU36" s="64">
        <f>ROUND(IFERROR(INDEX('Labor Cost_Master'!$G$4:$BC$135,MATCH($DN36,'Labor Cost_Master'!$BD$4:$BD$135,0),MATCH(BU$9,'Labor Cost_Master'!$G$3:$BC$3,0)),0)*T36,0)</f>
        <v>0</v>
      </c>
      <c r="BV36" s="64">
        <f>ROUND(IFERROR(INDEX('Labor Cost_Master'!$G$4:$BC$135,MATCH($DN36,'Labor Cost_Master'!$BD$4:$BD$135,0),MATCH(BV$9,'Labor Cost_Master'!$G$3:$BC$3,0)),0)*U36,0)</f>
        <v>0</v>
      </c>
      <c r="BW36" s="64">
        <f>ROUND(IFERROR(INDEX('Labor Cost_Master'!$G$4:$BC$135,MATCH($DN36,'Labor Cost_Master'!$BD$4:$BD$135,0),MATCH(BW$9,'Labor Cost_Master'!$G$3:$BC$3,0)),0)*V36,0)</f>
        <v>0</v>
      </c>
      <c r="BX36" s="64">
        <f>ROUND(IFERROR(INDEX('Labor Cost_Master'!$G$4:$BC$135,MATCH($DN36,'Labor Cost_Master'!$BD$4:$BD$135,0),MATCH(BX$9,'Labor Cost_Master'!$G$3:$BC$3,0)),0)*W36,0)</f>
        <v>0</v>
      </c>
      <c r="BY36" s="64">
        <f>ROUND(IFERROR(INDEX('Labor Cost_Master'!$G$4:$BC$135,MATCH($DN36,'Labor Cost_Master'!$BD$4:$BD$135,0),MATCH(BY$9,'Labor Cost_Master'!$G$3:$BC$3,0)),0)*X36,0)</f>
        <v>0</v>
      </c>
      <c r="BZ36" s="66">
        <f t="shared" si="19"/>
        <v>0</v>
      </c>
      <c r="CA36" s="64">
        <f>ROUND(IFERROR(INDEX('Labor Cost_Master'!$G$4:$BC$135,MATCH($DN36,'Labor Cost_Master'!$BD$4:$BD$135,0),MATCH(CA$9,'Labor Cost_Master'!$G$3:$BC$3,0)),0)*Z36,0)</f>
        <v>0</v>
      </c>
      <c r="CB36" s="64">
        <f>ROUND(IFERROR(INDEX('Labor Cost_Master'!$G$4:$BC$135,MATCH($DN36,'Labor Cost_Master'!$BD$4:$BD$135,0),MATCH(CB$9,'Labor Cost_Master'!$G$3:$BC$3,0)),0)*AA36,0)</f>
        <v>0</v>
      </c>
      <c r="CC36" s="64">
        <f>ROUND(IFERROR(INDEX('Labor Cost_Master'!$G$4:$BC$135,MATCH($DN36,'Labor Cost_Master'!$BD$4:$BD$135,0),MATCH(CC$9,'Labor Cost_Master'!$G$3:$BC$3,0)),0)*AB36,0)</f>
        <v>0</v>
      </c>
      <c r="CD36" s="64">
        <f>ROUND(IFERROR(INDEX('Labor Cost_Master'!$G$4:$BC$135,MATCH($DN36,'Labor Cost_Master'!$BD$4:$BD$135,0),MATCH(CD$9,'Labor Cost_Master'!$G$3:$BC$3,0)),0)*AC36,0)</f>
        <v>0</v>
      </c>
      <c r="CE36" s="64">
        <f>ROUND(IFERROR(INDEX('Labor Cost_Master'!$G$4:$BC$135,MATCH($DN36,'Labor Cost_Master'!$BD$4:$BD$135,0),MATCH(CE$9,'Labor Cost_Master'!$G$3:$BC$3,0)),0)*AD36,0)</f>
        <v>0</v>
      </c>
      <c r="CF36" s="64">
        <f>ROUND(IFERROR(INDEX('Labor Cost_Master'!$G$4:$BC$135,MATCH($DN36,'Labor Cost_Master'!$BD$4:$BD$135,0),MATCH(CF$9,'Labor Cost_Master'!$G$3:$BC$3,0)),0)*AE36,0)</f>
        <v>0</v>
      </c>
      <c r="CG36" s="64">
        <f>ROUND(IFERROR(INDEX('Labor Cost_Master'!$G$4:$BC$135,MATCH($DN36,'Labor Cost_Master'!$BD$4:$BD$135,0),MATCH(CG$9,'Labor Cost_Master'!$G$3:$BC$3,0)),0)*AF36,0)</f>
        <v>0</v>
      </c>
      <c r="CH36" s="64">
        <f>ROUND(IFERROR(INDEX('Labor Cost_Master'!$G$4:$BC$135,MATCH($DN36,'Labor Cost_Master'!$BD$4:$BD$135,0),MATCH(CH$9,'Labor Cost_Master'!$G$3:$BC$3,0)),0)*AG36,0)</f>
        <v>0</v>
      </c>
      <c r="CI36" s="64">
        <f>ROUND(IFERROR(INDEX('Labor Cost_Master'!$G$4:$BC$135,MATCH($DN36,'Labor Cost_Master'!$BD$4:$BD$135,0),MATCH(CI$9,'Labor Cost_Master'!$G$3:$BC$3,0)),0)*AH36,0)</f>
        <v>0</v>
      </c>
      <c r="CJ36" s="64">
        <f>ROUND(IFERROR(INDEX('Labor Cost_Master'!$G$4:$BC$135,MATCH($DN36,'Labor Cost_Master'!$BD$4:$BD$135,0),MATCH(CJ$9,'Labor Cost_Master'!$G$3:$BC$3,0)),0)*AI36,0)</f>
        <v>0</v>
      </c>
      <c r="CK36" s="64">
        <f>ROUND(IFERROR(INDEX('Labor Cost_Master'!$G$4:$BC$135,MATCH($DN36,'Labor Cost_Master'!$BD$4:$BD$135,0),MATCH(CK$9,'Labor Cost_Master'!$G$3:$BC$3,0)),0)*AJ36,0)</f>
        <v>0</v>
      </c>
      <c r="CL36" s="64">
        <f>ROUND(IFERROR(INDEX('Labor Cost_Master'!$G$4:$BC$135,MATCH($DN36,'Labor Cost_Master'!$BD$4:$BD$135,0),MATCH(CL$9,'Labor Cost_Master'!$G$3:$BC$3,0)),0)*AK36,0)</f>
        <v>0</v>
      </c>
      <c r="CM36" s="66">
        <f t="shared" si="20"/>
        <v>0</v>
      </c>
      <c r="CN36" s="64">
        <f>ROUND(IFERROR(INDEX('Labor Cost_Master'!$G$4:$BC$135,MATCH($DN36,'Labor Cost_Master'!$BD$4:$BD$135,0),MATCH(CN$9,'Labor Cost_Master'!$G$3:$BC$3,0)),0)*AM36,0)</f>
        <v>0</v>
      </c>
      <c r="CO36" s="64">
        <f>ROUND(IFERROR(INDEX('Labor Cost_Master'!$G$4:$BC$135,MATCH($DN36,'Labor Cost_Master'!$BD$4:$BD$135,0),MATCH(CO$9,'Labor Cost_Master'!$G$3:$BC$3,0)),0)*AN36,0)</f>
        <v>0</v>
      </c>
      <c r="CP36" s="64">
        <f>ROUND(IFERROR(INDEX('Labor Cost_Master'!$G$4:$BC$135,MATCH($DN36,'Labor Cost_Master'!$BD$4:$BD$135,0),MATCH(CP$9,'Labor Cost_Master'!$G$3:$BC$3,0)),0)*AO36,0)</f>
        <v>0</v>
      </c>
      <c r="CQ36" s="64">
        <f>ROUND(IFERROR(INDEX('Labor Cost_Master'!$G$4:$BC$135,MATCH($DN36,'Labor Cost_Master'!$BD$4:$BD$135,0),MATCH(CQ$9,'Labor Cost_Master'!$G$3:$BC$3,0)),0)*AP36,0)</f>
        <v>0</v>
      </c>
      <c r="CR36" s="64">
        <f>ROUND(IFERROR(INDEX('Labor Cost_Master'!$G$4:$BC$135,MATCH($DN36,'Labor Cost_Master'!$BD$4:$BD$135,0),MATCH(CR$9,'Labor Cost_Master'!$G$3:$BC$3,0)),0)*AQ36,0)</f>
        <v>0</v>
      </c>
      <c r="CS36" s="64">
        <f>ROUND(IFERROR(INDEX('Labor Cost_Master'!$G$4:$BC$135,MATCH($DN36,'Labor Cost_Master'!$BD$4:$BD$135,0),MATCH(CS$9,'Labor Cost_Master'!$G$3:$BC$3,0)),0)*AR36,0)</f>
        <v>0</v>
      </c>
      <c r="CT36" s="64">
        <f>ROUND(IFERROR(INDEX('Labor Cost_Master'!$G$4:$BC$135,MATCH($DN36,'Labor Cost_Master'!$BD$4:$BD$135,0),MATCH(CT$9,'Labor Cost_Master'!$G$3:$BC$3,0)),0)*AS36,0)</f>
        <v>0</v>
      </c>
      <c r="CU36" s="64">
        <f>ROUND(IFERROR(INDEX('Labor Cost_Master'!$G$4:$BC$135,MATCH($DN36,'Labor Cost_Master'!$BD$4:$BD$135,0),MATCH(CU$9,'Labor Cost_Master'!$G$3:$BC$3,0)),0)*AT36,0)</f>
        <v>0</v>
      </c>
      <c r="CV36" s="64">
        <f>ROUND(IFERROR(INDEX('Labor Cost_Master'!$G$4:$BC$135,MATCH($DN36,'Labor Cost_Master'!$BD$4:$BD$135,0),MATCH(CV$9,'Labor Cost_Master'!$G$3:$BC$3,0)),0)*AU36,0)</f>
        <v>0</v>
      </c>
      <c r="CW36" s="64">
        <f>ROUND(IFERROR(INDEX('Labor Cost_Master'!$G$4:$BC$135,MATCH($DN36,'Labor Cost_Master'!$BD$4:$BD$135,0),MATCH(CW$9,'Labor Cost_Master'!$G$3:$BC$3,0)),0)*AV36,0)</f>
        <v>0</v>
      </c>
      <c r="CX36" s="64">
        <f>ROUND(IFERROR(INDEX('Labor Cost_Master'!$G$4:$BC$135,MATCH($DN36,'Labor Cost_Master'!$BD$4:$BD$135,0),MATCH(CX$9,'Labor Cost_Master'!$G$3:$BC$3,0)),0)*AW36,0)</f>
        <v>0</v>
      </c>
      <c r="CY36" s="64">
        <f>ROUND(IFERROR(INDEX('Labor Cost_Master'!$G$4:$BC$135,MATCH($DN36,'Labor Cost_Master'!$BD$4:$BD$135,0),MATCH(CY$9,'Labor Cost_Master'!$G$3:$BC$3,0)),0)*AX36,0)</f>
        <v>0</v>
      </c>
      <c r="CZ36" s="66">
        <f t="shared" si="21"/>
        <v>0</v>
      </c>
      <c r="DA36" s="64">
        <f>ROUND(IFERROR(INDEX('Labor Cost_Master'!$G$4:$BC$135,MATCH($DN36,'Labor Cost_Master'!$BD$4:$BD$135,0),MATCH(DA$9,'Labor Cost_Master'!$G$3:$BC$3,0)),0)*AZ36,0)</f>
        <v>0</v>
      </c>
      <c r="DB36" s="64">
        <f>ROUND(IFERROR(INDEX('Labor Cost_Master'!$G$4:$BC$135,MATCH($DN36,'Labor Cost_Master'!$BD$4:$BD$135,0),MATCH(DB$9,'Labor Cost_Master'!$G$3:$BC$3,0)),0)*BA36,0)</f>
        <v>0</v>
      </c>
      <c r="DC36" s="1166">
        <f>ROUND(IFERROR(INDEX('Labor Cost_Master'!$G$4:$BC$135,MATCH($DN36,'Labor Cost_Master'!$BD$4:$BD$135,0),MATCH(DC$9,'Labor Cost_Master'!$G$3:$BC$3,0)),0)*BB36,0)*1.05</f>
        <v>0</v>
      </c>
      <c r="DD36" s="64">
        <f>ROUND(IFERROR(INDEX('Labor Cost_Master'!$G$4:$BC$135,MATCH($DN36,'Labor Cost_Master'!$BD$4:$BD$135,0),MATCH(DD$9,'Labor Cost_Master'!$G$3:$BC$3,0)),0)*BC36,0)*1.05</f>
        <v>0</v>
      </c>
      <c r="DE36" s="64">
        <f>ROUND(IFERROR(INDEX('Labor Cost_Master'!$G$4:$BC$135,MATCH($DN36,'Labor Cost_Master'!$BD$4:$BD$135,0),MATCH(DE$9,'Labor Cost_Master'!$G$3:$BC$3,0)),0)*BD36,0)*1.05</f>
        <v>0</v>
      </c>
      <c r="DF36" s="64">
        <f>ROUND(IFERROR(INDEX('Labor Cost_Master'!$G$4:$BC$135,MATCH($DN36,'Labor Cost_Master'!$BD$4:$BD$135,0),MATCH(DF$9,'Labor Cost_Master'!$G$3:$BC$3,0)),0)*BE36,0)*1.05</f>
        <v>0</v>
      </c>
      <c r="DG36" s="64">
        <f>ROUND(IFERROR(INDEX('Labor Cost_Master'!$G$4:$BC$135,MATCH($DN36,'Labor Cost_Master'!$BD$4:$BD$135,0),MATCH(DG$9,'Labor Cost_Master'!$G$3:$BC$3,0)),0)*BF36,0)*1.05</f>
        <v>0</v>
      </c>
      <c r="DH36" s="64">
        <f>ROUND(IFERROR(INDEX('Labor Cost_Master'!$G$4:$BC$135,MATCH($DN36,'Labor Cost_Master'!$BD$4:$BD$135,0),MATCH(DH$9,'Labor Cost_Master'!$G$3:$BC$3,0)),0)*BG36,0)*1.05</f>
        <v>0</v>
      </c>
      <c r="DI36" s="64">
        <f>ROUND(IFERROR(INDEX('Labor Cost_Master'!$G$4:$BC$135,MATCH($DN36,'Labor Cost_Master'!$BD$4:$BD$135,0),MATCH(DI$9,'Labor Cost_Master'!$G$3:$BC$3,0)),0)*BH36,0)*1.05</f>
        <v>0</v>
      </c>
      <c r="DJ36" s="64">
        <f>ROUND(IFERROR(INDEX('Labor Cost_Master'!$G$4:$BC$135,MATCH($DN36,'Labor Cost_Master'!$BD$4:$BD$135,0),MATCH(DJ$9,'Labor Cost_Master'!$G$3:$BC$3,0)),0)*BI36,0)*1.05</f>
        <v>0</v>
      </c>
      <c r="DK36" s="64">
        <f>ROUND(IFERROR(INDEX('Labor Cost_Master'!$G$4:$BC$135,MATCH($DN36,'Labor Cost_Master'!$BD$4:$BD$135,0),MATCH(DK$9,'Labor Cost_Master'!$G$3:$BC$3,0)),0)*BJ36,0)*1.05</f>
        <v>0</v>
      </c>
      <c r="DL36" s="64">
        <f>ROUND(IFERROR(INDEX('Labor Cost_Master'!$G$4:$BC$135,MATCH($DN36,'Labor Cost_Master'!$BD$4:$BD$135,0),MATCH(DL$9,'Labor Cost_Master'!$G$3:$BC$3,0)),0)*BK36,0)*1.05</f>
        <v>0</v>
      </c>
      <c r="DM36" s="66">
        <f t="shared" si="22"/>
        <v>0</v>
      </c>
      <c r="DN36" s="80" t="str">
        <f t="shared" si="23"/>
        <v/>
      </c>
      <c r="DO36" s="64">
        <f>ROUND(IFERROR(INDEX(Benefit_Master!$G$4:$BC$135,MATCH($DN36,Benefit_Master!$BD$4:$BD$135,0),MATCH(DO$9,Benefit_Master!$G$3:$BC$3,0)),0)*M36,0)</f>
        <v>0</v>
      </c>
      <c r="DP36" s="64">
        <f>ROUND(IFERROR(INDEX(Benefit_Master!$G$4:$BC$135,MATCH($DN36,Benefit_Master!$BD$4:$BD$135,0),MATCH(DP$9,Benefit_Master!$G$3:$BC$3,0)),0)*N36,0)</f>
        <v>0</v>
      </c>
      <c r="DQ36" s="64">
        <f>ROUND(IFERROR(INDEX(Benefit_Master!$G$4:$BC$135,MATCH($DN36,Benefit_Master!$BD$4:$BD$135,0),MATCH(DQ$9,Benefit_Master!$G$3:$BC$3,0)),0)*O36,0)</f>
        <v>0</v>
      </c>
      <c r="DR36" s="64">
        <f>ROUND(IFERROR(INDEX(Benefit_Master!$G$4:$BC$135,MATCH($DN36,Benefit_Master!$BD$4:$BD$135,0),MATCH(DR$9,Benefit_Master!$G$3:$BC$3,0)),0)*P36,0)</f>
        <v>0</v>
      </c>
      <c r="DS36" s="64">
        <f>ROUND(IFERROR(INDEX(Benefit_Master!$G$4:$BC$135,MATCH($DN36,Benefit_Master!$BD$4:$BD$135,0),MATCH(DS$9,Benefit_Master!$G$3:$BC$3,0)),0)*Q36,0)</f>
        <v>0</v>
      </c>
      <c r="DT36" s="64">
        <f>ROUND(IFERROR(INDEX(Benefit_Master!$G$4:$BC$135,MATCH($DN36,Benefit_Master!$BD$4:$BD$135,0),MATCH(DT$9,Benefit_Master!$G$3:$BC$3,0)),0)*R36,0)</f>
        <v>0</v>
      </c>
      <c r="DU36" s="64">
        <f>ROUND(IFERROR(INDEX(Benefit_Master!$G$4:$BC$135,MATCH($DN36,Benefit_Master!$BD$4:$BD$135,0),MATCH(DU$9,Benefit_Master!$G$3:$BC$3,0)),0)*S36,0)</f>
        <v>0</v>
      </c>
      <c r="DV36" s="64">
        <f>ROUND(IFERROR(INDEX(Benefit_Master!$G$4:$BC$135,MATCH($DN36,Benefit_Master!$BD$4:$BD$135,0),MATCH(DV$9,Benefit_Master!$G$3:$BC$3,0)),0)*T36,0)</f>
        <v>0</v>
      </c>
      <c r="DW36" s="64">
        <f>ROUND(IFERROR(INDEX(Benefit_Master!$G$4:$BC$135,MATCH($DN36,Benefit_Master!$BD$4:$BD$135,0),MATCH(DW$9,Benefit_Master!$G$3:$BC$3,0)),0)*U36,0)</f>
        <v>0</v>
      </c>
      <c r="DX36" s="64">
        <f>ROUND(IFERROR(INDEX(Benefit_Master!$G$4:$BC$135,MATCH($DN36,Benefit_Master!$BD$4:$BD$135,0),MATCH(DX$9,Benefit_Master!$G$3:$BC$3,0)),0)*V36,0)</f>
        <v>0</v>
      </c>
      <c r="DY36" s="64">
        <f>ROUND(IFERROR(INDEX(Benefit_Master!$G$4:$BC$135,MATCH($DN36,Benefit_Master!$BD$4:$BD$135,0),MATCH(DY$9,Benefit_Master!$G$3:$BC$3,0)),0)*W36,0)</f>
        <v>0</v>
      </c>
      <c r="DZ36" s="64">
        <f>ROUND(IFERROR(INDEX(Benefit_Master!$G$4:$BC$135,MATCH($DN36,Benefit_Master!$BD$4:$BD$135,0),MATCH(DZ$9,Benefit_Master!$G$3:$BC$3,0)),0)*X36,0)</f>
        <v>0</v>
      </c>
      <c r="EA36" s="66">
        <f t="shared" si="24"/>
        <v>0</v>
      </c>
      <c r="EB36" s="64">
        <f>ROUND(IFERROR(INDEX(Benefit_Master!$G$4:$BC$135,MATCH($DN36,Benefit_Master!$BD$4:$BD$135,0),MATCH(EB$9,Benefit_Master!$G$3:$BC$3,0)),0)*Z36,0)</f>
        <v>0</v>
      </c>
      <c r="EC36" s="64">
        <f>ROUND(IFERROR(INDEX(Benefit_Master!$G$4:$BC$135,MATCH($DN36,Benefit_Master!$BD$4:$BD$135,0),MATCH(EC$9,Benefit_Master!$G$3:$BC$3,0)),0)*AA36,0)</f>
        <v>0</v>
      </c>
      <c r="ED36" s="64">
        <f>ROUND(IFERROR(INDEX(Benefit_Master!$G$4:$BC$135,MATCH($DN36,Benefit_Master!$BD$4:$BD$135,0),MATCH(ED$9,Benefit_Master!$G$3:$BC$3,0)),0)*AB36,0)</f>
        <v>0</v>
      </c>
      <c r="EE36" s="64">
        <f>ROUND(IFERROR(INDEX(Benefit_Master!$G$4:$BC$135,MATCH($DN36,Benefit_Master!$BD$4:$BD$135,0),MATCH(EE$9,Benefit_Master!$G$3:$BC$3,0)),0)*AC36,0)</f>
        <v>0</v>
      </c>
      <c r="EF36" s="64">
        <f>ROUND(IFERROR(INDEX(Benefit_Master!$G$4:$BC$135,MATCH($DN36,Benefit_Master!$BD$4:$BD$135,0),MATCH(EF$9,Benefit_Master!$G$3:$BC$3,0)),0)*AD36,0)</f>
        <v>0</v>
      </c>
      <c r="EG36" s="64">
        <f>ROUND(IFERROR(INDEX(Benefit_Master!$G$4:$BC$135,MATCH($DN36,Benefit_Master!$BD$4:$BD$135,0),MATCH(EG$9,Benefit_Master!$G$3:$BC$3,0)),0)*AE36,0)</f>
        <v>0</v>
      </c>
      <c r="EH36" s="64">
        <f>ROUND(IFERROR(INDEX(Benefit_Master!$G$4:$BC$135,MATCH($DN36,Benefit_Master!$BD$4:$BD$135,0),MATCH(EH$9,Benefit_Master!$G$3:$BC$3,0)),0)*AF36,0)</f>
        <v>0</v>
      </c>
      <c r="EI36" s="64">
        <f>ROUND(IFERROR(INDEX(Benefit_Master!$G$4:$BC$135,MATCH($DN36,Benefit_Master!$BD$4:$BD$135,0),MATCH(EI$9,Benefit_Master!$G$3:$BC$3,0)),0)*AG36,0)</f>
        <v>0</v>
      </c>
      <c r="EJ36" s="64">
        <f>ROUND(IFERROR(INDEX(Benefit_Master!$G$4:$BC$135,MATCH($DN36,Benefit_Master!$BD$4:$BD$135,0),MATCH(EJ$9,Benefit_Master!$G$3:$BC$3,0)),0)*AH36,0)</f>
        <v>0</v>
      </c>
      <c r="EK36" s="64">
        <f>ROUND(IFERROR(INDEX(Benefit_Master!$G$4:$BC$135,MATCH($DN36,Benefit_Master!$BD$4:$BD$135,0),MATCH(EK$9,Benefit_Master!$G$3:$BC$3,0)),0)*AI36,0)</f>
        <v>0</v>
      </c>
      <c r="EL36" s="64">
        <f>ROUND(IFERROR(INDEX(Benefit_Master!$G$4:$BC$135,MATCH($DN36,Benefit_Master!$BD$4:$BD$135,0),MATCH(EL$9,Benefit_Master!$G$3:$BC$3,0)),0)*AJ36,0)</f>
        <v>0</v>
      </c>
      <c r="EM36" s="64">
        <f>ROUND(IFERROR(INDEX(Benefit_Master!$G$4:$BC$135,MATCH($DN36,Benefit_Master!$BD$4:$BD$135,0),MATCH(EM$9,Benefit_Master!$G$3:$BC$3,0)),0)*AK36,0)</f>
        <v>0</v>
      </c>
      <c r="EN36" s="66">
        <f t="shared" si="25"/>
        <v>0</v>
      </c>
      <c r="EO36" s="64">
        <f>ROUND(IFERROR(INDEX(Benefit_Master!$G$4:$BC$135,MATCH($DN36,Benefit_Master!$BD$4:$BD$135,0),MATCH(EO$9,Benefit_Master!$G$3:$BC$3,0)),0)*AM36,0)</f>
        <v>0</v>
      </c>
      <c r="EP36" s="64">
        <f>ROUND(IFERROR(INDEX(Benefit_Master!$G$4:$BC$135,MATCH($DN36,Benefit_Master!$BD$4:$BD$135,0),MATCH(EP$9,Benefit_Master!$G$3:$BC$3,0)),0)*AN36,0)</f>
        <v>0</v>
      </c>
      <c r="EQ36" s="64">
        <f>ROUND(IFERROR(INDEX(Benefit_Master!$G$4:$BC$135,MATCH($DN36,Benefit_Master!$BD$4:$BD$135,0),MATCH(EQ$9,Benefit_Master!$G$3:$BC$3,0)),0)*AO36,0)</f>
        <v>0</v>
      </c>
      <c r="ER36" s="64">
        <f>ROUND(IFERROR(INDEX(Benefit_Master!$G$4:$BC$135,MATCH($DN36,Benefit_Master!$BD$4:$BD$135,0),MATCH(ER$9,Benefit_Master!$G$3:$BC$3,0)),0)*AP36,0)</f>
        <v>0</v>
      </c>
      <c r="ES36" s="64">
        <f>ROUND(IFERROR(INDEX(Benefit_Master!$G$4:$BC$135,MATCH($DN36,Benefit_Master!$BD$4:$BD$135,0),MATCH(ES$9,Benefit_Master!$G$3:$BC$3,0)),0)*AQ36,0)</f>
        <v>0</v>
      </c>
      <c r="ET36" s="64">
        <f>ROUND(IFERROR(INDEX(Benefit_Master!$G$4:$BC$135,MATCH($DN36,Benefit_Master!$BD$4:$BD$135,0),MATCH(ET$9,Benefit_Master!$G$3:$BC$3,0)),0)*AR36,0)</f>
        <v>0</v>
      </c>
      <c r="EU36" s="64">
        <f>ROUND(IFERROR(INDEX(Benefit_Master!$G$4:$BC$135,MATCH($DN36,Benefit_Master!$BD$4:$BD$135,0),MATCH(EU$9,Benefit_Master!$G$3:$BC$3,0)),0)*AS36,0)</f>
        <v>0</v>
      </c>
      <c r="EV36" s="64">
        <f>ROUND(IFERROR(INDEX(Benefit_Master!$G$4:$BC$135,MATCH($DN36,Benefit_Master!$BD$4:$BD$135,0),MATCH(EV$9,Benefit_Master!$G$3:$BC$3,0)),0)*AT36,0)</f>
        <v>0</v>
      </c>
      <c r="EW36" s="64">
        <f>ROUND(IFERROR(INDEX(Benefit_Master!$G$4:$BC$135,MATCH($DN36,Benefit_Master!$BD$4:$BD$135,0),MATCH(EW$9,Benefit_Master!$G$3:$BC$3,0)),0)*AU36,0)</f>
        <v>0</v>
      </c>
      <c r="EX36" s="64">
        <f>ROUND(IFERROR(INDEX(Benefit_Master!$G$4:$BC$135,MATCH($DN36,Benefit_Master!$BD$4:$BD$135,0),MATCH(EX$9,Benefit_Master!$G$3:$BC$3,0)),0)*AV36,0)</f>
        <v>0</v>
      </c>
      <c r="EY36" s="64">
        <f>ROUND(IFERROR(INDEX(Benefit_Master!$G$4:$BC$135,MATCH($DN36,Benefit_Master!$BD$4:$BD$135,0),MATCH(EY$9,Benefit_Master!$G$3:$BC$3,0)),0)*AW36,0)</f>
        <v>0</v>
      </c>
      <c r="EZ36" s="64">
        <f>ROUND(IFERROR(INDEX(Benefit_Master!$G$4:$BC$135,MATCH($DN36,Benefit_Master!$BD$4:$BD$135,0),MATCH(EZ$9,Benefit_Master!$G$3:$BC$3,0)),0)*AX36,0)</f>
        <v>0</v>
      </c>
      <c r="FA36" s="66">
        <f t="shared" si="26"/>
        <v>0</v>
      </c>
      <c r="FB36" s="64">
        <f>ROUND(IFERROR(INDEX(Benefit_Master!$G$4:$BC$135,MATCH($DN36,Benefit_Master!$BD$4:$BD$135,0),MATCH(FB$9,Benefit_Master!$G$3:$BC$3,0)),0)*AZ36,0)</f>
        <v>0</v>
      </c>
      <c r="FC36" s="64">
        <f>ROUND(IFERROR(INDEX(Benefit_Master!$G$4:$BC$135,MATCH($DN36,Benefit_Master!$BD$4:$BD$135,0),MATCH(FC$9,Benefit_Master!$G$3:$BC$3,0)),0)*BA36,0)</f>
        <v>0</v>
      </c>
      <c r="FD36" s="64">
        <f>ROUND(IFERROR(INDEX(Benefit_Master!$G$4:$BC$135,MATCH($DN36,Benefit_Master!$BD$4:$BD$135,0),MATCH(FD$9,Benefit_Master!$G$3:$BC$3,0)),0)*BB36,0)</f>
        <v>0</v>
      </c>
      <c r="FE36" s="64">
        <f>ROUND(IFERROR(INDEX(Benefit_Master!$G$4:$BC$135,MATCH($DN36,Benefit_Master!$BD$4:$BD$135,0),MATCH(FE$9,Benefit_Master!$G$3:$BC$3,0)),0)*BC36,0)</f>
        <v>0</v>
      </c>
      <c r="FF36" s="64">
        <f>ROUND(IFERROR(INDEX(Benefit_Master!$G$4:$BC$135,MATCH($DN36,Benefit_Master!$BD$4:$BD$135,0),MATCH(FF$9,Benefit_Master!$G$3:$BC$3,0)),0)*BD36,0)</f>
        <v>0</v>
      </c>
      <c r="FG36" s="64">
        <f>ROUND(IFERROR(INDEX(Benefit_Master!$G$4:$BC$135,MATCH($DN36,Benefit_Master!$BD$4:$BD$135,0),MATCH(FG$9,Benefit_Master!$G$3:$BC$3,0)),0)*BE36,0)</f>
        <v>0</v>
      </c>
      <c r="FH36" s="64">
        <f>ROUND(IFERROR(INDEX(Benefit_Master!$G$4:$BC$135,MATCH($DN36,Benefit_Master!$BD$4:$BD$135,0),MATCH(FH$9,Benefit_Master!$G$3:$BC$3,0)),0)*BF36,0)</f>
        <v>0</v>
      </c>
      <c r="FI36" s="64">
        <f>ROUND(IFERROR(INDEX(Benefit_Master!$G$4:$BC$135,MATCH($DN36,Benefit_Master!$BD$4:$BD$135,0),MATCH(FI$9,Benefit_Master!$G$3:$BC$3,0)),0)*BG36,0)</f>
        <v>0</v>
      </c>
      <c r="FJ36" s="64">
        <f>ROUND(IFERROR(INDEX(Benefit_Master!$G$4:$BC$135,MATCH($DN36,Benefit_Master!$BD$4:$BD$135,0),MATCH(FJ$9,Benefit_Master!$G$3:$BC$3,0)),0)*BH36,0)</f>
        <v>0</v>
      </c>
      <c r="FK36" s="64">
        <f>ROUND(IFERROR(INDEX(Benefit_Master!$G$4:$BC$135,MATCH($DN36,Benefit_Master!$BD$4:$BD$135,0),MATCH(FK$9,Benefit_Master!$G$3:$BC$3,0)),0)*BI36,0)</f>
        <v>0</v>
      </c>
      <c r="FL36" s="64">
        <f>ROUND(IFERROR(INDEX(Benefit_Master!$G$4:$BC$135,MATCH($DN36,Benefit_Master!$BD$4:$BD$135,0),MATCH(FL$9,Benefit_Master!$G$3:$BC$3,0)),0)*BJ36,0)</f>
        <v>0</v>
      </c>
      <c r="FM36" s="64">
        <f>ROUND(IFERROR(INDEX(Benefit_Master!$G$4:$BC$135,MATCH($DN36,Benefit_Master!$BD$4:$BD$135,0),MATCH(FM$9,Benefit_Master!$G$3:$BC$3,0)),0)*BK36,0)</f>
        <v>0</v>
      </c>
      <c r="FN36" s="66">
        <f t="shared" si="27"/>
        <v>0</v>
      </c>
    </row>
    <row r="37" spans="2:170" s="12" customFormat="1" ht="15" customHeight="1">
      <c r="B37" s="93">
        <f t="shared" si="28"/>
        <v>25</v>
      </c>
      <c r="C37" s="89"/>
      <c r="D37" s="97"/>
      <c r="E37" s="1157"/>
      <c r="F37" s="425"/>
      <c r="G37" s="94" t="str">
        <f>IFERROR(VLOOKUP($F37,Master!$B$1:$C$7,2,0),"-")</f>
        <v>-</v>
      </c>
      <c r="H37" s="95">
        <f t="shared" si="12"/>
        <v>0</v>
      </c>
      <c r="I37" s="138">
        <f t="shared" si="13"/>
        <v>0</v>
      </c>
      <c r="J37" s="138">
        <f t="shared" si="14"/>
        <v>0</v>
      </c>
      <c r="K37" s="96"/>
      <c r="L37"/>
      <c r="M37" s="58"/>
      <c r="N37" s="59"/>
      <c r="O37" s="59"/>
      <c r="P37" s="59"/>
      <c r="Q37" s="59"/>
      <c r="R37" s="59"/>
      <c r="S37" s="59"/>
      <c r="T37" s="59"/>
      <c r="U37" s="679"/>
      <c r="V37" s="56"/>
      <c r="W37" s="56"/>
      <c r="X37" s="56"/>
      <c r="Y37" s="60">
        <f t="shared" si="15"/>
        <v>0</v>
      </c>
      <c r="Z37" s="55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60">
        <f t="shared" si="16"/>
        <v>0</v>
      </c>
      <c r="AM37" s="58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60">
        <f t="shared" si="17"/>
        <v>0</v>
      </c>
      <c r="AZ37" s="58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60">
        <f t="shared" si="18"/>
        <v>0</v>
      </c>
      <c r="BM37"/>
      <c r="BN37" s="64">
        <f>ROUND(IFERROR(INDEX('Labor Cost_Master'!$G$4:$BC$135,MATCH($DN37,'Labor Cost_Master'!$BD$4:$BD$135,0),MATCH(BN$9,'Labor Cost_Master'!$G$3:$BC$3,0)),0)*M37,0)</f>
        <v>0</v>
      </c>
      <c r="BO37" s="64">
        <f>ROUND(IFERROR(INDEX('Labor Cost_Master'!$G$4:$BC$135,MATCH($DN37,'Labor Cost_Master'!$BD$4:$BD$135,0),MATCH(BO$9,'Labor Cost_Master'!$G$3:$BC$3,0)),0)*N37,0)</f>
        <v>0</v>
      </c>
      <c r="BP37" s="64">
        <f>ROUND(IFERROR(INDEX('Labor Cost_Master'!$G$4:$BC$135,MATCH($DN37,'Labor Cost_Master'!$BD$4:$BD$135,0),MATCH(BP$9,'Labor Cost_Master'!$G$3:$BC$3,0)),0)*O37,0)</f>
        <v>0</v>
      </c>
      <c r="BQ37" s="64">
        <f>ROUND(IFERROR(INDEX('Labor Cost_Master'!$G$4:$BC$135,MATCH($DN37,'Labor Cost_Master'!$BD$4:$BD$135,0),MATCH(BQ$9,'Labor Cost_Master'!$G$3:$BC$3,0)),0)*P37,0)</f>
        <v>0</v>
      </c>
      <c r="BR37" s="64">
        <f>ROUND(IFERROR(INDEX('Labor Cost_Master'!$G$4:$BC$135,MATCH($DN37,'Labor Cost_Master'!$BD$4:$BD$135,0),MATCH(BR$9,'Labor Cost_Master'!$G$3:$BC$3,0)),0)*Q37,0)</f>
        <v>0</v>
      </c>
      <c r="BS37" s="64">
        <f>ROUND(IFERROR(INDEX('Labor Cost_Master'!$G$4:$BC$135,MATCH($DN37,'Labor Cost_Master'!$BD$4:$BD$135,0),MATCH(BS$9,'Labor Cost_Master'!$G$3:$BC$3,0)),0)*R37,0)</f>
        <v>0</v>
      </c>
      <c r="BT37" s="64">
        <f>ROUND(IFERROR(INDEX('Labor Cost_Master'!$G$4:$BC$135,MATCH($DN37,'Labor Cost_Master'!$BD$4:$BD$135,0),MATCH(BT$9,'Labor Cost_Master'!$G$3:$BC$3,0)),0)*S37,0)</f>
        <v>0</v>
      </c>
      <c r="BU37" s="64">
        <f>ROUND(IFERROR(INDEX('Labor Cost_Master'!$G$4:$BC$135,MATCH($DN37,'Labor Cost_Master'!$BD$4:$BD$135,0),MATCH(BU$9,'Labor Cost_Master'!$G$3:$BC$3,0)),0)*T37,0)</f>
        <v>0</v>
      </c>
      <c r="BV37" s="64">
        <f>ROUND(IFERROR(INDEX('Labor Cost_Master'!$G$4:$BC$135,MATCH($DN37,'Labor Cost_Master'!$BD$4:$BD$135,0),MATCH(BV$9,'Labor Cost_Master'!$G$3:$BC$3,0)),0)*U37,0)</f>
        <v>0</v>
      </c>
      <c r="BW37" s="64">
        <f>ROUND(IFERROR(INDEX('Labor Cost_Master'!$G$4:$BC$135,MATCH($DN37,'Labor Cost_Master'!$BD$4:$BD$135,0),MATCH(BW$9,'Labor Cost_Master'!$G$3:$BC$3,0)),0)*V37,0)</f>
        <v>0</v>
      </c>
      <c r="BX37" s="64">
        <f>ROUND(IFERROR(INDEX('Labor Cost_Master'!$G$4:$BC$135,MATCH($DN37,'Labor Cost_Master'!$BD$4:$BD$135,0),MATCH(BX$9,'Labor Cost_Master'!$G$3:$BC$3,0)),0)*W37,0)</f>
        <v>0</v>
      </c>
      <c r="BY37" s="64">
        <f>ROUND(IFERROR(INDEX('Labor Cost_Master'!$G$4:$BC$135,MATCH($DN37,'Labor Cost_Master'!$BD$4:$BD$135,0),MATCH(BY$9,'Labor Cost_Master'!$G$3:$BC$3,0)),0)*X37,0)</f>
        <v>0</v>
      </c>
      <c r="BZ37" s="66">
        <f t="shared" si="19"/>
        <v>0</v>
      </c>
      <c r="CA37" s="64">
        <f>ROUND(IFERROR(INDEX('Labor Cost_Master'!$G$4:$BC$135,MATCH($DN37,'Labor Cost_Master'!$BD$4:$BD$135,0),MATCH(CA$9,'Labor Cost_Master'!$G$3:$BC$3,0)),0)*Z37,0)</f>
        <v>0</v>
      </c>
      <c r="CB37" s="64">
        <f>ROUND(IFERROR(INDEX('Labor Cost_Master'!$G$4:$BC$135,MATCH($DN37,'Labor Cost_Master'!$BD$4:$BD$135,0),MATCH(CB$9,'Labor Cost_Master'!$G$3:$BC$3,0)),0)*AA37,0)</f>
        <v>0</v>
      </c>
      <c r="CC37" s="64">
        <f>ROUND(IFERROR(INDEX('Labor Cost_Master'!$G$4:$BC$135,MATCH($DN37,'Labor Cost_Master'!$BD$4:$BD$135,0),MATCH(CC$9,'Labor Cost_Master'!$G$3:$BC$3,0)),0)*AB37,0)</f>
        <v>0</v>
      </c>
      <c r="CD37" s="64">
        <f>ROUND(IFERROR(INDEX('Labor Cost_Master'!$G$4:$BC$135,MATCH($DN37,'Labor Cost_Master'!$BD$4:$BD$135,0),MATCH(CD$9,'Labor Cost_Master'!$G$3:$BC$3,0)),0)*AC37,0)</f>
        <v>0</v>
      </c>
      <c r="CE37" s="64">
        <f>ROUND(IFERROR(INDEX('Labor Cost_Master'!$G$4:$BC$135,MATCH($DN37,'Labor Cost_Master'!$BD$4:$BD$135,0),MATCH(CE$9,'Labor Cost_Master'!$G$3:$BC$3,0)),0)*AD37,0)</f>
        <v>0</v>
      </c>
      <c r="CF37" s="64">
        <f>ROUND(IFERROR(INDEX('Labor Cost_Master'!$G$4:$BC$135,MATCH($DN37,'Labor Cost_Master'!$BD$4:$BD$135,0),MATCH(CF$9,'Labor Cost_Master'!$G$3:$BC$3,0)),0)*AE37,0)</f>
        <v>0</v>
      </c>
      <c r="CG37" s="64">
        <f>ROUND(IFERROR(INDEX('Labor Cost_Master'!$G$4:$BC$135,MATCH($DN37,'Labor Cost_Master'!$BD$4:$BD$135,0),MATCH(CG$9,'Labor Cost_Master'!$G$3:$BC$3,0)),0)*AF37,0)</f>
        <v>0</v>
      </c>
      <c r="CH37" s="64">
        <f>ROUND(IFERROR(INDEX('Labor Cost_Master'!$G$4:$BC$135,MATCH($DN37,'Labor Cost_Master'!$BD$4:$BD$135,0),MATCH(CH$9,'Labor Cost_Master'!$G$3:$BC$3,0)),0)*AG37,0)</f>
        <v>0</v>
      </c>
      <c r="CI37" s="64">
        <f>ROUND(IFERROR(INDEX('Labor Cost_Master'!$G$4:$BC$135,MATCH($DN37,'Labor Cost_Master'!$BD$4:$BD$135,0),MATCH(CI$9,'Labor Cost_Master'!$G$3:$BC$3,0)),0)*AH37,0)</f>
        <v>0</v>
      </c>
      <c r="CJ37" s="64">
        <f>ROUND(IFERROR(INDEX('Labor Cost_Master'!$G$4:$BC$135,MATCH($DN37,'Labor Cost_Master'!$BD$4:$BD$135,0),MATCH(CJ$9,'Labor Cost_Master'!$G$3:$BC$3,0)),0)*AI37,0)</f>
        <v>0</v>
      </c>
      <c r="CK37" s="64">
        <f>ROUND(IFERROR(INDEX('Labor Cost_Master'!$G$4:$BC$135,MATCH($DN37,'Labor Cost_Master'!$BD$4:$BD$135,0),MATCH(CK$9,'Labor Cost_Master'!$G$3:$BC$3,0)),0)*AJ37,0)</f>
        <v>0</v>
      </c>
      <c r="CL37" s="64">
        <f>ROUND(IFERROR(INDEX('Labor Cost_Master'!$G$4:$BC$135,MATCH($DN37,'Labor Cost_Master'!$BD$4:$BD$135,0),MATCH(CL$9,'Labor Cost_Master'!$G$3:$BC$3,0)),0)*AK37,0)</f>
        <v>0</v>
      </c>
      <c r="CM37" s="66">
        <f t="shared" si="20"/>
        <v>0</v>
      </c>
      <c r="CN37" s="64">
        <f>ROUND(IFERROR(INDEX('Labor Cost_Master'!$G$4:$BC$135,MATCH($DN37,'Labor Cost_Master'!$BD$4:$BD$135,0),MATCH(CN$9,'Labor Cost_Master'!$G$3:$BC$3,0)),0)*AM37,0)</f>
        <v>0</v>
      </c>
      <c r="CO37" s="64">
        <f>ROUND(IFERROR(INDEX('Labor Cost_Master'!$G$4:$BC$135,MATCH($DN37,'Labor Cost_Master'!$BD$4:$BD$135,0),MATCH(CO$9,'Labor Cost_Master'!$G$3:$BC$3,0)),0)*AN37,0)</f>
        <v>0</v>
      </c>
      <c r="CP37" s="64">
        <f>ROUND(IFERROR(INDEX('Labor Cost_Master'!$G$4:$BC$135,MATCH($DN37,'Labor Cost_Master'!$BD$4:$BD$135,0),MATCH(CP$9,'Labor Cost_Master'!$G$3:$BC$3,0)),0)*AO37,0)</f>
        <v>0</v>
      </c>
      <c r="CQ37" s="64">
        <f>ROUND(IFERROR(INDEX('Labor Cost_Master'!$G$4:$BC$135,MATCH($DN37,'Labor Cost_Master'!$BD$4:$BD$135,0),MATCH(CQ$9,'Labor Cost_Master'!$G$3:$BC$3,0)),0)*AP37,0)</f>
        <v>0</v>
      </c>
      <c r="CR37" s="64">
        <f>ROUND(IFERROR(INDEX('Labor Cost_Master'!$G$4:$BC$135,MATCH($DN37,'Labor Cost_Master'!$BD$4:$BD$135,0),MATCH(CR$9,'Labor Cost_Master'!$G$3:$BC$3,0)),0)*AQ37,0)</f>
        <v>0</v>
      </c>
      <c r="CS37" s="64">
        <f>ROUND(IFERROR(INDEX('Labor Cost_Master'!$G$4:$BC$135,MATCH($DN37,'Labor Cost_Master'!$BD$4:$BD$135,0),MATCH(CS$9,'Labor Cost_Master'!$G$3:$BC$3,0)),0)*AR37,0)</f>
        <v>0</v>
      </c>
      <c r="CT37" s="64">
        <f>ROUND(IFERROR(INDEX('Labor Cost_Master'!$G$4:$BC$135,MATCH($DN37,'Labor Cost_Master'!$BD$4:$BD$135,0),MATCH(CT$9,'Labor Cost_Master'!$G$3:$BC$3,0)),0)*AS37,0)</f>
        <v>0</v>
      </c>
      <c r="CU37" s="64">
        <f>ROUND(IFERROR(INDEX('Labor Cost_Master'!$G$4:$BC$135,MATCH($DN37,'Labor Cost_Master'!$BD$4:$BD$135,0),MATCH(CU$9,'Labor Cost_Master'!$G$3:$BC$3,0)),0)*AT37,0)</f>
        <v>0</v>
      </c>
      <c r="CV37" s="64">
        <f>ROUND(IFERROR(INDEX('Labor Cost_Master'!$G$4:$BC$135,MATCH($DN37,'Labor Cost_Master'!$BD$4:$BD$135,0),MATCH(CV$9,'Labor Cost_Master'!$G$3:$BC$3,0)),0)*AU37,0)</f>
        <v>0</v>
      </c>
      <c r="CW37" s="64">
        <f>ROUND(IFERROR(INDEX('Labor Cost_Master'!$G$4:$BC$135,MATCH($DN37,'Labor Cost_Master'!$BD$4:$BD$135,0),MATCH(CW$9,'Labor Cost_Master'!$G$3:$BC$3,0)),0)*AV37,0)</f>
        <v>0</v>
      </c>
      <c r="CX37" s="64">
        <f>ROUND(IFERROR(INDEX('Labor Cost_Master'!$G$4:$BC$135,MATCH($DN37,'Labor Cost_Master'!$BD$4:$BD$135,0),MATCH(CX$9,'Labor Cost_Master'!$G$3:$BC$3,0)),0)*AW37,0)</f>
        <v>0</v>
      </c>
      <c r="CY37" s="64">
        <f>ROUND(IFERROR(INDEX('Labor Cost_Master'!$G$4:$BC$135,MATCH($DN37,'Labor Cost_Master'!$BD$4:$BD$135,0),MATCH(CY$9,'Labor Cost_Master'!$G$3:$BC$3,0)),0)*AX37,0)</f>
        <v>0</v>
      </c>
      <c r="CZ37" s="66">
        <f t="shared" si="21"/>
        <v>0</v>
      </c>
      <c r="DA37" s="64">
        <f>ROUND(IFERROR(INDEX('Labor Cost_Master'!$G$4:$BC$135,MATCH($DN37,'Labor Cost_Master'!$BD$4:$BD$135,0),MATCH(DA$9,'Labor Cost_Master'!$G$3:$BC$3,0)),0)*AZ37,0)</f>
        <v>0</v>
      </c>
      <c r="DB37" s="64">
        <f>ROUND(IFERROR(INDEX('Labor Cost_Master'!$G$4:$BC$135,MATCH($DN37,'Labor Cost_Master'!$BD$4:$BD$135,0),MATCH(DB$9,'Labor Cost_Master'!$G$3:$BC$3,0)),0)*BA37,0)</f>
        <v>0</v>
      </c>
      <c r="DC37" s="1166">
        <f>ROUND(IFERROR(INDEX('Labor Cost_Master'!$G$4:$BC$135,MATCH($DN37,'Labor Cost_Master'!$BD$4:$BD$135,0),MATCH(DC$9,'Labor Cost_Master'!$G$3:$BC$3,0)),0)*BB37,0)*1.05</f>
        <v>0</v>
      </c>
      <c r="DD37" s="64">
        <f>ROUND(IFERROR(INDEX('Labor Cost_Master'!$G$4:$BC$135,MATCH($DN37,'Labor Cost_Master'!$BD$4:$BD$135,0),MATCH(DD$9,'Labor Cost_Master'!$G$3:$BC$3,0)),0)*BC37,0)*1.05</f>
        <v>0</v>
      </c>
      <c r="DE37" s="64">
        <f>ROUND(IFERROR(INDEX('Labor Cost_Master'!$G$4:$BC$135,MATCH($DN37,'Labor Cost_Master'!$BD$4:$BD$135,0),MATCH(DE$9,'Labor Cost_Master'!$G$3:$BC$3,0)),0)*BD37,0)*1.05</f>
        <v>0</v>
      </c>
      <c r="DF37" s="64">
        <f>ROUND(IFERROR(INDEX('Labor Cost_Master'!$G$4:$BC$135,MATCH($DN37,'Labor Cost_Master'!$BD$4:$BD$135,0),MATCH(DF$9,'Labor Cost_Master'!$G$3:$BC$3,0)),0)*BE37,0)*1.05</f>
        <v>0</v>
      </c>
      <c r="DG37" s="64">
        <f>ROUND(IFERROR(INDEX('Labor Cost_Master'!$G$4:$BC$135,MATCH($DN37,'Labor Cost_Master'!$BD$4:$BD$135,0),MATCH(DG$9,'Labor Cost_Master'!$G$3:$BC$3,0)),0)*BF37,0)*1.05</f>
        <v>0</v>
      </c>
      <c r="DH37" s="64">
        <f>ROUND(IFERROR(INDEX('Labor Cost_Master'!$G$4:$BC$135,MATCH($DN37,'Labor Cost_Master'!$BD$4:$BD$135,0),MATCH(DH$9,'Labor Cost_Master'!$G$3:$BC$3,0)),0)*BG37,0)*1.05</f>
        <v>0</v>
      </c>
      <c r="DI37" s="64">
        <f>ROUND(IFERROR(INDEX('Labor Cost_Master'!$G$4:$BC$135,MATCH($DN37,'Labor Cost_Master'!$BD$4:$BD$135,0),MATCH(DI$9,'Labor Cost_Master'!$G$3:$BC$3,0)),0)*BH37,0)*1.05</f>
        <v>0</v>
      </c>
      <c r="DJ37" s="64">
        <f>ROUND(IFERROR(INDEX('Labor Cost_Master'!$G$4:$BC$135,MATCH($DN37,'Labor Cost_Master'!$BD$4:$BD$135,0),MATCH(DJ$9,'Labor Cost_Master'!$G$3:$BC$3,0)),0)*BI37,0)*1.05</f>
        <v>0</v>
      </c>
      <c r="DK37" s="64">
        <f>ROUND(IFERROR(INDEX('Labor Cost_Master'!$G$4:$BC$135,MATCH($DN37,'Labor Cost_Master'!$BD$4:$BD$135,0),MATCH(DK$9,'Labor Cost_Master'!$G$3:$BC$3,0)),0)*BJ37,0)*1.05</f>
        <v>0</v>
      </c>
      <c r="DL37" s="64">
        <f>ROUND(IFERROR(INDEX('Labor Cost_Master'!$G$4:$BC$135,MATCH($DN37,'Labor Cost_Master'!$BD$4:$BD$135,0),MATCH(DL$9,'Labor Cost_Master'!$G$3:$BC$3,0)),0)*BK37,0)*1.05</f>
        <v>0</v>
      </c>
      <c r="DM37" s="66">
        <f t="shared" si="22"/>
        <v>0</v>
      </c>
      <c r="DN37" s="80" t="str">
        <f t="shared" si="23"/>
        <v/>
      </c>
      <c r="DO37" s="64">
        <f>ROUND(IFERROR(INDEX(Benefit_Master!$G$4:$BC$135,MATCH($DN37,Benefit_Master!$BD$4:$BD$135,0),MATCH(DO$9,Benefit_Master!$G$3:$BC$3,0)),0)*M37,0)</f>
        <v>0</v>
      </c>
      <c r="DP37" s="64">
        <f>ROUND(IFERROR(INDEX(Benefit_Master!$G$4:$BC$135,MATCH($DN37,Benefit_Master!$BD$4:$BD$135,0),MATCH(DP$9,Benefit_Master!$G$3:$BC$3,0)),0)*N37,0)</f>
        <v>0</v>
      </c>
      <c r="DQ37" s="64">
        <f>ROUND(IFERROR(INDEX(Benefit_Master!$G$4:$BC$135,MATCH($DN37,Benefit_Master!$BD$4:$BD$135,0),MATCH(DQ$9,Benefit_Master!$G$3:$BC$3,0)),0)*O37,0)</f>
        <v>0</v>
      </c>
      <c r="DR37" s="64">
        <f>ROUND(IFERROR(INDEX(Benefit_Master!$G$4:$BC$135,MATCH($DN37,Benefit_Master!$BD$4:$BD$135,0),MATCH(DR$9,Benefit_Master!$G$3:$BC$3,0)),0)*P37,0)</f>
        <v>0</v>
      </c>
      <c r="DS37" s="64">
        <f>ROUND(IFERROR(INDEX(Benefit_Master!$G$4:$BC$135,MATCH($DN37,Benefit_Master!$BD$4:$BD$135,0),MATCH(DS$9,Benefit_Master!$G$3:$BC$3,0)),0)*Q37,0)</f>
        <v>0</v>
      </c>
      <c r="DT37" s="64">
        <f>ROUND(IFERROR(INDEX(Benefit_Master!$G$4:$BC$135,MATCH($DN37,Benefit_Master!$BD$4:$BD$135,0),MATCH(DT$9,Benefit_Master!$G$3:$BC$3,0)),0)*R37,0)</f>
        <v>0</v>
      </c>
      <c r="DU37" s="64">
        <f>ROUND(IFERROR(INDEX(Benefit_Master!$G$4:$BC$135,MATCH($DN37,Benefit_Master!$BD$4:$BD$135,0),MATCH(DU$9,Benefit_Master!$G$3:$BC$3,0)),0)*S37,0)</f>
        <v>0</v>
      </c>
      <c r="DV37" s="64">
        <f>ROUND(IFERROR(INDEX(Benefit_Master!$G$4:$BC$135,MATCH($DN37,Benefit_Master!$BD$4:$BD$135,0),MATCH(DV$9,Benefit_Master!$G$3:$BC$3,0)),0)*T37,0)</f>
        <v>0</v>
      </c>
      <c r="DW37" s="64">
        <f>ROUND(IFERROR(INDEX(Benefit_Master!$G$4:$BC$135,MATCH($DN37,Benefit_Master!$BD$4:$BD$135,0),MATCH(DW$9,Benefit_Master!$G$3:$BC$3,0)),0)*U37,0)</f>
        <v>0</v>
      </c>
      <c r="DX37" s="64">
        <f>ROUND(IFERROR(INDEX(Benefit_Master!$G$4:$BC$135,MATCH($DN37,Benefit_Master!$BD$4:$BD$135,0),MATCH(DX$9,Benefit_Master!$G$3:$BC$3,0)),0)*V37,0)</f>
        <v>0</v>
      </c>
      <c r="DY37" s="64">
        <f>ROUND(IFERROR(INDEX(Benefit_Master!$G$4:$BC$135,MATCH($DN37,Benefit_Master!$BD$4:$BD$135,0),MATCH(DY$9,Benefit_Master!$G$3:$BC$3,0)),0)*W37,0)</f>
        <v>0</v>
      </c>
      <c r="DZ37" s="64">
        <f>ROUND(IFERROR(INDEX(Benefit_Master!$G$4:$BC$135,MATCH($DN37,Benefit_Master!$BD$4:$BD$135,0),MATCH(DZ$9,Benefit_Master!$G$3:$BC$3,0)),0)*X37,0)</f>
        <v>0</v>
      </c>
      <c r="EA37" s="66">
        <f t="shared" si="24"/>
        <v>0</v>
      </c>
      <c r="EB37" s="64">
        <f>ROUND(IFERROR(INDEX(Benefit_Master!$G$4:$BC$135,MATCH($DN37,Benefit_Master!$BD$4:$BD$135,0),MATCH(EB$9,Benefit_Master!$G$3:$BC$3,0)),0)*Z37,0)</f>
        <v>0</v>
      </c>
      <c r="EC37" s="64">
        <f>ROUND(IFERROR(INDEX(Benefit_Master!$G$4:$BC$135,MATCH($DN37,Benefit_Master!$BD$4:$BD$135,0),MATCH(EC$9,Benefit_Master!$G$3:$BC$3,0)),0)*AA37,0)</f>
        <v>0</v>
      </c>
      <c r="ED37" s="64">
        <f>ROUND(IFERROR(INDEX(Benefit_Master!$G$4:$BC$135,MATCH($DN37,Benefit_Master!$BD$4:$BD$135,0),MATCH(ED$9,Benefit_Master!$G$3:$BC$3,0)),0)*AB37,0)</f>
        <v>0</v>
      </c>
      <c r="EE37" s="64">
        <f>ROUND(IFERROR(INDEX(Benefit_Master!$G$4:$BC$135,MATCH($DN37,Benefit_Master!$BD$4:$BD$135,0),MATCH(EE$9,Benefit_Master!$G$3:$BC$3,0)),0)*AC37,0)</f>
        <v>0</v>
      </c>
      <c r="EF37" s="64">
        <f>ROUND(IFERROR(INDEX(Benefit_Master!$G$4:$BC$135,MATCH($DN37,Benefit_Master!$BD$4:$BD$135,0),MATCH(EF$9,Benefit_Master!$G$3:$BC$3,0)),0)*AD37,0)</f>
        <v>0</v>
      </c>
      <c r="EG37" s="64">
        <f>ROUND(IFERROR(INDEX(Benefit_Master!$G$4:$BC$135,MATCH($DN37,Benefit_Master!$BD$4:$BD$135,0),MATCH(EG$9,Benefit_Master!$G$3:$BC$3,0)),0)*AE37,0)</f>
        <v>0</v>
      </c>
      <c r="EH37" s="64">
        <f>ROUND(IFERROR(INDEX(Benefit_Master!$G$4:$BC$135,MATCH($DN37,Benefit_Master!$BD$4:$BD$135,0),MATCH(EH$9,Benefit_Master!$G$3:$BC$3,0)),0)*AF37,0)</f>
        <v>0</v>
      </c>
      <c r="EI37" s="64">
        <f>ROUND(IFERROR(INDEX(Benefit_Master!$G$4:$BC$135,MATCH($DN37,Benefit_Master!$BD$4:$BD$135,0),MATCH(EI$9,Benefit_Master!$G$3:$BC$3,0)),0)*AG37,0)</f>
        <v>0</v>
      </c>
      <c r="EJ37" s="64">
        <f>ROUND(IFERROR(INDEX(Benefit_Master!$G$4:$BC$135,MATCH($DN37,Benefit_Master!$BD$4:$BD$135,0),MATCH(EJ$9,Benefit_Master!$G$3:$BC$3,0)),0)*AH37,0)</f>
        <v>0</v>
      </c>
      <c r="EK37" s="64">
        <f>ROUND(IFERROR(INDEX(Benefit_Master!$G$4:$BC$135,MATCH($DN37,Benefit_Master!$BD$4:$BD$135,0),MATCH(EK$9,Benefit_Master!$G$3:$BC$3,0)),0)*AI37,0)</f>
        <v>0</v>
      </c>
      <c r="EL37" s="64">
        <f>ROUND(IFERROR(INDEX(Benefit_Master!$G$4:$BC$135,MATCH($DN37,Benefit_Master!$BD$4:$BD$135,0),MATCH(EL$9,Benefit_Master!$G$3:$BC$3,0)),0)*AJ37,0)</f>
        <v>0</v>
      </c>
      <c r="EM37" s="64">
        <f>ROUND(IFERROR(INDEX(Benefit_Master!$G$4:$BC$135,MATCH($DN37,Benefit_Master!$BD$4:$BD$135,0),MATCH(EM$9,Benefit_Master!$G$3:$BC$3,0)),0)*AK37,0)</f>
        <v>0</v>
      </c>
      <c r="EN37" s="66">
        <f t="shared" si="25"/>
        <v>0</v>
      </c>
      <c r="EO37" s="64">
        <f>ROUND(IFERROR(INDEX(Benefit_Master!$G$4:$BC$135,MATCH($DN37,Benefit_Master!$BD$4:$BD$135,0),MATCH(EO$9,Benefit_Master!$G$3:$BC$3,0)),0)*AM37,0)</f>
        <v>0</v>
      </c>
      <c r="EP37" s="64">
        <f>ROUND(IFERROR(INDEX(Benefit_Master!$G$4:$BC$135,MATCH($DN37,Benefit_Master!$BD$4:$BD$135,0),MATCH(EP$9,Benefit_Master!$G$3:$BC$3,0)),0)*AN37,0)</f>
        <v>0</v>
      </c>
      <c r="EQ37" s="64">
        <f>ROUND(IFERROR(INDEX(Benefit_Master!$G$4:$BC$135,MATCH($DN37,Benefit_Master!$BD$4:$BD$135,0),MATCH(EQ$9,Benefit_Master!$G$3:$BC$3,0)),0)*AO37,0)</f>
        <v>0</v>
      </c>
      <c r="ER37" s="64">
        <f>ROUND(IFERROR(INDEX(Benefit_Master!$G$4:$BC$135,MATCH($DN37,Benefit_Master!$BD$4:$BD$135,0),MATCH(ER$9,Benefit_Master!$G$3:$BC$3,0)),0)*AP37,0)</f>
        <v>0</v>
      </c>
      <c r="ES37" s="64">
        <f>ROUND(IFERROR(INDEX(Benefit_Master!$G$4:$BC$135,MATCH($DN37,Benefit_Master!$BD$4:$BD$135,0),MATCH(ES$9,Benefit_Master!$G$3:$BC$3,0)),0)*AQ37,0)</f>
        <v>0</v>
      </c>
      <c r="ET37" s="64">
        <f>ROUND(IFERROR(INDEX(Benefit_Master!$G$4:$BC$135,MATCH($DN37,Benefit_Master!$BD$4:$BD$135,0),MATCH(ET$9,Benefit_Master!$G$3:$BC$3,0)),0)*AR37,0)</f>
        <v>0</v>
      </c>
      <c r="EU37" s="64">
        <f>ROUND(IFERROR(INDEX(Benefit_Master!$G$4:$BC$135,MATCH($DN37,Benefit_Master!$BD$4:$BD$135,0),MATCH(EU$9,Benefit_Master!$G$3:$BC$3,0)),0)*AS37,0)</f>
        <v>0</v>
      </c>
      <c r="EV37" s="64">
        <f>ROUND(IFERROR(INDEX(Benefit_Master!$G$4:$BC$135,MATCH($DN37,Benefit_Master!$BD$4:$BD$135,0),MATCH(EV$9,Benefit_Master!$G$3:$BC$3,0)),0)*AT37,0)</f>
        <v>0</v>
      </c>
      <c r="EW37" s="64">
        <f>ROUND(IFERROR(INDEX(Benefit_Master!$G$4:$BC$135,MATCH($DN37,Benefit_Master!$BD$4:$BD$135,0),MATCH(EW$9,Benefit_Master!$G$3:$BC$3,0)),0)*AU37,0)</f>
        <v>0</v>
      </c>
      <c r="EX37" s="64">
        <f>ROUND(IFERROR(INDEX(Benefit_Master!$G$4:$BC$135,MATCH($DN37,Benefit_Master!$BD$4:$BD$135,0),MATCH(EX$9,Benefit_Master!$G$3:$BC$3,0)),0)*AV37,0)</f>
        <v>0</v>
      </c>
      <c r="EY37" s="64">
        <f>ROUND(IFERROR(INDEX(Benefit_Master!$G$4:$BC$135,MATCH($DN37,Benefit_Master!$BD$4:$BD$135,0),MATCH(EY$9,Benefit_Master!$G$3:$BC$3,0)),0)*AW37,0)</f>
        <v>0</v>
      </c>
      <c r="EZ37" s="64">
        <f>ROUND(IFERROR(INDEX(Benefit_Master!$G$4:$BC$135,MATCH($DN37,Benefit_Master!$BD$4:$BD$135,0),MATCH(EZ$9,Benefit_Master!$G$3:$BC$3,0)),0)*AX37,0)</f>
        <v>0</v>
      </c>
      <c r="FA37" s="66">
        <f t="shared" si="26"/>
        <v>0</v>
      </c>
      <c r="FB37" s="64">
        <f>ROUND(IFERROR(INDEX(Benefit_Master!$G$4:$BC$135,MATCH($DN37,Benefit_Master!$BD$4:$BD$135,0),MATCH(FB$9,Benefit_Master!$G$3:$BC$3,0)),0)*AZ37,0)</f>
        <v>0</v>
      </c>
      <c r="FC37" s="64">
        <f>ROUND(IFERROR(INDEX(Benefit_Master!$G$4:$BC$135,MATCH($DN37,Benefit_Master!$BD$4:$BD$135,0),MATCH(FC$9,Benefit_Master!$G$3:$BC$3,0)),0)*BA37,0)</f>
        <v>0</v>
      </c>
      <c r="FD37" s="64">
        <f>ROUND(IFERROR(INDEX(Benefit_Master!$G$4:$BC$135,MATCH($DN37,Benefit_Master!$BD$4:$BD$135,0),MATCH(FD$9,Benefit_Master!$G$3:$BC$3,0)),0)*BB37,0)</f>
        <v>0</v>
      </c>
      <c r="FE37" s="64">
        <f>ROUND(IFERROR(INDEX(Benefit_Master!$G$4:$BC$135,MATCH($DN37,Benefit_Master!$BD$4:$BD$135,0),MATCH(FE$9,Benefit_Master!$G$3:$BC$3,0)),0)*BC37,0)</f>
        <v>0</v>
      </c>
      <c r="FF37" s="64">
        <f>ROUND(IFERROR(INDEX(Benefit_Master!$G$4:$BC$135,MATCH($DN37,Benefit_Master!$BD$4:$BD$135,0),MATCH(FF$9,Benefit_Master!$G$3:$BC$3,0)),0)*BD37,0)</f>
        <v>0</v>
      </c>
      <c r="FG37" s="64">
        <f>ROUND(IFERROR(INDEX(Benefit_Master!$G$4:$BC$135,MATCH($DN37,Benefit_Master!$BD$4:$BD$135,0),MATCH(FG$9,Benefit_Master!$G$3:$BC$3,0)),0)*BE37,0)</f>
        <v>0</v>
      </c>
      <c r="FH37" s="64">
        <f>ROUND(IFERROR(INDEX(Benefit_Master!$G$4:$BC$135,MATCH($DN37,Benefit_Master!$BD$4:$BD$135,0),MATCH(FH$9,Benefit_Master!$G$3:$BC$3,0)),0)*BF37,0)</f>
        <v>0</v>
      </c>
      <c r="FI37" s="64">
        <f>ROUND(IFERROR(INDEX(Benefit_Master!$G$4:$BC$135,MATCH($DN37,Benefit_Master!$BD$4:$BD$135,0),MATCH(FI$9,Benefit_Master!$G$3:$BC$3,0)),0)*BG37,0)</f>
        <v>0</v>
      </c>
      <c r="FJ37" s="64">
        <f>ROUND(IFERROR(INDEX(Benefit_Master!$G$4:$BC$135,MATCH($DN37,Benefit_Master!$BD$4:$BD$135,0),MATCH(FJ$9,Benefit_Master!$G$3:$BC$3,0)),0)*BH37,0)</f>
        <v>0</v>
      </c>
      <c r="FK37" s="64">
        <f>ROUND(IFERROR(INDEX(Benefit_Master!$G$4:$BC$135,MATCH($DN37,Benefit_Master!$BD$4:$BD$135,0),MATCH(FK$9,Benefit_Master!$G$3:$BC$3,0)),0)*BI37,0)</f>
        <v>0</v>
      </c>
      <c r="FL37" s="64">
        <f>ROUND(IFERROR(INDEX(Benefit_Master!$G$4:$BC$135,MATCH($DN37,Benefit_Master!$BD$4:$BD$135,0),MATCH(FL$9,Benefit_Master!$G$3:$BC$3,0)),0)*BJ37,0)</f>
        <v>0</v>
      </c>
      <c r="FM37" s="64">
        <f>ROUND(IFERROR(INDEX(Benefit_Master!$G$4:$BC$135,MATCH($DN37,Benefit_Master!$BD$4:$BD$135,0),MATCH(FM$9,Benefit_Master!$G$3:$BC$3,0)),0)*BK37,0)</f>
        <v>0</v>
      </c>
      <c r="FN37" s="66">
        <f t="shared" si="27"/>
        <v>0</v>
      </c>
    </row>
    <row r="38" spans="2:170" s="12" customFormat="1" ht="15" customHeight="1">
      <c r="B38" s="93">
        <f t="shared" si="28"/>
        <v>26</v>
      </c>
      <c r="C38" s="89"/>
      <c r="D38" s="97"/>
      <c r="E38" s="1157"/>
      <c r="F38" s="425"/>
      <c r="G38" s="94" t="str">
        <f>IFERROR(VLOOKUP($F38,Master!$B$1:$C$7,2,0),"-")</f>
        <v>-</v>
      </c>
      <c r="H38" s="95">
        <f t="shared" si="12"/>
        <v>0</v>
      </c>
      <c r="I38" s="138">
        <f t="shared" si="13"/>
        <v>0</v>
      </c>
      <c r="J38" s="138">
        <f t="shared" si="14"/>
        <v>0</v>
      </c>
      <c r="K38" s="96"/>
      <c r="L38"/>
      <c r="M38" s="58"/>
      <c r="N38" s="59"/>
      <c r="O38" s="59"/>
      <c r="P38" s="59"/>
      <c r="Q38" s="59"/>
      <c r="R38" s="59"/>
      <c r="S38" s="59"/>
      <c r="T38" s="59"/>
      <c r="U38" s="679"/>
      <c r="V38" s="56"/>
      <c r="W38" s="56"/>
      <c r="X38" s="56"/>
      <c r="Y38" s="60">
        <f t="shared" si="15"/>
        <v>0</v>
      </c>
      <c r="Z38" s="55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60">
        <f t="shared" si="16"/>
        <v>0</v>
      </c>
      <c r="AM38" s="58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60">
        <f t="shared" si="17"/>
        <v>0</v>
      </c>
      <c r="AZ38" s="58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60">
        <f t="shared" si="18"/>
        <v>0</v>
      </c>
      <c r="BM38"/>
      <c r="BN38" s="64">
        <f>ROUND(IFERROR(INDEX('Labor Cost_Master'!$G$4:$BC$135,MATCH($DN38,'Labor Cost_Master'!$BD$4:$BD$135,0),MATCH(BN$9,'Labor Cost_Master'!$G$3:$BC$3,0)),0)*M38,0)</f>
        <v>0</v>
      </c>
      <c r="BO38" s="64">
        <f>ROUND(IFERROR(INDEX('Labor Cost_Master'!$G$4:$BC$135,MATCH($DN38,'Labor Cost_Master'!$BD$4:$BD$135,0),MATCH(BO$9,'Labor Cost_Master'!$G$3:$BC$3,0)),0)*N38,0)</f>
        <v>0</v>
      </c>
      <c r="BP38" s="64">
        <f>ROUND(IFERROR(INDEX('Labor Cost_Master'!$G$4:$BC$135,MATCH($DN38,'Labor Cost_Master'!$BD$4:$BD$135,0),MATCH(BP$9,'Labor Cost_Master'!$G$3:$BC$3,0)),0)*O38,0)</f>
        <v>0</v>
      </c>
      <c r="BQ38" s="64">
        <f>ROUND(IFERROR(INDEX('Labor Cost_Master'!$G$4:$BC$135,MATCH($DN38,'Labor Cost_Master'!$BD$4:$BD$135,0),MATCH(BQ$9,'Labor Cost_Master'!$G$3:$BC$3,0)),0)*P38,0)</f>
        <v>0</v>
      </c>
      <c r="BR38" s="64">
        <f>ROUND(IFERROR(INDEX('Labor Cost_Master'!$G$4:$BC$135,MATCH($DN38,'Labor Cost_Master'!$BD$4:$BD$135,0),MATCH(BR$9,'Labor Cost_Master'!$G$3:$BC$3,0)),0)*Q38,0)</f>
        <v>0</v>
      </c>
      <c r="BS38" s="64">
        <f>ROUND(IFERROR(INDEX('Labor Cost_Master'!$G$4:$BC$135,MATCH($DN38,'Labor Cost_Master'!$BD$4:$BD$135,0),MATCH(BS$9,'Labor Cost_Master'!$G$3:$BC$3,0)),0)*R38,0)</f>
        <v>0</v>
      </c>
      <c r="BT38" s="64">
        <f>ROUND(IFERROR(INDEX('Labor Cost_Master'!$G$4:$BC$135,MATCH($DN38,'Labor Cost_Master'!$BD$4:$BD$135,0),MATCH(BT$9,'Labor Cost_Master'!$G$3:$BC$3,0)),0)*S38,0)</f>
        <v>0</v>
      </c>
      <c r="BU38" s="64">
        <f>ROUND(IFERROR(INDEX('Labor Cost_Master'!$G$4:$BC$135,MATCH($DN38,'Labor Cost_Master'!$BD$4:$BD$135,0),MATCH(BU$9,'Labor Cost_Master'!$G$3:$BC$3,0)),0)*T38,0)</f>
        <v>0</v>
      </c>
      <c r="BV38" s="64">
        <f>ROUND(IFERROR(INDEX('Labor Cost_Master'!$G$4:$BC$135,MATCH($DN38,'Labor Cost_Master'!$BD$4:$BD$135,0),MATCH(BV$9,'Labor Cost_Master'!$G$3:$BC$3,0)),0)*U38,0)</f>
        <v>0</v>
      </c>
      <c r="BW38" s="64">
        <f>ROUND(IFERROR(INDEX('Labor Cost_Master'!$G$4:$BC$135,MATCH($DN38,'Labor Cost_Master'!$BD$4:$BD$135,0),MATCH(BW$9,'Labor Cost_Master'!$G$3:$BC$3,0)),0)*V38,0)</f>
        <v>0</v>
      </c>
      <c r="BX38" s="64">
        <f>ROUND(IFERROR(INDEX('Labor Cost_Master'!$G$4:$BC$135,MATCH($DN38,'Labor Cost_Master'!$BD$4:$BD$135,0),MATCH(BX$9,'Labor Cost_Master'!$G$3:$BC$3,0)),0)*W38,0)</f>
        <v>0</v>
      </c>
      <c r="BY38" s="64">
        <f>ROUND(IFERROR(INDEX('Labor Cost_Master'!$G$4:$BC$135,MATCH($DN38,'Labor Cost_Master'!$BD$4:$BD$135,0),MATCH(BY$9,'Labor Cost_Master'!$G$3:$BC$3,0)),0)*X38,0)</f>
        <v>0</v>
      </c>
      <c r="BZ38" s="66">
        <f t="shared" si="19"/>
        <v>0</v>
      </c>
      <c r="CA38" s="64">
        <f>ROUND(IFERROR(INDEX('Labor Cost_Master'!$G$4:$BC$135,MATCH($DN38,'Labor Cost_Master'!$BD$4:$BD$135,0),MATCH(CA$9,'Labor Cost_Master'!$G$3:$BC$3,0)),0)*Z38,0)</f>
        <v>0</v>
      </c>
      <c r="CB38" s="64">
        <f>ROUND(IFERROR(INDEX('Labor Cost_Master'!$G$4:$BC$135,MATCH($DN38,'Labor Cost_Master'!$BD$4:$BD$135,0),MATCH(CB$9,'Labor Cost_Master'!$G$3:$BC$3,0)),0)*AA38,0)</f>
        <v>0</v>
      </c>
      <c r="CC38" s="64">
        <f>ROUND(IFERROR(INDEX('Labor Cost_Master'!$G$4:$BC$135,MATCH($DN38,'Labor Cost_Master'!$BD$4:$BD$135,0),MATCH(CC$9,'Labor Cost_Master'!$G$3:$BC$3,0)),0)*AB38,0)</f>
        <v>0</v>
      </c>
      <c r="CD38" s="64">
        <f>ROUND(IFERROR(INDEX('Labor Cost_Master'!$G$4:$BC$135,MATCH($DN38,'Labor Cost_Master'!$BD$4:$BD$135,0),MATCH(CD$9,'Labor Cost_Master'!$G$3:$BC$3,0)),0)*AC38,0)</f>
        <v>0</v>
      </c>
      <c r="CE38" s="64">
        <f>ROUND(IFERROR(INDEX('Labor Cost_Master'!$G$4:$BC$135,MATCH($DN38,'Labor Cost_Master'!$BD$4:$BD$135,0),MATCH(CE$9,'Labor Cost_Master'!$G$3:$BC$3,0)),0)*AD38,0)</f>
        <v>0</v>
      </c>
      <c r="CF38" s="64">
        <f>ROUND(IFERROR(INDEX('Labor Cost_Master'!$G$4:$BC$135,MATCH($DN38,'Labor Cost_Master'!$BD$4:$BD$135,0),MATCH(CF$9,'Labor Cost_Master'!$G$3:$BC$3,0)),0)*AE38,0)</f>
        <v>0</v>
      </c>
      <c r="CG38" s="64">
        <f>ROUND(IFERROR(INDEX('Labor Cost_Master'!$G$4:$BC$135,MATCH($DN38,'Labor Cost_Master'!$BD$4:$BD$135,0),MATCH(CG$9,'Labor Cost_Master'!$G$3:$BC$3,0)),0)*AF38,0)</f>
        <v>0</v>
      </c>
      <c r="CH38" s="64">
        <f>ROUND(IFERROR(INDEX('Labor Cost_Master'!$G$4:$BC$135,MATCH($DN38,'Labor Cost_Master'!$BD$4:$BD$135,0),MATCH(CH$9,'Labor Cost_Master'!$G$3:$BC$3,0)),0)*AG38,0)</f>
        <v>0</v>
      </c>
      <c r="CI38" s="64">
        <f>ROUND(IFERROR(INDEX('Labor Cost_Master'!$G$4:$BC$135,MATCH($DN38,'Labor Cost_Master'!$BD$4:$BD$135,0),MATCH(CI$9,'Labor Cost_Master'!$G$3:$BC$3,0)),0)*AH38,0)</f>
        <v>0</v>
      </c>
      <c r="CJ38" s="64">
        <f>ROUND(IFERROR(INDEX('Labor Cost_Master'!$G$4:$BC$135,MATCH($DN38,'Labor Cost_Master'!$BD$4:$BD$135,0),MATCH(CJ$9,'Labor Cost_Master'!$G$3:$BC$3,0)),0)*AI38,0)</f>
        <v>0</v>
      </c>
      <c r="CK38" s="64">
        <f>ROUND(IFERROR(INDEX('Labor Cost_Master'!$G$4:$BC$135,MATCH($DN38,'Labor Cost_Master'!$BD$4:$BD$135,0),MATCH(CK$9,'Labor Cost_Master'!$G$3:$BC$3,0)),0)*AJ38,0)</f>
        <v>0</v>
      </c>
      <c r="CL38" s="64">
        <f>ROUND(IFERROR(INDEX('Labor Cost_Master'!$G$4:$BC$135,MATCH($DN38,'Labor Cost_Master'!$BD$4:$BD$135,0),MATCH(CL$9,'Labor Cost_Master'!$G$3:$BC$3,0)),0)*AK38,0)</f>
        <v>0</v>
      </c>
      <c r="CM38" s="66">
        <f t="shared" si="20"/>
        <v>0</v>
      </c>
      <c r="CN38" s="64">
        <f>ROUND(IFERROR(INDEX('Labor Cost_Master'!$G$4:$BC$135,MATCH($DN38,'Labor Cost_Master'!$BD$4:$BD$135,0),MATCH(CN$9,'Labor Cost_Master'!$G$3:$BC$3,0)),0)*AM38,0)</f>
        <v>0</v>
      </c>
      <c r="CO38" s="64">
        <f>ROUND(IFERROR(INDEX('Labor Cost_Master'!$G$4:$BC$135,MATCH($DN38,'Labor Cost_Master'!$BD$4:$BD$135,0),MATCH(CO$9,'Labor Cost_Master'!$G$3:$BC$3,0)),0)*AN38,0)</f>
        <v>0</v>
      </c>
      <c r="CP38" s="64">
        <f>ROUND(IFERROR(INDEX('Labor Cost_Master'!$G$4:$BC$135,MATCH($DN38,'Labor Cost_Master'!$BD$4:$BD$135,0),MATCH(CP$9,'Labor Cost_Master'!$G$3:$BC$3,0)),0)*AO38,0)</f>
        <v>0</v>
      </c>
      <c r="CQ38" s="64">
        <f>ROUND(IFERROR(INDEX('Labor Cost_Master'!$G$4:$BC$135,MATCH($DN38,'Labor Cost_Master'!$BD$4:$BD$135,0),MATCH(CQ$9,'Labor Cost_Master'!$G$3:$BC$3,0)),0)*AP38,0)</f>
        <v>0</v>
      </c>
      <c r="CR38" s="64">
        <f>ROUND(IFERROR(INDEX('Labor Cost_Master'!$G$4:$BC$135,MATCH($DN38,'Labor Cost_Master'!$BD$4:$BD$135,0),MATCH(CR$9,'Labor Cost_Master'!$G$3:$BC$3,0)),0)*AQ38,0)</f>
        <v>0</v>
      </c>
      <c r="CS38" s="64">
        <f>ROUND(IFERROR(INDEX('Labor Cost_Master'!$G$4:$BC$135,MATCH($DN38,'Labor Cost_Master'!$BD$4:$BD$135,0),MATCH(CS$9,'Labor Cost_Master'!$G$3:$BC$3,0)),0)*AR38,0)</f>
        <v>0</v>
      </c>
      <c r="CT38" s="64">
        <f>ROUND(IFERROR(INDEX('Labor Cost_Master'!$G$4:$BC$135,MATCH($DN38,'Labor Cost_Master'!$BD$4:$BD$135,0),MATCH(CT$9,'Labor Cost_Master'!$G$3:$BC$3,0)),0)*AS38,0)</f>
        <v>0</v>
      </c>
      <c r="CU38" s="64">
        <f>ROUND(IFERROR(INDEX('Labor Cost_Master'!$G$4:$BC$135,MATCH($DN38,'Labor Cost_Master'!$BD$4:$BD$135,0),MATCH(CU$9,'Labor Cost_Master'!$G$3:$BC$3,0)),0)*AT38,0)</f>
        <v>0</v>
      </c>
      <c r="CV38" s="64">
        <f>ROUND(IFERROR(INDEX('Labor Cost_Master'!$G$4:$BC$135,MATCH($DN38,'Labor Cost_Master'!$BD$4:$BD$135,0),MATCH(CV$9,'Labor Cost_Master'!$G$3:$BC$3,0)),0)*AU38,0)</f>
        <v>0</v>
      </c>
      <c r="CW38" s="64">
        <f>ROUND(IFERROR(INDEX('Labor Cost_Master'!$G$4:$BC$135,MATCH($DN38,'Labor Cost_Master'!$BD$4:$BD$135,0),MATCH(CW$9,'Labor Cost_Master'!$G$3:$BC$3,0)),0)*AV38,0)</f>
        <v>0</v>
      </c>
      <c r="CX38" s="64">
        <f>ROUND(IFERROR(INDEX('Labor Cost_Master'!$G$4:$BC$135,MATCH($DN38,'Labor Cost_Master'!$BD$4:$BD$135,0),MATCH(CX$9,'Labor Cost_Master'!$G$3:$BC$3,0)),0)*AW38,0)</f>
        <v>0</v>
      </c>
      <c r="CY38" s="64">
        <f>ROUND(IFERROR(INDEX('Labor Cost_Master'!$G$4:$BC$135,MATCH($DN38,'Labor Cost_Master'!$BD$4:$BD$135,0),MATCH(CY$9,'Labor Cost_Master'!$G$3:$BC$3,0)),0)*AX38,0)</f>
        <v>0</v>
      </c>
      <c r="CZ38" s="66">
        <f t="shared" si="21"/>
        <v>0</v>
      </c>
      <c r="DA38" s="64">
        <f>ROUND(IFERROR(INDEX('Labor Cost_Master'!$G$4:$BC$135,MATCH($DN38,'Labor Cost_Master'!$BD$4:$BD$135,0),MATCH(DA$9,'Labor Cost_Master'!$G$3:$BC$3,0)),0)*AZ38,0)</f>
        <v>0</v>
      </c>
      <c r="DB38" s="64">
        <f>ROUND(IFERROR(INDEX('Labor Cost_Master'!$G$4:$BC$135,MATCH($DN38,'Labor Cost_Master'!$BD$4:$BD$135,0),MATCH(DB$9,'Labor Cost_Master'!$G$3:$BC$3,0)),0)*BA38,0)</f>
        <v>0</v>
      </c>
      <c r="DC38" s="1166">
        <f>ROUND(IFERROR(INDEX('Labor Cost_Master'!$G$4:$BC$135,MATCH($DN38,'Labor Cost_Master'!$BD$4:$BD$135,0),MATCH(DC$9,'Labor Cost_Master'!$G$3:$BC$3,0)),0)*BB38,0)*1.05</f>
        <v>0</v>
      </c>
      <c r="DD38" s="64">
        <f>ROUND(IFERROR(INDEX('Labor Cost_Master'!$G$4:$BC$135,MATCH($DN38,'Labor Cost_Master'!$BD$4:$BD$135,0),MATCH(DD$9,'Labor Cost_Master'!$G$3:$BC$3,0)),0)*BC38,0)*1.05</f>
        <v>0</v>
      </c>
      <c r="DE38" s="64">
        <f>ROUND(IFERROR(INDEX('Labor Cost_Master'!$G$4:$BC$135,MATCH($DN38,'Labor Cost_Master'!$BD$4:$BD$135,0),MATCH(DE$9,'Labor Cost_Master'!$G$3:$BC$3,0)),0)*BD38,0)*1.05</f>
        <v>0</v>
      </c>
      <c r="DF38" s="64">
        <f>ROUND(IFERROR(INDEX('Labor Cost_Master'!$G$4:$BC$135,MATCH($DN38,'Labor Cost_Master'!$BD$4:$BD$135,0),MATCH(DF$9,'Labor Cost_Master'!$G$3:$BC$3,0)),0)*BE38,0)*1.05</f>
        <v>0</v>
      </c>
      <c r="DG38" s="64">
        <f>ROUND(IFERROR(INDEX('Labor Cost_Master'!$G$4:$BC$135,MATCH($DN38,'Labor Cost_Master'!$BD$4:$BD$135,0),MATCH(DG$9,'Labor Cost_Master'!$G$3:$BC$3,0)),0)*BF38,0)*1.05</f>
        <v>0</v>
      </c>
      <c r="DH38" s="64">
        <f>ROUND(IFERROR(INDEX('Labor Cost_Master'!$G$4:$BC$135,MATCH($DN38,'Labor Cost_Master'!$BD$4:$BD$135,0),MATCH(DH$9,'Labor Cost_Master'!$G$3:$BC$3,0)),0)*BG38,0)*1.05</f>
        <v>0</v>
      </c>
      <c r="DI38" s="64">
        <f>ROUND(IFERROR(INDEX('Labor Cost_Master'!$G$4:$BC$135,MATCH($DN38,'Labor Cost_Master'!$BD$4:$BD$135,0),MATCH(DI$9,'Labor Cost_Master'!$G$3:$BC$3,0)),0)*BH38,0)*1.05</f>
        <v>0</v>
      </c>
      <c r="DJ38" s="64">
        <f>ROUND(IFERROR(INDEX('Labor Cost_Master'!$G$4:$BC$135,MATCH($DN38,'Labor Cost_Master'!$BD$4:$BD$135,0),MATCH(DJ$9,'Labor Cost_Master'!$G$3:$BC$3,0)),0)*BI38,0)*1.05</f>
        <v>0</v>
      </c>
      <c r="DK38" s="64">
        <f>ROUND(IFERROR(INDEX('Labor Cost_Master'!$G$4:$BC$135,MATCH($DN38,'Labor Cost_Master'!$BD$4:$BD$135,0),MATCH(DK$9,'Labor Cost_Master'!$G$3:$BC$3,0)),0)*BJ38,0)*1.05</f>
        <v>0</v>
      </c>
      <c r="DL38" s="64">
        <f>ROUND(IFERROR(INDEX('Labor Cost_Master'!$G$4:$BC$135,MATCH($DN38,'Labor Cost_Master'!$BD$4:$BD$135,0),MATCH(DL$9,'Labor Cost_Master'!$G$3:$BC$3,0)),0)*BK38,0)*1.05</f>
        <v>0</v>
      </c>
      <c r="DM38" s="66">
        <f t="shared" si="22"/>
        <v>0</v>
      </c>
      <c r="DN38" s="80" t="str">
        <f t="shared" si="23"/>
        <v/>
      </c>
      <c r="DO38" s="64">
        <f>ROUND(IFERROR(INDEX(Benefit_Master!$G$4:$BC$135,MATCH($DN38,Benefit_Master!$BD$4:$BD$135,0),MATCH(DO$9,Benefit_Master!$G$3:$BC$3,0)),0)*M38,0)</f>
        <v>0</v>
      </c>
      <c r="DP38" s="64">
        <f>ROUND(IFERROR(INDEX(Benefit_Master!$G$4:$BC$135,MATCH($DN38,Benefit_Master!$BD$4:$BD$135,0),MATCH(DP$9,Benefit_Master!$G$3:$BC$3,0)),0)*N38,0)</f>
        <v>0</v>
      </c>
      <c r="DQ38" s="64">
        <f>ROUND(IFERROR(INDEX(Benefit_Master!$G$4:$BC$135,MATCH($DN38,Benefit_Master!$BD$4:$BD$135,0),MATCH(DQ$9,Benefit_Master!$G$3:$BC$3,0)),0)*O38,0)</f>
        <v>0</v>
      </c>
      <c r="DR38" s="64">
        <f>ROUND(IFERROR(INDEX(Benefit_Master!$G$4:$BC$135,MATCH($DN38,Benefit_Master!$BD$4:$BD$135,0),MATCH(DR$9,Benefit_Master!$G$3:$BC$3,0)),0)*P38,0)</f>
        <v>0</v>
      </c>
      <c r="DS38" s="64">
        <f>ROUND(IFERROR(INDEX(Benefit_Master!$G$4:$BC$135,MATCH($DN38,Benefit_Master!$BD$4:$BD$135,0),MATCH(DS$9,Benefit_Master!$G$3:$BC$3,0)),0)*Q38,0)</f>
        <v>0</v>
      </c>
      <c r="DT38" s="64">
        <f>ROUND(IFERROR(INDEX(Benefit_Master!$G$4:$BC$135,MATCH($DN38,Benefit_Master!$BD$4:$BD$135,0),MATCH(DT$9,Benefit_Master!$G$3:$BC$3,0)),0)*R38,0)</f>
        <v>0</v>
      </c>
      <c r="DU38" s="64">
        <f>ROUND(IFERROR(INDEX(Benefit_Master!$G$4:$BC$135,MATCH($DN38,Benefit_Master!$BD$4:$BD$135,0),MATCH(DU$9,Benefit_Master!$G$3:$BC$3,0)),0)*S38,0)</f>
        <v>0</v>
      </c>
      <c r="DV38" s="64">
        <f>ROUND(IFERROR(INDEX(Benefit_Master!$G$4:$BC$135,MATCH($DN38,Benefit_Master!$BD$4:$BD$135,0),MATCH(DV$9,Benefit_Master!$G$3:$BC$3,0)),0)*T38,0)</f>
        <v>0</v>
      </c>
      <c r="DW38" s="64">
        <f>ROUND(IFERROR(INDEX(Benefit_Master!$G$4:$BC$135,MATCH($DN38,Benefit_Master!$BD$4:$BD$135,0),MATCH(DW$9,Benefit_Master!$G$3:$BC$3,0)),0)*U38,0)</f>
        <v>0</v>
      </c>
      <c r="DX38" s="64">
        <f>ROUND(IFERROR(INDEX(Benefit_Master!$G$4:$BC$135,MATCH($DN38,Benefit_Master!$BD$4:$BD$135,0),MATCH(DX$9,Benefit_Master!$G$3:$BC$3,0)),0)*V38,0)</f>
        <v>0</v>
      </c>
      <c r="DY38" s="64">
        <f>ROUND(IFERROR(INDEX(Benefit_Master!$G$4:$BC$135,MATCH($DN38,Benefit_Master!$BD$4:$BD$135,0),MATCH(DY$9,Benefit_Master!$G$3:$BC$3,0)),0)*W38,0)</f>
        <v>0</v>
      </c>
      <c r="DZ38" s="64">
        <f>ROUND(IFERROR(INDEX(Benefit_Master!$G$4:$BC$135,MATCH($DN38,Benefit_Master!$BD$4:$BD$135,0),MATCH(DZ$9,Benefit_Master!$G$3:$BC$3,0)),0)*X38,0)</f>
        <v>0</v>
      </c>
      <c r="EA38" s="66">
        <f t="shared" si="24"/>
        <v>0</v>
      </c>
      <c r="EB38" s="64">
        <f>ROUND(IFERROR(INDEX(Benefit_Master!$G$4:$BC$135,MATCH($DN38,Benefit_Master!$BD$4:$BD$135,0),MATCH(EB$9,Benefit_Master!$G$3:$BC$3,0)),0)*Z38,0)</f>
        <v>0</v>
      </c>
      <c r="EC38" s="64">
        <f>ROUND(IFERROR(INDEX(Benefit_Master!$G$4:$BC$135,MATCH($DN38,Benefit_Master!$BD$4:$BD$135,0),MATCH(EC$9,Benefit_Master!$G$3:$BC$3,0)),0)*AA38,0)</f>
        <v>0</v>
      </c>
      <c r="ED38" s="64">
        <f>ROUND(IFERROR(INDEX(Benefit_Master!$G$4:$BC$135,MATCH($DN38,Benefit_Master!$BD$4:$BD$135,0),MATCH(ED$9,Benefit_Master!$G$3:$BC$3,0)),0)*AB38,0)</f>
        <v>0</v>
      </c>
      <c r="EE38" s="64">
        <f>ROUND(IFERROR(INDEX(Benefit_Master!$G$4:$BC$135,MATCH($DN38,Benefit_Master!$BD$4:$BD$135,0),MATCH(EE$9,Benefit_Master!$G$3:$BC$3,0)),0)*AC38,0)</f>
        <v>0</v>
      </c>
      <c r="EF38" s="64">
        <f>ROUND(IFERROR(INDEX(Benefit_Master!$G$4:$BC$135,MATCH($DN38,Benefit_Master!$BD$4:$BD$135,0),MATCH(EF$9,Benefit_Master!$G$3:$BC$3,0)),0)*AD38,0)</f>
        <v>0</v>
      </c>
      <c r="EG38" s="64">
        <f>ROUND(IFERROR(INDEX(Benefit_Master!$G$4:$BC$135,MATCH($DN38,Benefit_Master!$BD$4:$BD$135,0),MATCH(EG$9,Benefit_Master!$G$3:$BC$3,0)),0)*AE38,0)</f>
        <v>0</v>
      </c>
      <c r="EH38" s="64">
        <f>ROUND(IFERROR(INDEX(Benefit_Master!$G$4:$BC$135,MATCH($DN38,Benefit_Master!$BD$4:$BD$135,0),MATCH(EH$9,Benefit_Master!$G$3:$BC$3,0)),0)*AF38,0)</f>
        <v>0</v>
      </c>
      <c r="EI38" s="64">
        <f>ROUND(IFERROR(INDEX(Benefit_Master!$G$4:$BC$135,MATCH($DN38,Benefit_Master!$BD$4:$BD$135,0),MATCH(EI$9,Benefit_Master!$G$3:$BC$3,0)),0)*AG38,0)</f>
        <v>0</v>
      </c>
      <c r="EJ38" s="64">
        <f>ROUND(IFERROR(INDEX(Benefit_Master!$G$4:$BC$135,MATCH($DN38,Benefit_Master!$BD$4:$BD$135,0),MATCH(EJ$9,Benefit_Master!$G$3:$BC$3,0)),0)*AH38,0)</f>
        <v>0</v>
      </c>
      <c r="EK38" s="64">
        <f>ROUND(IFERROR(INDEX(Benefit_Master!$G$4:$BC$135,MATCH($DN38,Benefit_Master!$BD$4:$BD$135,0),MATCH(EK$9,Benefit_Master!$G$3:$BC$3,0)),0)*AI38,0)</f>
        <v>0</v>
      </c>
      <c r="EL38" s="64">
        <f>ROUND(IFERROR(INDEX(Benefit_Master!$G$4:$BC$135,MATCH($DN38,Benefit_Master!$BD$4:$BD$135,0),MATCH(EL$9,Benefit_Master!$G$3:$BC$3,0)),0)*AJ38,0)</f>
        <v>0</v>
      </c>
      <c r="EM38" s="64">
        <f>ROUND(IFERROR(INDEX(Benefit_Master!$G$4:$BC$135,MATCH($DN38,Benefit_Master!$BD$4:$BD$135,0),MATCH(EM$9,Benefit_Master!$G$3:$BC$3,0)),0)*AK38,0)</f>
        <v>0</v>
      </c>
      <c r="EN38" s="66">
        <f t="shared" si="25"/>
        <v>0</v>
      </c>
      <c r="EO38" s="64">
        <f>ROUND(IFERROR(INDEX(Benefit_Master!$G$4:$BC$135,MATCH($DN38,Benefit_Master!$BD$4:$BD$135,0),MATCH(EO$9,Benefit_Master!$G$3:$BC$3,0)),0)*AM38,0)</f>
        <v>0</v>
      </c>
      <c r="EP38" s="64">
        <f>ROUND(IFERROR(INDEX(Benefit_Master!$G$4:$BC$135,MATCH($DN38,Benefit_Master!$BD$4:$BD$135,0),MATCH(EP$9,Benefit_Master!$G$3:$BC$3,0)),0)*AN38,0)</f>
        <v>0</v>
      </c>
      <c r="EQ38" s="64">
        <f>ROUND(IFERROR(INDEX(Benefit_Master!$G$4:$BC$135,MATCH($DN38,Benefit_Master!$BD$4:$BD$135,0),MATCH(EQ$9,Benefit_Master!$G$3:$BC$3,0)),0)*AO38,0)</f>
        <v>0</v>
      </c>
      <c r="ER38" s="64">
        <f>ROUND(IFERROR(INDEX(Benefit_Master!$G$4:$BC$135,MATCH($DN38,Benefit_Master!$BD$4:$BD$135,0),MATCH(ER$9,Benefit_Master!$G$3:$BC$3,0)),0)*AP38,0)</f>
        <v>0</v>
      </c>
      <c r="ES38" s="64">
        <f>ROUND(IFERROR(INDEX(Benefit_Master!$G$4:$BC$135,MATCH($DN38,Benefit_Master!$BD$4:$BD$135,0),MATCH(ES$9,Benefit_Master!$G$3:$BC$3,0)),0)*AQ38,0)</f>
        <v>0</v>
      </c>
      <c r="ET38" s="64">
        <f>ROUND(IFERROR(INDEX(Benefit_Master!$G$4:$BC$135,MATCH($DN38,Benefit_Master!$BD$4:$BD$135,0),MATCH(ET$9,Benefit_Master!$G$3:$BC$3,0)),0)*AR38,0)</f>
        <v>0</v>
      </c>
      <c r="EU38" s="64">
        <f>ROUND(IFERROR(INDEX(Benefit_Master!$G$4:$BC$135,MATCH($DN38,Benefit_Master!$BD$4:$BD$135,0),MATCH(EU$9,Benefit_Master!$G$3:$BC$3,0)),0)*AS38,0)</f>
        <v>0</v>
      </c>
      <c r="EV38" s="64">
        <f>ROUND(IFERROR(INDEX(Benefit_Master!$G$4:$BC$135,MATCH($DN38,Benefit_Master!$BD$4:$BD$135,0),MATCH(EV$9,Benefit_Master!$G$3:$BC$3,0)),0)*AT38,0)</f>
        <v>0</v>
      </c>
      <c r="EW38" s="64">
        <f>ROUND(IFERROR(INDEX(Benefit_Master!$G$4:$BC$135,MATCH($DN38,Benefit_Master!$BD$4:$BD$135,0),MATCH(EW$9,Benefit_Master!$G$3:$BC$3,0)),0)*AU38,0)</f>
        <v>0</v>
      </c>
      <c r="EX38" s="64">
        <f>ROUND(IFERROR(INDEX(Benefit_Master!$G$4:$BC$135,MATCH($DN38,Benefit_Master!$BD$4:$BD$135,0),MATCH(EX$9,Benefit_Master!$G$3:$BC$3,0)),0)*AV38,0)</f>
        <v>0</v>
      </c>
      <c r="EY38" s="64">
        <f>ROUND(IFERROR(INDEX(Benefit_Master!$G$4:$BC$135,MATCH($DN38,Benefit_Master!$BD$4:$BD$135,0),MATCH(EY$9,Benefit_Master!$G$3:$BC$3,0)),0)*AW38,0)</f>
        <v>0</v>
      </c>
      <c r="EZ38" s="64">
        <f>ROUND(IFERROR(INDEX(Benefit_Master!$G$4:$BC$135,MATCH($DN38,Benefit_Master!$BD$4:$BD$135,0),MATCH(EZ$9,Benefit_Master!$G$3:$BC$3,0)),0)*AX38,0)</f>
        <v>0</v>
      </c>
      <c r="FA38" s="66">
        <f t="shared" si="26"/>
        <v>0</v>
      </c>
      <c r="FB38" s="64">
        <f>ROUND(IFERROR(INDEX(Benefit_Master!$G$4:$BC$135,MATCH($DN38,Benefit_Master!$BD$4:$BD$135,0),MATCH(FB$9,Benefit_Master!$G$3:$BC$3,0)),0)*AZ38,0)</f>
        <v>0</v>
      </c>
      <c r="FC38" s="64">
        <f>ROUND(IFERROR(INDEX(Benefit_Master!$G$4:$BC$135,MATCH($DN38,Benefit_Master!$BD$4:$BD$135,0),MATCH(FC$9,Benefit_Master!$G$3:$BC$3,0)),0)*BA38,0)</f>
        <v>0</v>
      </c>
      <c r="FD38" s="64">
        <f>ROUND(IFERROR(INDEX(Benefit_Master!$G$4:$BC$135,MATCH($DN38,Benefit_Master!$BD$4:$BD$135,0),MATCH(FD$9,Benefit_Master!$G$3:$BC$3,0)),0)*BB38,0)</f>
        <v>0</v>
      </c>
      <c r="FE38" s="64">
        <f>ROUND(IFERROR(INDEX(Benefit_Master!$G$4:$BC$135,MATCH($DN38,Benefit_Master!$BD$4:$BD$135,0),MATCH(FE$9,Benefit_Master!$G$3:$BC$3,0)),0)*BC38,0)</f>
        <v>0</v>
      </c>
      <c r="FF38" s="64">
        <f>ROUND(IFERROR(INDEX(Benefit_Master!$G$4:$BC$135,MATCH($DN38,Benefit_Master!$BD$4:$BD$135,0),MATCH(FF$9,Benefit_Master!$G$3:$BC$3,0)),0)*BD38,0)</f>
        <v>0</v>
      </c>
      <c r="FG38" s="64">
        <f>ROUND(IFERROR(INDEX(Benefit_Master!$G$4:$BC$135,MATCH($DN38,Benefit_Master!$BD$4:$BD$135,0),MATCH(FG$9,Benefit_Master!$G$3:$BC$3,0)),0)*BE38,0)</f>
        <v>0</v>
      </c>
      <c r="FH38" s="64">
        <f>ROUND(IFERROR(INDEX(Benefit_Master!$G$4:$BC$135,MATCH($DN38,Benefit_Master!$BD$4:$BD$135,0),MATCH(FH$9,Benefit_Master!$G$3:$BC$3,0)),0)*BF38,0)</f>
        <v>0</v>
      </c>
      <c r="FI38" s="64">
        <f>ROUND(IFERROR(INDEX(Benefit_Master!$G$4:$BC$135,MATCH($DN38,Benefit_Master!$BD$4:$BD$135,0),MATCH(FI$9,Benefit_Master!$G$3:$BC$3,0)),0)*BG38,0)</f>
        <v>0</v>
      </c>
      <c r="FJ38" s="64">
        <f>ROUND(IFERROR(INDEX(Benefit_Master!$G$4:$BC$135,MATCH($DN38,Benefit_Master!$BD$4:$BD$135,0),MATCH(FJ$9,Benefit_Master!$G$3:$BC$3,0)),0)*BH38,0)</f>
        <v>0</v>
      </c>
      <c r="FK38" s="64">
        <f>ROUND(IFERROR(INDEX(Benefit_Master!$G$4:$BC$135,MATCH($DN38,Benefit_Master!$BD$4:$BD$135,0),MATCH(FK$9,Benefit_Master!$G$3:$BC$3,0)),0)*BI38,0)</f>
        <v>0</v>
      </c>
      <c r="FL38" s="64">
        <f>ROUND(IFERROR(INDEX(Benefit_Master!$G$4:$BC$135,MATCH($DN38,Benefit_Master!$BD$4:$BD$135,0),MATCH(FL$9,Benefit_Master!$G$3:$BC$3,0)),0)*BJ38,0)</f>
        <v>0</v>
      </c>
      <c r="FM38" s="64">
        <f>ROUND(IFERROR(INDEX(Benefit_Master!$G$4:$BC$135,MATCH($DN38,Benefit_Master!$BD$4:$BD$135,0),MATCH(FM$9,Benefit_Master!$G$3:$BC$3,0)),0)*BK38,0)</f>
        <v>0</v>
      </c>
      <c r="FN38" s="66">
        <f t="shared" si="27"/>
        <v>0</v>
      </c>
    </row>
    <row r="39" spans="2:170" s="12" customFormat="1" ht="15" customHeight="1">
      <c r="B39" s="93">
        <f t="shared" si="28"/>
        <v>27</v>
      </c>
      <c r="C39" s="89"/>
      <c r="D39" s="97"/>
      <c r="E39" s="1157"/>
      <c r="F39" s="425"/>
      <c r="G39" s="94" t="str">
        <f>IFERROR(VLOOKUP($F39,Master!$B$1:$C$7,2,0),"-")</f>
        <v>-</v>
      </c>
      <c r="H39" s="95">
        <f t="shared" si="12"/>
        <v>0</v>
      </c>
      <c r="I39" s="138">
        <f t="shared" si="13"/>
        <v>0</v>
      </c>
      <c r="J39" s="138">
        <f t="shared" si="14"/>
        <v>0</v>
      </c>
      <c r="K39" s="96"/>
      <c r="L39"/>
      <c r="M39" s="58"/>
      <c r="N39" s="59"/>
      <c r="O39" s="59"/>
      <c r="P39" s="59"/>
      <c r="Q39" s="59"/>
      <c r="R39" s="59"/>
      <c r="S39" s="59"/>
      <c r="T39" s="59"/>
      <c r="U39" s="679"/>
      <c r="V39" s="56"/>
      <c r="W39" s="56"/>
      <c r="X39" s="56"/>
      <c r="Y39" s="60">
        <f t="shared" si="15"/>
        <v>0</v>
      </c>
      <c r="Z39" s="55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60">
        <f t="shared" si="16"/>
        <v>0</v>
      </c>
      <c r="AM39" s="58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60">
        <f t="shared" si="17"/>
        <v>0</v>
      </c>
      <c r="AZ39" s="58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60">
        <f t="shared" si="18"/>
        <v>0</v>
      </c>
      <c r="BM39"/>
      <c r="BN39" s="64">
        <f>ROUND(IFERROR(INDEX('Labor Cost_Master'!$G$4:$BC$135,MATCH($DN39,'Labor Cost_Master'!$BD$4:$BD$135,0),MATCH(BN$9,'Labor Cost_Master'!$G$3:$BC$3,0)),0)*M39,0)</f>
        <v>0</v>
      </c>
      <c r="BO39" s="64">
        <f>ROUND(IFERROR(INDEX('Labor Cost_Master'!$G$4:$BC$135,MATCH($DN39,'Labor Cost_Master'!$BD$4:$BD$135,0),MATCH(BO$9,'Labor Cost_Master'!$G$3:$BC$3,0)),0)*N39,0)</f>
        <v>0</v>
      </c>
      <c r="BP39" s="64">
        <f>ROUND(IFERROR(INDEX('Labor Cost_Master'!$G$4:$BC$135,MATCH($DN39,'Labor Cost_Master'!$BD$4:$BD$135,0),MATCH(BP$9,'Labor Cost_Master'!$G$3:$BC$3,0)),0)*O39,0)</f>
        <v>0</v>
      </c>
      <c r="BQ39" s="64">
        <f>ROUND(IFERROR(INDEX('Labor Cost_Master'!$G$4:$BC$135,MATCH($DN39,'Labor Cost_Master'!$BD$4:$BD$135,0),MATCH(BQ$9,'Labor Cost_Master'!$G$3:$BC$3,0)),0)*P39,0)</f>
        <v>0</v>
      </c>
      <c r="BR39" s="64">
        <f>ROUND(IFERROR(INDEX('Labor Cost_Master'!$G$4:$BC$135,MATCH($DN39,'Labor Cost_Master'!$BD$4:$BD$135,0),MATCH(BR$9,'Labor Cost_Master'!$G$3:$BC$3,0)),0)*Q39,0)</f>
        <v>0</v>
      </c>
      <c r="BS39" s="64">
        <f>ROUND(IFERROR(INDEX('Labor Cost_Master'!$G$4:$BC$135,MATCH($DN39,'Labor Cost_Master'!$BD$4:$BD$135,0),MATCH(BS$9,'Labor Cost_Master'!$G$3:$BC$3,0)),0)*R39,0)</f>
        <v>0</v>
      </c>
      <c r="BT39" s="64">
        <f>ROUND(IFERROR(INDEX('Labor Cost_Master'!$G$4:$BC$135,MATCH($DN39,'Labor Cost_Master'!$BD$4:$BD$135,0),MATCH(BT$9,'Labor Cost_Master'!$G$3:$BC$3,0)),0)*S39,0)</f>
        <v>0</v>
      </c>
      <c r="BU39" s="64">
        <f>ROUND(IFERROR(INDEX('Labor Cost_Master'!$G$4:$BC$135,MATCH($DN39,'Labor Cost_Master'!$BD$4:$BD$135,0),MATCH(BU$9,'Labor Cost_Master'!$G$3:$BC$3,0)),0)*T39,0)</f>
        <v>0</v>
      </c>
      <c r="BV39" s="64">
        <f>ROUND(IFERROR(INDEX('Labor Cost_Master'!$G$4:$BC$135,MATCH($DN39,'Labor Cost_Master'!$BD$4:$BD$135,0),MATCH(BV$9,'Labor Cost_Master'!$G$3:$BC$3,0)),0)*U39,0)</f>
        <v>0</v>
      </c>
      <c r="BW39" s="64">
        <f>ROUND(IFERROR(INDEX('Labor Cost_Master'!$G$4:$BC$135,MATCH($DN39,'Labor Cost_Master'!$BD$4:$BD$135,0),MATCH(BW$9,'Labor Cost_Master'!$G$3:$BC$3,0)),0)*V39,0)</f>
        <v>0</v>
      </c>
      <c r="BX39" s="64">
        <f>ROUND(IFERROR(INDEX('Labor Cost_Master'!$G$4:$BC$135,MATCH($DN39,'Labor Cost_Master'!$BD$4:$BD$135,0),MATCH(BX$9,'Labor Cost_Master'!$G$3:$BC$3,0)),0)*W39,0)</f>
        <v>0</v>
      </c>
      <c r="BY39" s="64">
        <f>ROUND(IFERROR(INDEX('Labor Cost_Master'!$G$4:$BC$135,MATCH($DN39,'Labor Cost_Master'!$BD$4:$BD$135,0),MATCH(BY$9,'Labor Cost_Master'!$G$3:$BC$3,0)),0)*X39,0)</f>
        <v>0</v>
      </c>
      <c r="BZ39" s="66">
        <f t="shared" si="19"/>
        <v>0</v>
      </c>
      <c r="CA39" s="64">
        <f>ROUND(IFERROR(INDEX('Labor Cost_Master'!$G$4:$BC$135,MATCH($DN39,'Labor Cost_Master'!$BD$4:$BD$135,0),MATCH(CA$9,'Labor Cost_Master'!$G$3:$BC$3,0)),0)*Z39,0)</f>
        <v>0</v>
      </c>
      <c r="CB39" s="64">
        <f>ROUND(IFERROR(INDEX('Labor Cost_Master'!$G$4:$BC$135,MATCH($DN39,'Labor Cost_Master'!$BD$4:$BD$135,0),MATCH(CB$9,'Labor Cost_Master'!$G$3:$BC$3,0)),0)*AA39,0)</f>
        <v>0</v>
      </c>
      <c r="CC39" s="64">
        <f>ROUND(IFERROR(INDEX('Labor Cost_Master'!$G$4:$BC$135,MATCH($DN39,'Labor Cost_Master'!$BD$4:$BD$135,0),MATCH(CC$9,'Labor Cost_Master'!$G$3:$BC$3,0)),0)*AB39,0)</f>
        <v>0</v>
      </c>
      <c r="CD39" s="64">
        <f>ROUND(IFERROR(INDEX('Labor Cost_Master'!$G$4:$BC$135,MATCH($DN39,'Labor Cost_Master'!$BD$4:$BD$135,0),MATCH(CD$9,'Labor Cost_Master'!$G$3:$BC$3,0)),0)*AC39,0)</f>
        <v>0</v>
      </c>
      <c r="CE39" s="64">
        <f>ROUND(IFERROR(INDEX('Labor Cost_Master'!$G$4:$BC$135,MATCH($DN39,'Labor Cost_Master'!$BD$4:$BD$135,0),MATCH(CE$9,'Labor Cost_Master'!$G$3:$BC$3,0)),0)*AD39,0)</f>
        <v>0</v>
      </c>
      <c r="CF39" s="64">
        <f>ROUND(IFERROR(INDEX('Labor Cost_Master'!$G$4:$BC$135,MATCH($DN39,'Labor Cost_Master'!$BD$4:$BD$135,0),MATCH(CF$9,'Labor Cost_Master'!$G$3:$BC$3,0)),0)*AE39,0)</f>
        <v>0</v>
      </c>
      <c r="CG39" s="64">
        <f>ROUND(IFERROR(INDEX('Labor Cost_Master'!$G$4:$BC$135,MATCH($DN39,'Labor Cost_Master'!$BD$4:$BD$135,0),MATCH(CG$9,'Labor Cost_Master'!$G$3:$BC$3,0)),0)*AF39,0)</f>
        <v>0</v>
      </c>
      <c r="CH39" s="64">
        <f>ROUND(IFERROR(INDEX('Labor Cost_Master'!$G$4:$BC$135,MATCH($DN39,'Labor Cost_Master'!$BD$4:$BD$135,0),MATCH(CH$9,'Labor Cost_Master'!$G$3:$BC$3,0)),0)*AG39,0)</f>
        <v>0</v>
      </c>
      <c r="CI39" s="64">
        <f>ROUND(IFERROR(INDEX('Labor Cost_Master'!$G$4:$BC$135,MATCH($DN39,'Labor Cost_Master'!$BD$4:$BD$135,0),MATCH(CI$9,'Labor Cost_Master'!$G$3:$BC$3,0)),0)*AH39,0)</f>
        <v>0</v>
      </c>
      <c r="CJ39" s="64">
        <f>ROUND(IFERROR(INDEX('Labor Cost_Master'!$G$4:$BC$135,MATCH($DN39,'Labor Cost_Master'!$BD$4:$BD$135,0),MATCH(CJ$9,'Labor Cost_Master'!$G$3:$BC$3,0)),0)*AI39,0)</f>
        <v>0</v>
      </c>
      <c r="CK39" s="64">
        <f>ROUND(IFERROR(INDEX('Labor Cost_Master'!$G$4:$BC$135,MATCH($DN39,'Labor Cost_Master'!$BD$4:$BD$135,0),MATCH(CK$9,'Labor Cost_Master'!$G$3:$BC$3,0)),0)*AJ39,0)</f>
        <v>0</v>
      </c>
      <c r="CL39" s="64">
        <f>ROUND(IFERROR(INDEX('Labor Cost_Master'!$G$4:$BC$135,MATCH($DN39,'Labor Cost_Master'!$BD$4:$BD$135,0),MATCH(CL$9,'Labor Cost_Master'!$G$3:$BC$3,0)),0)*AK39,0)</f>
        <v>0</v>
      </c>
      <c r="CM39" s="66">
        <f t="shared" si="20"/>
        <v>0</v>
      </c>
      <c r="CN39" s="64">
        <f>ROUND(IFERROR(INDEX('Labor Cost_Master'!$G$4:$BC$135,MATCH($DN39,'Labor Cost_Master'!$BD$4:$BD$135,0),MATCH(CN$9,'Labor Cost_Master'!$G$3:$BC$3,0)),0)*AM39,0)</f>
        <v>0</v>
      </c>
      <c r="CO39" s="64">
        <f>ROUND(IFERROR(INDEX('Labor Cost_Master'!$G$4:$BC$135,MATCH($DN39,'Labor Cost_Master'!$BD$4:$BD$135,0),MATCH(CO$9,'Labor Cost_Master'!$G$3:$BC$3,0)),0)*AN39,0)</f>
        <v>0</v>
      </c>
      <c r="CP39" s="64">
        <f>ROUND(IFERROR(INDEX('Labor Cost_Master'!$G$4:$BC$135,MATCH($DN39,'Labor Cost_Master'!$BD$4:$BD$135,0),MATCH(CP$9,'Labor Cost_Master'!$G$3:$BC$3,0)),0)*AO39,0)</f>
        <v>0</v>
      </c>
      <c r="CQ39" s="64">
        <f>ROUND(IFERROR(INDEX('Labor Cost_Master'!$G$4:$BC$135,MATCH($DN39,'Labor Cost_Master'!$BD$4:$BD$135,0),MATCH(CQ$9,'Labor Cost_Master'!$G$3:$BC$3,0)),0)*AP39,0)</f>
        <v>0</v>
      </c>
      <c r="CR39" s="64">
        <f>ROUND(IFERROR(INDEX('Labor Cost_Master'!$G$4:$BC$135,MATCH($DN39,'Labor Cost_Master'!$BD$4:$BD$135,0),MATCH(CR$9,'Labor Cost_Master'!$G$3:$BC$3,0)),0)*AQ39,0)</f>
        <v>0</v>
      </c>
      <c r="CS39" s="64">
        <f>ROUND(IFERROR(INDEX('Labor Cost_Master'!$G$4:$BC$135,MATCH($DN39,'Labor Cost_Master'!$BD$4:$BD$135,0),MATCH(CS$9,'Labor Cost_Master'!$G$3:$BC$3,0)),0)*AR39,0)</f>
        <v>0</v>
      </c>
      <c r="CT39" s="64">
        <f>ROUND(IFERROR(INDEX('Labor Cost_Master'!$G$4:$BC$135,MATCH($DN39,'Labor Cost_Master'!$BD$4:$BD$135,0),MATCH(CT$9,'Labor Cost_Master'!$G$3:$BC$3,0)),0)*AS39,0)</f>
        <v>0</v>
      </c>
      <c r="CU39" s="64">
        <f>ROUND(IFERROR(INDEX('Labor Cost_Master'!$G$4:$BC$135,MATCH($DN39,'Labor Cost_Master'!$BD$4:$BD$135,0),MATCH(CU$9,'Labor Cost_Master'!$G$3:$BC$3,0)),0)*AT39,0)</f>
        <v>0</v>
      </c>
      <c r="CV39" s="64">
        <f>ROUND(IFERROR(INDEX('Labor Cost_Master'!$G$4:$BC$135,MATCH($DN39,'Labor Cost_Master'!$BD$4:$BD$135,0),MATCH(CV$9,'Labor Cost_Master'!$G$3:$BC$3,0)),0)*AU39,0)</f>
        <v>0</v>
      </c>
      <c r="CW39" s="64">
        <f>ROUND(IFERROR(INDEX('Labor Cost_Master'!$G$4:$BC$135,MATCH($DN39,'Labor Cost_Master'!$BD$4:$BD$135,0),MATCH(CW$9,'Labor Cost_Master'!$G$3:$BC$3,0)),0)*AV39,0)</f>
        <v>0</v>
      </c>
      <c r="CX39" s="64">
        <f>ROUND(IFERROR(INDEX('Labor Cost_Master'!$G$4:$BC$135,MATCH($DN39,'Labor Cost_Master'!$BD$4:$BD$135,0),MATCH(CX$9,'Labor Cost_Master'!$G$3:$BC$3,0)),0)*AW39,0)</f>
        <v>0</v>
      </c>
      <c r="CY39" s="64">
        <f>ROUND(IFERROR(INDEX('Labor Cost_Master'!$G$4:$BC$135,MATCH($DN39,'Labor Cost_Master'!$BD$4:$BD$135,0),MATCH(CY$9,'Labor Cost_Master'!$G$3:$BC$3,0)),0)*AX39,0)</f>
        <v>0</v>
      </c>
      <c r="CZ39" s="66">
        <f t="shared" si="21"/>
        <v>0</v>
      </c>
      <c r="DA39" s="64">
        <f>ROUND(IFERROR(INDEX('Labor Cost_Master'!$G$4:$BC$135,MATCH($DN39,'Labor Cost_Master'!$BD$4:$BD$135,0),MATCH(DA$9,'Labor Cost_Master'!$G$3:$BC$3,0)),0)*AZ39,0)</f>
        <v>0</v>
      </c>
      <c r="DB39" s="64">
        <f>ROUND(IFERROR(INDEX('Labor Cost_Master'!$G$4:$BC$135,MATCH($DN39,'Labor Cost_Master'!$BD$4:$BD$135,0),MATCH(DB$9,'Labor Cost_Master'!$G$3:$BC$3,0)),0)*BA39,0)</f>
        <v>0</v>
      </c>
      <c r="DC39" s="1166">
        <f>ROUND(IFERROR(INDEX('Labor Cost_Master'!$G$4:$BC$135,MATCH($DN39,'Labor Cost_Master'!$BD$4:$BD$135,0),MATCH(DC$9,'Labor Cost_Master'!$G$3:$BC$3,0)),0)*BB39,0)*1.05</f>
        <v>0</v>
      </c>
      <c r="DD39" s="64">
        <f>ROUND(IFERROR(INDEX('Labor Cost_Master'!$G$4:$BC$135,MATCH($DN39,'Labor Cost_Master'!$BD$4:$BD$135,0),MATCH(DD$9,'Labor Cost_Master'!$G$3:$BC$3,0)),0)*BC39,0)*1.05</f>
        <v>0</v>
      </c>
      <c r="DE39" s="64">
        <f>ROUND(IFERROR(INDEX('Labor Cost_Master'!$G$4:$BC$135,MATCH($DN39,'Labor Cost_Master'!$BD$4:$BD$135,0),MATCH(DE$9,'Labor Cost_Master'!$G$3:$BC$3,0)),0)*BD39,0)*1.05</f>
        <v>0</v>
      </c>
      <c r="DF39" s="64">
        <f>ROUND(IFERROR(INDEX('Labor Cost_Master'!$G$4:$BC$135,MATCH($DN39,'Labor Cost_Master'!$BD$4:$BD$135,0),MATCH(DF$9,'Labor Cost_Master'!$G$3:$BC$3,0)),0)*BE39,0)*1.05</f>
        <v>0</v>
      </c>
      <c r="DG39" s="64">
        <f>ROUND(IFERROR(INDEX('Labor Cost_Master'!$G$4:$BC$135,MATCH($DN39,'Labor Cost_Master'!$BD$4:$BD$135,0),MATCH(DG$9,'Labor Cost_Master'!$G$3:$BC$3,0)),0)*BF39,0)*1.05</f>
        <v>0</v>
      </c>
      <c r="DH39" s="64">
        <f>ROUND(IFERROR(INDEX('Labor Cost_Master'!$G$4:$BC$135,MATCH($DN39,'Labor Cost_Master'!$BD$4:$BD$135,0),MATCH(DH$9,'Labor Cost_Master'!$G$3:$BC$3,0)),0)*BG39,0)*1.05</f>
        <v>0</v>
      </c>
      <c r="DI39" s="64">
        <f>ROUND(IFERROR(INDEX('Labor Cost_Master'!$G$4:$BC$135,MATCH($DN39,'Labor Cost_Master'!$BD$4:$BD$135,0),MATCH(DI$9,'Labor Cost_Master'!$G$3:$BC$3,0)),0)*BH39,0)*1.05</f>
        <v>0</v>
      </c>
      <c r="DJ39" s="64">
        <f>ROUND(IFERROR(INDEX('Labor Cost_Master'!$G$4:$BC$135,MATCH($DN39,'Labor Cost_Master'!$BD$4:$BD$135,0),MATCH(DJ$9,'Labor Cost_Master'!$G$3:$BC$3,0)),0)*BI39,0)*1.05</f>
        <v>0</v>
      </c>
      <c r="DK39" s="64">
        <f>ROUND(IFERROR(INDEX('Labor Cost_Master'!$G$4:$BC$135,MATCH($DN39,'Labor Cost_Master'!$BD$4:$BD$135,0),MATCH(DK$9,'Labor Cost_Master'!$G$3:$BC$3,0)),0)*BJ39,0)*1.05</f>
        <v>0</v>
      </c>
      <c r="DL39" s="64">
        <f>ROUND(IFERROR(INDEX('Labor Cost_Master'!$G$4:$BC$135,MATCH($DN39,'Labor Cost_Master'!$BD$4:$BD$135,0),MATCH(DL$9,'Labor Cost_Master'!$G$3:$BC$3,0)),0)*BK39,0)*1.05</f>
        <v>0</v>
      </c>
      <c r="DM39" s="66">
        <f t="shared" si="22"/>
        <v>0</v>
      </c>
      <c r="DN39" s="80" t="str">
        <f t="shared" si="23"/>
        <v/>
      </c>
      <c r="DO39" s="64">
        <f>ROUND(IFERROR(INDEX(Benefit_Master!$G$4:$BC$135,MATCH($DN39,Benefit_Master!$BD$4:$BD$135,0),MATCH(DO$9,Benefit_Master!$G$3:$BC$3,0)),0)*M39,0)</f>
        <v>0</v>
      </c>
      <c r="DP39" s="64">
        <f>ROUND(IFERROR(INDEX(Benefit_Master!$G$4:$BC$135,MATCH($DN39,Benefit_Master!$BD$4:$BD$135,0),MATCH(DP$9,Benefit_Master!$G$3:$BC$3,0)),0)*N39,0)</f>
        <v>0</v>
      </c>
      <c r="DQ39" s="64">
        <f>ROUND(IFERROR(INDEX(Benefit_Master!$G$4:$BC$135,MATCH($DN39,Benefit_Master!$BD$4:$BD$135,0),MATCH(DQ$9,Benefit_Master!$G$3:$BC$3,0)),0)*O39,0)</f>
        <v>0</v>
      </c>
      <c r="DR39" s="64">
        <f>ROUND(IFERROR(INDEX(Benefit_Master!$G$4:$BC$135,MATCH($DN39,Benefit_Master!$BD$4:$BD$135,0),MATCH(DR$9,Benefit_Master!$G$3:$BC$3,0)),0)*P39,0)</f>
        <v>0</v>
      </c>
      <c r="DS39" s="64">
        <f>ROUND(IFERROR(INDEX(Benefit_Master!$G$4:$BC$135,MATCH($DN39,Benefit_Master!$BD$4:$BD$135,0),MATCH(DS$9,Benefit_Master!$G$3:$BC$3,0)),0)*Q39,0)</f>
        <v>0</v>
      </c>
      <c r="DT39" s="64">
        <f>ROUND(IFERROR(INDEX(Benefit_Master!$G$4:$BC$135,MATCH($DN39,Benefit_Master!$BD$4:$BD$135,0),MATCH(DT$9,Benefit_Master!$G$3:$BC$3,0)),0)*R39,0)</f>
        <v>0</v>
      </c>
      <c r="DU39" s="64">
        <f>ROUND(IFERROR(INDEX(Benefit_Master!$G$4:$BC$135,MATCH($DN39,Benefit_Master!$BD$4:$BD$135,0),MATCH(DU$9,Benefit_Master!$G$3:$BC$3,0)),0)*S39,0)</f>
        <v>0</v>
      </c>
      <c r="DV39" s="64">
        <f>ROUND(IFERROR(INDEX(Benefit_Master!$G$4:$BC$135,MATCH($DN39,Benefit_Master!$BD$4:$BD$135,0),MATCH(DV$9,Benefit_Master!$G$3:$BC$3,0)),0)*T39,0)</f>
        <v>0</v>
      </c>
      <c r="DW39" s="64">
        <f>ROUND(IFERROR(INDEX(Benefit_Master!$G$4:$BC$135,MATCH($DN39,Benefit_Master!$BD$4:$BD$135,0),MATCH(DW$9,Benefit_Master!$G$3:$BC$3,0)),0)*U39,0)</f>
        <v>0</v>
      </c>
      <c r="DX39" s="64">
        <f>ROUND(IFERROR(INDEX(Benefit_Master!$G$4:$BC$135,MATCH($DN39,Benefit_Master!$BD$4:$BD$135,0),MATCH(DX$9,Benefit_Master!$G$3:$BC$3,0)),0)*V39,0)</f>
        <v>0</v>
      </c>
      <c r="DY39" s="64">
        <f>ROUND(IFERROR(INDEX(Benefit_Master!$G$4:$BC$135,MATCH($DN39,Benefit_Master!$BD$4:$BD$135,0),MATCH(DY$9,Benefit_Master!$G$3:$BC$3,0)),0)*W39,0)</f>
        <v>0</v>
      </c>
      <c r="DZ39" s="64">
        <f>ROUND(IFERROR(INDEX(Benefit_Master!$G$4:$BC$135,MATCH($DN39,Benefit_Master!$BD$4:$BD$135,0),MATCH(DZ$9,Benefit_Master!$G$3:$BC$3,0)),0)*X39,0)</f>
        <v>0</v>
      </c>
      <c r="EA39" s="66">
        <f t="shared" si="24"/>
        <v>0</v>
      </c>
      <c r="EB39" s="64">
        <f>ROUND(IFERROR(INDEX(Benefit_Master!$G$4:$BC$135,MATCH($DN39,Benefit_Master!$BD$4:$BD$135,0),MATCH(EB$9,Benefit_Master!$G$3:$BC$3,0)),0)*Z39,0)</f>
        <v>0</v>
      </c>
      <c r="EC39" s="64">
        <f>ROUND(IFERROR(INDEX(Benefit_Master!$G$4:$BC$135,MATCH($DN39,Benefit_Master!$BD$4:$BD$135,0),MATCH(EC$9,Benefit_Master!$G$3:$BC$3,0)),0)*AA39,0)</f>
        <v>0</v>
      </c>
      <c r="ED39" s="64">
        <f>ROUND(IFERROR(INDEX(Benefit_Master!$G$4:$BC$135,MATCH($DN39,Benefit_Master!$BD$4:$BD$135,0),MATCH(ED$9,Benefit_Master!$G$3:$BC$3,0)),0)*AB39,0)</f>
        <v>0</v>
      </c>
      <c r="EE39" s="64">
        <f>ROUND(IFERROR(INDEX(Benefit_Master!$G$4:$BC$135,MATCH($DN39,Benefit_Master!$BD$4:$BD$135,0),MATCH(EE$9,Benefit_Master!$G$3:$BC$3,0)),0)*AC39,0)</f>
        <v>0</v>
      </c>
      <c r="EF39" s="64">
        <f>ROUND(IFERROR(INDEX(Benefit_Master!$G$4:$BC$135,MATCH($DN39,Benefit_Master!$BD$4:$BD$135,0),MATCH(EF$9,Benefit_Master!$G$3:$BC$3,0)),0)*AD39,0)</f>
        <v>0</v>
      </c>
      <c r="EG39" s="64">
        <f>ROUND(IFERROR(INDEX(Benefit_Master!$G$4:$BC$135,MATCH($DN39,Benefit_Master!$BD$4:$BD$135,0),MATCH(EG$9,Benefit_Master!$G$3:$BC$3,0)),0)*AE39,0)</f>
        <v>0</v>
      </c>
      <c r="EH39" s="64">
        <f>ROUND(IFERROR(INDEX(Benefit_Master!$G$4:$BC$135,MATCH($DN39,Benefit_Master!$BD$4:$BD$135,0),MATCH(EH$9,Benefit_Master!$G$3:$BC$3,0)),0)*AF39,0)</f>
        <v>0</v>
      </c>
      <c r="EI39" s="64">
        <f>ROUND(IFERROR(INDEX(Benefit_Master!$G$4:$BC$135,MATCH($DN39,Benefit_Master!$BD$4:$BD$135,0),MATCH(EI$9,Benefit_Master!$G$3:$BC$3,0)),0)*AG39,0)</f>
        <v>0</v>
      </c>
      <c r="EJ39" s="64">
        <f>ROUND(IFERROR(INDEX(Benefit_Master!$G$4:$BC$135,MATCH($DN39,Benefit_Master!$BD$4:$BD$135,0),MATCH(EJ$9,Benefit_Master!$G$3:$BC$3,0)),0)*AH39,0)</f>
        <v>0</v>
      </c>
      <c r="EK39" s="64">
        <f>ROUND(IFERROR(INDEX(Benefit_Master!$G$4:$BC$135,MATCH($DN39,Benefit_Master!$BD$4:$BD$135,0),MATCH(EK$9,Benefit_Master!$G$3:$BC$3,0)),0)*AI39,0)</f>
        <v>0</v>
      </c>
      <c r="EL39" s="64">
        <f>ROUND(IFERROR(INDEX(Benefit_Master!$G$4:$BC$135,MATCH($DN39,Benefit_Master!$BD$4:$BD$135,0),MATCH(EL$9,Benefit_Master!$G$3:$BC$3,0)),0)*AJ39,0)</f>
        <v>0</v>
      </c>
      <c r="EM39" s="64">
        <f>ROUND(IFERROR(INDEX(Benefit_Master!$G$4:$BC$135,MATCH($DN39,Benefit_Master!$BD$4:$BD$135,0),MATCH(EM$9,Benefit_Master!$G$3:$BC$3,0)),0)*AK39,0)</f>
        <v>0</v>
      </c>
      <c r="EN39" s="66">
        <f t="shared" si="25"/>
        <v>0</v>
      </c>
      <c r="EO39" s="64">
        <f>ROUND(IFERROR(INDEX(Benefit_Master!$G$4:$BC$135,MATCH($DN39,Benefit_Master!$BD$4:$BD$135,0),MATCH(EO$9,Benefit_Master!$G$3:$BC$3,0)),0)*AM39,0)</f>
        <v>0</v>
      </c>
      <c r="EP39" s="64">
        <f>ROUND(IFERROR(INDEX(Benefit_Master!$G$4:$BC$135,MATCH($DN39,Benefit_Master!$BD$4:$BD$135,0),MATCH(EP$9,Benefit_Master!$G$3:$BC$3,0)),0)*AN39,0)</f>
        <v>0</v>
      </c>
      <c r="EQ39" s="64">
        <f>ROUND(IFERROR(INDEX(Benefit_Master!$G$4:$BC$135,MATCH($DN39,Benefit_Master!$BD$4:$BD$135,0),MATCH(EQ$9,Benefit_Master!$G$3:$BC$3,0)),0)*AO39,0)</f>
        <v>0</v>
      </c>
      <c r="ER39" s="64">
        <f>ROUND(IFERROR(INDEX(Benefit_Master!$G$4:$BC$135,MATCH($DN39,Benefit_Master!$BD$4:$BD$135,0),MATCH(ER$9,Benefit_Master!$G$3:$BC$3,0)),0)*AP39,0)</f>
        <v>0</v>
      </c>
      <c r="ES39" s="64">
        <f>ROUND(IFERROR(INDEX(Benefit_Master!$G$4:$BC$135,MATCH($DN39,Benefit_Master!$BD$4:$BD$135,0),MATCH(ES$9,Benefit_Master!$G$3:$BC$3,0)),0)*AQ39,0)</f>
        <v>0</v>
      </c>
      <c r="ET39" s="64">
        <f>ROUND(IFERROR(INDEX(Benefit_Master!$G$4:$BC$135,MATCH($DN39,Benefit_Master!$BD$4:$BD$135,0),MATCH(ET$9,Benefit_Master!$G$3:$BC$3,0)),0)*AR39,0)</f>
        <v>0</v>
      </c>
      <c r="EU39" s="64">
        <f>ROUND(IFERROR(INDEX(Benefit_Master!$G$4:$BC$135,MATCH($DN39,Benefit_Master!$BD$4:$BD$135,0),MATCH(EU$9,Benefit_Master!$G$3:$BC$3,0)),0)*AS39,0)</f>
        <v>0</v>
      </c>
      <c r="EV39" s="64">
        <f>ROUND(IFERROR(INDEX(Benefit_Master!$G$4:$BC$135,MATCH($DN39,Benefit_Master!$BD$4:$BD$135,0),MATCH(EV$9,Benefit_Master!$G$3:$BC$3,0)),0)*AT39,0)</f>
        <v>0</v>
      </c>
      <c r="EW39" s="64">
        <f>ROUND(IFERROR(INDEX(Benefit_Master!$G$4:$BC$135,MATCH($DN39,Benefit_Master!$BD$4:$BD$135,0),MATCH(EW$9,Benefit_Master!$G$3:$BC$3,0)),0)*AU39,0)</f>
        <v>0</v>
      </c>
      <c r="EX39" s="64">
        <f>ROUND(IFERROR(INDEX(Benefit_Master!$G$4:$BC$135,MATCH($DN39,Benefit_Master!$BD$4:$BD$135,0),MATCH(EX$9,Benefit_Master!$G$3:$BC$3,0)),0)*AV39,0)</f>
        <v>0</v>
      </c>
      <c r="EY39" s="64">
        <f>ROUND(IFERROR(INDEX(Benefit_Master!$G$4:$BC$135,MATCH($DN39,Benefit_Master!$BD$4:$BD$135,0),MATCH(EY$9,Benefit_Master!$G$3:$BC$3,0)),0)*AW39,0)</f>
        <v>0</v>
      </c>
      <c r="EZ39" s="64">
        <f>ROUND(IFERROR(INDEX(Benefit_Master!$G$4:$BC$135,MATCH($DN39,Benefit_Master!$BD$4:$BD$135,0),MATCH(EZ$9,Benefit_Master!$G$3:$BC$3,0)),0)*AX39,0)</f>
        <v>0</v>
      </c>
      <c r="FA39" s="66">
        <f t="shared" si="26"/>
        <v>0</v>
      </c>
      <c r="FB39" s="64">
        <f>ROUND(IFERROR(INDEX(Benefit_Master!$G$4:$BC$135,MATCH($DN39,Benefit_Master!$BD$4:$BD$135,0),MATCH(FB$9,Benefit_Master!$G$3:$BC$3,0)),0)*AZ39,0)</f>
        <v>0</v>
      </c>
      <c r="FC39" s="64">
        <f>ROUND(IFERROR(INDEX(Benefit_Master!$G$4:$BC$135,MATCH($DN39,Benefit_Master!$BD$4:$BD$135,0),MATCH(FC$9,Benefit_Master!$G$3:$BC$3,0)),0)*BA39,0)</f>
        <v>0</v>
      </c>
      <c r="FD39" s="64">
        <f>ROUND(IFERROR(INDEX(Benefit_Master!$G$4:$BC$135,MATCH($DN39,Benefit_Master!$BD$4:$BD$135,0),MATCH(FD$9,Benefit_Master!$G$3:$BC$3,0)),0)*BB39,0)</f>
        <v>0</v>
      </c>
      <c r="FE39" s="64">
        <f>ROUND(IFERROR(INDEX(Benefit_Master!$G$4:$BC$135,MATCH($DN39,Benefit_Master!$BD$4:$BD$135,0),MATCH(FE$9,Benefit_Master!$G$3:$BC$3,0)),0)*BC39,0)</f>
        <v>0</v>
      </c>
      <c r="FF39" s="64">
        <f>ROUND(IFERROR(INDEX(Benefit_Master!$G$4:$BC$135,MATCH($DN39,Benefit_Master!$BD$4:$BD$135,0),MATCH(FF$9,Benefit_Master!$G$3:$BC$3,0)),0)*BD39,0)</f>
        <v>0</v>
      </c>
      <c r="FG39" s="64">
        <f>ROUND(IFERROR(INDEX(Benefit_Master!$G$4:$BC$135,MATCH($DN39,Benefit_Master!$BD$4:$BD$135,0),MATCH(FG$9,Benefit_Master!$G$3:$BC$3,0)),0)*BE39,0)</f>
        <v>0</v>
      </c>
      <c r="FH39" s="64">
        <f>ROUND(IFERROR(INDEX(Benefit_Master!$G$4:$BC$135,MATCH($DN39,Benefit_Master!$BD$4:$BD$135,0),MATCH(FH$9,Benefit_Master!$G$3:$BC$3,0)),0)*BF39,0)</f>
        <v>0</v>
      </c>
      <c r="FI39" s="64">
        <f>ROUND(IFERROR(INDEX(Benefit_Master!$G$4:$BC$135,MATCH($DN39,Benefit_Master!$BD$4:$BD$135,0),MATCH(FI$9,Benefit_Master!$G$3:$BC$3,0)),0)*BG39,0)</f>
        <v>0</v>
      </c>
      <c r="FJ39" s="64">
        <f>ROUND(IFERROR(INDEX(Benefit_Master!$G$4:$BC$135,MATCH($DN39,Benefit_Master!$BD$4:$BD$135,0),MATCH(FJ$9,Benefit_Master!$G$3:$BC$3,0)),0)*BH39,0)</f>
        <v>0</v>
      </c>
      <c r="FK39" s="64">
        <f>ROUND(IFERROR(INDEX(Benefit_Master!$G$4:$BC$135,MATCH($DN39,Benefit_Master!$BD$4:$BD$135,0),MATCH(FK$9,Benefit_Master!$G$3:$BC$3,0)),0)*BI39,0)</f>
        <v>0</v>
      </c>
      <c r="FL39" s="64">
        <f>ROUND(IFERROR(INDEX(Benefit_Master!$G$4:$BC$135,MATCH($DN39,Benefit_Master!$BD$4:$BD$135,0),MATCH(FL$9,Benefit_Master!$G$3:$BC$3,0)),0)*BJ39,0)</f>
        <v>0</v>
      </c>
      <c r="FM39" s="64">
        <f>ROUND(IFERROR(INDEX(Benefit_Master!$G$4:$BC$135,MATCH($DN39,Benefit_Master!$BD$4:$BD$135,0),MATCH(FM$9,Benefit_Master!$G$3:$BC$3,0)),0)*BK39,0)</f>
        <v>0</v>
      </c>
      <c r="FN39" s="66">
        <f t="shared" si="27"/>
        <v>0</v>
      </c>
    </row>
    <row r="40" spans="2:170" s="12" customFormat="1" ht="15" customHeight="1">
      <c r="B40" s="93">
        <f t="shared" si="28"/>
        <v>28</v>
      </c>
      <c r="C40" s="89"/>
      <c r="D40" s="97"/>
      <c r="E40" s="1157"/>
      <c r="F40" s="425"/>
      <c r="G40" s="94" t="str">
        <f>IFERROR(VLOOKUP($F40,Master!$B$1:$C$7,2,0),"-")</f>
        <v>-</v>
      </c>
      <c r="H40" s="95">
        <f t="shared" si="12"/>
        <v>0</v>
      </c>
      <c r="I40" s="138">
        <f t="shared" si="13"/>
        <v>0</v>
      </c>
      <c r="J40" s="138">
        <f t="shared" si="14"/>
        <v>0</v>
      </c>
      <c r="K40" s="96"/>
      <c r="L40"/>
      <c r="M40" s="58"/>
      <c r="N40" s="59"/>
      <c r="O40" s="59"/>
      <c r="P40" s="59"/>
      <c r="Q40" s="59"/>
      <c r="R40" s="59"/>
      <c r="S40" s="59"/>
      <c r="T40" s="59"/>
      <c r="U40" s="679"/>
      <c r="V40" s="59"/>
      <c r="W40" s="59"/>
      <c r="X40" s="59"/>
      <c r="Y40" s="60">
        <f t="shared" si="15"/>
        <v>0</v>
      </c>
      <c r="Z40" s="58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60">
        <f t="shared" si="16"/>
        <v>0</v>
      </c>
      <c r="AM40" s="58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60">
        <f t="shared" si="17"/>
        <v>0</v>
      </c>
      <c r="AZ40" s="58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60">
        <f t="shared" si="18"/>
        <v>0</v>
      </c>
      <c r="BM40"/>
      <c r="BN40" s="64">
        <f>ROUND(IFERROR(INDEX('Labor Cost_Master'!$G$4:$BC$135,MATCH($DN40,'Labor Cost_Master'!$BD$4:$BD$135,0),MATCH(BN$9,'Labor Cost_Master'!$G$3:$BC$3,0)),0)*M40,0)</f>
        <v>0</v>
      </c>
      <c r="BO40" s="64">
        <f>ROUND(IFERROR(INDEX('Labor Cost_Master'!$G$4:$BC$135,MATCH($DN40,'Labor Cost_Master'!$BD$4:$BD$135,0),MATCH(BO$9,'Labor Cost_Master'!$G$3:$BC$3,0)),0)*N40,0)</f>
        <v>0</v>
      </c>
      <c r="BP40" s="64">
        <f>ROUND(IFERROR(INDEX('Labor Cost_Master'!$G$4:$BC$135,MATCH($DN40,'Labor Cost_Master'!$BD$4:$BD$135,0),MATCH(BP$9,'Labor Cost_Master'!$G$3:$BC$3,0)),0)*O40,0)</f>
        <v>0</v>
      </c>
      <c r="BQ40" s="64">
        <f>ROUND(IFERROR(INDEX('Labor Cost_Master'!$G$4:$BC$135,MATCH($DN40,'Labor Cost_Master'!$BD$4:$BD$135,0),MATCH(BQ$9,'Labor Cost_Master'!$G$3:$BC$3,0)),0)*P40,0)</f>
        <v>0</v>
      </c>
      <c r="BR40" s="64">
        <f>ROUND(IFERROR(INDEX('Labor Cost_Master'!$G$4:$BC$135,MATCH($DN40,'Labor Cost_Master'!$BD$4:$BD$135,0),MATCH(BR$9,'Labor Cost_Master'!$G$3:$BC$3,0)),0)*Q40,0)</f>
        <v>0</v>
      </c>
      <c r="BS40" s="64">
        <f>ROUND(IFERROR(INDEX('Labor Cost_Master'!$G$4:$BC$135,MATCH($DN40,'Labor Cost_Master'!$BD$4:$BD$135,0),MATCH(BS$9,'Labor Cost_Master'!$G$3:$BC$3,0)),0)*R40,0)</f>
        <v>0</v>
      </c>
      <c r="BT40" s="64">
        <f>ROUND(IFERROR(INDEX('Labor Cost_Master'!$G$4:$BC$135,MATCH($DN40,'Labor Cost_Master'!$BD$4:$BD$135,0),MATCH(BT$9,'Labor Cost_Master'!$G$3:$BC$3,0)),0)*S40,0)</f>
        <v>0</v>
      </c>
      <c r="BU40" s="64">
        <f>ROUND(IFERROR(INDEX('Labor Cost_Master'!$G$4:$BC$135,MATCH($DN40,'Labor Cost_Master'!$BD$4:$BD$135,0),MATCH(BU$9,'Labor Cost_Master'!$G$3:$BC$3,0)),0)*T40,0)</f>
        <v>0</v>
      </c>
      <c r="BV40" s="64">
        <f>ROUND(IFERROR(INDEX('Labor Cost_Master'!$G$4:$BC$135,MATCH($DN40,'Labor Cost_Master'!$BD$4:$BD$135,0),MATCH(BV$9,'Labor Cost_Master'!$G$3:$BC$3,0)),0)*U40,0)</f>
        <v>0</v>
      </c>
      <c r="BW40" s="64">
        <f>ROUND(IFERROR(INDEX('Labor Cost_Master'!$G$4:$BC$135,MATCH($DN40,'Labor Cost_Master'!$BD$4:$BD$135,0),MATCH(BW$9,'Labor Cost_Master'!$G$3:$BC$3,0)),0)*V40,0)</f>
        <v>0</v>
      </c>
      <c r="BX40" s="64">
        <f>ROUND(IFERROR(INDEX('Labor Cost_Master'!$G$4:$BC$135,MATCH($DN40,'Labor Cost_Master'!$BD$4:$BD$135,0),MATCH(BX$9,'Labor Cost_Master'!$G$3:$BC$3,0)),0)*W40,0)</f>
        <v>0</v>
      </c>
      <c r="BY40" s="64">
        <f>ROUND(IFERROR(INDEX('Labor Cost_Master'!$G$4:$BC$135,MATCH($DN40,'Labor Cost_Master'!$BD$4:$BD$135,0),MATCH(BY$9,'Labor Cost_Master'!$G$3:$BC$3,0)),0)*X40,0)</f>
        <v>0</v>
      </c>
      <c r="BZ40" s="66">
        <f t="shared" si="19"/>
        <v>0</v>
      </c>
      <c r="CA40" s="64">
        <f>ROUND(IFERROR(INDEX('Labor Cost_Master'!$G$4:$BC$135,MATCH($DN40,'Labor Cost_Master'!$BD$4:$BD$135,0),MATCH(CA$9,'Labor Cost_Master'!$G$3:$BC$3,0)),0)*Z40,0)</f>
        <v>0</v>
      </c>
      <c r="CB40" s="64">
        <f>ROUND(IFERROR(INDEX('Labor Cost_Master'!$G$4:$BC$135,MATCH($DN40,'Labor Cost_Master'!$BD$4:$BD$135,0),MATCH(CB$9,'Labor Cost_Master'!$G$3:$BC$3,0)),0)*AA40,0)</f>
        <v>0</v>
      </c>
      <c r="CC40" s="64">
        <f>ROUND(IFERROR(INDEX('Labor Cost_Master'!$G$4:$BC$135,MATCH($DN40,'Labor Cost_Master'!$BD$4:$BD$135,0),MATCH(CC$9,'Labor Cost_Master'!$G$3:$BC$3,0)),0)*AB40,0)</f>
        <v>0</v>
      </c>
      <c r="CD40" s="64">
        <f>ROUND(IFERROR(INDEX('Labor Cost_Master'!$G$4:$BC$135,MATCH($DN40,'Labor Cost_Master'!$BD$4:$BD$135,0),MATCH(CD$9,'Labor Cost_Master'!$G$3:$BC$3,0)),0)*AC40,0)</f>
        <v>0</v>
      </c>
      <c r="CE40" s="64">
        <f>ROUND(IFERROR(INDEX('Labor Cost_Master'!$G$4:$BC$135,MATCH($DN40,'Labor Cost_Master'!$BD$4:$BD$135,0),MATCH(CE$9,'Labor Cost_Master'!$G$3:$BC$3,0)),0)*AD40,0)</f>
        <v>0</v>
      </c>
      <c r="CF40" s="64">
        <f>ROUND(IFERROR(INDEX('Labor Cost_Master'!$G$4:$BC$135,MATCH($DN40,'Labor Cost_Master'!$BD$4:$BD$135,0),MATCH(CF$9,'Labor Cost_Master'!$G$3:$BC$3,0)),0)*AE40,0)</f>
        <v>0</v>
      </c>
      <c r="CG40" s="64">
        <f>ROUND(IFERROR(INDEX('Labor Cost_Master'!$G$4:$BC$135,MATCH($DN40,'Labor Cost_Master'!$BD$4:$BD$135,0),MATCH(CG$9,'Labor Cost_Master'!$G$3:$BC$3,0)),0)*AF40,0)</f>
        <v>0</v>
      </c>
      <c r="CH40" s="64">
        <f>ROUND(IFERROR(INDEX('Labor Cost_Master'!$G$4:$BC$135,MATCH($DN40,'Labor Cost_Master'!$BD$4:$BD$135,0),MATCH(CH$9,'Labor Cost_Master'!$G$3:$BC$3,0)),0)*AG40,0)</f>
        <v>0</v>
      </c>
      <c r="CI40" s="64">
        <f>ROUND(IFERROR(INDEX('Labor Cost_Master'!$G$4:$BC$135,MATCH($DN40,'Labor Cost_Master'!$BD$4:$BD$135,0),MATCH(CI$9,'Labor Cost_Master'!$G$3:$BC$3,0)),0)*AH40,0)</f>
        <v>0</v>
      </c>
      <c r="CJ40" s="64">
        <f>ROUND(IFERROR(INDEX('Labor Cost_Master'!$G$4:$BC$135,MATCH($DN40,'Labor Cost_Master'!$BD$4:$BD$135,0),MATCH(CJ$9,'Labor Cost_Master'!$G$3:$BC$3,0)),0)*AI40,0)</f>
        <v>0</v>
      </c>
      <c r="CK40" s="64">
        <f>ROUND(IFERROR(INDEX('Labor Cost_Master'!$G$4:$BC$135,MATCH($DN40,'Labor Cost_Master'!$BD$4:$BD$135,0),MATCH(CK$9,'Labor Cost_Master'!$G$3:$BC$3,0)),0)*AJ40,0)</f>
        <v>0</v>
      </c>
      <c r="CL40" s="64">
        <f>ROUND(IFERROR(INDEX('Labor Cost_Master'!$G$4:$BC$135,MATCH($DN40,'Labor Cost_Master'!$BD$4:$BD$135,0),MATCH(CL$9,'Labor Cost_Master'!$G$3:$BC$3,0)),0)*AK40,0)</f>
        <v>0</v>
      </c>
      <c r="CM40" s="66">
        <f t="shared" si="20"/>
        <v>0</v>
      </c>
      <c r="CN40" s="64">
        <f>ROUND(IFERROR(INDEX('Labor Cost_Master'!$G$4:$BC$135,MATCH($DN40,'Labor Cost_Master'!$BD$4:$BD$135,0),MATCH(CN$9,'Labor Cost_Master'!$G$3:$BC$3,0)),0)*AM40,0)</f>
        <v>0</v>
      </c>
      <c r="CO40" s="64">
        <f>ROUND(IFERROR(INDEX('Labor Cost_Master'!$G$4:$BC$135,MATCH($DN40,'Labor Cost_Master'!$BD$4:$BD$135,0),MATCH(CO$9,'Labor Cost_Master'!$G$3:$BC$3,0)),0)*AN40,0)</f>
        <v>0</v>
      </c>
      <c r="CP40" s="64">
        <f>ROUND(IFERROR(INDEX('Labor Cost_Master'!$G$4:$BC$135,MATCH($DN40,'Labor Cost_Master'!$BD$4:$BD$135,0),MATCH(CP$9,'Labor Cost_Master'!$G$3:$BC$3,0)),0)*AO40,0)</f>
        <v>0</v>
      </c>
      <c r="CQ40" s="64">
        <f>ROUND(IFERROR(INDEX('Labor Cost_Master'!$G$4:$BC$135,MATCH($DN40,'Labor Cost_Master'!$BD$4:$BD$135,0),MATCH(CQ$9,'Labor Cost_Master'!$G$3:$BC$3,0)),0)*AP40,0)</f>
        <v>0</v>
      </c>
      <c r="CR40" s="64">
        <f>ROUND(IFERROR(INDEX('Labor Cost_Master'!$G$4:$BC$135,MATCH($DN40,'Labor Cost_Master'!$BD$4:$BD$135,0),MATCH(CR$9,'Labor Cost_Master'!$G$3:$BC$3,0)),0)*AQ40,0)</f>
        <v>0</v>
      </c>
      <c r="CS40" s="64">
        <f>ROUND(IFERROR(INDEX('Labor Cost_Master'!$G$4:$BC$135,MATCH($DN40,'Labor Cost_Master'!$BD$4:$BD$135,0),MATCH(CS$9,'Labor Cost_Master'!$G$3:$BC$3,0)),0)*AR40,0)</f>
        <v>0</v>
      </c>
      <c r="CT40" s="64">
        <f>ROUND(IFERROR(INDEX('Labor Cost_Master'!$G$4:$BC$135,MATCH($DN40,'Labor Cost_Master'!$BD$4:$BD$135,0),MATCH(CT$9,'Labor Cost_Master'!$G$3:$BC$3,0)),0)*AS40,0)</f>
        <v>0</v>
      </c>
      <c r="CU40" s="64">
        <f>ROUND(IFERROR(INDEX('Labor Cost_Master'!$G$4:$BC$135,MATCH($DN40,'Labor Cost_Master'!$BD$4:$BD$135,0),MATCH(CU$9,'Labor Cost_Master'!$G$3:$BC$3,0)),0)*AT40,0)</f>
        <v>0</v>
      </c>
      <c r="CV40" s="64">
        <f>ROUND(IFERROR(INDEX('Labor Cost_Master'!$G$4:$BC$135,MATCH($DN40,'Labor Cost_Master'!$BD$4:$BD$135,0),MATCH(CV$9,'Labor Cost_Master'!$G$3:$BC$3,0)),0)*AU40,0)</f>
        <v>0</v>
      </c>
      <c r="CW40" s="64">
        <f>ROUND(IFERROR(INDEX('Labor Cost_Master'!$G$4:$BC$135,MATCH($DN40,'Labor Cost_Master'!$BD$4:$BD$135,0),MATCH(CW$9,'Labor Cost_Master'!$G$3:$BC$3,0)),0)*AV40,0)</f>
        <v>0</v>
      </c>
      <c r="CX40" s="64">
        <f>ROUND(IFERROR(INDEX('Labor Cost_Master'!$G$4:$BC$135,MATCH($DN40,'Labor Cost_Master'!$BD$4:$BD$135,0),MATCH(CX$9,'Labor Cost_Master'!$G$3:$BC$3,0)),0)*AW40,0)</f>
        <v>0</v>
      </c>
      <c r="CY40" s="64">
        <f>ROUND(IFERROR(INDEX('Labor Cost_Master'!$G$4:$BC$135,MATCH($DN40,'Labor Cost_Master'!$BD$4:$BD$135,0),MATCH(CY$9,'Labor Cost_Master'!$G$3:$BC$3,0)),0)*AX40,0)</f>
        <v>0</v>
      </c>
      <c r="CZ40" s="66">
        <f t="shared" si="21"/>
        <v>0</v>
      </c>
      <c r="DA40" s="64">
        <f>ROUND(IFERROR(INDEX('Labor Cost_Master'!$G$4:$BC$135,MATCH($DN40,'Labor Cost_Master'!$BD$4:$BD$135,0),MATCH(DA$9,'Labor Cost_Master'!$G$3:$BC$3,0)),0)*AZ40,0)</f>
        <v>0</v>
      </c>
      <c r="DB40" s="64">
        <f>ROUND(IFERROR(INDEX('Labor Cost_Master'!$G$4:$BC$135,MATCH($DN40,'Labor Cost_Master'!$BD$4:$BD$135,0),MATCH(DB$9,'Labor Cost_Master'!$G$3:$BC$3,0)),0)*BA40,0)</f>
        <v>0</v>
      </c>
      <c r="DC40" s="1166">
        <f>ROUND(IFERROR(INDEX('Labor Cost_Master'!$G$4:$BC$135,MATCH($DN40,'Labor Cost_Master'!$BD$4:$BD$135,0),MATCH(DC$9,'Labor Cost_Master'!$G$3:$BC$3,0)),0)*BB40,0)*1.05</f>
        <v>0</v>
      </c>
      <c r="DD40" s="64">
        <f>ROUND(IFERROR(INDEX('Labor Cost_Master'!$G$4:$BC$135,MATCH($DN40,'Labor Cost_Master'!$BD$4:$BD$135,0),MATCH(DD$9,'Labor Cost_Master'!$G$3:$BC$3,0)),0)*BC40,0)*1.05</f>
        <v>0</v>
      </c>
      <c r="DE40" s="64">
        <f>ROUND(IFERROR(INDEX('Labor Cost_Master'!$G$4:$BC$135,MATCH($DN40,'Labor Cost_Master'!$BD$4:$BD$135,0),MATCH(DE$9,'Labor Cost_Master'!$G$3:$BC$3,0)),0)*BD40,0)*1.05</f>
        <v>0</v>
      </c>
      <c r="DF40" s="64">
        <f>ROUND(IFERROR(INDEX('Labor Cost_Master'!$G$4:$BC$135,MATCH($DN40,'Labor Cost_Master'!$BD$4:$BD$135,0),MATCH(DF$9,'Labor Cost_Master'!$G$3:$BC$3,0)),0)*BE40,0)*1.05</f>
        <v>0</v>
      </c>
      <c r="DG40" s="64">
        <f>ROUND(IFERROR(INDEX('Labor Cost_Master'!$G$4:$BC$135,MATCH($DN40,'Labor Cost_Master'!$BD$4:$BD$135,0),MATCH(DG$9,'Labor Cost_Master'!$G$3:$BC$3,0)),0)*BF40,0)*1.05</f>
        <v>0</v>
      </c>
      <c r="DH40" s="64">
        <f>ROUND(IFERROR(INDEX('Labor Cost_Master'!$G$4:$BC$135,MATCH($DN40,'Labor Cost_Master'!$BD$4:$BD$135,0),MATCH(DH$9,'Labor Cost_Master'!$G$3:$BC$3,0)),0)*BG40,0)*1.05</f>
        <v>0</v>
      </c>
      <c r="DI40" s="64">
        <f>ROUND(IFERROR(INDEX('Labor Cost_Master'!$G$4:$BC$135,MATCH($DN40,'Labor Cost_Master'!$BD$4:$BD$135,0),MATCH(DI$9,'Labor Cost_Master'!$G$3:$BC$3,0)),0)*BH40,0)*1.05</f>
        <v>0</v>
      </c>
      <c r="DJ40" s="64">
        <f>ROUND(IFERROR(INDEX('Labor Cost_Master'!$G$4:$BC$135,MATCH($DN40,'Labor Cost_Master'!$BD$4:$BD$135,0),MATCH(DJ$9,'Labor Cost_Master'!$G$3:$BC$3,0)),0)*BI40,0)*1.05</f>
        <v>0</v>
      </c>
      <c r="DK40" s="64">
        <f>ROUND(IFERROR(INDEX('Labor Cost_Master'!$G$4:$BC$135,MATCH($DN40,'Labor Cost_Master'!$BD$4:$BD$135,0),MATCH(DK$9,'Labor Cost_Master'!$G$3:$BC$3,0)),0)*BJ40,0)*1.05</f>
        <v>0</v>
      </c>
      <c r="DL40" s="64">
        <f>ROUND(IFERROR(INDEX('Labor Cost_Master'!$G$4:$BC$135,MATCH($DN40,'Labor Cost_Master'!$BD$4:$BD$135,0),MATCH(DL$9,'Labor Cost_Master'!$G$3:$BC$3,0)),0)*BK40,0)*1.05</f>
        <v>0</v>
      </c>
      <c r="DM40" s="66">
        <f t="shared" si="22"/>
        <v>0</v>
      </c>
      <c r="DN40" s="80" t="str">
        <f t="shared" si="23"/>
        <v/>
      </c>
      <c r="DO40" s="64">
        <f>ROUND(IFERROR(INDEX(Benefit_Master!$G$4:$BC$135,MATCH($DN40,Benefit_Master!$BD$4:$BD$135,0),MATCH(DO$9,Benefit_Master!$G$3:$BC$3,0)),0)*M40,0)</f>
        <v>0</v>
      </c>
      <c r="DP40" s="64">
        <f>ROUND(IFERROR(INDEX(Benefit_Master!$G$4:$BC$135,MATCH($DN40,Benefit_Master!$BD$4:$BD$135,0),MATCH(DP$9,Benefit_Master!$G$3:$BC$3,0)),0)*N40,0)</f>
        <v>0</v>
      </c>
      <c r="DQ40" s="64">
        <f>ROUND(IFERROR(INDEX(Benefit_Master!$G$4:$BC$135,MATCH($DN40,Benefit_Master!$BD$4:$BD$135,0),MATCH(DQ$9,Benefit_Master!$G$3:$BC$3,0)),0)*O40,0)</f>
        <v>0</v>
      </c>
      <c r="DR40" s="64">
        <f>ROUND(IFERROR(INDEX(Benefit_Master!$G$4:$BC$135,MATCH($DN40,Benefit_Master!$BD$4:$BD$135,0),MATCH(DR$9,Benefit_Master!$G$3:$BC$3,0)),0)*P40,0)</f>
        <v>0</v>
      </c>
      <c r="DS40" s="64">
        <f>ROUND(IFERROR(INDEX(Benefit_Master!$G$4:$BC$135,MATCH($DN40,Benefit_Master!$BD$4:$BD$135,0),MATCH(DS$9,Benefit_Master!$G$3:$BC$3,0)),0)*Q40,0)</f>
        <v>0</v>
      </c>
      <c r="DT40" s="64">
        <f>ROUND(IFERROR(INDEX(Benefit_Master!$G$4:$BC$135,MATCH($DN40,Benefit_Master!$BD$4:$BD$135,0),MATCH(DT$9,Benefit_Master!$G$3:$BC$3,0)),0)*R40,0)</f>
        <v>0</v>
      </c>
      <c r="DU40" s="64">
        <f>ROUND(IFERROR(INDEX(Benefit_Master!$G$4:$BC$135,MATCH($DN40,Benefit_Master!$BD$4:$BD$135,0),MATCH(DU$9,Benefit_Master!$G$3:$BC$3,0)),0)*S40,0)</f>
        <v>0</v>
      </c>
      <c r="DV40" s="64">
        <f>ROUND(IFERROR(INDEX(Benefit_Master!$G$4:$BC$135,MATCH($DN40,Benefit_Master!$BD$4:$BD$135,0),MATCH(DV$9,Benefit_Master!$G$3:$BC$3,0)),0)*T40,0)</f>
        <v>0</v>
      </c>
      <c r="DW40" s="64">
        <f>ROUND(IFERROR(INDEX(Benefit_Master!$G$4:$BC$135,MATCH($DN40,Benefit_Master!$BD$4:$BD$135,0),MATCH(DW$9,Benefit_Master!$G$3:$BC$3,0)),0)*U40,0)</f>
        <v>0</v>
      </c>
      <c r="DX40" s="64">
        <f>ROUND(IFERROR(INDEX(Benefit_Master!$G$4:$BC$135,MATCH($DN40,Benefit_Master!$BD$4:$BD$135,0),MATCH(DX$9,Benefit_Master!$G$3:$BC$3,0)),0)*V40,0)</f>
        <v>0</v>
      </c>
      <c r="DY40" s="64">
        <f>ROUND(IFERROR(INDEX(Benefit_Master!$G$4:$BC$135,MATCH($DN40,Benefit_Master!$BD$4:$BD$135,0),MATCH(DY$9,Benefit_Master!$G$3:$BC$3,0)),0)*W40,0)</f>
        <v>0</v>
      </c>
      <c r="DZ40" s="64">
        <f>ROUND(IFERROR(INDEX(Benefit_Master!$G$4:$BC$135,MATCH($DN40,Benefit_Master!$BD$4:$BD$135,0),MATCH(DZ$9,Benefit_Master!$G$3:$BC$3,0)),0)*X40,0)</f>
        <v>0</v>
      </c>
      <c r="EA40" s="66">
        <f t="shared" si="24"/>
        <v>0</v>
      </c>
      <c r="EB40" s="64">
        <f>ROUND(IFERROR(INDEX(Benefit_Master!$G$4:$BC$135,MATCH($DN40,Benefit_Master!$BD$4:$BD$135,0),MATCH(EB$9,Benefit_Master!$G$3:$BC$3,0)),0)*Z40,0)</f>
        <v>0</v>
      </c>
      <c r="EC40" s="64">
        <f>ROUND(IFERROR(INDEX(Benefit_Master!$G$4:$BC$135,MATCH($DN40,Benefit_Master!$BD$4:$BD$135,0),MATCH(EC$9,Benefit_Master!$G$3:$BC$3,0)),0)*AA40,0)</f>
        <v>0</v>
      </c>
      <c r="ED40" s="64">
        <f>ROUND(IFERROR(INDEX(Benefit_Master!$G$4:$BC$135,MATCH($DN40,Benefit_Master!$BD$4:$BD$135,0),MATCH(ED$9,Benefit_Master!$G$3:$BC$3,0)),0)*AB40,0)</f>
        <v>0</v>
      </c>
      <c r="EE40" s="64">
        <f>ROUND(IFERROR(INDEX(Benefit_Master!$G$4:$BC$135,MATCH($DN40,Benefit_Master!$BD$4:$BD$135,0),MATCH(EE$9,Benefit_Master!$G$3:$BC$3,0)),0)*AC40,0)</f>
        <v>0</v>
      </c>
      <c r="EF40" s="64">
        <f>ROUND(IFERROR(INDEX(Benefit_Master!$G$4:$BC$135,MATCH($DN40,Benefit_Master!$BD$4:$BD$135,0),MATCH(EF$9,Benefit_Master!$G$3:$BC$3,0)),0)*AD40,0)</f>
        <v>0</v>
      </c>
      <c r="EG40" s="64">
        <f>ROUND(IFERROR(INDEX(Benefit_Master!$G$4:$BC$135,MATCH($DN40,Benefit_Master!$BD$4:$BD$135,0),MATCH(EG$9,Benefit_Master!$G$3:$BC$3,0)),0)*AE40,0)</f>
        <v>0</v>
      </c>
      <c r="EH40" s="64">
        <f>ROUND(IFERROR(INDEX(Benefit_Master!$G$4:$BC$135,MATCH($DN40,Benefit_Master!$BD$4:$BD$135,0),MATCH(EH$9,Benefit_Master!$G$3:$BC$3,0)),0)*AF40,0)</f>
        <v>0</v>
      </c>
      <c r="EI40" s="64">
        <f>ROUND(IFERROR(INDEX(Benefit_Master!$G$4:$BC$135,MATCH($DN40,Benefit_Master!$BD$4:$BD$135,0),MATCH(EI$9,Benefit_Master!$G$3:$BC$3,0)),0)*AG40,0)</f>
        <v>0</v>
      </c>
      <c r="EJ40" s="64">
        <f>ROUND(IFERROR(INDEX(Benefit_Master!$G$4:$BC$135,MATCH($DN40,Benefit_Master!$BD$4:$BD$135,0),MATCH(EJ$9,Benefit_Master!$G$3:$BC$3,0)),0)*AH40,0)</f>
        <v>0</v>
      </c>
      <c r="EK40" s="64">
        <f>ROUND(IFERROR(INDEX(Benefit_Master!$G$4:$BC$135,MATCH($DN40,Benefit_Master!$BD$4:$BD$135,0),MATCH(EK$9,Benefit_Master!$G$3:$BC$3,0)),0)*AI40,0)</f>
        <v>0</v>
      </c>
      <c r="EL40" s="64">
        <f>ROUND(IFERROR(INDEX(Benefit_Master!$G$4:$BC$135,MATCH($DN40,Benefit_Master!$BD$4:$BD$135,0),MATCH(EL$9,Benefit_Master!$G$3:$BC$3,0)),0)*AJ40,0)</f>
        <v>0</v>
      </c>
      <c r="EM40" s="64">
        <f>ROUND(IFERROR(INDEX(Benefit_Master!$G$4:$BC$135,MATCH($DN40,Benefit_Master!$BD$4:$BD$135,0),MATCH(EM$9,Benefit_Master!$G$3:$BC$3,0)),0)*AK40,0)</f>
        <v>0</v>
      </c>
      <c r="EN40" s="66">
        <f t="shared" si="25"/>
        <v>0</v>
      </c>
      <c r="EO40" s="64">
        <f>ROUND(IFERROR(INDEX(Benefit_Master!$G$4:$BC$135,MATCH($DN40,Benefit_Master!$BD$4:$BD$135,0),MATCH(EO$9,Benefit_Master!$G$3:$BC$3,0)),0)*AM40,0)</f>
        <v>0</v>
      </c>
      <c r="EP40" s="64">
        <f>ROUND(IFERROR(INDEX(Benefit_Master!$G$4:$BC$135,MATCH($DN40,Benefit_Master!$BD$4:$BD$135,0),MATCH(EP$9,Benefit_Master!$G$3:$BC$3,0)),0)*AN40,0)</f>
        <v>0</v>
      </c>
      <c r="EQ40" s="64">
        <f>ROUND(IFERROR(INDEX(Benefit_Master!$G$4:$BC$135,MATCH($DN40,Benefit_Master!$BD$4:$BD$135,0),MATCH(EQ$9,Benefit_Master!$G$3:$BC$3,0)),0)*AO40,0)</f>
        <v>0</v>
      </c>
      <c r="ER40" s="64">
        <f>ROUND(IFERROR(INDEX(Benefit_Master!$G$4:$BC$135,MATCH($DN40,Benefit_Master!$BD$4:$BD$135,0),MATCH(ER$9,Benefit_Master!$G$3:$BC$3,0)),0)*AP40,0)</f>
        <v>0</v>
      </c>
      <c r="ES40" s="64">
        <f>ROUND(IFERROR(INDEX(Benefit_Master!$G$4:$BC$135,MATCH($DN40,Benefit_Master!$BD$4:$BD$135,0),MATCH(ES$9,Benefit_Master!$G$3:$BC$3,0)),0)*AQ40,0)</f>
        <v>0</v>
      </c>
      <c r="ET40" s="64">
        <f>ROUND(IFERROR(INDEX(Benefit_Master!$G$4:$BC$135,MATCH($DN40,Benefit_Master!$BD$4:$BD$135,0),MATCH(ET$9,Benefit_Master!$G$3:$BC$3,0)),0)*AR40,0)</f>
        <v>0</v>
      </c>
      <c r="EU40" s="64">
        <f>ROUND(IFERROR(INDEX(Benefit_Master!$G$4:$BC$135,MATCH($DN40,Benefit_Master!$BD$4:$BD$135,0),MATCH(EU$9,Benefit_Master!$G$3:$BC$3,0)),0)*AS40,0)</f>
        <v>0</v>
      </c>
      <c r="EV40" s="64">
        <f>ROUND(IFERROR(INDEX(Benefit_Master!$G$4:$BC$135,MATCH($DN40,Benefit_Master!$BD$4:$BD$135,0),MATCH(EV$9,Benefit_Master!$G$3:$BC$3,0)),0)*AT40,0)</f>
        <v>0</v>
      </c>
      <c r="EW40" s="64">
        <f>ROUND(IFERROR(INDEX(Benefit_Master!$G$4:$BC$135,MATCH($DN40,Benefit_Master!$BD$4:$BD$135,0),MATCH(EW$9,Benefit_Master!$G$3:$BC$3,0)),0)*AU40,0)</f>
        <v>0</v>
      </c>
      <c r="EX40" s="64">
        <f>ROUND(IFERROR(INDEX(Benefit_Master!$G$4:$BC$135,MATCH($DN40,Benefit_Master!$BD$4:$BD$135,0),MATCH(EX$9,Benefit_Master!$G$3:$BC$3,0)),0)*AV40,0)</f>
        <v>0</v>
      </c>
      <c r="EY40" s="64">
        <f>ROUND(IFERROR(INDEX(Benefit_Master!$G$4:$BC$135,MATCH($DN40,Benefit_Master!$BD$4:$BD$135,0),MATCH(EY$9,Benefit_Master!$G$3:$BC$3,0)),0)*AW40,0)</f>
        <v>0</v>
      </c>
      <c r="EZ40" s="64">
        <f>ROUND(IFERROR(INDEX(Benefit_Master!$G$4:$BC$135,MATCH($DN40,Benefit_Master!$BD$4:$BD$135,0),MATCH(EZ$9,Benefit_Master!$G$3:$BC$3,0)),0)*AX40,0)</f>
        <v>0</v>
      </c>
      <c r="FA40" s="66">
        <f t="shared" si="26"/>
        <v>0</v>
      </c>
      <c r="FB40" s="64">
        <f>ROUND(IFERROR(INDEX(Benefit_Master!$G$4:$BC$135,MATCH($DN40,Benefit_Master!$BD$4:$BD$135,0),MATCH(FB$9,Benefit_Master!$G$3:$BC$3,0)),0)*AZ40,0)</f>
        <v>0</v>
      </c>
      <c r="FC40" s="64">
        <f>ROUND(IFERROR(INDEX(Benefit_Master!$G$4:$BC$135,MATCH($DN40,Benefit_Master!$BD$4:$BD$135,0),MATCH(FC$9,Benefit_Master!$G$3:$BC$3,0)),0)*BA40,0)</f>
        <v>0</v>
      </c>
      <c r="FD40" s="64">
        <f>ROUND(IFERROR(INDEX(Benefit_Master!$G$4:$BC$135,MATCH($DN40,Benefit_Master!$BD$4:$BD$135,0),MATCH(FD$9,Benefit_Master!$G$3:$BC$3,0)),0)*BB40,0)</f>
        <v>0</v>
      </c>
      <c r="FE40" s="64">
        <f>ROUND(IFERROR(INDEX(Benefit_Master!$G$4:$BC$135,MATCH($DN40,Benefit_Master!$BD$4:$BD$135,0),MATCH(FE$9,Benefit_Master!$G$3:$BC$3,0)),0)*BC40,0)</f>
        <v>0</v>
      </c>
      <c r="FF40" s="64">
        <f>ROUND(IFERROR(INDEX(Benefit_Master!$G$4:$BC$135,MATCH($DN40,Benefit_Master!$BD$4:$BD$135,0),MATCH(FF$9,Benefit_Master!$G$3:$BC$3,0)),0)*BD40,0)</f>
        <v>0</v>
      </c>
      <c r="FG40" s="64">
        <f>ROUND(IFERROR(INDEX(Benefit_Master!$G$4:$BC$135,MATCH($DN40,Benefit_Master!$BD$4:$BD$135,0),MATCH(FG$9,Benefit_Master!$G$3:$BC$3,0)),0)*BE40,0)</f>
        <v>0</v>
      </c>
      <c r="FH40" s="64">
        <f>ROUND(IFERROR(INDEX(Benefit_Master!$G$4:$BC$135,MATCH($DN40,Benefit_Master!$BD$4:$BD$135,0),MATCH(FH$9,Benefit_Master!$G$3:$BC$3,0)),0)*BF40,0)</f>
        <v>0</v>
      </c>
      <c r="FI40" s="64">
        <f>ROUND(IFERROR(INDEX(Benefit_Master!$G$4:$BC$135,MATCH($DN40,Benefit_Master!$BD$4:$BD$135,0),MATCH(FI$9,Benefit_Master!$G$3:$BC$3,0)),0)*BG40,0)</f>
        <v>0</v>
      </c>
      <c r="FJ40" s="64">
        <f>ROUND(IFERROR(INDEX(Benefit_Master!$G$4:$BC$135,MATCH($DN40,Benefit_Master!$BD$4:$BD$135,0),MATCH(FJ$9,Benefit_Master!$G$3:$BC$3,0)),0)*BH40,0)</f>
        <v>0</v>
      </c>
      <c r="FK40" s="64">
        <f>ROUND(IFERROR(INDEX(Benefit_Master!$G$4:$BC$135,MATCH($DN40,Benefit_Master!$BD$4:$BD$135,0),MATCH(FK$9,Benefit_Master!$G$3:$BC$3,0)),0)*BI40,0)</f>
        <v>0</v>
      </c>
      <c r="FL40" s="64">
        <f>ROUND(IFERROR(INDEX(Benefit_Master!$G$4:$BC$135,MATCH($DN40,Benefit_Master!$BD$4:$BD$135,0),MATCH(FL$9,Benefit_Master!$G$3:$BC$3,0)),0)*BJ40,0)</f>
        <v>0</v>
      </c>
      <c r="FM40" s="64">
        <f>ROUND(IFERROR(INDEX(Benefit_Master!$G$4:$BC$135,MATCH($DN40,Benefit_Master!$BD$4:$BD$135,0),MATCH(FM$9,Benefit_Master!$G$3:$BC$3,0)),0)*BK40,0)</f>
        <v>0</v>
      </c>
      <c r="FN40" s="66">
        <f t="shared" si="27"/>
        <v>0</v>
      </c>
    </row>
    <row r="41" spans="2:170" s="12" customFormat="1" ht="15" customHeight="1">
      <c r="B41" s="93">
        <f t="shared" si="28"/>
        <v>29</v>
      </c>
      <c r="C41" s="89"/>
      <c r="D41" s="97"/>
      <c r="E41" s="1157"/>
      <c r="F41" s="425"/>
      <c r="G41" s="94" t="str">
        <f>IFERROR(VLOOKUP($F41,Master!$B$1:$C$7,2,0),"-")</f>
        <v>-</v>
      </c>
      <c r="H41" s="95">
        <f t="shared" si="12"/>
        <v>0</v>
      </c>
      <c r="I41" s="138">
        <f t="shared" si="13"/>
        <v>0</v>
      </c>
      <c r="J41" s="138">
        <f t="shared" si="14"/>
        <v>0</v>
      </c>
      <c r="K41" s="96"/>
      <c r="L41"/>
      <c r="M41" s="58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60">
        <f t="shared" si="15"/>
        <v>0</v>
      </c>
      <c r="Z41" s="58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60">
        <f t="shared" si="16"/>
        <v>0</v>
      </c>
      <c r="AM41" s="58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60">
        <f t="shared" si="17"/>
        <v>0</v>
      </c>
      <c r="AZ41" s="58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60">
        <f t="shared" si="18"/>
        <v>0</v>
      </c>
      <c r="BM41"/>
      <c r="BN41" s="64">
        <f>ROUND(IFERROR(INDEX('Labor Cost_Master'!$G$4:$BC$135,MATCH($DN41,'Labor Cost_Master'!$BD$4:$BD$135,0),MATCH(BN$9,'Labor Cost_Master'!$G$3:$BC$3,0)),0)*M41,0)</f>
        <v>0</v>
      </c>
      <c r="BO41" s="64">
        <f>ROUND(IFERROR(INDEX('Labor Cost_Master'!$G$4:$BC$135,MATCH($DN41,'Labor Cost_Master'!$BD$4:$BD$135,0),MATCH(BO$9,'Labor Cost_Master'!$G$3:$BC$3,0)),0)*N41,0)</f>
        <v>0</v>
      </c>
      <c r="BP41" s="64">
        <f>ROUND(IFERROR(INDEX('Labor Cost_Master'!$G$4:$BC$135,MATCH($DN41,'Labor Cost_Master'!$BD$4:$BD$135,0),MATCH(BP$9,'Labor Cost_Master'!$G$3:$BC$3,0)),0)*O41,0)</f>
        <v>0</v>
      </c>
      <c r="BQ41" s="64">
        <f>ROUND(IFERROR(INDEX('Labor Cost_Master'!$G$4:$BC$135,MATCH($DN41,'Labor Cost_Master'!$BD$4:$BD$135,0),MATCH(BQ$9,'Labor Cost_Master'!$G$3:$BC$3,0)),0)*P41,0)</f>
        <v>0</v>
      </c>
      <c r="BR41" s="64">
        <f>ROUND(IFERROR(INDEX('Labor Cost_Master'!$G$4:$BC$135,MATCH($DN41,'Labor Cost_Master'!$BD$4:$BD$135,0),MATCH(BR$9,'Labor Cost_Master'!$G$3:$BC$3,0)),0)*Q41,0)</f>
        <v>0</v>
      </c>
      <c r="BS41" s="64">
        <f>ROUND(IFERROR(INDEX('Labor Cost_Master'!$G$4:$BC$135,MATCH($DN41,'Labor Cost_Master'!$BD$4:$BD$135,0),MATCH(BS$9,'Labor Cost_Master'!$G$3:$BC$3,0)),0)*R41,0)</f>
        <v>0</v>
      </c>
      <c r="BT41" s="64">
        <f>ROUND(IFERROR(INDEX('Labor Cost_Master'!$G$4:$BC$135,MATCH($DN41,'Labor Cost_Master'!$BD$4:$BD$135,0),MATCH(BT$9,'Labor Cost_Master'!$G$3:$BC$3,0)),0)*S41,0)</f>
        <v>0</v>
      </c>
      <c r="BU41" s="64">
        <f>ROUND(IFERROR(INDEX('Labor Cost_Master'!$G$4:$BC$135,MATCH($DN41,'Labor Cost_Master'!$BD$4:$BD$135,0),MATCH(BU$9,'Labor Cost_Master'!$G$3:$BC$3,0)),0)*T41,0)</f>
        <v>0</v>
      </c>
      <c r="BV41" s="64">
        <f>ROUND(IFERROR(INDEX('Labor Cost_Master'!$G$4:$BC$135,MATCH($DN41,'Labor Cost_Master'!$BD$4:$BD$135,0),MATCH(BV$9,'Labor Cost_Master'!$G$3:$BC$3,0)),0)*U41,0)</f>
        <v>0</v>
      </c>
      <c r="BW41" s="64">
        <f>ROUND(IFERROR(INDEX('Labor Cost_Master'!$G$4:$BC$135,MATCH($DN41,'Labor Cost_Master'!$BD$4:$BD$135,0),MATCH(BW$9,'Labor Cost_Master'!$G$3:$BC$3,0)),0)*V41,0)</f>
        <v>0</v>
      </c>
      <c r="BX41" s="64">
        <f>ROUND(IFERROR(INDEX('Labor Cost_Master'!$G$4:$BC$135,MATCH($DN41,'Labor Cost_Master'!$BD$4:$BD$135,0),MATCH(BX$9,'Labor Cost_Master'!$G$3:$BC$3,0)),0)*W41,0)</f>
        <v>0</v>
      </c>
      <c r="BY41" s="64">
        <f>ROUND(IFERROR(INDEX('Labor Cost_Master'!$G$4:$BC$135,MATCH($DN41,'Labor Cost_Master'!$BD$4:$BD$135,0),MATCH(BY$9,'Labor Cost_Master'!$G$3:$BC$3,0)),0)*X41,0)</f>
        <v>0</v>
      </c>
      <c r="BZ41" s="66">
        <f t="shared" ref="BZ41:BZ52" si="29">SUM(BN41:BY41)</f>
        <v>0</v>
      </c>
      <c r="CA41" s="64">
        <f>ROUND(IFERROR(INDEX('Labor Cost_Master'!$G$4:$BC$135,MATCH($DN41,'Labor Cost_Master'!$BD$4:$BD$135,0),MATCH(CA$9,'Labor Cost_Master'!$G$3:$BC$3,0)),0)*Z41,0)</f>
        <v>0</v>
      </c>
      <c r="CB41" s="64">
        <f>ROUND(IFERROR(INDEX('Labor Cost_Master'!$G$4:$BC$135,MATCH($DN41,'Labor Cost_Master'!$BD$4:$BD$135,0),MATCH(CB$9,'Labor Cost_Master'!$G$3:$BC$3,0)),0)*AA41,0)</f>
        <v>0</v>
      </c>
      <c r="CC41" s="64">
        <f>ROUND(IFERROR(INDEX('Labor Cost_Master'!$G$4:$BC$135,MATCH($DN41,'Labor Cost_Master'!$BD$4:$BD$135,0),MATCH(CC$9,'Labor Cost_Master'!$G$3:$BC$3,0)),0)*AB41,0)</f>
        <v>0</v>
      </c>
      <c r="CD41" s="64">
        <f>ROUND(IFERROR(INDEX('Labor Cost_Master'!$G$4:$BC$135,MATCH($DN41,'Labor Cost_Master'!$BD$4:$BD$135,0),MATCH(CD$9,'Labor Cost_Master'!$G$3:$BC$3,0)),0)*AC41,0)</f>
        <v>0</v>
      </c>
      <c r="CE41" s="64">
        <f>ROUND(IFERROR(INDEX('Labor Cost_Master'!$G$4:$BC$135,MATCH($DN41,'Labor Cost_Master'!$BD$4:$BD$135,0),MATCH(CE$9,'Labor Cost_Master'!$G$3:$BC$3,0)),0)*AD41,0)</f>
        <v>0</v>
      </c>
      <c r="CF41" s="64">
        <f>ROUND(IFERROR(INDEX('Labor Cost_Master'!$G$4:$BC$135,MATCH($DN41,'Labor Cost_Master'!$BD$4:$BD$135,0),MATCH(CF$9,'Labor Cost_Master'!$G$3:$BC$3,0)),0)*AE41,0)</f>
        <v>0</v>
      </c>
      <c r="CG41" s="64">
        <f>ROUND(IFERROR(INDEX('Labor Cost_Master'!$G$4:$BC$135,MATCH($DN41,'Labor Cost_Master'!$BD$4:$BD$135,0),MATCH(CG$9,'Labor Cost_Master'!$G$3:$BC$3,0)),0)*AF41,0)</f>
        <v>0</v>
      </c>
      <c r="CH41" s="64">
        <f>ROUND(IFERROR(INDEX('Labor Cost_Master'!$G$4:$BC$135,MATCH($DN41,'Labor Cost_Master'!$BD$4:$BD$135,0),MATCH(CH$9,'Labor Cost_Master'!$G$3:$BC$3,0)),0)*AG41,0)</f>
        <v>0</v>
      </c>
      <c r="CI41" s="64">
        <f>ROUND(IFERROR(INDEX('Labor Cost_Master'!$G$4:$BC$135,MATCH($DN41,'Labor Cost_Master'!$BD$4:$BD$135,0),MATCH(CI$9,'Labor Cost_Master'!$G$3:$BC$3,0)),0)*AH41,0)</f>
        <v>0</v>
      </c>
      <c r="CJ41" s="64">
        <f>ROUND(IFERROR(INDEX('Labor Cost_Master'!$G$4:$BC$135,MATCH($DN41,'Labor Cost_Master'!$BD$4:$BD$135,0),MATCH(CJ$9,'Labor Cost_Master'!$G$3:$BC$3,0)),0)*AI41,0)</f>
        <v>0</v>
      </c>
      <c r="CK41" s="64">
        <f>ROUND(IFERROR(INDEX('Labor Cost_Master'!$G$4:$BC$135,MATCH($DN41,'Labor Cost_Master'!$BD$4:$BD$135,0),MATCH(CK$9,'Labor Cost_Master'!$G$3:$BC$3,0)),0)*AJ41,0)</f>
        <v>0</v>
      </c>
      <c r="CL41" s="64">
        <f>ROUND(IFERROR(INDEX('Labor Cost_Master'!$G$4:$BC$135,MATCH($DN41,'Labor Cost_Master'!$BD$4:$BD$135,0),MATCH(CL$9,'Labor Cost_Master'!$G$3:$BC$3,0)),0)*AK41,0)</f>
        <v>0</v>
      </c>
      <c r="CM41" s="66">
        <f t="shared" ref="CM41:CM52" si="30">SUM(CA41:CL41)</f>
        <v>0</v>
      </c>
      <c r="CN41" s="64">
        <f>ROUND(IFERROR(INDEX('Labor Cost_Master'!$G$4:$BC$135,MATCH($DN41,'Labor Cost_Master'!$BD$4:$BD$135,0),MATCH(CN$9,'Labor Cost_Master'!$G$3:$BC$3,0)),0)*AM41,0)</f>
        <v>0</v>
      </c>
      <c r="CO41" s="64">
        <f>ROUND(IFERROR(INDEX('Labor Cost_Master'!$G$4:$BC$135,MATCH($DN41,'Labor Cost_Master'!$BD$4:$BD$135,0),MATCH(CO$9,'Labor Cost_Master'!$G$3:$BC$3,0)),0)*AN41,0)</f>
        <v>0</v>
      </c>
      <c r="CP41" s="64">
        <f>ROUND(IFERROR(INDEX('Labor Cost_Master'!$G$4:$BC$135,MATCH($DN41,'Labor Cost_Master'!$BD$4:$BD$135,0),MATCH(CP$9,'Labor Cost_Master'!$G$3:$BC$3,0)),0)*AO41,0)</f>
        <v>0</v>
      </c>
      <c r="CQ41" s="64">
        <f>ROUND(IFERROR(INDEX('Labor Cost_Master'!$G$4:$BC$135,MATCH($DN41,'Labor Cost_Master'!$BD$4:$BD$135,0),MATCH(CQ$9,'Labor Cost_Master'!$G$3:$BC$3,0)),0)*AP41,0)</f>
        <v>0</v>
      </c>
      <c r="CR41" s="64">
        <f>ROUND(IFERROR(INDEX('Labor Cost_Master'!$G$4:$BC$135,MATCH($DN41,'Labor Cost_Master'!$BD$4:$BD$135,0),MATCH(CR$9,'Labor Cost_Master'!$G$3:$BC$3,0)),0)*AQ41,0)</f>
        <v>0</v>
      </c>
      <c r="CS41" s="64">
        <f>ROUND(IFERROR(INDEX('Labor Cost_Master'!$G$4:$BC$135,MATCH($DN41,'Labor Cost_Master'!$BD$4:$BD$135,0),MATCH(CS$9,'Labor Cost_Master'!$G$3:$BC$3,0)),0)*AR41,0)</f>
        <v>0</v>
      </c>
      <c r="CT41" s="64">
        <f>ROUND(IFERROR(INDEX('Labor Cost_Master'!$G$4:$BC$135,MATCH($DN41,'Labor Cost_Master'!$BD$4:$BD$135,0),MATCH(CT$9,'Labor Cost_Master'!$G$3:$BC$3,0)),0)*AS41,0)</f>
        <v>0</v>
      </c>
      <c r="CU41" s="64">
        <f>ROUND(IFERROR(INDEX('Labor Cost_Master'!$G$4:$BC$135,MATCH($DN41,'Labor Cost_Master'!$BD$4:$BD$135,0),MATCH(CU$9,'Labor Cost_Master'!$G$3:$BC$3,0)),0)*AT41,0)</f>
        <v>0</v>
      </c>
      <c r="CV41" s="64">
        <f>ROUND(IFERROR(INDEX('Labor Cost_Master'!$G$4:$BC$135,MATCH($DN41,'Labor Cost_Master'!$BD$4:$BD$135,0),MATCH(CV$9,'Labor Cost_Master'!$G$3:$BC$3,0)),0)*AU41,0)</f>
        <v>0</v>
      </c>
      <c r="CW41" s="64">
        <f>ROUND(IFERROR(INDEX('Labor Cost_Master'!$G$4:$BC$135,MATCH($DN41,'Labor Cost_Master'!$BD$4:$BD$135,0),MATCH(CW$9,'Labor Cost_Master'!$G$3:$BC$3,0)),0)*AV41,0)</f>
        <v>0</v>
      </c>
      <c r="CX41" s="64">
        <f>ROUND(IFERROR(INDEX('Labor Cost_Master'!$G$4:$BC$135,MATCH($DN41,'Labor Cost_Master'!$BD$4:$BD$135,0),MATCH(CX$9,'Labor Cost_Master'!$G$3:$BC$3,0)),0)*AW41,0)</f>
        <v>0</v>
      </c>
      <c r="CY41" s="64">
        <f>ROUND(IFERROR(INDEX('Labor Cost_Master'!$G$4:$BC$135,MATCH($DN41,'Labor Cost_Master'!$BD$4:$BD$135,0),MATCH(CY$9,'Labor Cost_Master'!$G$3:$BC$3,0)),0)*AX41,0)</f>
        <v>0</v>
      </c>
      <c r="CZ41" s="66">
        <f t="shared" ref="CZ41:CZ52" si="31">SUM(CN41:CY41)</f>
        <v>0</v>
      </c>
      <c r="DA41" s="64">
        <f>ROUND(IFERROR(INDEX('Labor Cost_Master'!$G$4:$BC$135,MATCH($DN41,'Labor Cost_Master'!$BD$4:$BD$135,0),MATCH(DA$9,'Labor Cost_Master'!$G$3:$BC$3,0)),0)*AZ41,0)</f>
        <v>0</v>
      </c>
      <c r="DB41" s="64">
        <f>ROUND(IFERROR(INDEX('Labor Cost_Master'!$G$4:$BC$135,MATCH($DN41,'Labor Cost_Master'!$BD$4:$BD$135,0),MATCH(DB$9,'Labor Cost_Master'!$G$3:$BC$3,0)),0)*BA41,0)</f>
        <v>0</v>
      </c>
      <c r="DC41" s="1166">
        <f>ROUND(IFERROR(INDEX('Labor Cost_Master'!$G$4:$BC$135,MATCH($DN41,'Labor Cost_Master'!$BD$4:$BD$135,0),MATCH(DC$9,'Labor Cost_Master'!$G$3:$BC$3,0)),0)*BB41,0)*1.05</f>
        <v>0</v>
      </c>
      <c r="DD41" s="64">
        <f>ROUND(IFERROR(INDEX('Labor Cost_Master'!$G$4:$BC$135,MATCH($DN41,'Labor Cost_Master'!$BD$4:$BD$135,0),MATCH(DD$9,'Labor Cost_Master'!$G$3:$BC$3,0)),0)*BC41,0)*1.05</f>
        <v>0</v>
      </c>
      <c r="DE41" s="64">
        <f>ROUND(IFERROR(INDEX('Labor Cost_Master'!$G$4:$BC$135,MATCH($DN41,'Labor Cost_Master'!$BD$4:$BD$135,0),MATCH(DE$9,'Labor Cost_Master'!$G$3:$BC$3,0)),0)*BD41,0)*1.05</f>
        <v>0</v>
      </c>
      <c r="DF41" s="64">
        <f>ROUND(IFERROR(INDEX('Labor Cost_Master'!$G$4:$BC$135,MATCH($DN41,'Labor Cost_Master'!$BD$4:$BD$135,0),MATCH(DF$9,'Labor Cost_Master'!$G$3:$BC$3,0)),0)*BE41,0)*1.05</f>
        <v>0</v>
      </c>
      <c r="DG41" s="64">
        <f>ROUND(IFERROR(INDEX('Labor Cost_Master'!$G$4:$BC$135,MATCH($DN41,'Labor Cost_Master'!$BD$4:$BD$135,0),MATCH(DG$9,'Labor Cost_Master'!$G$3:$BC$3,0)),0)*BF41,0)*1.05</f>
        <v>0</v>
      </c>
      <c r="DH41" s="64">
        <f>ROUND(IFERROR(INDEX('Labor Cost_Master'!$G$4:$BC$135,MATCH($DN41,'Labor Cost_Master'!$BD$4:$BD$135,0),MATCH(DH$9,'Labor Cost_Master'!$G$3:$BC$3,0)),0)*BG41,0)*1.05</f>
        <v>0</v>
      </c>
      <c r="DI41" s="64">
        <f>ROUND(IFERROR(INDEX('Labor Cost_Master'!$G$4:$BC$135,MATCH($DN41,'Labor Cost_Master'!$BD$4:$BD$135,0),MATCH(DI$9,'Labor Cost_Master'!$G$3:$BC$3,0)),0)*BH41,0)*1.05</f>
        <v>0</v>
      </c>
      <c r="DJ41" s="64">
        <f>ROUND(IFERROR(INDEX('Labor Cost_Master'!$G$4:$BC$135,MATCH($DN41,'Labor Cost_Master'!$BD$4:$BD$135,0),MATCH(DJ$9,'Labor Cost_Master'!$G$3:$BC$3,0)),0)*BI41,0)*1.05</f>
        <v>0</v>
      </c>
      <c r="DK41" s="64">
        <f>ROUND(IFERROR(INDEX('Labor Cost_Master'!$G$4:$BC$135,MATCH($DN41,'Labor Cost_Master'!$BD$4:$BD$135,0),MATCH(DK$9,'Labor Cost_Master'!$G$3:$BC$3,0)),0)*BJ41,0)*1.05</f>
        <v>0</v>
      </c>
      <c r="DL41" s="64">
        <f>ROUND(IFERROR(INDEX('Labor Cost_Master'!$G$4:$BC$135,MATCH($DN41,'Labor Cost_Master'!$BD$4:$BD$135,0),MATCH(DL$9,'Labor Cost_Master'!$G$3:$BC$3,0)),0)*BK41,0)*1.05</f>
        <v>0</v>
      </c>
      <c r="DM41" s="66">
        <f t="shared" ref="DM41:DM52" si="32">SUM(DA41:DL41)</f>
        <v>0</v>
      </c>
      <c r="DN41" s="80" t="str">
        <f t="shared" si="23"/>
        <v/>
      </c>
      <c r="DO41" s="64">
        <f>ROUND(IFERROR(INDEX(Benefit_Master!$G$4:$BC$135,MATCH($DN41,Benefit_Master!$BD$4:$BD$135,0),MATCH(DO$9,Benefit_Master!$G$3:$BC$3,0)),0)*M41,0)</f>
        <v>0</v>
      </c>
      <c r="DP41" s="64">
        <f>ROUND(IFERROR(INDEX(Benefit_Master!$G$4:$BC$135,MATCH($DN41,Benefit_Master!$BD$4:$BD$135,0),MATCH(DP$9,Benefit_Master!$G$3:$BC$3,0)),0)*N41,0)</f>
        <v>0</v>
      </c>
      <c r="DQ41" s="64">
        <f>ROUND(IFERROR(INDEX(Benefit_Master!$G$4:$BC$135,MATCH($DN41,Benefit_Master!$BD$4:$BD$135,0),MATCH(DQ$9,Benefit_Master!$G$3:$BC$3,0)),0)*O41,0)</f>
        <v>0</v>
      </c>
      <c r="DR41" s="64">
        <f>ROUND(IFERROR(INDEX(Benefit_Master!$G$4:$BC$135,MATCH($DN41,Benefit_Master!$BD$4:$BD$135,0),MATCH(DR$9,Benefit_Master!$G$3:$BC$3,0)),0)*P41,0)</f>
        <v>0</v>
      </c>
      <c r="DS41" s="64">
        <f>ROUND(IFERROR(INDEX(Benefit_Master!$G$4:$BC$135,MATCH($DN41,Benefit_Master!$BD$4:$BD$135,0),MATCH(DS$9,Benefit_Master!$G$3:$BC$3,0)),0)*Q41,0)</f>
        <v>0</v>
      </c>
      <c r="DT41" s="64">
        <f>ROUND(IFERROR(INDEX(Benefit_Master!$G$4:$BC$135,MATCH($DN41,Benefit_Master!$BD$4:$BD$135,0),MATCH(DT$9,Benefit_Master!$G$3:$BC$3,0)),0)*R41,0)</f>
        <v>0</v>
      </c>
      <c r="DU41" s="64">
        <f>ROUND(IFERROR(INDEX(Benefit_Master!$G$4:$BC$135,MATCH($DN41,Benefit_Master!$BD$4:$BD$135,0),MATCH(DU$9,Benefit_Master!$G$3:$BC$3,0)),0)*S41,0)</f>
        <v>0</v>
      </c>
      <c r="DV41" s="64">
        <f>ROUND(IFERROR(INDEX(Benefit_Master!$G$4:$BC$135,MATCH($DN41,Benefit_Master!$BD$4:$BD$135,0),MATCH(DV$9,Benefit_Master!$G$3:$BC$3,0)),0)*T41,0)</f>
        <v>0</v>
      </c>
      <c r="DW41" s="64">
        <f>ROUND(IFERROR(INDEX(Benefit_Master!$G$4:$BC$135,MATCH($DN41,Benefit_Master!$BD$4:$BD$135,0),MATCH(DW$9,Benefit_Master!$G$3:$BC$3,0)),0)*U41,0)</f>
        <v>0</v>
      </c>
      <c r="DX41" s="64">
        <f>ROUND(IFERROR(INDEX(Benefit_Master!$G$4:$BC$135,MATCH($DN41,Benefit_Master!$BD$4:$BD$135,0),MATCH(DX$9,Benefit_Master!$G$3:$BC$3,0)),0)*V41,0)</f>
        <v>0</v>
      </c>
      <c r="DY41" s="64">
        <f>ROUND(IFERROR(INDEX(Benefit_Master!$G$4:$BC$135,MATCH($DN41,Benefit_Master!$BD$4:$BD$135,0),MATCH(DY$9,Benefit_Master!$G$3:$BC$3,0)),0)*W41,0)</f>
        <v>0</v>
      </c>
      <c r="DZ41" s="64">
        <f>ROUND(IFERROR(INDEX(Benefit_Master!$G$4:$BC$135,MATCH($DN41,Benefit_Master!$BD$4:$BD$135,0),MATCH(DZ$9,Benefit_Master!$G$3:$BC$3,0)),0)*X41,0)</f>
        <v>0</v>
      </c>
      <c r="EA41" s="66">
        <f t="shared" ref="EA41:EA52" si="33">SUM(DO41:DZ41)</f>
        <v>0</v>
      </c>
      <c r="EB41" s="64">
        <f>ROUND(IFERROR(INDEX(Benefit_Master!$G$4:$BC$135,MATCH($DN41,Benefit_Master!$BD$4:$BD$135,0),MATCH(EB$9,Benefit_Master!$G$3:$BC$3,0)),0)*Z41,0)</f>
        <v>0</v>
      </c>
      <c r="EC41" s="64">
        <f>ROUND(IFERROR(INDEX(Benefit_Master!$G$4:$BC$135,MATCH($DN41,Benefit_Master!$BD$4:$BD$135,0),MATCH(EC$9,Benefit_Master!$G$3:$BC$3,0)),0)*AA41,0)</f>
        <v>0</v>
      </c>
      <c r="ED41" s="64">
        <f>ROUND(IFERROR(INDEX(Benefit_Master!$G$4:$BC$135,MATCH($DN41,Benefit_Master!$BD$4:$BD$135,0),MATCH(ED$9,Benefit_Master!$G$3:$BC$3,0)),0)*AB41,0)</f>
        <v>0</v>
      </c>
      <c r="EE41" s="64">
        <f>ROUND(IFERROR(INDEX(Benefit_Master!$G$4:$BC$135,MATCH($DN41,Benefit_Master!$BD$4:$BD$135,0),MATCH(EE$9,Benefit_Master!$G$3:$BC$3,0)),0)*AC41,0)</f>
        <v>0</v>
      </c>
      <c r="EF41" s="64">
        <f>ROUND(IFERROR(INDEX(Benefit_Master!$G$4:$BC$135,MATCH($DN41,Benefit_Master!$BD$4:$BD$135,0),MATCH(EF$9,Benefit_Master!$G$3:$BC$3,0)),0)*AD41,0)</f>
        <v>0</v>
      </c>
      <c r="EG41" s="64">
        <f>ROUND(IFERROR(INDEX(Benefit_Master!$G$4:$BC$135,MATCH($DN41,Benefit_Master!$BD$4:$BD$135,0),MATCH(EG$9,Benefit_Master!$G$3:$BC$3,0)),0)*AE41,0)</f>
        <v>0</v>
      </c>
      <c r="EH41" s="64">
        <f>ROUND(IFERROR(INDEX(Benefit_Master!$G$4:$BC$135,MATCH($DN41,Benefit_Master!$BD$4:$BD$135,0),MATCH(EH$9,Benefit_Master!$G$3:$BC$3,0)),0)*AF41,0)</f>
        <v>0</v>
      </c>
      <c r="EI41" s="64">
        <f>ROUND(IFERROR(INDEX(Benefit_Master!$G$4:$BC$135,MATCH($DN41,Benefit_Master!$BD$4:$BD$135,0),MATCH(EI$9,Benefit_Master!$G$3:$BC$3,0)),0)*AG41,0)</f>
        <v>0</v>
      </c>
      <c r="EJ41" s="64">
        <f>ROUND(IFERROR(INDEX(Benefit_Master!$G$4:$BC$135,MATCH($DN41,Benefit_Master!$BD$4:$BD$135,0),MATCH(EJ$9,Benefit_Master!$G$3:$BC$3,0)),0)*AH41,0)</f>
        <v>0</v>
      </c>
      <c r="EK41" s="64">
        <f>ROUND(IFERROR(INDEX(Benefit_Master!$G$4:$BC$135,MATCH($DN41,Benefit_Master!$BD$4:$BD$135,0),MATCH(EK$9,Benefit_Master!$G$3:$BC$3,0)),0)*AI41,0)</f>
        <v>0</v>
      </c>
      <c r="EL41" s="64">
        <f>ROUND(IFERROR(INDEX(Benefit_Master!$G$4:$BC$135,MATCH($DN41,Benefit_Master!$BD$4:$BD$135,0),MATCH(EL$9,Benefit_Master!$G$3:$BC$3,0)),0)*AJ41,0)</f>
        <v>0</v>
      </c>
      <c r="EM41" s="64">
        <f>ROUND(IFERROR(INDEX(Benefit_Master!$G$4:$BC$135,MATCH($DN41,Benefit_Master!$BD$4:$BD$135,0),MATCH(EM$9,Benefit_Master!$G$3:$BC$3,0)),0)*AK41,0)</f>
        <v>0</v>
      </c>
      <c r="EN41" s="66">
        <f t="shared" ref="EN41:EN52" si="34">SUM(EB41:EM41)</f>
        <v>0</v>
      </c>
      <c r="EO41" s="64">
        <f>ROUND(IFERROR(INDEX(Benefit_Master!$G$4:$BC$135,MATCH($DN41,Benefit_Master!$BD$4:$BD$135,0),MATCH(EO$9,Benefit_Master!$G$3:$BC$3,0)),0)*AM41,0)</f>
        <v>0</v>
      </c>
      <c r="EP41" s="64">
        <f>ROUND(IFERROR(INDEX(Benefit_Master!$G$4:$BC$135,MATCH($DN41,Benefit_Master!$BD$4:$BD$135,0),MATCH(EP$9,Benefit_Master!$G$3:$BC$3,0)),0)*AN41,0)</f>
        <v>0</v>
      </c>
      <c r="EQ41" s="64">
        <f>ROUND(IFERROR(INDEX(Benefit_Master!$G$4:$BC$135,MATCH($DN41,Benefit_Master!$BD$4:$BD$135,0),MATCH(EQ$9,Benefit_Master!$G$3:$BC$3,0)),0)*AO41,0)</f>
        <v>0</v>
      </c>
      <c r="ER41" s="64">
        <f>ROUND(IFERROR(INDEX(Benefit_Master!$G$4:$BC$135,MATCH($DN41,Benefit_Master!$BD$4:$BD$135,0),MATCH(ER$9,Benefit_Master!$G$3:$BC$3,0)),0)*AP41,0)</f>
        <v>0</v>
      </c>
      <c r="ES41" s="64">
        <f>ROUND(IFERROR(INDEX(Benefit_Master!$G$4:$BC$135,MATCH($DN41,Benefit_Master!$BD$4:$BD$135,0),MATCH(ES$9,Benefit_Master!$G$3:$BC$3,0)),0)*AQ41,0)</f>
        <v>0</v>
      </c>
      <c r="ET41" s="64">
        <f>ROUND(IFERROR(INDEX(Benefit_Master!$G$4:$BC$135,MATCH($DN41,Benefit_Master!$BD$4:$BD$135,0),MATCH(ET$9,Benefit_Master!$G$3:$BC$3,0)),0)*AR41,0)</f>
        <v>0</v>
      </c>
      <c r="EU41" s="64">
        <f>ROUND(IFERROR(INDEX(Benefit_Master!$G$4:$BC$135,MATCH($DN41,Benefit_Master!$BD$4:$BD$135,0),MATCH(EU$9,Benefit_Master!$G$3:$BC$3,0)),0)*AS41,0)</f>
        <v>0</v>
      </c>
      <c r="EV41" s="64">
        <f>ROUND(IFERROR(INDEX(Benefit_Master!$G$4:$BC$135,MATCH($DN41,Benefit_Master!$BD$4:$BD$135,0),MATCH(EV$9,Benefit_Master!$G$3:$BC$3,0)),0)*AT41,0)</f>
        <v>0</v>
      </c>
      <c r="EW41" s="64">
        <f>ROUND(IFERROR(INDEX(Benefit_Master!$G$4:$BC$135,MATCH($DN41,Benefit_Master!$BD$4:$BD$135,0),MATCH(EW$9,Benefit_Master!$G$3:$BC$3,0)),0)*AU41,0)</f>
        <v>0</v>
      </c>
      <c r="EX41" s="64">
        <f>ROUND(IFERROR(INDEX(Benefit_Master!$G$4:$BC$135,MATCH($DN41,Benefit_Master!$BD$4:$BD$135,0),MATCH(EX$9,Benefit_Master!$G$3:$BC$3,0)),0)*AV41,0)</f>
        <v>0</v>
      </c>
      <c r="EY41" s="64">
        <f>ROUND(IFERROR(INDEX(Benefit_Master!$G$4:$BC$135,MATCH($DN41,Benefit_Master!$BD$4:$BD$135,0),MATCH(EY$9,Benefit_Master!$G$3:$BC$3,0)),0)*AW41,0)</f>
        <v>0</v>
      </c>
      <c r="EZ41" s="64">
        <f>ROUND(IFERROR(INDEX(Benefit_Master!$G$4:$BC$135,MATCH($DN41,Benefit_Master!$BD$4:$BD$135,0),MATCH(EZ$9,Benefit_Master!$G$3:$BC$3,0)),0)*AX41,0)</f>
        <v>0</v>
      </c>
      <c r="FA41" s="66">
        <f t="shared" ref="FA41:FA52" si="35">SUM(EO41:EZ41)</f>
        <v>0</v>
      </c>
      <c r="FB41" s="64">
        <f>ROUND(IFERROR(INDEX(Benefit_Master!$G$4:$BC$135,MATCH($DN41,Benefit_Master!$BD$4:$BD$135,0),MATCH(FB$9,Benefit_Master!$G$3:$BC$3,0)),0)*AZ41,0)</f>
        <v>0</v>
      </c>
      <c r="FC41" s="64">
        <f>ROUND(IFERROR(INDEX(Benefit_Master!$G$4:$BC$135,MATCH($DN41,Benefit_Master!$BD$4:$BD$135,0),MATCH(FC$9,Benefit_Master!$G$3:$BC$3,0)),0)*BA41,0)</f>
        <v>0</v>
      </c>
      <c r="FD41" s="64">
        <f>ROUND(IFERROR(INDEX(Benefit_Master!$G$4:$BC$135,MATCH($DN41,Benefit_Master!$BD$4:$BD$135,0),MATCH(FD$9,Benefit_Master!$G$3:$BC$3,0)),0)*BB41,0)</f>
        <v>0</v>
      </c>
      <c r="FE41" s="64">
        <f>ROUND(IFERROR(INDEX(Benefit_Master!$G$4:$BC$135,MATCH($DN41,Benefit_Master!$BD$4:$BD$135,0),MATCH(FE$9,Benefit_Master!$G$3:$BC$3,0)),0)*BC41,0)</f>
        <v>0</v>
      </c>
      <c r="FF41" s="64">
        <f>ROUND(IFERROR(INDEX(Benefit_Master!$G$4:$BC$135,MATCH($DN41,Benefit_Master!$BD$4:$BD$135,0),MATCH(FF$9,Benefit_Master!$G$3:$BC$3,0)),0)*BD41,0)</f>
        <v>0</v>
      </c>
      <c r="FG41" s="64">
        <f>ROUND(IFERROR(INDEX(Benefit_Master!$G$4:$BC$135,MATCH($DN41,Benefit_Master!$BD$4:$BD$135,0),MATCH(FG$9,Benefit_Master!$G$3:$BC$3,0)),0)*BE41,0)</f>
        <v>0</v>
      </c>
      <c r="FH41" s="64">
        <f>ROUND(IFERROR(INDEX(Benefit_Master!$G$4:$BC$135,MATCH($DN41,Benefit_Master!$BD$4:$BD$135,0),MATCH(FH$9,Benefit_Master!$G$3:$BC$3,0)),0)*BF41,0)</f>
        <v>0</v>
      </c>
      <c r="FI41" s="64">
        <f>ROUND(IFERROR(INDEX(Benefit_Master!$G$4:$BC$135,MATCH($DN41,Benefit_Master!$BD$4:$BD$135,0),MATCH(FI$9,Benefit_Master!$G$3:$BC$3,0)),0)*BG41,0)</f>
        <v>0</v>
      </c>
      <c r="FJ41" s="64">
        <f>ROUND(IFERROR(INDEX(Benefit_Master!$G$4:$BC$135,MATCH($DN41,Benefit_Master!$BD$4:$BD$135,0),MATCH(FJ$9,Benefit_Master!$G$3:$BC$3,0)),0)*BH41,0)</f>
        <v>0</v>
      </c>
      <c r="FK41" s="64">
        <f>ROUND(IFERROR(INDEX(Benefit_Master!$G$4:$BC$135,MATCH($DN41,Benefit_Master!$BD$4:$BD$135,0),MATCH(FK$9,Benefit_Master!$G$3:$BC$3,0)),0)*BI41,0)</f>
        <v>0</v>
      </c>
      <c r="FL41" s="64">
        <f>ROUND(IFERROR(INDEX(Benefit_Master!$G$4:$BC$135,MATCH($DN41,Benefit_Master!$BD$4:$BD$135,0),MATCH(FL$9,Benefit_Master!$G$3:$BC$3,0)),0)*BJ41,0)</f>
        <v>0</v>
      </c>
      <c r="FM41" s="64">
        <f>ROUND(IFERROR(INDEX(Benefit_Master!$G$4:$BC$135,MATCH($DN41,Benefit_Master!$BD$4:$BD$135,0),MATCH(FM$9,Benefit_Master!$G$3:$BC$3,0)),0)*BK41,0)</f>
        <v>0</v>
      </c>
      <c r="FN41" s="66">
        <f t="shared" ref="FN41:FN52" si="36">SUM(FB41:FM41)</f>
        <v>0</v>
      </c>
    </row>
    <row r="42" spans="2:170" s="12" customFormat="1" ht="15" customHeight="1">
      <c r="B42" s="93">
        <f t="shared" si="28"/>
        <v>30</v>
      </c>
      <c r="C42" s="89"/>
      <c r="D42" s="97"/>
      <c r="E42" s="1157"/>
      <c r="F42" s="425"/>
      <c r="G42" s="94" t="str">
        <f>IFERROR(VLOOKUP($F42,Master!$B$1:$C$7,2,0),"-")</f>
        <v>-</v>
      </c>
      <c r="H42" s="95">
        <f t="shared" si="12"/>
        <v>0</v>
      </c>
      <c r="I42" s="138">
        <f t="shared" si="13"/>
        <v>0</v>
      </c>
      <c r="J42" s="138">
        <f t="shared" si="14"/>
        <v>0</v>
      </c>
      <c r="K42" s="96"/>
      <c r="L42"/>
      <c r="M42" s="58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60">
        <f t="shared" si="15"/>
        <v>0</v>
      </c>
      <c r="Z42" s="58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60">
        <f t="shared" si="16"/>
        <v>0</v>
      </c>
      <c r="AM42" s="58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60">
        <f t="shared" si="17"/>
        <v>0</v>
      </c>
      <c r="AZ42" s="58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60">
        <f t="shared" si="18"/>
        <v>0</v>
      </c>
      <c r="BM42"/>
      <c r="BN42" s="64">
        <f>ROUND(IFERROR(INDEX('Labor Cost_Master'!$G$4:$BC$135,MATCH($DN42,'Labor Cost_Master'!$BD$4:$BD$135,0),MATCH(BN$9,'Labor Cost_Master'!$G$3:$BC$3,0)),0)*M42,0)</f>
        <v>0</v>
      </c>
      <c r="BO42" s="64">
        <f>ROUND(IFERROR(INDEX('Labor Cost_Master'!$G$4:$BC$135,MATCH($DN42,'Labor Cost_Master'!$BD$4:$BD$135,0),MATCH(BO$9,'Labor Cost_Master'!$G$3:$BC$3,0)),0)*N42,0)</f>
        <v>0</v>
      </c>
      <c r="BP42" s="64">
        <f>ROUND(IFERROR(INDEX('Labor Cost_Master'!$G$4:$BC$135,MATCH($DN42,'Labor Cost_Master'!$BD$4:$BD$135,0),MATCH(BP$9,'Labor Cost_Master'!$G$3:$BC$3,0)),0)*O42,0)</f>
        <v>0</v>
      </c>
      <c r="BQ42" s="64">
        <f>ROUND(IFERROR(INDEX('Labor Cost_Master'!$G$4:$BC$135,MATCH($DN42,'Labor Cost_Master'!$BD$4:$BD$135,0),MATCH(BQ$9,'Labor Cost_Master'!$G$3:$BC$3,0)),0)*P42,0)</f>
        <v>0</v>
      </c>
      <c r="BR42" s="64">
        <f>ROUND(IFERROR(INDEX('Labor Cost_Master'!$G$4:$BC$135,MATCH($DN42,'Labor Cost_Master'!$BD$4:$BD$135,0),MATCH(BR$9,'Labor Cost_Master'!$G$3:$BC$3,0)),0)*Q42,0)</f>
        <v>0</v>
      </c>
      <c r="BS42" s="64">
        <f>ROUND(IFERROR(INDEX('Labor Cost_Master'!$G$4:$BC$135,MATCH($DN42,'Labor Cost_Master'!$BD$4:$BD$135,0),MATCH(BS$9,'Labor Cost_Master'!$G$3:$BC$3,0)),0)*R42,0)</f>
        <v>0</v>
      </c>
      <c r="BT42" s="64">
        <f>ROUND(IFERROR(INDEX('Labor Cost_Master'!$G$4:$BC$135,MATCH($DN42,'Labor Cost_Master'!$BD$4:$BD$135,0),MATCH(BT$9,'Labor Cost_Master'!$G$3:$BC$3,0)),0)*S42,0)</f>
        <v>0</v>
      </c>
      <c r="BU42" s="64">
        <f>ROUND(IFERROR(INDEX('Labor Cost_Master'!$G$4:$BC$135,MATCH($DN42,'Labor Cost_Master'!$BD$4:$BD$135,0),MATCH(BU$9,'Labor Cost_Master'!$G$3:$BC$3,0)),0)*T42,0)</f>
        <v>0</v>
      </c>
      <c r="BV42" s="64">
        <f>ROUND(IFERROR(INDEX('Labor Cost_Master'!$G$4:$BC$135,MATCH($DN42,'Labor Cost_Master'!$BD$4:$BD$135,0),MATCH(BV$9,'Labor Cost_Master'!$G$3:$BC$3,0)),0)*U42,0)</f>
        <v>0</v>
      </c>
      <c r="BW42" s="64">
        <f>ROUND(IFERROR(INDEX('Labor Cost_Master'!$G$4:$BC$135,MATCH($DN42,'Labor Cost_Master'!$BD$4:$BD$135,0),MATCH(BW$9,'Labor Cost_Master'!$G$3:$BC$3,0)),0)*V42,0)</f>
        <v>0</v>
      </c>
      <c r="BX42" s="64">
        <f>ROUND(IFERROR(INDEX('Labor Cost_Master'!$G$4:$BC$135,MATCH($DN42,'Labor Cost_Master'!$BD$4:$BD$135,0),MATCH(BX$9,'Labor Cost_Master'!$G$3:$BC$3,0)),0)*W42,0)</f>
        <v>0</v>
      </c>
      <c r="BY42" s="64">
        <f>ROUND(IFERROR(INDEX('Labor Cost_Master'!$G$4:$BC$135,MATCH($DN42,'Labor Cost_Master'!$BD$4:$BD$135,0),MATCH(BY$9,'Labor Cost_Master'!$G$3:$BC$3,0)),0)*X42,0)</f>
        <v>0</v>
      </c>
      <c r="BZ42" s="66">
        <f t="shared" si="29"/>
        <v>0</v>
      </c>
      <c r="CA42" s="64">
        <f>ROUND(IFERROR(INDEX('Labor Cost_Master'!$G$4:$BC$135,MATCH($DN42,'Labor Cost_Master'!$BD$4:$BD$135,0),MATCH(CA$9,'Labor Cost_Master'!$G$3:$BC$3,0)),0)*Z42,0)</f>
        <v>0</v>
      </c>
      <c r="CB42" s="64">
        <f>ROUND(IFERROR(INDEX('Labor Cost_Master'!$G$4:$BC$135,MATCH($DN42,'Labor Cost_Master'!$BD$4:$BD$135,0),MATCH(CB$9,'Labor Cost_Master'!$G$3:$BC$3,0)),0)*AA42,0)</f>
        <v>0</v>
      </c>
      <c r="CC42" s="64">
        <f>ROUND(IFERROR(INDEX('Labor Cost_Master'!$G$4:$BC$135,MATCH($DN42,'Labor Cost_Master'!$BD$4:$BD$135,0),MATCH(CC$9,'Labor Cost_Master'!$G$3:$BC$3,0)),0)*AB42,0)</f>
        <v>0</v>
      </c>
      <c r="CD42" s="64">
        <f>ROUND(IFERROR(INDEX('Labor Cost_Master'!$G$4:$BC$135,MATCH($DN42,'Labor Cost_Master'!$BD$4:$BD$135,0),MATCH(CD$9,'Labor Cost_Master'!$G$3:$BC$3,0)),0)*AC42,0)</f>
        <v>0</v>
      </c>
      <c r="CE42" s="64">
        <f>ROUND(IFERROR(INDEX('Labor Cost_Master'!$G$4:$BC$135,MATCH($DN42,'Labor Cost_Master'!$BD$4:$BD$135,0),MATCH(CE$9,'Labor Cost_Master'!$G$3:$BC$3,0)),0)*AD42,0)</f>
        <v>0</v>
      </c>
      <c r="CF42" s="64">
        <f>ROUND(IFERROR(INDEX('Labor Cost_Master'!$G$4:$BC$135,MATCH($DN42,'Labor Cost_Master'!$BD$4:$BD$135,0),MATCH(CF$9,'Labor Cost_Master'!$G$3:$BC$3,0)),0)*AE42,0)</f>
        <v>0</v>
      </c>
      <c r="CG42" s="64">
        <f>ROUND(IFERROR(INDEX('Labor Cost_Master'!$G$4:$BC$135,MATCH($DN42,'Labor Cost_Master'!$BD$4:$BD$135,0),MATCH(CG$9,'Labor Cost_Master'!$G$3:$BC$3,0)),0)*AF42,0)</f>
        <v>0</v>
      </c>
      <c r="CH42" s="64">
        <f>ROUND(IFERROR(INDEX('Labor Cost_Master'!$G$4:$BC$135,MATCH($DN42,'Labor Cost_Master'!$BD$4:$BD$135,0),MATCH(CH$9,'Labor Cost_Master'!$G$3:$BC$3,0)),0)*AG42,0)</f>
        <v>0</v>
      </c>
      <c r="CI42" s="64">
        <f>ROUND(IFERROR(INDEX('Labor Cost_Master'!$G$4:$BC$135,MATCH($DN42,'Labor Cost_Master'!$BD$4:$BD$135,0),MATCH(CI$9,'Labor Cost_Master'!$G$3:$BC$3,0)),0)*AH42,0)</f>
        <v>0</v>
      </c>
      <c r="CJ42" s="64">
        <f>ROUND(IFERROR(INDEX('Labor Cost_Master'!$G$4:$BC$135,MATCH($DN42,'Labor Cost_Master'!$BD$4:$BD$135,0),MATCH(CJ$9,'Labor Cost_Master'!$G$3:$BC$3,0)),0)*AI42,0)</f>
        <v>0</v>
      </c>
      <c r="CK42" s="64">
        <f>ROUND(IFERROR(INDEX('Labor Cost_Master'!$G$4:$BC$135,MATCH($DN42,'Labor Cost_Master'!$BD$4:$BD$135,0),MATCH(CK$9,'Labor Cost_Master'!$G$3:$BC$3,0)),0)*AJ42,0)</f>
        <v>0</v>
      </c>
      <c r="CL42" s="64">
        <f>ROUND(IFERROR(INDEX('Labor Cost_Master'!$G$4:$BC$135,MATCH($DN42,'Labor Cost_Master'!$BD$4:$BD$135,0),MATCH(CL$9,'Labor Cost_Master'!$G$3:$BC$3,0)),0)*AK42,0)</f>
        <v>0</v>
      </c>
      <c r="CM42" s="66">
        <f t="shared" si="30"/>
        <v>0</v>
      </c>
      <c r="CN42" s="64">
        <f>ROUND(IFERROR(INDEX('Labor Cost_Master'!$G$4:$BC$135,MATCH($DN42,'Labor Cost_Master'!$BD$4:$BD$135,0),MATCH(CN$9,'Labor Cost_Master'!$G$3:$BC$3,0)),0)*AM42,0)</f>
        <v>0</v>
      </c>
      <c r="CO42" s="64">
        <f>ROUND(IFERROR(INDEX('Labor Cost_Master'!$G$4:$BC$135,MATCH($DN42,'Labor Cost_Master'!$BD$4:$BD$135,0),MATCH(CO$9,'Labor Cost_Master'!$G$3:$BC$3,0)),0)*AN42,0)</f>
        <v>0</v>
      </c>
      <c r="CP42" s="64">
        <f>ROUND(IFERROR(INDEX('Labor Cost_Master'!$G$4:$BC$135,MATCH($DN42,'Labor Cost_Master'!$BD$4:$BD$135,0),MATCH(CP$9,'Labor Cost_Master'!$G$3:$BC$3,0)),0)*AO42,0)</f>
        <v>0</v>
      </c>
      <c r="CQ42" s="64">
        <f>ROUND(IFERROR(INDEX('Labor Cost_Master'!$G$4:$BC$135,MATCH($DN42,'Labor Cost_Master'!$BD$4:$BD$135,0),MATCH(CQ$9,'Labor Cost_Master'!$G$3:$BC$3,0)),0)*AP42,0)</f>
        <v>0</v>
      </c>
      <c r="CR42" s="64">
        <f>ROUND(IFERROR(INDEX('Labor Cost_Master'!$G$4:$BC$135,MATCH($DN42,'Labor Cost_Master'!$BD$4:$BD$135,0),MATCH(CR$9,'Labor Cost_Master'!$G$3:$BC$3,0)),0)*AQ42,0)</f>
        <v>0</v>
      </c>
      <c r="CS42" s="64">
        <f>ROUND(IFERROR(INDEX('Labor Cost_Master'!$G$4:$BC$135,MATCH($DN42,'Labor Cost_Master'!$BD$4:$BD$135,0),MATCH(CS$9,'Labor Cost_Master'!$G$3:$BC$3,0)),0)*AR42,0)</f>
        <v>0</v>
      </c>
      <c r="CT42" s="64">
        <f>ROUND(IFERROR(INDEX('Labor Cost_Master'!$G$4:$BC$135,MATCH($DN42,'Labor Cost_Master'!$BD$4:$BD$135,0),MATCH(CT$9,'Labor Cost_Master'!$G$3:$BC$3,0)),0)*AS42,0)</f>
        <v>0</v>
      </c>
      <c r="CU42" s="64">
        <f>ROUND(IFERROR(INDEX('Labor Cost_Master'!$G$4:$BC$135,MATCH($DN42,'Labor Cost_Master'!$BD$4:$BD$135,0),MATCH(CU$9,'Labor Cost_Master'!$G$3:$BC$3,0)),0)*AT42,0)</f>
        <v>0</v>
      </c>
      <c r="CV42" s="64">
        <f>ROUND(IFERROR(INDEX('Labor Cost_Master'!$G$4:$BC$135,MATCH($DN42,'Labor Cost_Master'!$BD$4:$BD$135,0),MATCH(CV$9,'Labor Cost_Master'!$G$3:$BC$3,0)),0)*AU42,0)</f>
        <v>0</v>
      </c>
      <c r="CW42" s="64">
        <f>ROUND(IFERROR(INDEX('Labor Cost_Master'!$G$4:$BC$135,MATCH($DN42,'Labor Cost_Master'!$BD$4:$BD$135,0),MATCH(CW$9,'Labor Cost_Master'!$G$3:$BC$3,0)),0)*AV42,0)</f>
        <v>0</v>
      </c>
      <c r="CX42" s="64">
        <f>ROUND(IFERROR(INDEX('Labor Cost_Master'!$G$4:$BC$135,MATCH($DN42,'Labor Cost_Master'!$BD$4:$BD$135,0),MATCH(CX$9,'Labor Cost_Master'!$G$3:$BC$3,0)),0)*AW42,0)</f>
        <v>0</v>
      </c>
      <c r="CY42" s="64">
        <f>ROUND(IFERROR(INDEX('Labor Cost_Master'!$G$4:$BC$135,MATCH($DN42,'Labor Cost_Master'!$BD$4:$BD$135,0),MATCH(CY$9,'Labor Cost_Master'!$G$3:$BC$3,0)),0)*AX42,0)</f>
        <v>0</v>
      </c>
      <c r="CZ42" s="66">
        <f t="shared" si="31"/>
        <v>0</v>
      </c>
      <c r="DA42" s="64">
        <f>ROUND(IFERROR(INDEX('Labor Cost_Master'!$G$4:$BC$135,MATCH($DN42,'Labor Cost_Master'!$BD$4:$BD$135,0),MATCH(DA$9,'Labor Cost_Master'!$G$3:$BC$3,0)),0)*AZ42,0)</f>
        <v>0</v>
      </c>
      <c r="DB42" s="64">
        <f>ROUND(IFERROR(INDEX('Labor Cost_Master'!$G$4:$BC$135,MATCH($DN42,'Labor Cost_Master'!$BD$4:$BD$135,0),MATCH(DB$9,'Labor Cost_Master'!$G$3:$BC$3,0)),0)*BA42,0)</f>
        <v>0</v>
      </c>
      <c r="DC42" s="1166">
        <f>ROUND(IFERROR(INDEX('Labor Cost_Master'!$G$4:$BC$135,MATCH($DN42,'Labor Cost_Master'!$BD$4:$BD$135,0),MATCH(DC$9,'Labor Cost_Master'!$G$3:$BC$3,0)),0)*BB42,0)*1.05</f>
        <v>0</v>
      </c>
      <c r="DD42" s="64">
        <f>ROUND(IFERROR(INDEX('Labor Cost_Master'!$G$4:$BC$135,MATCH($DN42,'Labor Cost_Master'!$BD$4:$BD$135,0),MATCH(DD$9,'Labor Cost_Master'!$G$3:$BC$3,0)),0)*BC42,0)*1.05</f>
        <v>0</v>
      </c>
      <c r="DE42" s="64">
        <f>ROUND(IFERROR(INDEX('Labor Cost_Master'!$G$4:$BC$135,MATCH($DN42,'Labor Cost_Master'!$BD$4:$BD$135,0),MATCH(DE$9,'Labor Cost_Master'!$G$3:$BC$3,0)),0)*BD42,0)*1.05</f>
        <v>0</v>
      </c>
      <c r="DF42" s="64">
        <f>ROUND(IFERROR(INDEX('Labor Cost_Master'!$G$4:$BC$135,MATCH($DN42,'Labor Cost_Master'!$BD$4:$BD$135,0),MATCH(DF$9,'Labor Cost_Master'!$G$3:$BC$3,0)),0)*BE42,0)*1.05</f>
        <v>0</v>
      </c>
      <c r="DG42" s="64">
        <f>ROUND(IFERROR(INDEX('Labor Cost_Master'!$G$4:$BC$135,MATCH($DN42,'Labor Cost_Master'!$BD$4:$BD$135,0),MATCH(DG$9,'Labor Cost_Master'!$G$3:$BC$3,0)),0)*BF42,0)*1.05</f>
        <v>0</v>
      </c>
      <c r="DH42" s="64">
        <f>ROUND(IFERROR(INDEX('Labor Cost_Master'!$G$4:$BC$135,MATCH($DN42,'Labor Cost_Master'!$BD$4:$BD$135,0),MATCH(DH$9,'Labor Cost_Master'!$G$3:$BC$3,0)),0)*BG42,0)*1.05</f>
        <v>0</v>
      </c>
      <c r="DI42" s="64">
        <f>ROUND(IFERROR(INDEX('Labor Cost_Master'!$G$4:$BC$135,MATCH($DN42,'Labor Cost_Master'!$BD$4:$BD$135,0),MATCH(DI$9,'Labor Cost_Master'!$G$3:$BC$3,0)),0)*BH42,0)*1.05</f>
        <v>0</v>
      </c>
      <c r="DJ42" s="64">
        <f>ROUND(IFERROR(INDEX('Labor Cost_Master'!$G$4:$BC$135,MATCH($DN42,'Labor Cost_Master'!$BD$4:$BD$135,0),MATCH(DJ$9,'Labor Cost_Master'!$G$3:$BC$3,0)),0)*BI42,0)*1.05</f>
        <v>0</v>
      </c>
      <c r="DK42" s="64">
        <f>ROUND(IFERROR(INDEX('Labor Cost_Master'!$G$4:$BC$135,MATCH($DN42,'Labor Cost_Master'!$BD$4:$BD$135,0),MATCH(DK$9,'Labor Cost_Master'!$G$3:$BC$3,0)),0)*BJ42,0)*1.05</f>
        <v>0</v>
      </c>
      <c r="DL42" s="64">
        <f>ROUND(IFERROR(INDEX('Labor Cost_Master'!$G$4:$BC$135,MATCH($DN42,'Labor Cost_Master'!$BD$4:$BD$135,0),MATCH(DL$9,'Labor Cost_Master'!$G$3:$BC$3,0)),0)*BK42,0)*1.05</f>
        <v>0</v>
      </c>
      <c r="DM42" s="66">
        <f t="shared" si="32"/>
        <v>0</v>
      </c>
      <c r="DN42" s="80" t="str">
        <f t="shared" si="23"/>
        <v/>
      </c>
      <c r="DO42" s="64">
        <f>ROUND(IFERROR(INDEX(Benefit_Master!$G$4:$BC$135,MATCH($DN42,Benefit_Master!$BD$4:$BD$135,0),MATCH(DO$9,Benefit_Master!$G$3:$BC$3,0)),0)*M42,0)</f>
        <v>0</v>
      </c>
      <c r="DP42" s="64">
        <f>ROUND(IFERROR(INDEX(Benefit_Master!$G$4:$BC$135,MATCH($DN42,Benefit_Master!$BD$4:$BD$135,0),MATCH(DP$9,Benefit_Master!$G$3:$BC$3,0)),0)*N42,0)</f>
        <v>0</v>
      </c>
      <c r="DQ42" s="64">
        <f>ROUND(IFERROR(INDEX(Benefit_Master!$G$4:$BC$135,MATCH($DN42,Benefit_Master!$BD$4:$BD$135,0),MATCH(DQ$9,Benefit_Master!$G$3:$BC$3,0)),0)*O42,0)</f>
        <v>0</v>
      </c>
      <c r="DR42" s="64">
        <f>ROUND(IFERROR(INDEX(Benefit_Master!$G$4:$BC$135,MATCH($DN42,Benefit_Master!$BD$4:$BD$135,0),MATCH(DR$9,Benefit_Master!$G$3:$BC$3,0)),0)*P42,0)</f>
        <v>0</v>
      </c>
      <c r="DS42" s="64">
        <f>ROUND(IFERROR(INDEX(Benefit_Master!$G$4:$BC$135,MATCH($DN42,Benefit_Master!$BD$4:$BD$135,0),MATCH(DS$9,Benefit_Master!$G$3:$BC$3,0)),0)*Q42,0)</f>
        <v>0</v>
      </c>
      <c r="DT42" s="64">
        <f>ROUND(IFERROR(INDEX(Benefit_Master!$G$4:$BC$135,MATCH($DN42,Benefit_Master!$BD$4:$BD$135,0),MATCH(DT$9,Benefit_Master!$G$3:$BC$3,0)),0)*R42,0)</f>
        <v>0</v>
      </c>
      <c r="DU42" s="64">
        <f>ROUND(IFERROR(INDEX(Benefit_Master!$G$4:$BC$135,MATCH($DN42,Benefit_Master!$BD$4:$BD$135,0),MATCH(DU$9,Benefit_Master!$G$3:$BC$3,0)),0)*S42,0)</f>
        <v>0</v>
      </c>
      <c r="DV42" s="64">
        <f>ROUND(IFERROR(INDEX(Benefit_Master!$G$4:$BC$135,MATCH($DN42,Benefit_Master!$BD$4:$BD$135,0),MATCH(DV$9,Benefit_Master!$G$3:$BC$3,0)),0)*T42,0)</f>
        <v>0</v>
      </c>
      <c r="DW42" s="64">
        <f>ROUND(IFERROR(INDEX(Benefit_Master!$G$4:$BC$135,MATCH($DN42,Benefit_Master!$BD$4:$BD$135,0),MATCH(DW$9,Benefit_Master!$G$3:$BC$3,0)),0)*U42,0)</f>
        <v>0</v>
      </c>
      <c r="DX42" s="64">
        <f>ROUND(IFERROR(INDEX(Benefit_Master!$G$4:$BC$135,MATCH($DN42,Benefit_Master!$BD$4:$BD$135,0),MATCH(DX$9,Benefit_Master!$G$3:$BC$3,0)),0)*V42,0)</f>
        <v>0</v>
      </c>
      <c r="DY42" s="64">
        <f>ROUND(IFERROR(INDEX(Benefit_Master!$G$4:$BC$135,MATCH($DN42,Benefit_Master!$BD$4:$BD$135,0),MATCH(DY$9,Benefit_Master!$G$3:$BC$3,0)),0)*W42,0)</f>
        <v>0</v>
      </c>
      <c r="DZ42" s="64">
        <f>ROUND(IFERROR(INDEX(Benefit_Master!$G$4:$BC$135,MATCH($DN42,Benefit_Master!$BD$4:$BD$135,0),MATCH(DZ$9,Benefit_Master!$G$3:$BC$3,0)),0)*X42,0)</f>
        <v>0</v>
      </c>
      <c r="EA42" s="66">
        <f t="shared" si="33"/>
        <v>0</v>
      </c>
      <c r="EB42" s="64">
        <f>ROUND(IFERROR(INDEX(Benefit_Master!$G$4:$BC$135,MATCH($DN42,Benefit_Master!$BD$4:$BD$135,0),MATCH(EB$9,Benefit_Master!$G$3:$BC$3,0)),0)*Z42,0)</f>
        <v>0</v>
      </c>
      <c r="EC42" s="64">
        <f>ROUND(IFERROR(INDEX(Benefit_Master!$G$4:$BC$135,MATCH($DN42,Benefit_Master!$BD$4:$BD$135,0),MATCH(EC$9,Benefit_Master!$G$3:$BC$3,0)),0)*AA42,0)</f>
        <v>0</v>
      </c>
      <c r="ED42" s="64">
        <f>ROUND(IFERROR(INDEX(Benefit_Master!$G$4:$BC$135,MATCH($DN42,Benefit_Master!$BD$4:$BD$135,0),MATCH(ED$9,Benefit_Master!$G$3:$BC$3,0)),0)*AB42,0)</f>
        <v>0</v>
      </c>
      <c r="EE42" s="64">
        <f>ROUND(IFERROR(INDEX(Benefit_Master!$G$4:$BC$135,MATCH($DN42,Benefit_Master!$BD$4:$BD$135,0),MATCH(EE$9,Benefit_Master!$G$3:$BC$3,0)),0)*AC42,0)</f>
        <v>0</v>
      </c>
      <c r="EF42" s="64">
        <f>ROUND(IFERROR(INDEX(Benefit_Master!$G$4:$BC$135,MATCH($DN42,Benefit_Master!$BD$4:$BD$135,0),MATCH(EF$9,Benefit_Master!$G$3:$BC$3,0)),0)*AD42,0)</f>
        <v>0</v>
      </c>
      <c r="EG42" s="64">
        <f>ROUND(IFERROR(INDEX(Benefit_Master!$G$4:$BC$135,MATCH($DN42,Benefit_Master!$BD$4:$BD$135,0),MATCH(EG$9,Benefit_Master!$G$3:$BC$3,0)),0)*AE42,0)</f>
        <v>0</v>
      </c>
      <c r="EH42" s="64">
        <f>ROUND(IFERROR(INDEX(Benefit_Master!$G$4:$BC$135,MATCH($DN42,Benefit_Master!$BD$4:$BD$135,0),MATCH(EH$9,Benefit_Master!$G$3:$BC$3,0)),0)*AF42,0)</f>
        <v>0</v>
      </c>
      <c r="EI42" s="64">
        <f>ROUND(IFERROR(INDEX(Benefit_Master!$G$4:$BC$135,MATCH($DN42,Benefit_Master!$BD$4:$BD$135,0),MATCH(EI$9,Benefit_Master!$G$3:$BC$3,0)),0)*AG42,0)</f>
        <v>0</v>
      </c>
      <c r="EJ42" s="64">
        <f>ROUND(IFERROR(INDEX(Benefit_Master!$G$4:$BC$135,MATCH($DN42,Benefit_Master!$BD$4:$BD$135,0),MATCH(EJ$9,Benefit_Master!$G$3:$BC$3,0)),0)*AH42,0)</f>
        <v>0</v>
      </c>
      <c r="EK42" s="64">
        <f>ROUND(IFERROR(INDEX(Benefit_Master!$G$4:$BC$135,MATCH($DN42,Benefit_Master!$BD$4:$BD$135,0),MATCH(EK$9,Benefit_Master!$G$3:$BC$3,0)),0)*AI42,0)</f>
        <v>0</v>
      </c>
      <c r="EL42" s="64">
        <f>ROUND(IFERROR(INDEX(Benefit_Master!$G$4:$BC$135,MATCH($DN42,Benefit_Master!$BD$4:$BD$135,0),MATCH(EL$9,Benefit_Master!$G$3:$BC$3,0)),0)*AJ42,0)</f>
        <v>0</v>
      </c>
      <c r="EM42" s="64">
        <f>ROUND(IFERROR(INDEX(Benefit_Master!$G$4:$BC$135,MATCH($DN42,Benefit_Master!$BD$4:$BD$135,0),MATCH(EM$9,Benefit_Master!$G$3:$BC$3,0)),0)*AK42,0)</f>
        <v>0</v>
      </c>
      <c r="EN42" s="66">
        <f t="shared" si="34"/>
        <v>0</v>
      </c>
      <c r="EO42" s="64">
        <f>ROUND(IFERROR(INDEX(Benefit_Master!$G$4:$BC$135,MATCH($DN42,Benefit_Master!$BD$4:$BD$135,0),MATCH(EO$9,Benefit_Master!$G$3:$BC$3,0)),0)*AM42,0)</f>
        <v>0</v>
      </c>
      <c r="EP42" s="64">
        <f>ROUND(IFERROR(INDEX(Benefit_Master!$G$4:$BC$135,MATCH($DN42,Benefit_Master!$BD$4:$BD$135,0),MATCH(EP$9,Benefit_Master!$G$3:$BC$3,0)),0)*AN42,0)</f>
        <v>0</v>
      </c>
      <c r="EQ42" s="64">
        <f>ROUND(IFERROR(INDEX(Benefit_Master!$G$4:$BC$135,MATCH($DN42,Benefit_Master!$BD$4:$BD$135,0),MATCH(EQ$9,Benefit_Master!$G$3:$BC$3,0)),0)*AO42,0)</f>
        <v>0</v>
      </c>
      <c r="ER42" s="64">
        <f>ROUND(IFERROR(INDEX(Benefit_Master!$G$4:$BC$135,MATCH($DN42,Benefit_Master!$BD$4:$BD$135,0),MATCH(ER$9,Benefit_Master!$G$3:$BC$3,0)),0)*AP42,0)</f>
        <v>0</v>
      </c>
      <c r="ES42" s="64">
        <f>ROUND(IFERROR(INDEX(Benefit_Master!$G$4:$BC$135,MATCH($DN42,Benefit_Master!$BD$4:$BD$135,0),MATCH(ES$9,Benefit_Master!$G$3:$BC$3,0)),0)*AQ42,0)</f>
        <v>0</v>
      </c>
      <c r="ET42" s="64">
        <f>ROUND(IFERROR(INDEX(Benefit_Master!$G$4:$BC$135,MATCH($DN42,Benefit_Master!$BD$4:$BD$135,0),MATCH(ET$9,Benefit_Master!$G$3:$BC$3,0)),0)*AR42,0)</f>
        <v>0</v>
      </c>
      <c r="EU42" s="64">
        <f>ROUND(IFERROR(INDEX(Benefit_Master!$G$4:$BC$135,MATCH($DN42,Benefit_Master!$BD$4:$BD$135,0),MATCH(EU$9,Benefit_Master!$G$3:$BC$3,0)),0)*AS42,0)</f>
        <v>0</v>
      </c>
      <c r="EV42" s="64">
        <f>ROUND(IFERROR(INDEX(Benefit_Master!$G$4:$BC$135,MATCH($DN42,Benefit_Master!$BD$4:$BD$135,0),MATCH(EV$9,Benefit_Master!$G$3:$BC$3,0)),0)*AT42,0)</f>
        <v>0</v>
      </c>
      <c r="EW42" s="64">
        <f>ROUND(IFERROR(INDEX(Benefit_Master!$G$4:$BC$135,MATCH($DN42,Benefit_Master!$BD$4:$BD$135,0),MATCH(EW$9,Benefit_Master!$G$3:$BC$3,0)),0)*AU42,0)</f>
        <v>0</v>
      </c>
      <c r="EX42" s="64">
        <f>ROUND(IFERROR(INDEX(Benefit_Master!$G$4:$BC$135,MATCH($DN42,Benefit_Master!$BD$4:$BD$135,0),MATCH(EX$9,Benefit_Master!$G$3:$BC$3,0)),0)*AV42,0)</f>
        <v>0</v>
      </c>
      <c r="EY42" s="64">
        <f>ROUND(IFERROR(INDEX(Benefit_Master!$G$4:$BC$135,MATCH($DN42,Benefit_Master!$BD$4:$BD$135,0),MATCH(EY$9,Benefit_Master!$G$3:$BC$3,0)),0)*AW42,0)</f>
        <v>0</v>
      </c>
      <c r="EZ42" s="64">
        <f>ROUND(IFERROR(INDEX(Benefit_Master!$G$4:$BC$135,MATCH($DN42,Benefit_Master!$BD$4:$BD$135,0),MATCH(EZ$9,Benefit_Master!$G$3:$BC$3,0)),0)*AX42,0)</f>
        <v>0</v>
      </c>
      <c r="FA42" s="66">
        <f t="shared" si="35"/>
        <v>0</v>
      </c>
      <c r="FB42" s="64">
        <f>ROUND(IFERROR(INDEX(Benefit_Master!$G$4:$BC$135,MATCH($DN42,Benefit_Master!$BD$4:$BD$135,0),MATCH(FB$9,Benefit_Master!$G$3:$BC$3,0)),0)*AZ42,0)</f>
        <v>0</v>
      </c>
      <c r="FC42" s="64">
        <f>ROUND(IFERROR(INDEX(Benefit_Master!$G$4:$BC$135,MATCH($DN42,Benefit_Master!$BD$4:$BD$135,0),MATCH(FC$9,Benefit_Master!$G$3:$BC$3,0)),0)*BA42,0)</f>
        <v>0</v>
      </c>
      <c r="FD42" s="64">
        <f>ROUND(IFERROR(INDEX(Benefit_Master!$G$4:$BC$135,MATCH($DN42,Benefit_Master!$BD$4:$BD$135,0),MATCH(FD$9,Benefit_Master!$G$3:$BC$3,0)),0)*BB42,0)</f>
        <v>0</v>
      </c>
      <c r="FE42" s="64">
        <f>ROUND(IFERROR(INDEX(Benefit_Master!$G$4:$BC$135,MATCH($DN42,Benefit_Master!$BD$4:$BD$135,0),MATCH(FE$9,Benefit_Master!$G$3:$BC$3,0)),0)*BC42,0)</f>
        <v>0</v>
      </c>
      <c r="FF42" s="64">
        <f>ROUND(IFERROR(INDEX(Benefit_Master!$G$4:$BC$135,MATCH($DN42,Benefit_Master!$BD$4:$BD$135,0),MATCH(FF$9,Benefit_Master!$G$3:$BC$3,0)),0)*BD42,0)</f>
        <v>0</v>
      </c>
      <c r="FG42" s="64">
        <f>ROUND(IFERROR(INDEX(Benefit_Master!$G$4:$BC$135,MATCH($DN42,Benefit_Master!$BD$4:$BD$135,0),MATCH(FG$9,Benefit_Master!$G$3:$BC$3,0)),0)*BE42,0)</f>
        <v>0</v>
      </c>
      <c r="FH42" s="64">
        <f>ROUND(IFERROR(INDEX(Benefit_Master!$G$4:$BC$135,MATCH($DN42,Benefit_Master!$BD$4:$BD$135,0),MATCH(FH$9,Benefit_Master!$G$3:$BC$3,0)),0)*BF42,0)</f>
        <v>0</v>
      </c>
      <c r="FI42" s="64">
        <f>ROUND(IFERROR(INDEX(Benefit_Master!$G$4:$BC$135,MATCH($DN42,Benefit_Master!$BD$4:$BD$135,0),MATCH(FI$9,Benefit_Master!$G$3:$BC$3,0)),0)*BG42,0)</f>
        <v>0</v>
      </c>
      <c r="FJ42" s="64">
        <f>ROUND(IFERROR(INDEX(Benefit_Master!$G$4:$BC$135,MATCH($DN42,Benefit_Master!$BD$4:$BD$135,0),MATCH(FJ$9,Benefit_Master!$G$3:$BC$3,0)),0)*BH42,0)</f>
        <v>0</v>
      </c>
      <c r="FK42" s="64">
        <f>ROUND(IFERROR(INDEX(Benefit_Master!$G$4:$BC$135,MATCH($DN42,Benefit_Master!$BD$4:$BD$135,0),MATCH(FK$9,Benefit_Master!$G$3:$BC$3,0)),0)*BI42,0)</f>
        <v>0</v>
      </c>
      <c r="FL42" s="64">
        <f>ROUND(IFERROR(INDEX(Benefit_Master!$G$4:$BC$135,MATCH($DN42,Benefit_Master!$BD$4:$BD$135,0),MATCH(FL$9,Benefit_Master!$G$3:$BC$3,0)),0)*BJ42,0)</f>
        <v>0</v>
      </c>
      <c r="FM42" s="64">
        <f>ROUND(IFERROR(INDEX(Benefit_Master!$G$4:$BC$135,MATCH($DN42,Benefit_Master!$BD$4:$BD$135,0),MATCH(FM$9,Benefit_Master!$G$3:$BC$3,0)),0)*BK42,0)</f>
        <v>0</v>
      </c>
      <c r="FN42" s="66">
        <f t="shared" si="36"/>
        <v>0</v>
      </c>
    </row>
    <row r="43" spans="2:170" s="12" customFormat="1" ht="15" customHeight="1">
      <c r="B43" s="93">
        <f t="shared" si="28"/>
        <v>31</v>
      </c>
      <c r="C43" s="89"/>
      <c r="D43" s="97"/>
      <c r="E43" s="1157"/>
      <c r="F43" s="425"/>
      <c r="G43" s="94" t="str">
        <f>IFERROR(VLOOKUP($F43,Master!$B$1:$C$7,2,0),"-")</f>
        <v>-</v>
      </c>
      <c r="H43" s="95">
        <f t="shared" si="12"/>
        <v>0</v>
      </c>
      <c r="I43" s="138">
        <f t="shared" si="13"/>
        <v>0</v>
      </c>
      <c r="J43" s="138">
        <f t="shared" si="14"/>
        <v>0</v>
      </c>
      <c r="K43" s="96"/>
      <c r="L43"/>
      <c r="M43" s="58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60">
        <f t="shared" si="15"/>
        <v>0</v>
      </c>
      <c r="Z43" s="58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60">
        <f t="shared" si="16"/>
        <v>0</v>
      </c>
      <c r="AM43" s="58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60">
        <f t="shared" si="17"/>
        <v>0</v>
      </c>
      <c r="AZ43" s="58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60">
        <f t="shared" si="18"/>
        <v>0</v>
      </c>
      <c r="BM43"/>
      <c r="BN43" s="64">
        <f>ROUND(IFERROR(INDEX('Labor Cost_Master'!$G$4:$BC$135,MATCH($DN43,'Labor Cost_Master'!$BD$4:$BD$135,0),MATCH(BN$9,'Labor Cost_Master'!$G$3:$BC$3,0)),0)*M43,0)</f>
        <v>0</v>
      </c>
      <c r="BO43" s="64">
        <f>ROUND(IFERROR(INDEX('Labor Cost_Master'!$G$4:$BC$135,MATCH($DN43,'Labor Cost_Master'!$BD$4:$BD$135,0),MATCH(BO$9,'Labor Cost_Master'!$G$3:$BC$3,0)),0)*N43,0)</f>
        <v>0</v>
      </c>
      <c r="BP43" s="64">
        <f>ROUND(IFERROR(INDEX('Labor Cost_Master'!$G$4:$BC$135,MATCH($DN43,'Labor Cost_Master'!$BD$4:$BD$135,0),MATCH(BP$9,'Labor Cost_Master'!$G$3:$BC$3,0)),0)*O43,0)</f>
        <v>0</v>
      </c>
      <c r="BQ43" s="64">
        <f>ROUND(IFERROR(INDEX('Labor Cost_Master'!$G$4:$BC$135,MATCH($DN43,'Labor Cost_Master'!$BD$4:$BD$135,0),MATCH(BQ$9,'Labor Cost_Master'!$G$3:$BC$3,0)),0)*P43,0)</f>
        <v>0</v>
      </c>
      <c r="BR43" s="64">
        <f>ROUND(IFERROR(INDEX('Labor Cost_Master'!$G$4:$BC$135,MATCH($DN43,'Labor Cost_Master'!$BD$4:$BD$135,0),MATCH(BR$9,'Labor Cost_Master'!$G$3:$BC$3,0)),0)*Q43,0)</f>
        <v>0</v>
      </c>
      <c r="BS43" s="64">
        <f>ROUND(IFERROR(INDEX('Labor Cost_Master'!$G$4:$BC$135,MATCH($DN43,'Labor Cost_Master'!$BD$4:$BD$135,0),MATCH(BS$9,'Labor Cost_Master'!$G$3:$BC$3,0)),0)*R43,0)</f>
        <v>0</v>
      </c>
      <c r="BT43" s="64">
        <f>ROUND(IFERROR(INDEX('Labor Cost_Master'!$G$4:$BC$135,MATCH($DN43,'Labor Cost_Master'!$BD$4:$BD$135,0),MATCH(BT$9,'Labor Cost_Master'!$G$3:$BC$3,0)),0)*S43,0)</f>
        <v>0</v>
      </c>
      <c r="BU43" s="64">
        <f>ROUND(IFERROR(INDEX('Labor Cost_Master'!$G$4:$BC$135,MATCH($DN43,'Labor Cost_Master'!$BD$4:$BD$135,0),MATCH(BU$9,'Labor Cost_Master'!$G$3:$BC$3,0)),0)*T43,0)</f>
        <v>0</v>
      </c>
      <c r="BV43" s="64">
        <f>ROUND(IFERROR(INDEX('Labor Cost_Master'!$G$4:$BC$135,MATCH($DN43,'Labor Cost_Master'!$BD$4:$BD$135,0),MATCH(BV$9,'Labor Cost_Master'!$G$3:$BC$3,0)),0)*U43,0)</f>
        <v>0</v>
      </c>
      <c r="BW43" s="64">
        <f>ROUND(IFERROR(INDEX('Labor Cost_Master'!$G$4:$BC$135,MATCH($DN43,'Labor Cost_Master'!$BD$4:$BD$135,0),MATCH(BW$9,'Labor Cost_Master'!$G$3:$BC$3,0)),0)*V43,0)</f>
        <v>0</v>
      </c>
      <c r="BX43" s="64">
        <f>ROUND(IFERROR(INDEX('Labor Cost_Master'!$G$4:$BC$135,MATCH($DN43,'Labor Cost_Master'!$BD$4:$BD$135,0),MATCH(BX$9,'Labor Cost_Master'!$G$3:$BC$3,0)),0)*W43,0)</f>
        <v>0</v>
      </c>
      <c r="BY43" s="64">
        <f>ROUND(IFERROR(INDEX('Labor Cost_Master'!$G$4:$BC$135,MATCH($DN43,'Labor Cost_Master'!$BD$4:$BD$135,0),MATCH(BY$9,'Labor Cost_Master'!$G$3:$BC$3,0)),0)*X43,0)</f>
        <v>0</v>
      </c>
      <c r="BZ43" s="66">
        <f t="shared" si="29"/>
        <v>0</v>
      </c>
      <c r="CA43" s="64">
        <f>ROUND(IFERROR(INDEX('Labor Cost_Master'!$G$4:$BC$135,MATCH($DN43,'Labor Cost_Master'!$BD$4:$BD$135,0),MATCH(CA$9,'Labor Cost_Master'!$G$3:$BC$3,0)),0)*Z43,0)</f>
        <v>0</v>
      </c>
      <c r="CB43" s="64">
        <f>ROUND(IFERROR(INDEX('Labor Cost_Master'!$G$4:$BC$135,MATCH($DN43,'Labor Cost_Master'!$BD$4:$BD$135,0),MATCH(CB$9,'Labor Cost_Master'!$G$3:$BC$3,0)),0)*AA43,0)</f>
        <v>0</v>
      </c>
      <c r="CC43" s="64">
        <f>ROUND(IFERROR(INDEX('Labor Cost_Master'!$G$4:$BC$135,MATCH($DN43,'Labor Cost_Master'!$BD$4:$BD$135,0),MATCH(CC$9,'Labor Cost_Master'!$G$3:$BC$3,0)),0)*AB43,0)</f>
        <v>0</v>
      </c>
      <c r="CD43" s="64">
        <f>ROUND(IFERROR(INDEX('Labor Cost_Master'!$G$4:$BC$135,MATCH($DN43,'Labor Cost_Master'!$BD$4:$BD$135,0),MATCH(CD$9,'Labor Cost_Master'!$G$3:$BC$3,0)),0)*AC43,0)</f>
        <v>0</v>
      </c>
      <c r="CE43" s="64">
        <f>ROUND(IFERROR(INDEX('Labor Cost_Master'!$G$4:$BC$135,MATCH($DN43,'Labor Cost_Master'!$BD$4:$BD$135,0),MATCH(CE$9,'Labor Cost_Master'!$G$3:$BC$3,0)),0)*AD43,0)</f>
        <v>0</v>
      </c>
      <c r="CF43" s="64">
        <f>ROUND(IFERROR(INDEX('Labor Cost_Master'!$G$4:$BC$135,MATCH($DN43,'Labor Cost_Master'!$BD$4:$BD$135,0),MATCH(CF$9,'Labor Cost_Master'!$G$3:$BC$3,0)),0)*AE43,0)</f>
        <v>0</v>
      </c>
      <c r="CG43" s="64">
        <f>ROUND(IFERROR(INDEX('Labor Cost_Master'!$G$4:$BC$135,MATCH($DN43,'Labor Cost_Master'!$BD$4:$BD$135,0),MATCH(CG$9,'Labor Cost_Master'!$G$3:$BC$3,0)),0)*AF43,0)</f>
        <v>0</v>
      </c>
      <c r="CH43" s="64">
        <f>ROUND(IFERROR(INDEX('Labor Cost_Master'!$G$4:$BC$135,MATCH($DN43,'Labor Cost_Master'!$BD$4:$BD$135,0),MATCH(CH$9,'Labor Cost_Master'!$G$3:$BC$3,0)),0)*AG43,0)</f>
        <v>0</v>
      </c>
      <c r="CI43" s="64">
        <f>ROUND(IFERROR(INDEX('Labor Cost_Master'!$G$4:$BC$135,MATCH($DN43,'Labor Cost_Master'!$BD$4:$BD$135,0),MATCH(CI$9,'Labor Cost_Master'!$G$3:$BC$3,0)),0)*AH43,0)</f>
        <v>0</v>
      </c>
      <c r="CJ43" s="64">
        <f>ROUND(IFERROR(INDEX('Labor Cost_Master'!$G$4:$BC$135,MATCH($DN43,'Labor Cost_Master'!$BD$4:$BD$135,0),MATCH(CJ$9,'Labor Cost_Master'!$G$3:$BC$3,0)),0)*AI43,0)</f>
        <v>0</v>
      </c>
      <c r="CK43" s="64">
        <f>ROUND(IFERROR(INDEX('Labor Cost_Master'!$G$4:$BC$135,MATCH($DN43,'Labor Cost_Master'!$BD$4:$BD$135,0),MATCH(CK$9,'Labor Cost_Master'!$G$3:$BC$3,0)),0)*AJ43,0)</f>
        <v>0</v>
      </c>
      <c r="CL43" s="64">
        <f>ROUND(IFERROR(INDEX('Labor Cost_Master'!$G$4:$BC$135,MATCH($DN43,'Labor Cost_Master'!$BD$4:$BD$135,0),MATCH(CL$9,'Labor Cost_Master'!$G$3:$BC$3,0)),0)*AK43,0)</f>
        <v>0</v>
      </c>
      <c r="CM43" s="66">
        <f t="shared" si="30"/>
        <v>0</v>
      </c>
      <c r="CN43" s="64">
        <f>ROUND(IFERROR(INDEX('Labor Cost_Master'!$G$4:$BC$135,MATCH($DN43,'Labor Cost_Master'!$BD$4:$BD$135,0),MATCH(CN$9,'Labor Cost_Master'!$G$3:$BC$3,0)),0)*AM43,0)</f>
        <v>0</v>
      </c>
      <c r="CO43" s="64">
        <f>ROUND(IFERROR(INDEX('Labor Cost_Master'!$G$4:$BC$135,MATCH($DN43,'Labor Cost_Master'!$BD$4:$BD$135,0),MATCH(CO$9,'Labor Cost_Master'!$G$3:$BC$3,0)),0)*AN43,0)</f>
        <v>0</v>
      </c>
      <c r="CP43" s="64">
        <f>ROUND(IFERROR(INDEX('Labor Cost_Master'!$G$4:$BC$135,MATCH($DN43,'Labor Cost_Master'!$BD$4:$BD$135,0),MATCH(CP$9,'Labor Cost_Master'!$G$3:$BC$3,0)),0)*AO43,0)</f>
        <v>0</v>
      </c>
      <c r="CQ43" s="64">
        <f>ROUND(IFERROR(INDEX('Labor Cost_Master'!$G$4:$BC$135,MATCH($DN43,'Labor Cost_Master'!$BD$4:$BD$135,0),MATCH(CQ$9,'Labor Cost_Master'!$G$3:$BC$3,0)),0)*AP43,0)</f>
        <v>0</v>
      </c>
      <c r="CR43" s="64">
        <f>ROUND(IFERROR(INDEX('Labor Cost_Master'!$G$4:$BC$135,MATCH($DN43,'Labor Cost_Master'!$BD$4:$BD$135,0),MATCH(CR$9,'Labor Cost_Master'!$G$3:$BC$3,0)),0)*AQ43,0)</f>
        <v>0</v>
      </c>
      <c r="CS43" s="64">
        <f>ROUND(IFERROR(INDEX('Labor Cost_Master'!$G$4:$BC$135,MATCH($DN43,'Labor Cost_Master'!$BD$4:$BD$135,0),MATCH(CS$9,'Labor Cost_Master'!$G$3:$BC$3,0)),0)*AR43,0)</f>
        <v>0</v>
      </c>
      <c r="CT43" s="64">
        <f>ROUND(IFERROR(INDEX('Labor Cost_Master'!$G$4:$BC$135,MATCH($DN43,'Labor Cost_Master'!$BD$4:$BD$135,0),MATCH(CT$9,'Labor Cost_Master'!$G$3:$BC$3,0)),0)*AS43,0)</f>
        <v>0</v>
      </c>
      <c r="CU43" s="64">
        <f>ROUND(IFERROR(INDEX('Labor Cost_Master'!$G$4:$BC$135,MATCH($DN43,'Labor Cost_Master'!$BD$4:$BD$135,0),MATCH(CU$9,'Labor Cost_Master'!$G$3:$BC$3,0)),0)*AT43,0)</f>
        <v>0</v>
      </c>
      <c r="CV43" s="64">
        <f>ROUND(IFERROR(INDEX('Labor Cost_Master'!$G$4:$BC$135,MATCH($DN43,'Labor Cost_Master'!$BD$4:$BD$135,0),MATCH(CV$9,'Labor Cost_Master'!$G$3:$BC$3,0)),0)*AU43,0)</f>
        <v>0</v>
      </c>
      <c r="CW43" s="64">
        <f>ROUND(IFERROR(INDEX('Labor Cost_Master'!$G$4:$BC$135,MATCH($DN43,'Labor Cost_Master'!$BD$4:$BD$135,0),MATCH(CW$9,'Labor Cost_Master'!$G$3:$BC$3,0)),0)*AV43,0)</f>
        <v>0</v>
      </c>
      <c r="CX43" s="64">
        <f>ROUND(IFERROR(INDEX('Labor Cost_Master'!$G$4:$BC$135,MATCH($DN43,'Labor Cost_Master'!$BD$4:$BD$135,0),MATCH(CX$9,'Labor Cost_Master'!$G$3:$BC$3,0)),0)*AW43,0)</f>
        <v>0</v>
      </c>
      <c r="CY43" s="64">
        <f>ROUND(IFERROR(INDEX('Labor Cost_Master'!$G$4:$BC$135,MATCH($DN43,'Labor Cost_Master'!$BD$4:$BD$135,0),MATCH(CY$9,'Labor Cost_Master'!$G$3:$BC$3,0)),0)*AX43,0)</f>
        <v>0</v>
      </c>
      <c r="CZ43" s="66">
        <f t="shared" si="31"/>
        <v>0</v>
      </c>
      <c r="DA43" s="64">
        <f>ROUND(IFERROR(INDEX('Labor Cost_Master'!$G$4:$BC$135,MATCH($DN43,'Labor Cost_Master'!$BD$4:$BD$135,0),MATCH(DA$9,'Labor Cost_Master'!$G$3:$BC$3,0)),0)*AZ43,0)</f>
        <v>0</v>
      </c>
      <c r="DB43" s="64">
        <f>ROUND(IFERROR(INDEX('Labor Cost_Master'!$G$4:$BC$135,MATCH($DN43,'Labor Cost_Master'!$BD$4:$BD$135,0),MATCH(DB$9,'Labor Cost_Master'!$G$3:$BC$3,0)),0)*BA43,0)</f>
        <v>0</v>
      </c>
      <c r="DC43" s="1166">
        <f>ROUND(IFERROR(INDEX('Labor Cost_Master'!$G$4:$BC$135,MATCH($DN43,'Labor Cost_Master'!$BD$4:$BD$135,0),MATCH(DC$9,'Labor Cost_Master'!$G$3:$BC$3,0)),0)*BB43,0)*1.05</f>
        <v>0</v>
      </c>
      <c r="DD43" s="64">
        <f>ROUND(IFERROR(INDEX('Labor Cost_Master'!$G$4:$BC$135,MATCH($DN43,'Labor Cost_Master'!$BD$4:$BD$135,0),MATCH(DD$9,'Labor Cost_Master'!$G$3:$BC$3,0)),0)*BC43,0)*1.05</f>
        <v>0</v>
      </c>
      <c r="DE43" s="64">
        <f>ROUND(IFERROR(INDEX('Labor Cost_Master'!$G$4:$BC$135,MATCH($DN43,'Labor Cost_Master'!$BD$4:$BD$135,0),MATCH(DE$9,'Labor Cost_Master'!$G$3:$BC$3,0)),0)*BD43,0)*1.05</f>
        <v>0</v>
      </c>
      <c r="DF43" s="64">
        <f>ROUND(IFERROR(INDEX('Labor Cost_Master'!$G$4:$BC$135,MATCH($DN43,'Labor Cost_Master'!$BD$4:$BD$135,0),MATCH(DF$9,'Labor Cost_Master'!$G$3:$BC$3,0)),0)*BE43,0)*1.05</f>
        <v>0</v>
      </c>
      <c r="DG43" s="64">
        <f>ROUND(IFERROR(INDEX('Labor Cost_Master'!$G$4:$BC$135,MATCH($DN43,'Labor Cost_Master'!$BD$4:$BD$135,0),MATCH(DG$9,'Labor Cost_Master'!$G$3:$BC$3,0)),0)*BF43,0)*1.05</f>
        <v>0</v>
      </c>
      <c r="DH43" s="64">
        <f>ROUND(IFERROR(INDEX('Labor Cost_Master'!$G$4:$BC$135,MATCH($DN43,'Labor Cost_Master'!$BD$4:$BD$135,0),MATCH(DH$9,'Labor Cost_Master'!$G$3:$BC$3,0)),0)*BG43,0)*1.05</f>
        <v>0</v>
      </c>
      <c r="DI43" s="64">
        <f>ROUND(IFERROR(INDEX('Labor Cost_Master'!$G$4:$BC$135,MATCH($DN43,'Labor Cost_Master'!$BD$4:$BD$135,0),MATCH(DI$9,'Labor Cost_Master'!$G$3:$BC$3,0)),0)*BH43,0)*1.05</f>
        <v>0</v>
      </c>
      <c r="DJ43" s="64">
        <f>ROUND(IFERROR(INDEX('Labor Cost_Master'!$G$4:$BC$135,MATCH($DN43,'Labor Cost_Master'!$BD$4:$BD$135,0),MATCH(DJ$9,'Labor Cost_Master'!$G$3:$BC$3,0)),0)*BI43,0)*1.05</f>
        <v>0</v>
      </c>
      <c r="DK43" s="64">
        <f>ROUND(IFERROR(INDEX('Labor Cost_Master'!$G$4:$BC$135,MATCH($DN43,'Labor Cost_Master'!$BD$4:$BD$135,0),MATCH(DK$9,'Labor Cost_Master'!$G$3:$BC$3,0)),0)*BJ43,0)*1.05</f>
        <v>0</v>
      </c>
      <c r="DL43" s="64">
        <f>ROUND(IFERROR(INDEX('Labor Cost_Master'!$G$4:$BC$135,MATCH($DN43,'Labor Cost_Master'!$BD$4:$BD$135,0),MATCH(DL$9,'Labor Cost_Master'!$G$3:$BC$3,0)),0)*BK43,0)*1.05</f>
        <v>0</v>
      </c>
      <c r="DM43" s="66">
        <f t="shared" si="32"/>
        <v>0</v>
      </c>
      <c r="DN43" s="80" t="str">
        <f t="shared" si="23"/>
        <v/>
      </c>
      <c r="DO43" s="64">
        <f>ROUND(IFERROR(INDEX(Benefit_Master!$G$4:$BC$135,MATCH($DN43,Benefit_Master!$BD$4:$BD$135,0),MATCH(DO$9,Benefit_Master!$G$3:$BC$3,0)),0)*M43,0)</f>
        <v>0</v>
      </c>
      <c r="DP43" s="64">
        <f>ROUND(IFERROR(INDEX(Benefit_Master!$G$4:$BC$135,MATCH($DN43,Benefit_Master!$BD$4:$BD$135,0),MATCH(DP$9,Benefit_Master!$G$3:$BC$3,0)),0)*N43,0)</f>
        <v>0</v>
      </c>
      <c r="DQ43" s="64">
        <f>ROUND(IFERROR(INDEX(Benefit_Master!$G$4:$BC$135,MATCH($DN43,Benefit_Master!$BD$4:$BD$135,0),MATCH(DQ$9,Benefit_Master!$G$3:$BC$3,0)),0)*O43,0)</f>
        <v>0</v>
      </c>
      <c r="DR43" s="64">
        <f>ROUND(IFERROR(INDEX(Benefit_Master!$G$4:$BC$135,MATCH($DN43,Benefit_Master!$BD$4:$BD$135,0),MATCH(DR$9,Benefit_Master!$G$3:$BC$3,0)),0)*P43,0)</f>
        <v>0</v>
      </c>
      <c r="DS43" s="64">
        <f>ROUND(IFERROR(INDEX(Benefit_Master!$G$4:$BC$135,MATCH($DN43,Benefit_Master!$BD$4:$BD$135,0),MATCH(DS$9,Benefit_Master!$G$3:$BC$3,0)),0)*Q43,0)</f>
        <v>0</v>
      </c>
      <c r="DT43" s="64">
        <f>ROUND(IFERROR(INDEX(Benefit_Master!$G$4:$BC$135,MATCH($DN43,Benefit_Master!$BD$4:$BD$135,0),MATCH(DT$9,Benefit_Master!$G$3:$BC$3,0)),0)*R43,0)</f>
        <v>0</v>
      </c>
      <c r="DU43" s="64">
        <f>ROUND(IFERROR(INDEX(Benefit_Master!$G$4:$BC$135,MATCH($DN43,Benefit_Master!$BD$4:$BD$135,0),MATCH(DU$9,Benefit_Master!$G$3:$BC$3,0)),0)*S43,0)</f>
        <v>0</v>
      </c>
      <c r="DV43" s="64">
        <f>ROUND(IFERROR(INDEX(Benefit_Master!$G$4:$BC$135,MATCH($DN43,Benefit_Master!$BD$4:$BD$135,0),MATCH(DV$9,Benefit_Master!$G$3:$BC$3,0)),0)*T43,0)</f>
        <v>0</v>
      </c>
      <c r="DW43" s="64">
        <f>ROUND(IFERROR(INDEX(Benefit_Master!$G$4:$BC$135,MATCH($DN43,Benefit_Master!$BD$4:$BD$135,0),MATCH(DW$9,Benefit_Master!$G$3:$BC$3,0)),0)*U43,0)</f>
        <v>0</v>
      </c>
      <c r="DX43" s="64">
        <f>ROUND(IFERROR(INDEX(Benefit_Master!$G$4:$BC$135,MATCH($DN43,Benefit_Master!$BD$4:$BD$135,0),MATCH(DX$9,Benefit_Master!$G$3:$BC$3,0)),0)*V43,0)</f>
        <v>0</v>
      </c>
      <c r="DY43" s="64">
        <f>ROUND(IFERROR(INDEX(Benefit_Master!$G$4:$BC$135,MATCH($DN43,Benefit_Master!$BD$4:$BD$135,0),MATCH(DY$9,Benefit_Master!$G$3:$BC$3,0)),0)*W43,0)</f>
        <v>0</v>
      </c>
      <c r="DZ43" s="64">
        <f>ROUND(IFERROR(INDEX(Benefit_Master!$G$4:$BC$135,MATCH($DN43,Benefit_Master!$BD$4:$BD$135,0),MATCH(DZ$9,Benefit_Master!$G$3:$BC$3,0)),0)*X43,0)</f>
        <v>0</v>
      </c>
      <c r="EA43" s="66">
        <f t="shared" si="33"/>
        <v>0</v>
      </c>
      <c r="EB43" s="64">
        <f>ROUND(IFERROR(INDEX(Benefit_Master!$G$4:$BC$135,MATCH($DN43,Benefit_Master!$BD$4:$BD$135,0),MATCH(EB$9,Benefit_Master!$G$3:$BC$3,0)),0)*Z43,0)</f>
        <v>0</v>
      </c>
      <c r="EC43" s="64">
        <f>ROUND(IFERROR(INDEX(Benefit_Master!$G$4:$BC$135,MATCH($DN43,Benefit_Master!$BD$4:$BD$135,0),MATCH(EC$9,Benefit_Master!$G$3:$BC$3,0)),0)*AA43,0)</f>
        <v>0</v>
      </c>
      <c r="ED43" s="64">
        <f>ROUND(IFERROR(INDEX(Benefit_Master!$G$4:$BC$135,MATCH($DN43,Benefit_Master!$BD$4:$BD$135,0),MATCH(ED$9,Benefit_Master!$G$3:$BC$3,0)),0)*AB43,0)</f>
        <v>0</v>
      </c>
      <c r="EE43" s="64">
        <f>ROUND(IFERROR(INDEX(Benefit_Master!$G$4:$BC$135,MATCH($DN43,Benefit_Master!$BD$4:$BD$135,0),MATCH(EE$9,Benefit_Master!$G$3:$BC$3,0)),0)*AC43,0)</f>
        <v>0</v>
      </c>
      <c r="EF43" s="64">
        <f>ROUND(IFERROR(INDEX(Benefit_Master!$G$4:$BC$135,MATCH($DN43,Benefit_Master!$BD$4:$BD$135,0),MATCH(EF$9,Benefit_Master!$G$3:$BC$3,0)),0)*AD43,0)</f>
        <v>0</v>
      </c>
      <c r="EG43" s="64">
        <f>ROUND(IFERROR(INDEX(Benefit_Master!$G$4:$BC$135,MATCH($DN43,Benefit_Master!$BD$4:$BD$135,0),MATCH(EG$9,Benefit_Master!$G$3:$BC$3,0)),0)*AE43,0)</f>
        <v>0</v>
      </c>
      <c r="EH43" s="64">
        <f>ROUND(IFERROR(INDEX(Benefit_Master!$G$4:$BC$135,MATCH($DN43,Benefit_Master!$BD$4:$BD$135,0),MATCH(EH$9,Benefit_Master!$G$3:$BC$3,0)),0)*AF43,0)</f>
        <v>0</v>
      </c>
      <c r="EI43" s="64">
        <f>ROUND(IFERROR(INDEX(Benefit_Master!$G$4:$BC$135,MATCH($DN43,Benefit_Master!$BD$4:$BD$135,0),MATCH(EI$9,Benefit_Master!$G$3:$BC$3,0)),0)*AG43,0)</f>
        <v>0</v>
      </c>
      <c r="EJ43" s="64">
        <f>ROUND(IFERROR(INDEX(Benefit_Master!$G$4:$BC$135,MATCH($DN43,Benefit_Master!$BD$4:$BD$135,0),MATCH(EJ$9,Benefit_Master!$G$3:$BC$3,0)),0)*AH43,0)</f>
        <v>0</v>
      </c>
      <c r="EK43" s="64">
        <f>ROUND(IFERROR(INDEX(Benefit_Master!$G$4:$BC$135,MATCH($DN43,Benefit_Master!$BD$4:$BD$135,0),MATCH(EK$9,Benefit_Master!$G$3:$BC$3,0)),0)*AI43,0)</f>
        <v>0</v>
      </c>
      <c r="EL43" s="64">
        <f>ROUND(IFERROR(INDEX(Benefit_Master!$G$4:$BC$135,MATCH($DN43,Benefit_Master!$BD$4:$BD$135,0),MATCH(EL$9,Benefit_Master!$G$3:$BC$3,0)),0)*AJ43,0)</f>
        <v>0</v>
      </c>
      <c r="EM43" s="64">
        <f>ROUND(IFERROR(INDEX(Benefit_Master!$G$4:$BC$135,MATCH($DN43,Benefit_Master!$BD$4:$BD$135,0),MATCH(EM$9,Benefit_Master!$G$3:$BC$3,0)),0)*AK43,0)</f>
        <v>0</v>
      </c>
      <c r="EN43" s="66">
        <f t="shared" si="34"/>
        <v>0</v>
      </c>
      <c r="EO43" s="64">
        <f>ROUND(IFERROR(INDEX(Benefit_Master!$G$4:$BC$135,MATCH($DN43,Benefit_Master!$BD$4:$BD$135,0),MATCH(EO$9,Benefit_Master!$G$3:$BC$3,0)),0)*AM43,0)</f>
        <v>0</v>
      </c>
      <c r="EP43" s="64">
        <f>ROUND(IFERROR(INDEX(Benefit_Master!$G$4:$BC$135,MATCH($DN43,Benefit_Master!$BD$4:$BD$135,0),MATCH(EP$9,Benefit_Master!$G$3:$BC$3,0)),0)*AN43,0)</f>
        <v>0</v>
      </c>
      <c r="EQ43" s="64">
        <f>ROUND(IFERROR(INDEX(Benefit_Master!$G$4:$BC$135,MATCH($DN43,Benefit_Master!$BD$4:$BD$135,0),MATCH(EQ$9,Benefit_Master!$G$3:$BC$3,0)),0)*AO43,0)</f>
        <v>0</v>
      </c>
      <c r="ER43" s="64">
        <f>ROUND(IFERROR(INDEX(Benefit_Master!$G$4:$BC$135,MATCH($DN43,Benefit_Master!$BD$4:$BD$135,0),MATCH(ER$9,Benefit_Master!$G$3:$BC$3,0)),0)*AP43,0)</f>
        <v>0</v>
      </c>
      <c r="ES43" s="64">
        <f>ROUND(IFERROR(INDEX(Benefit_Master!$G$4:$BC$135,MATCH($DN43,Benefit_Master!$BD$4:$BD$135,0),MATCH(ES$9,Benefit_Master!$G$3:$BC$3,0)),0)*AQ43,0)</f>
        <v>0</v>
      </c>
      <c r="ET43" s="64">
        <f>ROUND(IFERROR(INDEX(Benefit_Master!$G$4:$BC$135,MATCH($DN43,Benefit_Master!$BD$4:$BD$135,0),MATCH(ET$9,Benefit_Master!$G$3:$BC$3,0)),0)*AR43,0)</f>
        <v>0</v>
      </c>
      <c r="EU43" s="64">
        <f>ROUND(IFERROR(INDEX(Benefit_Master!$G$4:$BC$135,MATCH($DN43,Benefit_Master!$BD$4:$BD$135,0),MATCH(EU$9,Benefit_Master!$G$3:$BC$3,0)),0)*AS43,0)</f>
        <v>0</v>
      </c>
      <c r="EV43" s="64">
        <f>ROUND(IFERROR(INDEX(Benefit_Master!$G$4:$BC$135,MATCH($DN43,Benefit_Master!$BD$4:$BD$135,0),MATCH(EV$9,Benefit_Master!$G$3:$BC$3,0)),0)*AT43,0)</f>
        <v>0</v>
      </c>
      <c r="EW43" s="64">
        <f>ROUND(IFERROR(INDEX(Benefit_Master!$G$4:$BC$135,MATCH($DN43,Benefit_Master!$BD$4:$BD$135,0),MATCH(EW$9,Benefit_Master!$G$3:$BC$3,0)),0)*AU43,0)</f>
        <v>0</v>
      </c>
      <c r="EX43" s="64">
        <f>ROUND(IFERROR(INDEX(Benefit_Master!$G$4:$BC$135,MATCH($DN43,Benefit_Master!$BD$4:$BD$135,0),MATCH(EX$9,Benefit_Master!$G$3:$BC$3,0)),0)*AV43,0)</f>
        <v>0</v>
      </c>
      <c r="EY43" s="64">
        <f>ROUND(IFERROR(INDEX(Benefit_Master!$G$4:$BC$135,MATCH($DN43,Benefit_Master!$BD$4:$BD$135,0),MATCH(EY$9,Benefit_Master!$G$3:$BC$3,0)),0)*AW43,0)</f>
        <v>0</v>
      </c>
      <c r="EZ43" s="64">
        <f>ROUND(IFERROR(INDEX(Benefit_Master!$G$4:$BC$135,MATCH($DN43,Benefit_Master!$BD$4:$BD$135,0),MATCH(EZ$9,Benefit_Master!$G$3:$BC$3,0)),0)*AX43,0)</f>
        <v>0</v>
      </c>
      <c r="FA43" s="66">
        <f t="shared" si="35"/>
        <v>0</v>
      </c>
      <c r="FB43" s="64">
        <f>ROUND(IFERROR(INDEX(Benefit_Master!$G$4:$BC$135,MATCH($DN43,Benefit_Master!$BD$4:$BD$135,0),MATCH(FB$9,Benefit_Master!$G$3:$BC$3,0)),0)*AZ43,0)</f>
        <v>0</v>
      </c>
      <c r="FC43" s="64">
        <f>ROUND(IFERROR(INDEX(Benefit_Master!$G$4:$BC$135,MATCH($DN43,Benefit_Master!$BD$4:$BD$135,0),MATCH(FC$9,Benefit_Master!$G$3:$BC$3,0)),0)*BA43,0)</f>
        <v>0</v>
      </c>
      <c r="FD43" s="64">
        <f>ROUND(IFERROR(INDEX(Benefit_Master!$G$4:$BC$135,MATCH($DN43,Benefit_Master!$BD$4:$BD$135,0),MATCH(FD$9,Benefit_Master!$G$3:$BC$3,0)),0)*BB43,0)</f>
        <v>0</v>
      </c>
      <c r="FE43" s="64">
        <f>ROUND(IFERROR(INDEX(Benefit_Master!$G$4:$BC$135,MATCH($DN43,Benefit_Master!$BD$4:$BD$135,0),MATCH(FE$9,Benefit_Master!$G$3:$BC$3,0)),0)*BC43,0)</f>
        <v>0</v>
      </c>
      <c r="FF43" s="64">
        <f>ROUND(IFERROR(INDEX(Benefit_Master!$G$4:$BC$135,MATCH($DN43,Benefit_Master!$BD$4:$BD$135,0),MATCH(FF$9,Benefit_Master!$G$3:$BC$3,0)),0)*BD43,0)</f>
        <v>0</v>
      </c>
      <c r="FG43" s="64">
        <f>ROUND(IFERROR(INDEX(Benefit_Master!$G$4:$BC$135,MATCH($DN43,Benefit_Master!$BD$4:$BD$135,0),MATCH(FG$9,Benefit_Master!$G$3:$BC$3,0)),0)*BE43,0)</f>
        <v>0</v>
      </c>
      <c r="FH43" s="64">
        <f>ROUND(IFERROR(INDEX(Benefit_Master!$G$4:$BC$135,MATCH($DN43,Benefit_Master!$BD$4:$BD$135,0),MATCH(FH$9,Benefit_Master!$G$3:$BC$3,0)),0)*BF43,0)</f>
        <v>0</v>
      </c>
      <c r="FI43" s="64">
        <f>ROUND(IFERROR(INDEX(Benefit_Master!$G$4:$BC$135,MATCH($DN43,Benefit_Master!$BD$4:$BD$135,0),MATCH(FI$9,Benefit_Master!$G$3:$BC$3,0)),0)*BG43,0)</f>
        <v>0</v>
      </c>
      <c r="FJ43" s="64">
        <f>ROUND(IFERROR(INDEX(Benefit_Master!$G$4:$BC$135,MATCH($DN43,Benefit_Master!$BD$4:$BD$135,0),MATCH(FJ$9,Benefit_Master!$G$3:$BC$3,0)),0)*BH43,0)</f>
        <v>0</v>
      </c>
      <c r="FK43" s="64">
        <f>ROUND(IFERROR(INDEX(Benefit_Master!$G$4:$BC$135,MATCH($DN43,Benefit_Master!$BD$4:$BD$135,0),MATCH(FK$9,Benefit_Master!$G$3:$BC$3,0)),0)*BI43,0)</f>
        <v>0</v>
      </c>
      <c r="FL43" s="64">
        <f>ROUND(IFERROR(INDEX(Benefit_Master!$G$4:$BC$135,MATCH($DN43,Benefit_Master!$BD$4:$BD$135,0),MATCH(FL$9,Benefit_Master!$G$3:$BC$3,0)),0)*BJ43,0)</f>
        <v>0</v>
      </c>
      <c r="FM43" s="64">
        <f>ROUND(IFERROR(INDEX(Benefit_Master!$G$4:$BC$135,MATCH($DN43,Benefit_Master!$BD$4:$BD$135,0),MATCH(FM$9,Benefit_Master!$G$3:$BC$3,0)),0)*BK43,0)</f>
        <v>0</v>
      </c>
      <c r="FN43" s="66">
        <f t="shared" si="36"/>
        <v>0</v>
      </c>
    </row>
    <row r="44" spans="2:170" s="12" customFormat="1" ht="15" customHeight="1">
      <c r="B44" s="93">
        <f t="shared" si="28"/>
        <v>32</v>
      </c>
      <c r="C44" s="89"/>
      <c r="D44" s="97"/>
      <c r="E44" s="1157"/>
      <c r="F44" s="425"/>
      <c r="G44" s="94" t="str">
        <f>IFERROR(VLOOKUP($F44,Master!$B$1:$C$7,2,0),"-")</f>
        <v>-</v>
      </c>
      <c r="H44" s="95">
        <f t="shared" si="12"/>
        <v>0</v>
      </c>
      <c r="I44" s="138">
        <f t="shared" si="13"/>
        <v>0</v>
      </c>
      <c r="J44" s="138">
        <f t="shared" si="14"/>
        <v>0</v>
      </c>
      <c r="K44" s="96"/>
      <c r="L44"/>
      <c r="M44" s="58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60">
        <f t="shared" si="15"/>
        <v>0</v>
      </c>
      <c r="Z44" s="58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60">
        <f t="shared" si="16"/>
        <v>0</v>
      </c>
      <c r="AM44" s="58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60">
        <f t="shared" si="17"/>
        <v>0</v>
      </c>
      <c r="AZ44" s="58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60">
        <f t="shared" si="18"/>
        <v>0</v>
      </c>
      <c r="BM44"/>
      <c r="BN44" s="64">
        <f>ROUND(IFERROR(INDEX('Labor Cost_Master'!$G$4:$BC$135,MATCH($DN44,'Labor Cost_Master'!$BD$4:$BD$135,0),MATCH(BN$9,'Labor Cost_Master'!$G$3:$BC$3,0)),0)*M44,0)</f>
        <v>0</v>
      </c>
      <c r="BO44" s="64">
        <f>ROUND(IFERROR(INDEX('Labor Cost_Master'!$G$4:$BC$135,MATCH($DN44,'Labor Cost_Master'!$BD$4:$BD$135,0),MATCH(BO$9,'Labor Cost_Master'!$G$3:$BC$3,0)),0)*N44,0)</f>
        <v>0</v>
      </c>
      <c r="BP44" s="64">
        <f>ROUND(IFERROR(INDEX('Labor Cost_Master'!$G$4:$BC$135,MATCH($DN44,'Labor Cost_Master'!$BD$4:$BD$135,0),MATCH(BP$9,'Labor Cost_Master'!$G$3:$BC$3,0)),0)*O44,0)</f>
        <v>0</v>
      </c>
      <c r="BQ44" s="64">
        <f>ROUND(IFERROR(INDEX('Labor Cost_Master'!$G$4:$BC$135,MATCH($DN44,'Labor Cost_Master'!$BD$4:$BD$135,0),MATCH(BQ$9,'Labor Cost_Master'!$G$3:$BC$3,0)),0)*P44,0)</f>
        <v>0</v>
      </c>
      <c r="BR44" s="64">
        <f>ROUND(IFERROR(INDEX('Labor Cost_Master'!$G$4:$BC$135,MATCH($DN44,'Labor Cost_Master'!$BD$4:$BD$135,0),MATCH(BR$9,'Labor Cost_Master'!$G$3:$BC$3,0)),0)*Q44,0)</f>
        <v>0</v>
      </c>
      <c r="BS44" s="64">
        <f>ROUND(IFERROR(INDEX('Labor Cost_Master'!$G$4:$BC$135,MATCH($DN44,'Labor Cost_Master'!$BD$4:$BD$135,0),MATCH(BS$9,'Labor Cost_Master'!$G$3:$BC$3,0)),0)*R44,0)</f>
        <v>0</v>
      </c>
      <c r="BT44" s="64">
        <f>ROUND(IFERROR(INDEX('Labor Cost_Master'!$G$4:$BC$135,MATCH($DN44,'Labor Cost_Master'!$BD$4:$BD$135,0),MATCH(BT$9,'Labor Cost_Master'!$G$3:$BC$3,0)),0)*S44,0)</f>
        <v>0</v>
      </c>
      <c r="BU44" s="64">
        <f>ROUND(IFERROR(INDEX('Labor Cost_Master'!$G$4:$BC$135,MATCH($DN44,'Labor Cost_Master'!$BD$4:$BD$135,0),MATCH(BU$9,'Labor Cost_Master'!$G$3:$BC$3,0)),0)*T44,0)</f>
        <v>0</v>
      </c>
      <c r="BV44" s="64">
        <f>ROUND(IFERROR(INDEX('Labor Cost_Master'!$G$4:$BC$135,MATCH($DN44,'Labor Cost_Master'!$BD$4:$BD$135,0),MATCH(BV$9,'Labor Cost_Master'!$G$3:$BC$3,0)),0)*U44,0)</f>
        <v>0</v>
      </c>
      <c r="BW44" s="64">
        <f>ROUND(IFERROR(INDEX('Labor Cost_Master'!$G$4:$BC$135,MATCH($DN44,'Labor Cost_Master'!$BD$4:$BD$135,0),MATCH(BW$9,'Labor Cost_Master'!$G$3:$BC$3,0)),0)*V44,0)</f>
        <v>0</v>
      </c>
      <c r="BX44" s="64">
        <f>ROUND(IFERROR(INDEX('Labor Cost_Master'!$G$4:$BC$135,MATCH($DN44,'Labor Cost_Master'!$BD$4:$BD$135,0),MATCH(BX$9,'Labor Cost_Master'!$G$3:$BC$3,0)),0)*W44,0)</f>
        <v>0</v>
      </c>
      <c r="BY44" s="64">
        <f>ROUND(IFERROR(INDEX('Labor Cost_Master'!$G$4:$BC$135,MATCH($DN44,'Labor Cost_Master'!$BD$4:$BD$135,0),MATCH(BY$9,'Labor Cost_Master'!$G$3:$BC$3,0)),0)*X44,0)</f>
        <v>0</v>
      </c>
      <c r="BZ44" s="66">
        <f t="shared" si="29"/>
        <v>0</v>
      </c>
      <c r="CA44" s="64">
        <f>ROUND(IFERROR(INDEX('Labor Cost_Master'!$G$4:$BC$135,MATCH($DN44,'Labor Cost_Master'!$BD$4:$BD$135,0),MATCH(CA$9,'Labor Cost_Master'!$G$3:$BC$3,0)),0)*Z44,0)</f>
        <v>0</v>
      </c>
      <c r="CB44" s="64">
        <f>ROUND(IFERROR(INDEX('Labor Cost_Master'!$G$4:$BC$135,MATCH($DN44,'Labor Cost_Master'!$BD$4:$BD$135,0),MATCH(CB$9,'Labor Cost_Master'!$G$3:$BC$3,0)),0)*AA44,0)</f>
        <v>0</v>
      </c>
      <c r="CC44" s="64">
        <f>ROUND(IFERROR(INDEX('Labor Cost_Master'!$G$4:$BC$135,MATCH($DN44,'Labor Cost_Master'!$BD$4:$BD$135,0),MATCH(CC$9,'Labor Cost_Master'!$G$3:$BC$3,0)),0)*AB44,0)</f>
        <v>0</v>
      </c>
      <c r="CD44" s="64">
        <f>ROUND(IFERROR(INDEX('Labor Cost_Master'!$G$4:$BC$135,MATCH($DN44,'Labor Cost_Master'!$BD$4:$BD$135,0),MATCH(CD$9,'Labor Cost_Master'!$G$3:$BC$3,0)),0)*AC44,0)</f>
        <v>0</v>
      </c>
      <c r="CE44" s="64">
        <f>ROUND(IFERROR(INDEX('Labor Cost_Master'!$G$4:$BC$135,MATCH($DN44,'Labor Cost_Master'!$BD$4:$BD$135,0),MATCH(CE$9,'Labor Cost_Master'!$G$3:$BC$3,0)),0)*AD44,0)</f>
        <v>0</v>
      </c>
      <c r="CF44" s="64">
        <f>ROUND(IFERROR(INDEX('Labor Cost_Master'!$G$4:$BC$135,MATCH($DN44,'Labor Cost_Master'!$BD$4:$BD$135,0),MATCH(CF$9,'Labor Cost_Master'!$G$3:$BC$3,0)),0)*AE44,0)</f>
        <v>0</v>
      </c>
      <c r="CG44" s="64">
        <f>ROUND(IFERROR(INDEX('Labor Cost_Master'!$G$4:$BC$135,MATCH($DN44,'Labor Cost_Master'!$BD$4:$BD$135,0),MATCH(CG$9,'Labor Cost_Master'!$G$3:$BC$3,0)),0)*AF44,0)</f>
        <v>0</v>
      </c>
      <c r="CH44" s="64">
        <f>ROUND(IFERROR(INDEX('Labor Cost_Master'!$G$4:$BC$135,MATCH($DN44,'Labor Cost_Master'!$BD$4:$BD$135,0),MATCH(CH$9,'Labor Cost_Master'!$G$3:$BC$3,0)),0)*AG44,0)</f>
        <v>0</v>
      </c>
      <c r="CI44" s="64">
        <f>ROUND(IFERROR(INDEX('Labor Cost_Master'!$G$4:$BC$135,MATCH($DN44,'Labor Cost_Master'!$BD$4:$BD$135,0),MATCH(CI$9,'Labor Cost_Master'!$G$3:$BC$3,0)),0)*AH44,0)</f>
        <v>0</v>
      </c>
      <c r="CJ44" s="64">
        <f>ROUND(IFERROR(INDEX('Labor Cost_Master'!$G$4:$BC$135,MATCH($DN44,'Labor Cost_Master'!$BD$4:$BD$135,0),MATCH(CJ$9,'Labor Cost_Master'!$G$3:$BC$3,0)),0)*AI44,0)</f>
        <v>0</v>
      </c>
      <c r="CK44" s="64">
        <f>ROUND(IFERROR(INDEX('Labor Cost_Master'!$G$4:$BC$135,MATCH($DN44,'Labor Cost_Master'!$BD$4:$BD$135,0),MATCH(CK$9,'Labor Cost_Master'!$G$3:$BC$3,0)),0)*AJ44,0)</f>
        <v>0</v>
      </c>
      <c r="CL44" s="64">
        <f>ROUND(IFERROR(INDEX('Labor Cost_Master'!$G$4:$BC$135,MATCH($DN44,'Labor Cost_Master'!$BD$4:$BD$135,0),MATCH(CL$9,'Labor Cost_Master'!$G$3:$BC$3,0)),0)*AK44,0)</f>
        <v>0</v>
      </c>
      <c r="CM44" s="66">
        <f t="shared" si="30"/>
        <v>0</v>
      </c>
      <c r="CN44" s="64">
        <f>ROUND(IFERROR(INDEX('Labor Cost_Master'!$G$4:$BC$135,MATCH($DN44,'Labor Cost_Master'!$BD$4:$BD$135,0),MATCH(CN$9,'Labor Cost_Master'!$G$3:$BC$3,0)),0)*AM44,0)</f>
        <v>0</v>
      </c>
      <c r="CO44" s="64">
        <f>ROUND(IFERROR(INDEX('Labor Cost_Master'!$G$4:$BC$135,MATCH($DN44,'Labor Cost_Master'!$BD$4:$BD$135,0),MATCH(CO$9,'Labor Cost_Master'!$G$3:$BC$3,0)),0)*AN44,0)</f>
        <v>0</v>
      </c>
      <c r="CP44" s="64">
        <f>ROUND(IFERROR(INDEX('Labor Cost_Master'!$G$4:$BC$135,MATCH($DN44,'Labor Cost_Master'!$BD$4:$BD$135,0),MATCH(CP$9,'Labor Cost_Master'!$G$3:$BC$3,0)),0)*AO44,0)</f>
        <v>0</v>
      </c>
      <c r="CQ44" s="64">
        <f>ROUND(IFERROR(INDEX('Labor Cost_Master'!$G$4:$BC$135,MATCH($DN44,'Labor Cost_Master'!$BD$4:$BD$135,0),MATCH(CQ$9,'Labor Cost_Master'!$G$3:$BC$3,0)),0)*AP44,0)</f>
        <v>0</v>
      </c>
      <c r="CR44" s="64">
        <f>ROUND(IFERROR(INDEX('Labor Cost_Master'!$G$4:$BC$135,MATCH($DN44,'Labor Cost_Master'!$BD$4:$BD$135,0),MATCH(CR$9,'Labor Cost_Master'!$G$3:$BC$3,0)),0)*AQ44,0)</f>
        <v>0</v>
      </c>
      <c r="CS44" s="64">
        <f>ROUND(IFERROR(INDEX('Labor Cost_Master'!$G$4:$BC$135,MATCH($DN44,'Labor Cost_Master'!$BD$4:$BD$135,0),MATCH(CS$9,'Labor Cost_Master'!$G$3:$BC$3,0)),0)*AR44,0)</f>
        <v>0</v>
      </c>
      <c r="CT44" s="64">
        <f>ROUND(IFERROR(INDEX('Labor Cost_Master'!$G$4:$BC$135,MATCH($DN44,'Labor Cost_Master'!$BD$4:$BD$135,0),MATCH(CT$9,'Labor Cost_Master'!$G$3:$BC$3,0)),0)*AS44,0)</f>
        <v>0</v>
      </c>
      <c r="CU44" s="64">
        <f>ROUND(IFERROR(INDEX('Labor Cost_Master'!$G$4:$BC$135,MATCH($DN44,'Labor Cost_Master'!$BD$4:$BD$135,0),MATCH(CU$9,'Labor Cost_Master'!$G$3:$BC$3,0)),0)*AT44,0)</f>
        <v>0</v>
      </c>
      <c r="CV44" s="64">
        <f>ROUND(IFERROR(INDEX('Labor Cost_Master'!$G$4:$BC$135,MATCH($DN44,'Labor Cost_Master'!$BD$4:$BD$135,0),MATCH(CV$9,'Labor Cost_Master'!$G$3:$BC$3,0)),0)*AU44,0)</f>
        <v>0</v>
      </c>
      <c r="CW44" s="64">
        <f>ROUND(IFERROR(INDEX('Labor Cost_Master'!$G$4:$BC$135,MATCH($DN44,'Labor Cost_Master'!$BD$4:$BD$135,0),MATCH(CW$9,'Labor Cost_Master'!$G$3:$BC$3,0)),0)*AV44,0)</f>
        <v>0</v>
      </c>
      <c r="CX44" s="64">
        <f>ROUND(IFERROR(INDEX('Labor Cost_Master'!$G$4:$BC$135,MATCH($DN44,'Labor Cost_Master'!$BD$4:$BD$135,0),MATCH(CX$9,'Labor Cost_Master'!$G$3:$BC$3,0)),0)*AW44,0)</f>
        <v>0</v>
      </c>
      <c r="CY44" s="64">
        <f>ROUND(IFERROR(INDEX('Labor Cost_Master'!$G$4:$BC$135,MATCH($DN44,'Labor Cost_Master'!$BD$4:$BD$135,0),MATCH(CY$9,'Labor Cost_Master'!$G$3:$BC$3,0)),0)*AX44,0)</f>
        <v>0</v>
      </c>
      <c r="CZ44" s="66">
        <f t="shared" si="31"/>
        <v>0</v>
      </c>
      <c r="DA44" s="64">
        <f>ROUND(IFERROR(INDEX('Labor Cost_Master'!$G$4:$BC$135,MATCH($DN44,'Labor Cost_Master'!$BD$4:$BD$135,0),MATCH(DA$9,'Labor Cost_Master'!$G$3:$BC$3,0)),0)*AZ44,0)</f>
        <v>0</v>
      </c>
      <c r="DB44" s="64">
        <f>ROUND(IFERROR(INDEX('Labor Cost_Master'!$G$4:$BC$135,MATCH($DN44,'Labor Cost_Master'!$BD$4:$BD$135,0),MATCH(DB$9,'Labor Cost_Master'!$G$3:$BC$3,0)),0)*BA44,0)</f>
        <v>0</v>
      </c>
      <c r="DC44" s="1166">
        <f>ROUND(IFERROR(INDEX('Labor Cost_Master'!$G$4:$BC$135,MATCH($DN44,'Labor Cost_Master'!$BD$4:$BD$135,0),MATCH(DC$9,'Labor Cost_Master'!$G$3:$BC$3,0)),0)*BB44,0)*1.05</f>
        <v>0</v>
      </c>
      <c r="DD44" s="64">
        <f>ROUND(IFERROR(INDEX('Labor Cost_Master'!$G$4:$BC$135,MATCH($DN44,'Labor Cost_Master'!$BD$4:$BD$135,0),MATCH(DD$9,'Labor Cost_Master'!$G$3:$BC$3,0)),0)*BC44,0)*1.05</f>
        <v>0</v>
      </c>
      <c r="DE44" s="64">
        <f>ROUND(IFERROR(INDEX('Labor Cost_Master'!$G$4:$BC$135,MATCH($DN44,'Labor Cost_Master'!$BD$4:$BD$135,0),MATCH(DE$9,'Labor Cost_Master'!$G$3:$BC$3,0)),0)*BD44,0)*1.05</f>
        <v>0</v>
      </c>
      <c r="DF44" s="64">
        <f>ROUND(IFERROR(INDEX('Labor Cost_Master'!$G$4:$BC$135,MATCH($DN44,'Labor Cost_Master'!$BD$4:$BD$135,0),MATCH(DF$9,'Labor Cost_Master'!$G$3:$BC$3,0)),0)*BE44,0)*1.05</f>
        <v>0</v>
      </c>
      <c r="DG44" s="64">
        <f>ROUND(IFERROR(INDEX('Labor Cost_Master'!$G$4:$BC$135,MATCH($DN44,'Labor Cost_Master'!$BD$4:$BD$135,0),MATCH(DG$9,'Labor Cost_Master'!$G$3:$BC$3,0)),0)*BF44,0)*1.05</f>
        <v>0</v>
      </c>
      <c r="DH44" s="64">
        <f>ROUND(IFERROR(INDEX('Labor Cost_Master'!$G$4:$BC$135,MATCH($DN44,'Labor Cost_Master'!$BD$4:$BD$135,0),MATCH(DH$9,'Labor Cost_Master'!$G$3:$BC$3,0)),0)*BG44,0)*1.05</f>
        <v>0</v>
      </c>
      <c r="DI44" s="64">
        <f>ROUND(IFERROR(INDEX('Labor Cost_Master'!$G$4:$BC$135,MATCH($DN44,'Labor Cost_Master'!$BD$4:$BD$135,0),MATCH(DI$9,'Labor Cost_Master'!$G$3:$BC$3,0)),0)*BH44,0)*1.05</f>
        <v>0</v>
      </c>
      <c r="DJ44" s="64">
        <f>ROUND(IFERROR(INDEX('Labor Cost_Master'!$G$4:$BC$135,MATCH($DN44,'Labor Cost_Master'!$BD$4:$BD$135,0),MATCH(DJ$9,'Labor Cost_Master'!$G$3:$BC$3,0)),0)*BI44,0)*1.05</f>
        <v>0</v>
      </c>
      <c r="DK44" s="64">
        <f>ROUND(IFERROR(INDEX('Labor Cost_Master'!$G$4:$BC$135,MATCH($DN44,'Labor Cost_Master'!$BD$4:$BD$135,0),MATCH(DK$9,'Labor Cost_Master'!$G$3:$BC$3,0)),0)*BJ44,0)*1.05</f>
        <v>0</v>
      </c>
      <c r="DL44" s="64">
        <f>ROUND(IFERROR(INDEX('Labor Cost_Master'!$G$4:$BC$135,MATCH($DN44,'Labor Cost_Master'!$BD$4:$BD$135,0),MATCH(DL$9,'Labor Cost_Master'!$G$3:$BC$3,0)),0)*BK44,0)*1.05</f>
        <v>0</v>
      </c>
      <c r="DM44" s="66">
        <f t="shared" si="32"/>
        <v>0</v>
      </c>
      <c r="DN44" s="80" t="str">
        <f t="shared" si="23"/>
        <v/>
      </c>
      <c r="DO44" s="64">
        <f>ROUND(IFERROR(INDEX(Benefit_Master!$G$4:$BC$135,MATCH($DN44,Benefit_Master!$BD$4:$BD$135,0),MATCH(DO$9,Benefit_Master!$G$3:$BC$3,0)),0)*M44,0)</f>
        <v>0</v>
      </c>
      <c r="DP44" s="64">
        <f>ROUND(IFERROR(INDEX(Benefit_Master!$G$4:$BC$135,MATCH($DN44,Benefit_Master!$BD$4:$BD$135,0),MATCH(DP$9,Benefit_Master!$G$3:$BC$3,0)),0)*N44,0)</f>
        <v>0</v>
      </c>
      <c r="DQ44" s="64">
        <f>ROUND(IFERROR(INDEX(Benefit_Master!$G$4:$BC$135,MATCH($DN44,Benefit_Master!$BD$4:$BD$135,0),MATCH(DQ$9,Benefit_Master!$G$3:$BC$3,0)),0)*O44,0)</f>
        <v>0</v>
      </c>
      <c r="DR44" s="64">
        <f>ROUND(IFERROR(INDEX(Benefit_Master!$G$4:$BC$135,MATCH($DN44,Benefit_Master!$BD$4:$BD$135,0),MATCH(DR$9,Benefit_Master!$G$3:$BC$3,0)),0)*P44,0)</f>
        <v>0</v>
      </c>
      <c r="DS44" s="64">
        <f>ROUND(IFERROR(INDEX(Benefit_Master!$G$4:$BC$135,MATCH($DN44,Benefit_Master!$BD$4:$BD$135,0),MATCH(DS$9,Benefit_Master!$G$3:$BC$3,0)),0)*Q44,0)</f>
        <v>0</v>
      </c>
      <c r="DT44" s="64">
        <f>ROUND(IFERROR(INDEX(Benefit_Master!$G$4:$BC$135,MATCH($DN44,Benefit_Master!$BD$4:$BD$135,0),MATCH(DT$9,Benefit_Master!$G$3:$BC$3,0)),0)*R44,0)</f>
        <v>0</v>
      </c>
      <c r="DU44" s="64">
        <f>ROUND(IFERROR(INDEX(Benefit_Master!$G$4:$BC$135,MATCH($DN44,Benefit_Master!$BD$4:$BD$135,0),MATCH(DU$9,Benefit_Master!$G$3:$BC$3,0)),0)*S44,0)</f>
        <v>0</v>
      </c>
      <c r="DV44" s="64">
        <f>ROUND(IFERROR(INDEX(Benefit_Master!$G$4:$BC$135,MATCH($DN44,Benefit_Master!$BD$4:$BD$135,0),MATCH(DV$9,Benefit_Master!$G$3:$BC$3,0)),0)*T44,0)</f>
        <v>0</v>
      </c>
      <c r="DW44" s="64">
        <f>ROUND(IFERROR(INDEX(Benefit_Master!$G$4:$BC$135,MATCH($DN44,Benefit_Master!$BD$4:$BD$135,0),MATCH(DW$9,Benefit_Master!$G$3:$BC$3,0)),0)*U44,0)</f>
        <v>0</v>
      </c>
      <c r="DX44" s="64">
        <f>ROUND(IFERROR(INDEX(Benefit_Master!$G$4:$BC$135,MATCH($DN44,Benefit_Master!$BD$4:$BD$135,0),MATCH(DX$9,Benefit_Master!$G$3:$BC$3,0)),0)*V44,0)</f>
        <v>0</v>
      </c>
      <c r="DY44" s="64">
        <f>ROUND(IFERROR(INDEX(Benefit_Master!$G$4:$BC$135,MATCH($DN44,Benefit_Master!$BD$4:$BD$135,0),MATCH(DY$9,Benefit_Master!$G$3:$BC$3,0)),0)*W44,0)</f>
        <v>0</v>
      </c>
      <c r="DZ44" s="64">
        <f>ROUND(IFERROR(INDEX(Benefit_Master!$G$4:$BC$135,MATCH($DN44,Benefit_Master!$BD$4:$BD$135,0),MATCH(DZ$9,Benefit_Master!$G$3:$BC$3,0)),0)*X44,0)</f>
        <v>0</v>
      </c>
      <c r="EA44" s="66">
        <f t="shared" si="33"/>
        <v>0</v>
      </c>
      <c r="EB44" s="64">
        <f>ROUND(IFERROR(INDEX(Benefit_Master!$G$4:$BC$135,MATCH($DN44,Benefit_Master!$BD$4:$BD$135,0),MATCH(EB$9,Benefit_Master!$G$3:$BC$3,0)),0)*Z44,0)</f>
        <v>0</v>
      </c>
      <c r="EC44" s="64">
        <f>ROUND(IFERROR(INDEX(Benefit_Master!$G$4:$BC$135,MATCH($DN44,Benefit_Master!$BD$4:$BD$135,0),MATCH(EC$9,Benefit_Master!$G$3:$BC$3,0)),0)*AA44,0)</f>
        <v>0</v>
      </c>
      <c r="ED44" s="64">
        <f>ROUND(IFERROR(INDEX(Benefit_Master!$G$4:$BC$135,MATCH($DN44,Benefit_Master!$BD$4:$BD$135,0),MATCH(ED$9,Benefit_Master!$G$3:$BC$3,0)),0)*AB44,0)</f>
        <v>0</v>
      </c>
      <c r="EE44" s="64">
        <f>ROUND(IFERROR(INDEX(Benefit_Master!$G$4:$BC$135,MATCH($DN44,Benefit_Master!$BD$4:$BD$135,0),MATCH(EE$9,Benefit_Master!$G$3:$BC$3,0)),0)*AC44,0)</f>
        <v>0</v>
      </c>
      <c r="EF44" s="64">
        <f>ROUND(IFERROR(INDEX(Benefit_Master!$G$4:$BC$135,MATCH($DN44,Benefit_Master!$BD$4:$BD$135,0),MATCH(EF$9,Benefit_Master!$G$3:$BC$3,0)),0)*AD44,0)</f>
        <v>0</v>
      </c>
      <c r="EG44" s="64">
        <f>ROUND(IFERROR(INDEX(Benefit_Master!$G$4:$BC$135,MATCH($DN44,Benefit_Master!$BD$4:$BD$135,0),MATCH(EG$9,Benefit_Master!$G$3:$BC$3,0)),0)*AE44,0)</f>
        <v>0</v>
      </c>
      <c r="EH44" s="64">
        <f>ROUND(IFERROR(INDEX(Benefit_Master!$G$4:$BC$135,MATCH($DN44,Benefit_Master!$BD$4:$BD$135,0),MATCH(EH$9,Benefit_Master!$G$3:$BC$3,0)),0)*AF44,0)</f>
        <v>0</v>
      </c>
      <c r="EI44" s="64">
        <f>ROUND(IFERROR(INDEX(Benefit_Master!$G$4:$BC$135,MATCH($DN44,Benefit_Master!$BD$4:$BD$135,0),MATCH(EI$9,Benefit_Master!$G$3:$BC$3,0)),0)*AG44,0)</f>
        <v>0</v>
      </c>
      <c r="EJ44" s="64">
        <f>ROUND(IFERROR(INDEX(Benefit_Master!$G$4:$BC$135,MATCH($DN44,Benefit_Master!$BD$4:$BD$135,0),MATCH(EJ$9,Benefit_Master!$G$3:$BC$3,0)),0)*AH44,0)</f>
        <v>0</v>
      </c>
      <c r="EK44" s="64">
        <f>ROUND(IFERROR(INDEX(Benefit_Master!$G$4:$BC$135,MATCH($DN44,Benefit_Master!$BD$4:$BD$135,0),MATCH(EK$9,Benefit_Master!$G$3:$BC$3,0)),0)*AI44,0)</f>
        <v>0</v>
      </c>
      <c r="EL44" s="64">
        <f>ROUND(IFERROR(INDEX(Benefit_Master!$G$4:$BC$135,MATCH($DN44,Benefit_Master!$BD$4:$BD$135,0),MATCH(EL$9,Benefit_Master!$G$3:$BC$3,0)),0)*AJ44,0)</f>
        <v>0</v>
      </c>
      <c r="EM44" s="64">
        <f>ROUND(IFERROR(INDEX(Benefit_Master!$G$4:$BC$135,MATCH($DN44,Benefit_Master!$BD$4:$BD$135,0),MATCH(EM$9,Benefit_Master!$G$3:$BC$3,0)),0)*AK44,0)</f>
        <v>0</v>
      </c>
      <c r="EN44" s="66">
        <f t="shared" si="34"/>
        <v>0</v>
      </c>
      <c r="EO44" s="64">
        <f>ROUND(IFERROR(INDEX(Benefit_Master!$G$4:$BC$135,MATCH($DN44,Benefit_Master!$BD$4:$BD$135,0),MATCH(EO$9,Benefit_Master!$G$3:$BC$3,0)),0)*AM44,0)</f>
        <v>0</v>
      </c>
      <c r="EP44" s="64">
        <f>ROUND(IFERROR(INDEX(Benefit_Master!$G$4:$BC$135,MATCH($DN44,Benefit_Master!$BD$4:$BD$135,0),MATCH(EP$9,Benefit_Master!$G$3:$BC$3,0)),0)*AN44,0)</f>
        <v>0</v>
      </c>
      <c r="EQ44" s="64">
        <f>ROUND(IFERROR(INDEX(Benefit_Master!$G$4:$BC$135,MATCH($DN44,Benefit_Master!$BD$4:$BD$135,0),MATCH(EQ$9,Benefit_Master!$G$3:$BC$3,0)),0)*AO44,0)</f>
        <v>0</v>
      </c>
      <c r="ER44" s="64">
        <f>ROUND(IFERROR(INDEX(Benefit_Master!$G$4:$BC$135,MATCH($DN44,Benefit_Master!$BD$4:$BD$135,0),MATCH(ER$9,Benefit_Master!$G$3:$BC$3,0)),0)*AP44,0)</f>
        <v>0</v>
      </c>
      <c r="ES44" s="64">
        <f>ROUND(IFERROR(INDEX(Benefit_Master!$G$4:$BC$135,MATCH($DN44,Benefit_Master!$BD$4:$BD$135,0),MATCH(ES$9,Benefit_Master!$G$3:$BC$3,0)),0)*AQ44,0)</f>
        <v>0</v>
      </c>
      <c r="ET44" s="64">
        <f>ROUND(IFERROR(INDEX(Benefit_Master!$G$4:$BC$135,MATCH($DN44,Benefit_Master!$BD$4:$BD$135,0),MATCH(ET$9,Benefit_Master!$G$3:$BC$3,0)),0)*AR44,0)</f>
        <v>0</v>
      </c>
      <c r="EU44" s="64">
        <f>ROUND(IFERROR(INDEX(Benefit_Master!$G$4:$BC$135,MATCH($DN44,Benefit_Master!$BD$4:$BD$135,0),MATCH(EU$9,Benefit_Master!$G$3:$BC$3,0)),0)*AS44,0)</f>
        <v>0</v>
      </c>
      <c r="EV44" s="64">
        <f>ROUND(IFERROR(INDEX(Benefit_Master!$G$4:$BC$135,MATCH($DN44,Benefit_Master!$BD$4:$BD$135,0),MATCH(EV$9,Benefit_Master!$G$3:$BC$3,0)),0)*AT44,0)</f>
        <v>0</v>
      </c>
      <c r="EW44" s="64">
        <f>ROUND(IFERROR(INDEX(Benefit_Master!$G$4:$BC$135,MATCH($DN44,Benefit_Master!$BD$4:$BD$135,0),MATCH(EW$9,Benefit_Master!$G$3:$BC$3,0)),0)*AU44,0)</f>
        <v>0</v>
      </c>
      <c r="EX44" s="64">
        <f>ROUND(IFERROR(INDEX(Benefit_Master!$G$4:$BC$135,MATCH($DN44,Benefit_Master!$BD$4:$BD$135,0),MATCH(EX$9,Benefit_Master!$G$3:$BC$3,0)),0)*AV44,0)</f>
        <v>0</v>
      </c>
      <c r="EY44" s="64">
        <f>ROUND(IFERROR(INDEX(Benefit_Master!$G$4:$BC$135,MATCH($DN44,Benefit_Master!$BD$4:$BD$135,0),MATCH(EY$9,Benefit_Master!$G$3:$BC$3,0)),0)*AW44,0)</f>
        <v>0</v>
      </c>
      <c r="EZ44" s="64">
        <f>ROUND(IFERROR(INDEX(Benefit_Master!$G$4:$BC$135,MATCH($DN44,Benefit_Master!$BD$4:$BD$135,0),MATCH(EZ$9,Benefit_Master!$G$3:$BC$3,0)),0)*AX44,0)</f>
        <v>0</v>
      </c>
      <c r="FA44" s="66">
        <f t="shared" si="35"/>
        <v>0</v>
      </c>
      <c r="FB44" s="64">
        <f>ROUND(IFERROR(INDEX(Benefit_Master!$G$4:$BC$135,MATCH($DN44,Benefit_Master!$BD$4:$BD$135,0),MATCH(FB$9,Benefit_Master!$G$3:$BC$3,0)),0)*AZ44,0)</f>
        <v>0</v>
      </c>
      <c r="FC44" s="64">
        <f>ROUND(IFERROR(INDEX(Benefit_Master!$G$4:$BC$135,MATCH($DN44,Benefit_Master!$BD$4:$BD$135,0),MATCH(FC$9,Benefit_Master!$G$3:$BC$3,0)),0)*BA44,0)</f>
        <v>0</v>
      </c>
      <c r="FD44" s="64">
        <f>ROUND(IFERROR(INDEX(Benefit_Master!$G$4:$BC$135,MATCH($DN44,Benefit_Master!$BD$4:$BD$135,0),MATCH(FD$9,Benefit_Master!$G$3:$BC$3,0)),0)*BB44,0)</f>
        <v>0</v>
      </c>
      <c r="FE44" s="64">
        <f>ROUND(IFERROR(INDEX(Benefit_Master!$G$4:$BC$135,MATCH($DN44,Benefit_Master!$BD$4:$BD$135,0),MATCH(FE$9,Benefit_Master!$G$3:$BC$3,0)),0)*BC44,0)</f>
        <v>0</v>
      </c>
      <c r="FF44" s="64">
        <f>ROUND(IFERROR(INDEX(Benefit_Master!$G$4:$BC$135,MATCH($DN44,Benefit_Master!$BD$4:$BD$135,0),MATCH(FF$9,Benefit_Master!$G$3:$BC$3,0)),0)*BD44,0)</f>
        <v>0</v>
      </c>
      <c r="FG44" s="64">
        <f>ROUND(IFERROR(INDEX(Benefit_Master!$G$4:$BC$135,MATCH($DN44,Benefit_Master!$BD$4:$BD$135,0),MATCH(FG$9,Benefit_Master!$G$3:$BC$3,0)),0)*BE44,0)</f>
        <v>0</v>
      </c>
      <c r="FH44" s="64">
        <f>ROUND(IFERROR(INDEX(Benefit_Master!$G$4:$BC$135,MATCH($DN44,Benefit_Master!$BD$4:$BD$135,0),MATCH(FH$9,Benefit_Master!$G$3:$BC$3,0)),0)*BF44,0)</f>
        <v>0</v>
      </c>
      <c r="FI44" s="64">
        <f>ROUND(IFERROR(INDEX(Benefit_Master!$G$4:$BC$135,MATCH($DN44,Benefit_Master!$BD$4:$BD$135,0),MATCH(FI$9,Benefit_Master!$G$3:$BC$3,0)),0)*BG44,0)</f>
        <v>0</v>
      </c>
      <c r="FJ44" s="64">
        <f>ROUND(IFERROR(INDEX(Benefit_Master!$G$4:$BC$135,MATCH($DN44,Benefit_Master!$BD$4:$BD$135,0),MATCH(FJ$9,Benefit_Master!$G$3:$BC$3,0)),0)*BH44,0)</f>
        <v>0</v>
      </c>
      <c r="FK44" s="64">
        <f>ROUND(IFERROR(INDEX(Benefit_Master!$G$4:$BC$135,MATCH($DN44,Benefit_Master!$BD$4:$BD$135,0),MATCH(FK$9,Benefit_Master!$G$3:$BC$3,0)),0)*BI44,0)</f>
        <v>0</v>
      </c>
      <c r="FL44" s="64">
        <f>ROUND(IFERROR(INDEX(Benefit_Master!$G$4:$BC$135,MATCH($DN44,Benefit_Master!$BD$4:$BD$135,0),MATCH(FL$9,Benefit_Master!$G$3:$BC$3,0)),0)*BJ44,0)</f>
        <v>0</v>
      </c>
      <c r="FM44" s="64">
        <f>ROUND(IFERROR(INDEX(Benefit_Master!$G$4:$BC$135,MATCH($DN44,Benefit_Master!$BD$4:$BD$135,0),MATCH(FM$9,Benefit_Master!$G$3:$BC$3,0)),0)*BK44,0)</f>
        <v>0</v>
      </c>
      <c r="FN44" s="66">
        <f t="shared" si="36"/>
        <v>0</v>
      </c>
    </row>
    <row r="45" spans="2:170" s="12" customFormat="1" ht="15" customHeight="1">
      <c r="B45" s="93">
        <f t="shared" si="28"/>
        <v>33</v>
      </c>
      <c r="C45" s="89"/>
      <c r="D45" s="97"/>
      <c r="E45" s="1157"/>
      <c r="F45" s="425"/>
      <c r="G45" s="94" t="str">
        <f>IFERROR(VLOOKUP($F45,Master!$B$1:$C$7,2,0),"-")</f>
        <v>-</v>
      </c>
      <c r="H45" s="95">
        <f t="shared" si="12"/>
        <v>0</v>
      </c>
      <c r="I45" s="138">
        <f t="shared" si="13"/>
        <v>0</v>
      </c>
      <c r="J45" s="138">
        <f t="shared" si="14"/>
        <v>0</v>
      </c>
      <c r="K45" s="96"/>
      <c r="L45"/>
      <c r="M45" s="58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60">
        <f t="shared" si="15"/>
        <v>0</v>
      </c>
      <c r="Z45" s="58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60">
        <f t="shared" si="16"/>
        <v>0</v>
      </c>
      <c r="AM45" s="58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60">
        <f t="shared" si="17"/>
        <v>0</v>
      </c>
      <c r="AZ45" s="58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60">
        <f t="shared" si="18"/>
        <v>0</v>
      </c>
      <c r="BM45"/>
      <c r="BN45" s="64">
        <f>ROUND(IFERROR(INDEX('Labor Cost_Master'!$G$4:$BC$135,MATCH($DN45,'Labor Cost_Master'!$BD$4:$BD$135,0),MATCH(BN$9,'Labor Cost_Master'!$G$3:$BC$3,0)),0)*M45,0)</f>
        <v>0</v>
      </c>
      <c r="BO45" s="64">
        <f>ROUND(IFERROR(INDEX('Labor Cost_Master'!$G$4:$BC$135,MATCH($DN45,'Labor Cost_Master'!$BD$4:$BD$135,0),MATCH(BO$9,'Labor Cost_Master'!$G$3:$BC$3,0)),0)*N45,0)</f>
        <v>0</v>
      </c>
      <c r="BP45" s="64">
        <f>ROUND(IFERROR(INDEX('Labor Cost_Master'!$G$4:$BC$135,MATCH($DN45,'Labor Cost_Master'!$BD$4:$BD$135,0),MATCH(BP$9,'Labor Cost_Master'!$G$3:$BC$3,0)),0)*O45,0)</f>
        <v>0</v>
      </c>
      <c r="BQ45" s="64">
        <f>ROUND(IFERROR(INDEX('Labor Cost_Master'!$G$4:$BC$135,MATCH($DN45,'Labor Cost_Master'!$BD$4:$BD$135,0),MATCH(BQ$9,'Labor Cost_Master'!$G$3:$BC$3,0)),0)*P45,0)</f>
        <v>0</v>
      </c>
      <c r="BR45" s="64">
        <f>ROUND(IFERROR(INDEX('Labor Cost_Master'!$G$4:$BC$135,MATCH($DN45,'Labor Cost_Master'!$BD$4:$BD$135,0),MATCH(BR$9,'Labor Cost_Master'!$G$3:$BC$3,0)),0)*Q45,0)</f>
        <v>0</v>
      </c>
      <c r="BS45" s="64">
        <f>ROUND(IFERROR(INDEX('Labor Cost_Master'!$G$4:$BC$135,MATCH($DN45,'Labor Cost_Master'!$BD$4:$BD$135,0),MATCH(BS$9,'Labor Cost_Master'!$G$3:$BC$3,0)),0)*R45,0)</f>
        <v>0</v>
      </c>
      <c r="BT45" s="64">
        <f>ROUND(IFERROR(INDEX('Labor Cost_Master'!$G$4:$BC$135,MATCH($DN45,'Labor Cost_Master'!$BD$4:$BD$135,0),MATCH(BT$9,'Labor Cost_Master'!$G$3:$BC$3,0)),0)*S45,0)</f>
        <v>0</v>
      </c>
      <c r="BU45" s="64">
        <f>ROUND(IFERROR(INDEX('Labor Cost_Master'!$G$4:$BC$135,MATCH($DN45,'Labor Cost_Master'!$BD$4:$BD$135,0),MATCH(BU$9,'Labor Cost_Master'!$G$3:$BC$3,0)),0)*T45,0)</f>
        <v>0</v>
      </c>
      <c r="BV45" s="64">
        <f>ROUND(IFERROR(INDEX('Labor Cost_Master'!$G$4:$BC$135,MATCH($DN45,'Labor Cost_Master'!$BD$4:$BD$135,0),MATCH(BV$9,'Labor Cost_Master'!$G$3:$BC$3,0)),0)*U45,0)</f>
        <v>0</v>
      </c>
      <c r="BW45" s="64">
        <f>ROUND(IFERROR(INDEX('Labor Cost_Master'!$G$4:$BC$135,MATCH($DN45,'Labor Cost_Master'!$BD$4:$BD$135,0),MATCH(BW$9,'Labor Cost_Master'!$G$3:$BC$3,0)),0)*V45,0)</f>
        <v>0</v>
      </c>
      <c r="BX45" s="64">
        <f>ROUND(IFERROR(INDEX('Labor Cost_Master'!$G$4:$BC$135,MATCH($DN45,'Labor Cost_Master'!$BD$4:$BD$135,0),MATCH(BX$9,'Labor Cost_Master'!$G$3:$BC$3,0)),0)*W45,0)</f>
        <v>0</v>
      </c>
      <c r="BY45" s="64">
        <f>ROUND(IFERROR(INDEX('Labor Cost_Master'!$G$4:$BC$135,MATCH($DN45,'Labor Cost_Master'!$BD$4:$BD$135,0),MATCH(BY$9,'Labor Cost_Master'!$G$3:$BC$3,0)),0)*X45,0)</f>
        <v>0</v>
      </c>
      <c r="BZ45" s="66">
        <f t="shared" si="29"/>
        <v>0</v>
      </c>
      <c r="CA45" s="64">
        <f>ROUND(IFERROR(INDEX('Labor Cost_Master'!$G$4:$BC$135,MATCH($DN45,'Labor Cost_Master'!$BD$4:$BD$135,0),MATCH(CA$9,'Labor Cost_Master'!$G$3:$BC$3,0)),0)*Z45,0)</f>
        <v>0</v>
      </c>
      <c r="CB45" s="64">
        <f>ROUND(IFERROR(INDEX('Labor Cost_Master'!$G$4:$BC$135,MATCH($DN45,'Labor Cost_Master'!$BD$4:$BD$135,0),MATCH(CB$9,'Labor Cost_Master'!$G$3:$BC$3,0)),0)*AA45,0)</f>
        <v>0</v>
      </c>
      <c r="CC45" s="64">
        <f>ROUND(IFERROR(INDEX('Labor Cost_Master'!$G$4:$BC$135,MATCH($DN45,'Labor Cost_Master'!$BD$4:$BD$135,0),MATCH(CC$9,'Labor Cost_Master'!$G$3:$BC$3,0)),0)*AB45,0)</f>
        <v>0</v>
      </c>
      <c r="CD45" s="64">
        <f>ROUND(IFERROR(INDEX('Labor Cost_Master'!$G$4:$BC$135,MATCH($DN45,'Labor Cost_Master'!$BD$4:$BD$135,0),MATCH(CD$9,'Labor Cost_Master'!$G$3:$BC$3,0)),0)*AC45,0)</f>
        <v>0</v>
      </c>
      <c r="CE45" s="64">
        <f>ROUND(IFERROR(INDEX('Labor Cost_Master'!$G$4:$BC$135,MATCH($DN45,'Labor Cost_Master'!$BD$4:$BD$135,0),MATCH(CE$9,'Labor Cost_Master'!$G$3:$BC$3,0)),0)*AD45,0)</f>
        <v>0</v>
      </c>
      <c r="CF45" s="64">
        <f>ROUND(IFERROR(INDEX('Labor Cost_Master'!$G$4:$BC$135,MATCH($DN45,'Labor Cost_Master'!$BD$4:$BD$135,0),MATCH(CF$9,'Labor Cost_Master'!$G$3:$BC$3,0)),0)*AE45,0)</f>
        <v>0</v>
      </c>
      <c r="CG45" s="64">
        <f>ROUND(IFERROR(INDEX('Labor Cost_Master'!$G$4:$BC$135,MATCH($DN45,'Labor Cost_Master'!$BD$4:$BD$135,0),MATCH(CG$9,'Labor Cost_Master'!$G$3:$BC$3,0)),0)*AF45,0)</f>
        <v>0</v>
      </c>
      <c r="CH45" s="64">
        <f>ROUND(IFERROR(INDEX('Labor Cost_Master'!$G$4:$BC$135,MATCH($DN45,'Labor Cost_Master'!$BD$4:$BD$135,0),MATCH(CH$9,'Labor Cost_Master'!$G$3:$BC$3,0)),0)*AG45,0)</f>
        <v>0</v>
      </c>
      <c r="CI45" s="64">
        <f>ROUND(IFERROR(INDEX('Labor Cost_Master'!$G$4:$BC$135,MATCH($DN45,'Labor Cost_Master'!$BD$4:$BD$135,0),MATCH(CI$9,'Labor Cost_Master'!$G$3:$BC$3,0)),0)*AH45,0)</f>
        <v>0</v>
      </c>
      <c r="CJ45" s="64">
        <f>ROUND(IFERROR(INDEX('Labor Cost_Master'!$G$4:$BC$135,MATCH($DN45,'Labor Cost_Master'!$BD$4:$BD$135,0),MATCH(CJ$9,'Labor Cost_Master'!$G$3:$BC$3,0)),0)*AI45,0)</f>
        <v>0</v>
      </c>
      <c r="CK45" s="64">
        <f>ROUND(IFERROR(INDEX('Labor Cost_Master'!$G$4:$BC$135,MATCH($DN45,'Labor Cost_Master'!$BD$4:$BD$135,0),MATCH(CK$9,'Labor Cost_Master'!$G$3:$BC$3,0)),0)*AJ45,0)</f>
        <v>0</v>
      </c>
      <c r="CL45" s="64">
        <f>ROUND(IFERROR(INDEX('Labor Cost_Master'!$G$4:$BC$135,MATCH($DN45,'Labor Cost_Master'!$BD$4:$BD$135,0),MATCH(CL$9,'Labor Cost_Master'!$G$3:$BC$3,0)),0)*AK45,0)</f>
        <v>0</v>
      </c>
      <c r="CM45" s="66">
        <f t="shared" si="30"/>
        <v>0</v>
      </c>
      <c r="CN45" s="64">
        <f>ROUND(IFERROR(INDEX('Labor Cost_Master'!$G$4:$BC$135,MATCH($DN45,'Labor Cost_Master'!$BD$4:$BD$135,0),MATCH(CN$9,'Labor Cost_Master'!$G$3:$BC$3,0)),0)*AM45,0)</f>
        <v>0</v>
      </c>
      <c r="CO45" s="64">
        <f>ROUND(IFERROR(INDEX('Labor Cost_Master'!$G$4:$BC$135,MATCH($DN45,'Labor Cost_Master'!$BD$4:$BD$135,0),MATCH(CO$9,'Labor Cost_Master'!$G$3:$BC$3,0)),0)*AN45,0)</f>
        <v>0</v>
      </c>
      <c r="CP45" s="64">
        <f>ROUND(IFERROR(INDEX('Labor Cost_Master'!$G$4:$BC$135,MATCH($DN45,'Labor Cost_Master'!$BD$4:$BD$135,0),MATCH(CP$9,'Labor Cost_Master'!$G$3:$BC$3,0)),0)*AO45,0)</f>
        <v>0</v>
      </c>
      <c r="CQ45" s="64">
        <f>ROUND(IFERROR(INDEX('Labor Cost_Master'!$G$4:$BC$135,MATCH($DN45,'Labor Cost_Master'!$BD$4:$BD$135,0),MATCH(CQ$9,'Labor Cost_Master'!$G$3:$BC$3,0)),0)*AP45,0)</f>
        <v>0</v>
      </c>
      <c r="CR45" s="64">
        <f>ROUND(IFERROR(INDEX('Labor Cost_Master'!$G$4:$BC$135,MATCH($DN45,'Labor Cost_Master'!$BD$4:$BD$135,0),MATCH(CR$9,'Labor Cost_Master'!$G$3:$BC$3,0)),0)*AQ45,0)</f>
        <v>0</v>
      </c>
      <c r="CS45" s="64">
        <f>ROUND(IFERROR(INDEX('Labor Cost_Master'!$G$4:$BC$135,MATCH($DN45,'Labor Cost_Master'!$BD$4:$BD$135,0),MATCH(CS$9,'Labor Cost_Master'!$G$3:$BC$3,0)),0)*AR45,0)</f>
        <v>0</v>
      </c>
      <c r="CT45" s="64">
        <f>ROUND(IFERROR(INDEX('Labor Cost_Master'!$G$4:$BC$135,MATCH($DN45,'Labor Cost_Master'!$BD$4:$BD$135,0),MATCH(CT$9,'Labor Cost_Master'!$G$3:$BC$3,0)),0)*AS45,0)</f>
        <v>0</v>
      </c>
      <c r="CU45" s="64">
        <f>ROUND(IFERROR(INDEX('Labor Cost_Master'!$G$4:$BC$135,MATCH($DN45,'Labor Cost_Master'!$BD$4:$BD$135,0),MATCH(CU$9,'Labor Cost_Master'!$G$3:$BC$3,0)),0)*AT45,0)</f>
        <v>0</v>
      </c>
      <c r="CV45" s="64">
        <f>ROUND(IFERROR(INDEX('Labor Cost_Master'!$G$4:$BC$135,MATCH($DN45,'Labor Cost_Master'!$BD$4:$BD$135,0),MATCH(CV$9,'Labor Cost_Master'!$G$3:$BC$3,0)),0)*AU45,0)</f>
        <v>0</v>
      </c>
      <c r="CW45" s="64">
        <f>ROUND(IFERROR(INDEX('Labor Cost_Master'!$G$4:$BC$135,MATCH($DN45,'Labor Cost_Master'!$BD$4:$BD$135,0),MATCH(CW$9,'Labor Cost_Master'!$G$3:$BC$3,0)),0)*AV45,0)</f>
        <v>0</v>
      </c>
      <c r="CX45" s="64">
        <f>ROUND(IFERROR(INDEX('Labor Cost_Master'!$G$4:$BC$135,MATCH($DN45,'Labor Cost_Master'!$BD$4:$BD$135,0),MATCH(CX$9,'Labor Cost_Master'!$G$3:$BC$3,0)),0)*AW45,0)</f>
        <v>0</v>
      </c>
      <c r="CY45" s="64">
        <f>ROUND(IFERROR(INDEX('Labor Cost_Master'!$G$4:$BC$135,MATCH($DN45,'Labor Cost_Master'!$BD$4:$BD$135,0),MATCH(CY$9,'Labor Cost_Master'!$G$3:$BC$3,0)),0)*AX45,0)</f>
        <v>0</v>
      </c>
      <c r="CZ45" s="66">
        <f t="shared" si="31"/>
        <v>0</v>
      </c>
      <c r="DA45" s="64">
        <f>ROUND(IFERROR(INDEX('Labor Cost_Master'!$G$4:$BC$135,MATCH($DN45,'Labor Cost_Master'!$BD$4:$BD$135,0),MATCH(DA$9,'Labor Cost_Master'!$G$3:$BC$3,0)),0)*AZ45,0)</f>
        <v>0</v>
      </c>
      <c r="DB45" s="64">
        <f>ROUND(IFERROR(INDEX('Labor Cost_Master'!$G$4:$BC$135,MATCH($DN45,'Labor Cost_Master'!$BD$4:$BD$135,0),MATCH(DB$9,'Labor Cost_Master'!$G$3:$BC$3,0)),0)*BA45,0)</f>
        <v>0</v>
      </c>
      <c r="DC45" s="1166">
        <f>ROUND(IFERROR(INDEX('Labor Cost_Master'!$G$4:$BC$135,MATCH($DN45,'Labor Cost_Master'!$BD$4:$BD$135,0),MATCH(DC$9,'Labor Cost_Master'!$G$3:$BC$3,0)),0)*BB45,0)*1.05</f>
        <v>0</v>
      </c>
      <c r="DD45" s="64">
        <f>ROUND(IFERROR(INDEX('Labor Cost_Master'!$G$4:$BC$135,MATCH($DN45,'Labor Cost_Master'!$BD$4:$BD$135,0),MATCH(DD$9,'Labor Cost_Master'!$G$3:$BC$3,0)),0)*BC45,0)*1.05</f>
        <v>0</v>
      </c>
      <c r="DE45" s="64">
        <f>ROUND(IFERROR(INDEX('Labor Cost_Master'!$G$4:$BC$135,MATCH($DN45,'Labor Cost_Master'!$BD$4:$BD$135,0),MATCH(DE$9,'Labor Cost_Master'!$G$3:$BC$3,0)),0)*BD45,0)*1.05</f>
        <v>0</v>
      </c>
      <c r="DF45" s="64">
        <f>ROUND(IFERROR(INDEX('Labor Cost_Master'!$G$4:$BC$135,MATCH($DN45,'Labor Cost_Master'!$BD$4:$BD$135,0),MATCH(DF$9,'Labor Cost_Master'!$G$3:$BC$3,0)),0)*BE45,0)*1.05</f>
        <v>0</v>
      </c>
      <c r="DG45" s="64">
        <f>ROUND(IFERROR(INDEX('Labor Cost_Master'!$G$4:$BC$135,MATCH($DN45,'Labor Cost_Master'!$BD$4:$BD$135,0),MATCH(DG$9,'Labor Cost_Master'!$G$3:$BC$3,0)),0)*BF45,0)*1.05</f>
        <v>0</v>
      </c>
      <c r="DH45" s="64">
        <f>ROUND(IFERROR(INDEX('Labor Cost_Master'!$G$4:$BC$135,MATCH($DN45,'Labor Cost_Master'!$BD$4:$BD$135,0),MATCH(DH$9,'Labor Cost_Master'!$G$3:$BC$3,0)),0)*BG45,0)*1.05</f>
        <v>0</v>
      </c>
      <c r="DI45" s="64">
        <f>ROUND(IFERROR(INDEX('Labor Cost_Master'!$G$4:$BC$135,MATCH($DN45,'Labor Cost_Master'!$BD$4:$BD$135,0),MATCH(DI$9,'Labor Cost_Master'!$G$3:$BC$3,0)),0)*BH45,0)*1.05</f>
        <v>0</v>
      </c>
      <c r="DJ45" s="64">
        <f>ROUND(IFERROR(INDEX('Labor Cost_Master'!$G$4:$BC$135,MATCH($DN45,'Labor Cost_Master'!$BD$4:$BD$135,0),MATCH(DJ$9,'Labor Cost_Master'!$G$3:$BC$3,0)),0)*BI45,0)*1.05</f>
        <v>0</v>
      </c>
      <c r="DK45" s="64">
        <f>ROUND(IFERROR(INDEX('Labor Cost_Master'!$G$4:$BC$135,MATCH($DN45,'Labor Cost_Master'!$BD$4:$BD$135,0),MATCH(DK$9,'Labor Cost_Master'!$G$3:$BC$3,0)),0)*BJ45,0)*1.05</f>
        <v>0</v>
      </c>
      <c r="DL45" s="64">
        <f>ROUND(IFERROR(INDEX('Labor Cost_Master'!$G$4:$BC$135,MATCH($DN45,'Labor Cost_Master'!$BD$4:$BD$135,0),MATCH(DL$9,'Labor Cost_Master'!$G$3:$BC$3,0)),0)*BK45,0)*1.05</f>
        <v>0</v>
      </c>
      <c r="DM45" s="66">
        <f t="shared" si="32"/>
        <v>0</v>
      </c>
      <c r="DN45" s="80" t="str">
        <f t="shared" si="23"/>
        <v/>
      </c>
      <c r="DO45" s="64">
        <f>ROUND(IFERROR(INDEX(Benefit_Master!$G$4:$BC$135,MATCH($DN45,Benefit_Master!$BD$4:$BD$135,0),MATCH(DO$9,Benefit_Master!$G$3:$BC$3,0)),0)*M45,0)</f>
        <v>0</v>
      </c>
      <c r="DP45" s="64">
        <f>ROUND(IFERROR(INDEX(Benefit_Master!$G$4:$BC$135,MATCH($DN45,Benefit_Master!$BD$4:$BD$135,0),MATCH(DP$9,Benefit_Master!$G$3:$BC$3,0)),0)*N45,0)</f>
        <v>0</v>
      </c>
      <c r="DQ45" s="64">
        <f>ROUND(IFERROR(INDEX(Benefit_Master!$G$4:$BC$135,MATCH($DN45,Benefit_Master!$BD$4:$BD$135,0),MATCH(DQ$9,Benefit_Master!$G$3:$BC$3,0)),0)*O45,0)</f>
        <v>0</v>
      </c>
      <c r="DR45" s="64">
        <f>ROUND(IFERROR(INDEX(Benefit_Master!$G$4:$BC$135,MATCH($DN45,Benefit_Master!$BD$4:$BD$135,0),MATCH(DR$9,Benefit_Master!$G$3:$BC$3,0)),0)*P45,0)</f>
        <v>0</v>
      </c>
      <c r="DS45" s="64">
        <f>ROUND(IFERROR(INDEX(Benefit_Master!$G$4:$BC$135,MATCH($DN45,Benefit_Master!$BD$4:$BD$135,0),MATCH(DS$9,Benefit_Master!$G$3:$BC$3,0)),0)*Q45,0)</f>
        <v>0</v>
      </c>
      <c r="DT45" s="64">
        <f>ROUND(IFERROR(INDEX(Benefit_Master!$G$4:$BC$135,MATCH($DN45,Benefit_Master!$BD$4:$BD$135,0),MATCH(DT$9,Benefit_Master!$G$3:$BC$3,0)),0)*R45,0)</f>
        <v>0</v>
      </c>
      <c r="DU45" s="64">
        <f>ROUND(IFERROR(INDEX(Benefit_Master!$G$4:$BC$135,MATCH($DN45,Benefit_Master!$BD$4:$BD$135,0),MATCH(DU$9,Benefit_Master!$G$3:$BC$3,0)),0)*S45,0)</f>
        <v>0</v>
      </c>
      <c r="DV45" s="64">
        <f>ROUND(IFERROR(INDEX(Benefit_Master!$G$4:$BC$135,MATCH($DN45,Benefit_Master!$BD$4:$BD$135,0),MATCH(DV$9,Benefit_Master!$G$3:$BC$3,0)),0)*T45,0)</f>
        <v>0</v>
      </c>
      <c r="DW45" s="64">
        <f>ROUND(IFERROR(INDEX(Benefit_Master!$G$4:$BC$135,MATCH($DN45,Benefit_Master!$BD$4:$BD$135,0),MATCH(DW$9,Benefit_Master!$G$3:$BC$3,0)),0)*U45,0)</f>
        <v>0</v>
      </c>
      <c r="DX45" s="64">
        <f>ROUND(IFERROR(INDEX(Benefit_Master!$G$4:$BC$135,MATCH($DN45,Benefit_Master!$BD$4:$BD$135,0),MATCH(DX$9,Benefit_Master!$G$3:$BC$3,0)),0)*V45,0)</f>
        <v>0</v>
      </c>
      <c r="DY45" s="64">
        <f>ROUND(IFERROR(INDEX(Benefit_Master!$G$4:$BC$135,MATCH($DN45,Benefit_Master!$BD$4:$BD$135,0),MATCH(DY$9,Benefit_Master!$G$3:$BC$3,0)),0)*W45,0)</f>
        <v>0</v>
      </c>
      <c r="DZ45" s="64">
        <f>ROUND(IFERROR(INDEX(Benefit_Master!$G$4:$BC$135,MATCH($DN45,Benefit_Master!$BD$4:$BD$135,0),MATCH(DZ$9,Benefit_Master!$G$3:$BC$3,0)),0)*X45,0)</f>
        <v>0</v>
      </c>
      <c r="EA45" s="66">
        <f t="shared" si="33"/>
        <v>0</v>
      </c>
      <c r="EB45" s="64">
        <f>ROUND(IFERROR(INDEX(Benefit_Master!$G$4:$BC$135,MATCH($DN45,Benefit_Master!$BD$4:$BD$135,0),MATCH(EB$9,Benefit_Master!$G$3:$BC$3,0)),0)*Z45,0)</f>
        <v>0</v>
      </c>
      <c r="EC45" s="64">
        <f>ROUND(IFERROR(INDEX(Benefit_Master!$G$4:$BC$135,MATCH($DN45,Benefit_Master!$BD$4:$BD$135,0),MATCH(EC$9,Benefit_Master!$G$3:$BC$3,0)),0)*AA45,0)</f>
        <v>0</v>
      </c>
      <c r="ED45" s="64">
        <f>ROUND(IFERROR(INDEX(Benefit_Master!$G$4:$BC$135,MATCH($DN45,Benefit_Master!$BD$4:$BD$135,0),MATCH(ED$9,Benefit_Master!$G$3:$BC$3,0)),0)*AB45,0)</f>
        <v>0</v>
      </c>
      <c r="EE45" s="64">
        <f>ROUND(IFERROR(INDEX(Benefit_Master!$G$4:$BC$135,MATCH($DN45,Benefit_Master!$BD$4:$BD$135,0),MATCH(EE$9,Benefit_Master!$G$3:$BC$3,0)),0)*AC45,0)</f>
        <v>0</v>
      </c>
      <c r="EF45" s="64">
        <f>ROUND(IFERROR(INDEX(Benefit_Master!$G$4:$BC$135,MATCH($DN45,Benefit_Master!$BD$4:$BD$135,0),MATCH(EF$9,Benefit_Master!$G$3:$BC$3,0)),0)*AD45,0)</f>
        <v>0</v>
      </c>
      <c r="EG45" s="64">
        <f>ROUND(IFERROR(INDEX(Benefit_Master!$G$4:$BC$135,MATCH($DN45,Benefit_Master!$BD$4:$BD$135,0),MATCH(EG$9,Benefit_Master!$G$3:$BC$3,0)),0)*AE45,0)</f>
        <v>0</v>
      </c>
      <c r="EH45" s="64">
        <f>ROUND(IFERROR(INDEX(Benefit_Master!$G$4:$BC$135,MATCH($DN45,Benefit_Master!$BD$4:$BD$135,0),MATCH(EH$9,Benefit_Master!$G$3:$BC$3,0)),0)*AF45,0)</f>
        <v>0</v>
      </c>
      <c r="EI45" s="64">
        <f>ROUND(IFERROR(INDEX(Benefit_Master!$G$4:$BC$135,MATCH($DN45,Benefit_Master!$BD$4:$BD$135,0),MATCH(EI$9,Benefit_Master!$G$3:$BC$3,0)),0)*AG45,0)</f>
        <v>0</v>
      </c>
      <c r="EJ45" s="64">
        <f>ROUND(IFERROR(INDEX(Benefit_Master!$G$4:$BC$135,MATCH($DN45,Benefit_Master!$BD$4:$BD$135,0),MATCH(EJ$9,Benefit_Master!$G$3:$BC$3,0)),0)*AH45,0)</f>
        <v>0</v>
      </c>
      <c r="EK45" s="64">
        <f>ROUND(IFERROR(INDEX(Benefit_Master!$G$4:$BC$135,MATCH($DN45,Benefit_Master!$BD$4:$BD$135,0),MATCH(EK$9,Benefit_Master!$G$3:$BC$3,0)),0)*AI45,0)</f>
        <v>0</v>
      </c>
      <c r="EL45" s="64">
        <f>ROUND(IFERROR(INDEX(Benefit_Master!$G$4:$BC$135,MATCH($DN45,Benefit_Master!$BD$4:$BD$135,0),MATCH(EL$9,Benefit_Master!$G$3:$BC$3,0)),0)*AJ45,0)</f>
        <v>0</v>
      </c>
      <c r="EM45" s="64">
        <f>ROUND(IFERROR(INDEX(Benefit_Master!$G$4:$BC$135,MATCH($DN45,Benefit_Master!$BD$4:$BD$135,0),MATCH(EM$9,Benefit_Master!$G$3:$BC$3,0)),0)*AK45,0)</f>
        <v>0</v>
      </c>
      <c r="EN45" s="66">
        <f t="shared" si="34"/>
        <v>0</v>
      </c>
      <c r="EO45" s="64">
        <f>ROUND(IFERROR(INDEX(Benefit_Master!$G$4:$BC$135,MATCH($DN45,Benefit_Master!$BD$4:$BD$135,0),MATCH(EO$9,Benefit_Master!$G$3:$BC$3,0)),0)*AM45,0)</f>
        <v>0</v>
      </c>
      <c r="EP45" s="64">
        <f>ROUND(IFERROR(INDEX(Benefit_Master!$G$4:$BC$135,MATCH($DN45,Benefit_Master!$BD$4:$BD$135,0),MATCH(EP$9,Benefit_Master!$G$3:$BC$3,0)),0)*AN45,0)</f>
        <v>0</v>
      </c>
      <c r="EQ45" s="64">
        <f>ROUND(IFERROR(INDEX(Benefit_Master!$G$4:$BC$135,MATCH($DN45,Benefit_Master!$BD$4:$BD$135,0),MATCH(EQ$9,Benefit_Master!$G$3:$BC$3,0)),0)*AO45,0)</f>
        <v>0</v>
      </c>
      <c r="ER45" s="64">
        <f>ROUND(IFERROR(INDEX(Benefit_Master!$G$4:$BC$135,MATCH($DN45,Benefit_Master!$BD$4:$BD$135,0),MATCH(ER$9,Benefit_Master!$G$3:$BC$3,0)),0)*AP45,0)</f>
        <v>0</v>
      </c>
      <c r="ES45" s="64">
        <f>ROUND(IFERROR(INDEX(Benefit_Master!$G$4:$BC$135,MATCH($DN45,Benefit_Master!$BD$4:$BD$135,0),MATCH(ES$9,Benefit_Master!$G$3:$BC$3,0)),0)*AQ45,0)</f>
        <v>0</v>
      </c>
      <c r="ET45" s="64">
        <f>ROUND(IFERROR(INDEX(Benefit_Master!$G$4:$BC$135,MATCH($DN45,Benefit_Master!$BD$4:$BD$135,0),MATCH(ET$9,Benefit_Master!$G$3:$BC$3,0)),0)*AR45,0)</f>
        <v>0</v>
      </c>
      <c r="EU45" s="64">
        <f>ROUND(IFERROR(INDEX(Benefit_Master!$G$4:$BC$135,MATCH($DN45,Benefit_Master!$BD$4:$BD$135,0),MATCH(EU$9,Benefit_Master!$G$3:$BC$3,0)),0)*AS45,0)</f>
        <v>0</v>
      </c>
      <c r="EV45" s="64">
        <f>ROUND(IFERROR(INDEX(Benefit_Master!$G$4:$BC$135,MATCH($DN45,Benefit_Master!$BD$4:$BD$135,0),MATCH(EV$9,Benefit_Master!$G$3:$BC$3,0)),0)*AT45,0)</f>
        <v>0</v>
      </c>
      <c r="EW45" s="64">
        <f>ROUND(IFERROR(INDEX(Benefit_Master!$G$4:$BC$135,MATCH($DN45,Benefit_Master!$BD$4:$BD$135,0),MATCH(EW$9,Benefit_Master!$G$3:$BC$3,0)),0)*AU45,0)</f>
        <v>0</v>
      </c>
      <c r="EX45" s="64">
        <f>ROUND(IFERROR(INDEX(Benefit_Master!$G$4:$BC$135,MATCH($DN45,Benefit_Master!$BD$4:$BD$135,0),MATCH(EX$9,Benefit_Master!$G$3:$BC$3,0)),0)*AV45,0)</f>
        <v>0</v>
      </c>
      <c r="EY45" s="64">
        <f>ROUND(IFERROR(INDEX(Benefit_Master!$G$4:$BC$135,MATCH($DN45,Benefit_Master!$BD$4:$BD$135,0),MATCH(EY$9,Benefit_Master!$G$3:$BC$3,0)),0)*AW45,0)</f>
        <v>0</v>
      </c>
      <c r="EZ45" s="64">
        <f>ROUND(IFERROR(INDEX(Benefit_Master!$G$4:$BC$135,MATCH($DN45,Benefit_Master!$BD$4:$BD$135,0),MATCH(EZ$9,Benefit_Master!$G$3:$BC$3,0)),0)*AX45,0)</f>
        <v>0</v>
      </c>
      <c r="FA45" s="66">
        <f t="shared" si="35"/>
        <v>0</v>
      </c>
      <c r="FB45" s="64">
        <f>ROUND(IFERROR(INDEX(Benefit_Master!$G$4:$BC$135,MATCH($DN45,Benefit_Master!$BD$4:$BD$135,0),MATCH(FB$9,Benefit_Master!$G$3:$BC$3,0)),0)*AZ45,0)</f>
        <v>0</v>
      </c>
      <c r="FC45" s="64">
        <f>ROUND(IFERROR(INDEX(Benefit_Master!$G$4:$BC$135,MATCH($DN45,Benefit_Master!$BD$4:$BD$135,0),MATCH(FC$9,Benefit_Master!$G$3:$BC$3,0)),0)*BA45,0)</f>
        <v>0</v>
      </c>
      <c r="FD45" s="64">
        <f>ROUND(IFERROR(INDEX(Benefit_Master!$G$4:$BC$135,MATCH($DN45,Benefit_Master!$BD$4:$BD$135,0),MATCH(FD$9,Benefit_Master!$G$3:$BC$3,0)),0)*BB45,0)</f>
        <v>0</v>
      </c>
      <c r="FE45" s="64">
        <f>ROUND(IFERROR(INDEX(Benefit_Master!$G$4:$BC$135,MATCH($DN45,Benefit_Master!$BD$4:$BD$135,0),MATCH(FE$9,Benefit_Master!$G$3:$BC$3,0)),0)*BC45,0)</f>
        <v>0</v>
      </c>
      <c r="FF45" s="64">
        <f>ROUND(IFERROR(INDEX(Benefit_Master!$G$4:$BC$135,MATCH($DN45,Benefit_Master!$BD$4:$BD$135,0),MATCH(FF$9,Benefit_Master!$G$3:$BC$3,0)),0)*BD45,0)</f>
        <v>0</v>
      </c>
      <c r="FG45" s="64">
        <f>ROUND(IFERROR(INDEX(Benefit_Master!$G$4:$BC$135,MATCH($DN45,Benefit_Master!$BD$4:$BD$135,0),MATCH(FG$9,Benefit_Master!$G$3:$BC$3,0)),0)*BE45,0)</f>
        <v>0</v>
      </c>
      <c r="FH45" s="64">
        <f>ROUND(IFERROR(INDEX(Benefit_Master!$G$4:$BC$135,MATCH($DN45,Benefit_Master!$BD$4:$BD$135,0),MATCH(FH$9,Benefit_Master!$G$3:$BC$3,0)),0)*BF45,0)</f>
        <v>0</v>
      </c>
      <c r="FI45" s="64">
        <f>ROUND(IFERROR(INDEX(Benefit_Master!$G$4:$BC$135,MATCH($DN45,Benefit_Master!$BD$4:$BD$135,0),MATCH(FI$9,Benefit_Master!$G$3:$BC$3,0)),0)*BG45,0)</f>
        <v>0</v>
      </c>
      <c r="FJ45" s="64">
        <f>ROUND(IFERROR(INDEX(Benefit_Master!$G$4:$BC$135,MATCH($DN45,Benefit_Master!$BD$4:$BD$135,0),MATCH(FJ$9,Benefit_Master!$G$3:$BC$3,0)),0)*BH45,0)</f>
        <v>0</v>
      </c>
      <c r="FK45" s="64">
        <f>ROUND(IFERROR(INDEX(Benefit_Master!$G$4:$BC$135,MATCH($DN45,Benefit_Master!$BD$4:$BD$135,0),MATCH(FK$9,Benefit_Master!$G$3:$BC$3,0)),0)*BI45,0)</f>
        <v>0</v>
      </c>
      <c r="FL45" s="64">
        <f>ROUND(IFERROR(INDEX(Benefit_Master!$G$4:$BC$135,MATCH($DN45,Benefit_Master!$BD$4:$BD$135,0),MATCH(FL$9,Benefit_Master!$G$3:$BC$3,0)),0)*BJ45,0)</f>
        <v>0</v>
      </c>
      <c r="FM45" s="64">
        <f>ROUND(IFERROR(INDEX(Benefit_Master!$G$4:$BC$135,MATCH($DN45,Benefit_Master!$BD$4:$BD$135,0),MATCH(FM$9,Benefit_Master!$G$3:$BC$3,0)),0)*BK45,0)</f>
        <v>0</v>
      </c>
      <c r="FN45" s="66">
        <f t="shared" si="36"/>
        <v>0</v>
      </c>
    </row>
    <row r="46" spans="2:170" s="12" customFormat="1" ht="15" customHeight="1">
      <c r="B46" s="93">
        <f t="shared" si="28"/>
        <v>34</v>
      </c>
      <c r="C46" s="89"/>
      <c r="D46" s="97"/>
      <c r="E46" s="1157"/>
      <c r="F46" s="425"/>
      <c r="G46" s="94" t="str">
        <f>IFERROR(VLOOKUP($F46,Master!$B$1:$C$7,2,0),"-")</f>
        <v>-</v>
      </c>
      <c r="H46" s="95">
        <f t="shared" si="12"/>
        <v>0</v>
      </c>
      <c r="I46" s="138">
        <f t="shared" si="13"/>
        <v>0</v>
      </c>
      <c r="J46" s="138">
        <f t="shared" si="14"/>
        <v>0</v>
      </c>
      <c r="K46" s="96"/>
      <c r="L46"/>
      <c r="M46" s="58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60">
        <f t="shared" si="15"/>
        <v>0</v>
      </c>
      <c r="Z46" s="58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60">
        <f t="shared" si="16"/>
        <v>0</v>
      </c>
      <c r="AM46" s="58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60">
        <f t="shared" si="17"/>
        <v>0</v>
      </c>
      <c r="AZ46" s="58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60">
        <f t="shared" si="18"/>
        <v>0</v>
      </c>
      <c r="BM46"/>
      <c r="BN46" s="64">
        <f>ROUND(IFERROR(INDEX('Labor Cost_Master'!$G$4:$BC$135,MATCH($DN46,'Labor Cost_Master'!$BD$4:$BD$135,0),MATCH(BN$9,'Labor Cost_Master'!$G$3:$BC$3,0)),0)*M46,0)</f>
        <v>0</v>
      </c>
      <c r="BO46" s="64">
        <f>ROUND(IFERROR(INDEX('Labor Cost_Master'!$G$4:$BC$135,MATCH($DN46,'Labor Cost_Master'!$BD$4:$BD$135,0),MATCH(BO$9,'Labor Cost_Master'!$G$3:$BC$3,0)),0)*N46,0)</f>
        <v>0</v>
      </c>
      <c r="BP46" s="64">
        <f>ROUND(IFERROR(INDEX('Labor Cost_Master'!$G$4:$BC$135,MATCH($DN46,'Labor Cost_Master'!$BD$4:$BD$135,0),MATCH(BP$9,'Labor Cost_Master'!$G$3:$BC$3,0)),0)*O46,0)</f>
        <v>0</v>
      </c>
      <c r="BQ46" s="64">
        <f>ROUND(IFERROR(INDEX('Labor Cost_Master'!$G$4:$BC$135,MATCH($DN46,'Labor Cost_Master'!$BD$4:$BD$135,0),MATCH(BQ$9,'Labor Cost_Master'!$G$3:$BC$3,0)),0)*P46,0)</f>
        <v>0</v>
      </c>
      <c r="BR46" s="64">
        <f>ROUND(IFERROR(INDEX('Labor Cost_Master'!$G$4:$BC$135,MATCH($DN46,'Labor Cost_Master'!$BD$4:$BD$135,0),MATCH(BR$9,'Labor Cost_Master'!$G$3:$BC$3,0)),0)*Q46,0)</f>
        <v>0</v>
      </c>
      <c r="BS46" s="64">
        <f>ROUND(IFERROR(INDEX('Labor Cost_Master'!$G$4:$BC$135,MATCH($DN46,'Labor Cost_Master'!$BD$4:$BD$135,0),MATCH(BS$9,'Labor Cost_Master'!$G$3:$BC$3,0)),0)*R46,0)</f>
        <v>0</v>
      </c>
      <c r="BT46" s="64">
        <f>ROUND(IFERROR(INDEX('Labor Cost_Master'!$G$4:$BC$135,MATCH($DN46,'Labor Cost_Master'!$BD$4:$BD$135,0),MATCH(BT$9,'Labor Cost_Master'!$G$3:$BC$3,0)),0)*S46,0)</f>
        <v>0</v>
      </c>
      <c r="BU46" s="64">
        <f>ROUND(IFERROR(INDEX('Labor Cost_Master'!$G$4:$BC$135,MATCH($DN46,'Labor Cost_Master'!$BD$4:$BD$135,0),MATCH(BU$9,'Labor Cost_Master'!$G$3:$BC$3,0)),0)*T46,0)</f>
        <v>0</v>
      </c>
      <c r="BV46" s="64">
        <f>ROUND(IFERROR(INDEX('Labor Cost_Master'!$G$4:$BC$135,MATCH($DN46,'Labor Cost_Master'!$BD$4:$BD$135,0),MATCH(BV$9,'Labor Cost_Master'!$G$3:$BC$3,0)),0)*U46,0)</f>
        <v>0</v>
      </c>
      <c r="BW46" s="64">
        <f>ROUND(IFERROR(INDEX('Labor Cost_Master'!$G$4:$BC$135,MATCH($DN46,'Labor Cost_Master'!$BD$4:$BD$135,0),MATCH(BW$9,'Labor Cost_Master'!$G$3:$BC$3,0)),0)*V46,0)</f>
        <v>0</v>
      </c>
      <c r="BX46" s="64">
        <f>ROUND(IFERROR(INDEX('Labor Cost_Master'!$G$4:$BC$135,MATCH($DN46,'Labor Cost_Master'!$BD$4:$BD$135,0),MATCH(BX$9,'Labor Cost_Master'!$G$3:$BC$3,0)),0)*W46,0)</f>
        <v>0</v>
      </c>
      <c r="BY46" s="64">
        <f>ROUND(IFERROR(INDEX('Labor Cost_Master'!$G$4:$BC$135,MATCH($DN46,'Labor Cost_Master'!$BD$4:$BD$135,0),MATCH(BY$9,'Labor Cost_Master'!$G$3:$BC$3,0)),0)*X46,0)</f>
        <v>0</v>
      </c>
      <c r="BZ46" s="66">
        <f t="shared" si="29"/>
        <v>0</v>
      </c>
      <c r="CA46" s="64">
        <f>ROUND(IFERROR(INDEX('Labor Cost_Master'!$G$4:$BC$135,MATCH($DN46,'Labor Cost_Master'!$BD$4:$BD$135,0),MATCH(CA$9,'Labor Cost_Master'!$G$3:$BC$3,0)),0)*Z46,0)</f>
        <v>0</v>
      </c>
      <c r="CB46" s="64">
        <f>ROUND(IFERROR(INDEX('Labor Cost_Master'!$G$4:$BC$135,MATCH($DN46,'Labor Cost_Master'!$BD$4:$BD$135,0),MATCH(CB$9,'Labor Cost_Master'!$G$3:$BC$3,0)),0)*AA46,0)</f>
        <v>0</v>
      </c>
      <c r="CC46" s="64">
        <f>ROUND(IFERROR(INDEX('Labor Cost_Master'!$G$4:$BC$135,MATCH($DN46,'Labor Cost_Master'!$BD$4:$BD$135,0),MATCH(CC$9,'Labor Cost_Master'!$G$3:$BC$3,0)),0)*AB46,0)</f>
        <v>0</v>
      </c>
      <c r="CD46" s="64">
        <f>ROUND(IFERROR(INDEX('Labor Cost_Master'!$G$4:$BC$135,MATCH($DN46,'Labor Cost_Master'!$BD$4:$BD$135,0),MATCH(CD$9,'Labor Cost_Master'!$G$3:$BC$3,0)),0)*AC46,0)</f>
        <v>0</v>
      </c>
      <c r="CE46" s="64">
        <f>ROUND(IFERROR(INDEX('Labor Cost_Master'!$G$4:$BC$135,MATCH($DN46,'Labor Cost_Master'!$BD$4:$BD$135,0),MATCH(CE$9,'Labor Cost_Master'!$G$3:$BC$3,0)),0)*AD46,0)</f>
        <v>0</v>
      </c>
      <c r="CF46" s="64">
        <f>ROUND(IFERROR(INDEX('Labor Cost_Master'!$G$4:$BC$135,MATCH($DN46,'Labor Cost_Master'!$BD$4:$BD$135,0),MATCH(CF$9,'Labor Cost_Master'!$G$3:$BC$3,0)),0)*AE46,0)</f>
        <v>0</v>
      </c>
      <c r="CG46" s="64">
        <f>ROUND(IFERROR(INDEX('Labor Cost_Master'!$G$4:$BC$135,MATCH($DN46,'Labor Cost_Master'!$BD$4:$BD$135,0),MATCH(CG$9,'Labor Cost_Master'!$G$3:$BC$3,0)),0)*AF46,0)</f>
        <v>0</v>
      </c>
      <c r="CH46" s="64">
        <f>ROUND(IFERROR(INDEX('Labor Cost_Master'!$G$4:$BC$135,MATCH($DN46,'Labor Cost_Master'!$BD$4:$BD$135,0),MATCH(CH$9,'Labor Cost_Master'!$G$3:$BC$3,0)),0)*AG46,0)</f>
        <v>0</v>
      </c>
      <c r="CI46" s="64">
        <f>ROUND(IFERROR(INDEX('Labor Cost_Master'!$G$4:$BC$135,MATCH($DN46,'Labor Cost_Master'!$BD$4:$BD$135,0),MATCH(CI$9,'Labor Cost_Master'!$G$3:$BC$3,0)),0)*AH46,0)</f>
        <v>0</v>
      </c>
      <c r="CJ46" s="64">
        <f>ROUND(IFERROR(INDEX('Labor Cost_Master'!$G$4:$BC$135,MATCH($DN46,'Labor Cost_Master'!$BD$4:$BD$135,0),MATCH(CJ$9,'Labor Cost_Master'!$G$3:$BC$3,0)),0)*AI46,0)</f>
        <v>0</v>
      </c>
      <c r="CK46" s="64">
        <f>ROUND(IFERROR(INDEX('Labor Cost_Master'!$G$4:$BC$135,MATCH($DN46,'Labor Cost_Master'!$BD$4:$BD$135,0),MATCH(CK$9,'Labor Cost_Master'!$G$3:$BC$3,0)),0)*AJ46,0)</f>
        <v>0</v>
      </c>
      <c r="CL46" s="64">
        <f>ROUND(IFERROR(INDEX('Labor Cost_Master'!$G$4:$BC$135,MATCH($DN46,'Labor Cost_Master'!$BD$4:$BD$135,0),MATCH(CL$9,'Labor Cost_Master'!$G$3:$BC$3,0)),0)*AK46,0)</f>
        <v>0</v>
      </c>
      <c r="CM46" s="66">
        <f t="shared" si="30"/>
        <v>0</v>
      </c>
      <c r="CN46" s="64">
        <f>ROUND(IFERROR(INDEX('Labor Cost_Master'!$G$4:$BC$135,MATCH($DN46,'Labor Cost_Master'!$BD$4:$BD$135,0),MATCH(CN$9,'Labor Cost_Master'!$G$3:$BC$3,0)),0)*AM46,0)</f>
        <v>0</v>
      </c>
      <c r="CO46" s="64">
        <f>ROUND(IFERROR(INDEX('Labor Cost_Master'!$G$4:$BC$135,MATCH($DN46,'Labor Cost_Master'!$BD$4:$BD$135,0),MATCH(CO$9,'Labor Cost_Master'!$G$3:$BC$3,0)),0)*AN46,0)</f>
        <v>0</v>
      </c>
      <c r="CP46" s="64">
        <f>ROUND(IFERROR(INDEX('Labor Cost_Master'!$G$4:$BC$135,MATCH($DN46,'Labor Cost_Master'!$BD$4:$BD$135,0),MATCH(CP$9,'Labor Cost_Master'!$G$3:$BC$3,0)),0)*AO46,0)</f>
        <v>0</v>
      </c>
      <c r="CQ46" s="64">
        <f>ROUND(IFERROR(INDEX('Labor Cost_Master'!$G$4:$BC$135,MATCH($DN46,'Labor Cost_Master'!$BD$4:$BD$135,0),MATCH(CQ$9,'Labor Cost_Master'!$G$3:$BC$3,0)),0)*AP46,0)</f>
        <v>0</v>
      </c>
      <c r="CR46" s="64">
        <f>ROUND(IFERROR(INDEX('Labor Cost_Master'!$G$4:$BC$135,MATCH($DN46,'Labor Cost_Master'!$BD$4:$BD$135,0),MATCH(CR$9,'Labor Cost_Master'!$G$3:$BC$3,0)),0)*AQ46,0)</f>
        <v>0</v>
      </c>
      <c r="CS46" s="64">
        <f>ROUND(IFERROR(INDEX('Labor Cost_Master'!$G$4:$BC$135,MATCH($DN46,'Labor Cost_Master'!$BD$4:$BD$135,0),MATCH(CS$9,'Labor Cost_Master'!$G$3:$BC$3,0)),0)*AR46,0)</f>
        <v>0</v>
      </c>
      <c r="CT46" s="64">
        <f>ROUND(IFERROR(INDEX('Labor Cost_Master'!$G$4:$BC$135,MATCH($DN46,'Labor Cost_Master'!$BD$4:$BD$135,0),MATCH(CT$9,'Labor Cost_Master'!$G$3:$BC$3,0)),0)*AS46,0)</f>
        <v>0</v>
      </c>
      <c r="CU46" s="64">
        <f>ROUND(IFERROR(INDEX('Labor Cost_Master'!$G$4:$BC$135,MATCH($DN46,'Labor Cost_Master'!$BD$4:$BD$135,0),MATCH(CU$9,'Labor Cost_Master'!$G$3:$BC$3,0)),0)*AT46,0)</f>
        <v>0</v>
      </c>
      <c r="CV46" s="64">
        <f>ROUND(IFERROR(INDEX('Labor Cost_Master'!$G$4:$BC$135,MATCH($DN46,'Labor Cost_Master'!$BD$4:$BD$135,0),MATCH(CV$9,'Labor Cost_Master'!$G$3:$BC$3,0)),0)*AU46,0)</f>
        <v>0</v>
      </c>
      <c r="CW46" s="64">
        <f>ROUND(IFERROR(INDEX('Labor Cost_Master'!$G$4:$BC$135,MATCH($DN46,'Labor Cost_Master'!$BD$4:$BD$135,0),MATCH(CW$9,'Labor Cost_Master'!$G$3:$BC$3,0)),0)*AV46,0)</f>
        <v>0</v>
      </c>
      <c r="CX46" s="64">
        <f>ROUND(IFERROR(INDEX('Labor Cost_Master'!$G$4:$BC$135,MATCH($DN46,'Labor Cost_Master'!$BD$4:$BD$135,0),MATCH(CX$9,'Labor Cost_Master'!$G$3:$BC$3,0)),0)*AW46,0)</f>
        <v>0</v>
      </c>
      <c r="CY46" s="64">
        <f>ROUND(IFERROR(INDEX('Labor Cost_Master'!$G$4:$BC$135,MATCH($DN46,'Labor Cost_Master'!$BD$4:$BD$135,0),MATCH(CY$9,'Labor Cost_Master'!$G$3:$BC$3,0)),0)*AX46,0)</f>
        <v>0</v>
      </c>
      <c r="CZ46" s="66">
        <f t="shared" si="31"/>
        <v>0</v>
      </c>
      <c r="DA46" s="64">
        <f>ROUND(IFERROR(INDEX('Labor Cost_Master'!$G$4:$BC$135,MATCH($DN46,'Labor Cost_Master'!$BD$4:$BD$135,0),MATCH(DA$9,'Labor Cost_Master'!$G$3:$BC$3,0)),0)*AZ46,0)</f>
        <v>0</v>
      </c>
      <c r="DB46" s="64">
        <f>ROUND(IFERROR(INDEX('Labor Cost_Master'!$G$4:$BC$135,MATCH($DN46,'Labor Cost_Master'!$BD$4:$BD$135,0),MATCH(DB$9,'Labor Cost_Master'!$G$3:$BC$3,0)),0)*BA46,0)</f>
        <v>0</v>
      </c>
      <c r="DC46" s="1166">
        <f>ROUND(IFERROR(INDEX('Labor Cost_Master'!$G$4:$BC$135,MATCH($DN46,'Labor Cost_Master'!$BD$4:$BD$135,0),MATCH(DC$9,'Labor Cost_Master'!$G$3:$BC$3,0)),0)*BB46,0)*1.05</f>
        <v>0</v>
      </c>
      <c r="DD46" s="64">
        <f>ROUND(IFERROR(INDEX('Labor Cost_Master'!$G$4:$BC$135,MATCH($DN46,'Labor Cost_Master'!$BD$4:$BD$135,0),MATCH(DD$9,'Labor Cost_Master'!$G$3:$BC$3,0)),0)*BC46,0)*1.05</f>
        <v>0</v>
      </c>
      <c r="DE46" s="64">
        <f>ROUND(IFERROR(INDEX('Labor Cost_Master'!$G$4:$BC$135,MATCH($DN46,'Labor Cost_Master'!$BD$4:$BD$135,0),MATCH(DE$9,'Labor Cost_Master'!$G$3:$BC$3,0)),0)*BD46,0)*1.05</f>
        <v>0</v>
      </c>
      <c r="DF46" s="64">
        <f>ROUND(IFERROR(INDEX('Labor Cost_Master'!$G$4:$BC$135,MATCH($DN46,'Labor Cost_Master'!$BD$4:$BD$135,0),MATCH(DF$9,'Labor Cost_Master'!$G$3:$BC$3,0)),0)*BE46,0)*1.05</f>
        <v>0</v>
      </c>
      <c r="DG46" s="64">
        <f>ROUND(IFERROR(INDEX('Labor Cost_Master'!$G$4:$BC$135,MATCH($DN46,'Labor Cost_Master'!$BD$4:$BD$135,0),MATCH(DG$9,'Labor Cost_Master'!$G$3:$BC$3,0)),0)*BF46,0)*1.05</f>
        <v>0</v>
      </c>
      <c r="DH46" s="64">
        <f>ROUND(IFERROR(INDEX('Labor Cost_Master'!$G$4:$BC$135,MATCH($DN46,'Labor Cost_Master'!$BD$4:$BD$135,0),MATCH(DH$9,'Labor Cost_Master'!$G$3:$BC$3,0)),0)*BG46,0)*1.05</f>
        <v>0</v>
      </c>
      <c r="DI46" s="64">
        <f>ROUND(IFERROR(INDEX('Labor Cost_Master'!$G$4:$BC$135,MATCH($DN46,'Labor Cost_Master'!$BD$4:$BD$135,0),MATCH(DI$9,'Labor Cost_Master'!$G$3:$BC$3,0)),0)*BH46,0)*1.05</f>
        <v>0</v>
      </c>
      <c r="DJ46" s="64">
        <f>ROUND(IFERROR(INDEX('Labor Cost_Master'!$G$4:$BC$135,MATCH($DN46,'Labor Cost_Master'!$BD$4:$BD$135,0),MATCH(DJ$9,'Labor Cost_Master'!$G$3:$BC$3,0)),0)*BI46,0)*1.05</f>
        <v>0</v>
      </c>
      <c r="DK46" s="64">
        <f>ROUND(IFERROR(INDEX('Labor Cost_Master'!$G$4:$BC$135,MATCH($DN46,'Labor Cost_Master'!$BD$4:$BD$135,0),MATCH(DK$9,'Labor Cost_Master'!$G$3:$BC$3,0)),0)*BJ46,0)*1.05</f>
        <v>0</v>
      </c>
      <c r="DL46" s="64">
        <f>ROUND(IFERROR(INDEX('Labor Cost_Master'!$G$4:$BC$135,MATCH($DN46,'Labor Cost_Master'!$BD$4:$BD$135,0),MATCH(DL$9,'Labor Cost_Master'!$G$3:$BC$3,0)),0)*BK46,0)*1.05</f>
        <v>0</v>
      </c>
      <c r="DM46" s="66">
        <f t="shared" si="32"/>
        <v>0</v>
      </c>
      <c r="DN46" s="80" t="str">
        <f t="shared" si="23"/>
        <v/>
      </c>
      <c r="DO46" s="64">
        <f>ROUND(IFERROR(INDEX(Benefit_Master!$G$4:$BC$135,MATCH($DN46,Benefit_Master!$BD$4:$BD$135,0),MATCH(DO$9,Benefit_Master!$G$3:$BC$3,0)),0)*M46,0)</f>
        <v>0</v>
      </c>
      <c r="DP46" s="64">
        <f>ROUND(IFERROR(INDEX(Benefit_Master!$G$4:$BC$135,MATCH($DN46,Benefit_Master!$BD$4:$BD$135,0),MATCH(DP$9,Benefit_Master!$G$3:$BC$3,0)),0)*N46,0)</f>
        <v>0</v>
      </c>
      <c r="DQ46" s="64">
        <f>ROUND(IFERROR(INDEX(Benefit_Master!$G$4:$BC$135,MATCH($DN46,Benefit_Master!$BD$4:$BD$135,0),MATCH(DQ$9,Benefit_Master!$G$3:$BC$3,0)),0)*O46,0)</f>
        <v>0</v>
      </c>
      <c r="DR46" s="64">
        <f>ROUND(IFERROR(INDEX(Benefit_Master!$G$4:$BC$135,MATCH($DN46,Benefit_Master!$BD$4:$BD$135,0),MATCH(DR$9,Benefit_Master!$G$3:$BC$3,0)),0)*P46,0)</f>
        <v>0</v>
      </c>
      <c r="DS46" s="64">
        <f>ROUND(IFERROR(INDEX(Benefit_Master!$G$4:$BC$135,MATCH($DN46,Benefit_Master!$BD$4:$BD$135,0),MATCH(DS$9,Benefit_Master!$G$3:$BC$3,0)),0)*Q46,0)</f>
        <v>0</v>
      </c>
      <c r="DT46" s="64">
        <f>ROUND(IFERROR(INDEX(Benefit_Master!$G$4:$BC$135,MATCH($DN46,Benefit_Master!$BD$4:$BD$135,0),MATCH(DT$9,Benefit_Master!$G$3:$BC$3,0)),0)*R46,0)</f>
        <v>0</v>
      </c>
      <c r="DU46" s="64">
        <f>ROUND(IFERROR(INDEX(Benefit_Master!$G$4:$BC$135,MATCH($DN46,Benefit_Master!$BD$4:$BD$135,0),MATCH(DU$9,Benefit_Master!$G$3:$BC$3,0)),0)*S46,0)</f>
        <v>0</v>
      </c>
      <c r="DV46" s="64">
        <f>ROUND(IFERROR(INDEX(Benefit_Master!$G$4:$BC$135,MATCH($DN46,Benefit_Master!$BD$4:$BD$135,0),MATCH(DV$9,Benefit_Master!$G$3:$BC$3,0)),0)*T46,0)</f>
        <v>0</v>
      </c>
      <c r="DW46" s="64">
        <f>ROUND(IFERROR(INDEX(Benefit_Master!$G$4:$BC$135,MATCH($DN46,Benefit_Master!$BD$4:$BD$135,0),MATCH(DW$9,Benefit_Master!$G$3:$BC$3,0)),0)*U46,0)</f>
        <v>0</v>
      </c>
      <c r="DX46" s="64">
        <f>ROUND(IFERROR(INDEX(Benefit_Master!$G$4:$BC$135,MATCH($DN46,Benefit_Master!$BD$4:$BD$135,0),MATCH(DX$9,Benefit_Master!$G$3:$BC$3,0)),0)*V46,0)</f>
        <v>0</v>
      </c>
      <c r="DY46" s="64">
        <f>ROUND(IFERROR(INDEX(Benefit_Master!$G$4:$BC$135,MATCH($DN46,Benefit_Master!$BD$4:$BD$135,0),MATCH(DY$9,Benefit_Master!$G$3:$BC$3,0)),0)*W46,0)</f>
        <v>0</v>
      </c>
      <c r="DZ46" s="64">
        <f>ROUND(IFERROR(INDEX(Benefit_Master!$G$4:$BC$135,MATCH($DN46,Benefit_Master!$BD$4:$BD$135,0),MATCH(DZ$9,Benefit_Master!$G$3:$BC$3,0)),0)*X46,0)</f>
        <v>0</v>
      </c>
      <c r="EA46" s="66">
        <f t="shared" si="33"/>
        <v>0</v>
      </c>
      <c r="EB46" s="64">
        <f>ROUND(IFERROR(INDEX(Benefit_Master!$G$4:$BC$135,MATCH($DN46,Benefit_Master!$BD$4:$BD$135,0),MATCH(EB$9,Benefit_Master!$G$3:$BC$3,0)),0)*Z46,0)</f>
        <v>0</v>
      </c>
      <c r="EC46" s="64">
        <f>ROUND(IFERROR(INDEX(Benefit_Master!$G$4:$BC$135,MATCH($DN46,Benefit_Master!$BD$4:$BD$135,0),MATCH(EC$9,Benefit_Master!$G$3:$BC$3,0)),0)*AA46,0)</f>
        <v>0</v>
      </c>
      <c r="ED46" s="64">
        <f>ROUND(IFERROR(INDEX(Benefit_Master!$G$4:$BC$135,MATCH($DN46,Benefit_Master!$BD$4:$BD$135,0),MATCH(ED$9,Benefit_Master!$G$3:$BC$3,0)),0)*AB46,0)</f>
        <v>0</v>
      </c>
      <c r="EE46" s="64">
        <f>ROUND(IFERROR(INDEX(Benefit_Master!$G$4:$BC$135,MATCH($DN46,Benefit_Master!$BD$4:$BD$135,0),MATCH(EE$9,Benefit_Master!$G$3:$BC$3,0)),0)*AC46,0)</f>
        <v>0</v>
      </c>
      <c r="EF46" s="64">
        <f>ROUND(IFERROR(INDEX(Benefit_Master!$G$4:$BC$135,MATCH($DN46,Benefit_Master!$BD$4:$BD$135,0),MATCH(EF$9,Benefit_Master!$G$3:$BC$3,0)),0)*AD46,0)</f>
        <v>0</v>
      </c>
      <c r="EG46" s="64">
        <f>ROUND(IFERROR(INDEX(Benefit_Master!$G$4:$BC$135,MATCH($DN46,Benefit_Master!$BD$4:$BD$135,0),MATCH(EG$9,Benefit_Master!$G$3:$BC$3,0)),0)*AE46,0)</f>
        <v>0</v>
      </c>
      <c r="EH46" s="64">
        <f>ROUND(IFERROR(INDEX(Benefit_Master!$G$4:$BC$135,MATCH($DN46,Benefit_Master!$BD$4:$BD$135,0),MATCH(EH$9,Benefit_Master!$G$3:$BC$3,0)),0)*AF46,0)</f>
        <v>0</v>
      </c>
      <c r="EI46" s="64">
        <f>ROUND(IFERROR(INDEX(Benefit_Master!$G$4:$BC$135,MATCH($DN46,Benefit_Master!$BD$4:$BD$135,0),MATCH(EI$9,Benefit_Master!$G$3:$BC$3,0)),0)*AG46,0)</f>
        <v>0</v>
      </c>
      <c r="EJ46" s="64">
        <f>ROUND(IFERROR(INDEX(Benefit_Master!$G$4:$BC$135,MATCH($DN46,Benefit_Master!$BD$4:$BD$135,0),MATCH(EJ$9,Benefit_Master!$G$3:$BC$3,0)),0)*AH46,0)</f>
        <v>0</v>
      </c>
      <c r="EK46" s="64">
        <f>ROUND(IFERROR(INDEX(Benefit_Master!$G$4:$BC$135,MATCH($DN46,Benefit_Master!$BD$4:$BD$135,0),MATCH(EK$9,Benefit_Master!$G$3:$BC$3,0)),0)*AI46,0)</f>
        <v>0</v>
      </c>
      <c r="EL46" s="64">
        <f>ROUND(IFERROR(INDEX(Benefit_Master!$G$4:$BC$135,MATCH($DN46,Benefit_Master!$BD$4:$BD$135,0),MATCH(EL$9,Benefit_Master!$G$3:$BC$3,0)),0)*AJ46,0)</f>
        <v>0</v>
      </c>
      <c r="EM46" s="64">
        <f>ROUND(IFERROR(INDEX(Benefit_Master!$G$4:$BC$135,MATCH($DN46,Benefit_Master!$BD$4:$BD$135,0),MATCH(EM$9,Benefit_Master!$G$3:$BC$3,0)),0)*AK46,0)</f>
        <v>0</v>
      </c>
      <c r="EN46" s="66">
        <f t="shared" si="34"/>
        <v>0</v>
      </c>
      <c r="EO46" s="64">
        <f>ROUND(IFERROR(INDEX(Benefit_Master!$G$4:$BC$135,MATCH($DN46,Benefit_Master!$BD$4:$BD$135,0),MATCH(EO$9,Benefit_Master!$G$3:$BC$3,0)),0)*AM46,0)</f>
        <v>0</v>
      </c>
      <c r="EP46" s="64">
        <f>ROUND(IFERROR(INDEX(Benefit_Master!$G$4:$BC$135,MATCH($DN46,Benefit_Master!$BD$4:$BD$135,0),MATCH(EP$9,Benefit_Master!$G$3:$BC$3,0)),0)*AN46,0)</f>
        <v>0</v>
      </c>
      <c r="EQ46" s="64">
        <f>ROUND(IFERROR(INDEX(Benefit_Master!$G$4:$BC$135,MATCH($DN46,Benefit_Master!$BD$4:$BD$135,0),MATCH(EQ$9,Benefit_Master!$G$3:$BC$3,0)),0)*AO46,0)</f>
        <v>0</v>
      </c>
      <c r="ER46" s="64">
        <f>ROUND(IFERROR(INDEX(Benefit_Master!$G$4:$BC$135,MATCH($DN46,Benefit_Master!$BD$4:$BD$135,0),MATCH(ER$9,Benefit_Master!$G$3:$BC$3,0)),0)*AP46,0)</f>
        <v>0</v>
      </c>
      <c r="ES46" s="64">
        <f>ROUND(IFERROR(INDEX(Benefit_Master!$G$4:$BC$135,MATCH($DN46,Benefit_Master!$BD$4:$BD$135,0),MATCH(ES$9,Benefit_Master!$G$3:$BC$3,0)),0)*AQ46,0)</f>
        <v>0</v>
      </c>
      <c r="ET46" s="64">
        <f>ROUND(IFERROR(INDEX(Benefit_Master!$G$4:$BC$135,MATCH($DN46,Benefit_Master!$BD$4:$BD$135,0),MATCH(ET$9,Benefit_Master!$G$3:$BC$3,0)),0)*AR46,0)</f>
        <v>0</v>
      </c>
      <c r="EU46" s="64">
        <f>ROUND(IFERROR(INDEX(Benefit_Master!$G$4:$BC$135,MATCH($DN46,Benefit_Master!$BD$4:$BD$135,0),MATCH(EU$9,Benefit_Master!$G$3:$BC$3,0)),0)*AS46,0)</f>
        <v>0</v>
      </c>
      <c r="EV46" s="64">
        <f>ROUND(IFERROR(INDEX(Benefit_Master!$G$4:$BC$135,MATCH($DN46,Benefit_Master!$BD$4:$BD$135,0),MATCH(EV$9,Benefit_Master!$G$3:$BC$3,0)),0)*AT46,0)</f>
        <v>0</v>
      </c>
      <c r="EW46" s="64">
        <f>ROUND(IFERROR(INDEX(Benefit_Master!$G$4:$BC$135,MATCH($DN46,Benefit_Master!$BD$4:$BD$135,0),MATCH(EW$9,Benefit_Master!$G$3:$BC$3,0)),0)*AU46,0)</f>
        <v>0</v>
      </c>
      <c r="EX46" s="64">
        <f>ROUND(IFERROR(INDEX(Benefit_Master!$G$4:$BC$135,MATCH($DN46,Benefit_Master!$BD$4:$BD$135,0),MATCH(EX$9,Benefit_Master!$G$3:$BC$3,0)),0)*AV46,0)</f>
        <v>0</v>
      </c>
      <c r="EY46" s="64">
        <f>ROUND(IFERROR(INDEX(Benefit_Master!$G$4:$BC$135,MATCH($DN46,Benefit_Master!$BD$4:$BD$135,0),MATCH(EY$9,Benefit_Master!$G$3:$BC$3,0)),0)*AW46,0)</f>
        <v>0</v>
      </c>
      <c r="EZ46" s="64">
        <f>ROUND(IFERROR(INDEX(Benefit_Master!$G$4:$BC$135,MATCH($DN46,Benefit_Master!$BD$4:$BD$135,0),MATCH(EZ$9,Benefit_Master!$G$3:$BC$3,0)),0)*AX46,0)</f>
        <v>0</v>
      </c>
      <c r="FA46" s="66">
        <f t="shared" si="35"/>
        <v>0</v>
      </c>
      <c r="FB46" s="64">
        <f>ROUND(IFERROR(INDEX(Benefit_Master!$G$4:$BC$135,MATCH($DN46,Benefit_Master!$BD$4:$BD$135,0),MATCH(FB$9,Benefit_Master!$G$3:$BC$3,0)),0)*AZ46,0)</f>
        <v>0</v>
      </c>
      <c r="FC46" s="64">
        <f>ROUND(IFERROR(INDEX(Benefit_Master!$G$4:$BC$135,MATCH($DN46,Benefit_Master!$BD$4:$BD$135,0),MATCH(FC$9,Benefit_Master!$G$3:$BC$3,0)),0)*BA46,0)</f>
        <v>0</v>
      </c>
      <c r="FD46" s="64">
        <f>ROUND(IFERROR(INDEX(Benefit_Master!$G$4:$BC$135,MATCH($DN46,Benefit_Master!$BD$4:$BD$135,0),MATCH(FD$9,Benefit_Master!$G$3:$BC$3,0)),0)*BB46,0)</f>
        <v>0</v>
      </c>
      <c r="FE46" s="64">
        <f>ROUND(IFERROR(INDEX(Benefit_Master!$G$4:$BC$135,MATCH($DN46,Benefit_Master!$BD$4:$BD$135,0),MATCH(FE$9,Benefit_Master!$G$3:$BC$3,0)),0)*BC46,0)</f>
        <v>0</v>
      </c>
      <c r="FF46" s="64">
        <f>ROUND(IFERROR(INDEX(Benefit_Master!$G$4:$BC$135,MATCH($DN46,Benefit_Master!$BD$4:$BD$135,0),MATCH(FF$9,Benefit_Master!$G$3:$BC$3,0)),0)*BD46,0)</f>
        <v>0</v>
      </c>
      <c r="FG46" s="64">
        <f>ROUND(IFERROR(INDEX(Benefit_Master!$G$4:$BC$135,MATCH($DN46,Benefit_Master!$BD$4:$BD$135,0),MATCH(FG$9,Benefit_Master!$G$3:$BC$3,0)),0)*BE46,0)</f>
        <v>0</v>
      </c>
      <c r="FH46" s="64">
        <f>ROUND(IFERROR(INDEX(Benefit_Master!$G$4:$BC$135,MATCH($DN46,Benefit_Master!$BD$4:$BD$135,0),MATCH(FH$9,Benefit_Master!$G$3:$BC$3,0)),0)*BF46,0)</f>
        <v>0</v>
      </c>
      <c r="FI46" s="64">
        <f>ROUND(IFERROR(INDEX(Benefit_Master!$G$4:$BC$135,MATCH($DN46,Benefit_Master!$BD$4:$BD$135,0),MATCH(FI$9,Benefit_Master!$G$3:$BC$3,0)),0)*BG46,0)</f>
        <v>0</v>
      </c>
      <c r="FJ46" s="64">
        <f>ROUND(IFERROR(INDEX(Benefit_Master!$G$4:$BC$135,MATCH($DN46,Benefit_Master!$BD$4:$BD$135,0),MATCH(FJ$9,Benefit_Master!$G$3:$BC$3,0)),0)*BH46,0)</f>
        <v>0</v>
      </c>
      <c r="FK46" s="64">
        <f>ROUND(IFERROR(INDEX(Benefit_Master!$G$4:$BC$135,MATCH($DN46,Benefit_Master!$BD$4:$BD$135,0),MATCH(FK$9,Benefit_Master!$G$3:$BC$3,0)),0)*BI46,0)</f>
        <v>0</v>
      </c>
      <c r="FL46" s="64">
        <f>ROUND(IFERROR(INDEX(Benefit_Master!$G$4:$BC$135,MATCH($DN46,Benefit_Master!$BD$4:$BD$135,0),MATCH(FL$9,Benefit_Master!$G$3:$BC$3,0)),0)*BJ46,0)</f>
        <v>0</v>
      </c>
      <c r="FM46" s="64">
        <f>ROUND(IFERROR(INDEX(Benefit_Master!$G$4:$BC$135,MATCH($DN46,Benefit_Master!$BD$4:$BD$135,0),MATCH(FM$9,Benefit_Master!$G$3:$BC$3,0)),0)*BK46,0)</f>
        <v>0</v>
      </c>
      <c r="FN46" s="66">
        <f t="shared" si="36"/>
        <v>0</v>
      </c>
    </row>
    <row r="47" spans="2:170" s="12" customFormat="1" ht="15" customHeight="1">
      <c r="B47" s="93">
        <f t="shared" si="28"/>
        <v>35</v>
      </c>
      <c r="C47" s="89"/>
      <c r="D47" s="97"/>
      <c r="E47" s="1157"/>
      <c r="F47" s="425"/>
      <c r="G47" s="94" t="str">
        <f>IFERROR(VLOOKUP($F47,Master!$B$1:$C$7,2,0),"-")</f>
        <v>-</v>
      </c>
      <c r="H47" s="95">
        <f t="shared" si="12"/>
        <v>0</v>
      </c>
      <c r="I47" s="138">
        <f t="shared" si="13"/>
        <v>0</v>
      </c>
      <c r="J47" s="138">
        <f t="shared" si="14"/>
        <v>0</v>
      </c>
      <c r="K47" s="96"/>
      <c r="L47"/>
      <c r="M47" s="58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60">
        <f t="shared" si="15"/>
        <v>0</v>
      </c>
      <c r="Z47" s="58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60">
        <f t="shared" si="16"/>
        <v>0</v>
      </c>
      <c r="AM47" s="58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60">
        <f t="shared" si="17"/>
        <v>0</v>
      </c>
      <c r="AZ47" s="58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60">
        <f t="shared" si="18"/>
        <v>0</v>
      </c>
      <c r="BM47"/>
      <c r="BN47" s="64">
        <f>ROUND(IFERROR(INDEX('Labor Cost_Master'!$G$4:$BC$135,MATCH($DN47,'Labor Cost_Master'!$BD$4:$BD$135,0),MATCH(BN$9,'Labor Cost_Master'!$G$3:$BC$3,0)),0)*M47,0)</f>
        <v>0</v>
      </c>
      <c r="BO47" s="64">
        <f>ROUND(IFERROR(INDEX('Labor Cost_Master'!$G$4:$BC$135,MATCH($DN47,'Labor Cost_Master'!$BD$4:$BD$135,0),MATCH(BO$9,'Labor Cost_Master'!$G$3:$BC$3,0)),0)*N47,0)</f>
        <v>0</v>
      </c>
      <c r="BP47" s="64">
        <f>ROUND(IFERROR(INDEX('Labor Cost_Master'!$G$4:$BC$135,MATCH($DN47,'Labor Cost_Master'!$BD$4:$BD$135,0),MATCH(BP$9,'Labor Cost_Master'!$G$3:$BC$3,0)),0)*O47,0)</f>
        <v>0</v>
      </c>
      <c r="BQ47" s="64">
        <f>ROUND(IFERROR(INDEX('Labor Cost_Master'!$G$4:$BC$135,MATCH($DN47,'Labor Cost_Master'!$BD$4:$BD$135,0),MATCH(BQ$9,'Labor Cost_Master'!$G$3:$BC$3,0)),0)*P47,0)</f>
        <v>0</v>
      </c>
      <c r="BR47" s="64">
        <f>ROUND(IFERROR(INDEX('Labor Cost_Master'!$G$4:$BC$135,MATCH($DN47,'Labor Cost_Master'!$BD$4:$BD$135,0),MATCH(BR$9,'Labor Cost_Master'!$G$3:$BC$3,0)),0)*Q47,0)</f>
        <v>0</v>
      </c>
      <c r="BS47" s="64">
        <f>ROUND(IFERROR(INDEX('Labor Cost_Master'!$G$4:$BC$135,MATCH($DN47,'Labor Cost_Master'!$BD$4:$BD$135,0),MATCH(BS$9,'Labor Cost_Master'!$G$3:$BC$3,0)),0)*R47,0)</f>
        <v>0</v>
      </c>
      <c r="BT47" s="64">
        <f>ROUND(IFERROR(INDEX('Labor Cost_Master'!$G$4:$BC$135,MATCH($DN47,'Labor Cost_Master'!$BD$4:$BD$135,0),MATCH(BT$9,'Labor Cost_Master'!$G$3:$BC$3,0)),0)*S47,0)</f>
        <v>0</v>
      </c>
      <c r="BU47" s="64">
        <f>ROUND(IFERROR(INDEX('Labor Cost_Master'!$G$4:$BC$135,MATCH($DN47,'Labor Cost_Master'!$BD$4:$BD$135,0),MATCH(BU$9,'Labor Cost_Master'!$G$3:$BC$3,0)),0)*T47,0)</f>
        <v>0</v>
      </c>
      <c r="BV47" s="64">
        <f>ROUND(IFERROR(INDEX('Labor Cost_Master'!$G$4:$BC$135,MATCH($DN47,'Labor Cost_Master'!$BD$4:$BD$135,0),MATCH(BV$9,'Labor Cost_Master'!$G$3:$BC$3,0)),0)*U47,0)</f>
        <v>0</v>
      </c>
      <c r="BW47" s="64">
        <f>ROUND(IFERROR(INDEX('Labor Cost_Master'!$G$4:$BC$135,MATCH($DN47,'Labor Cost_Master'!$BD$4:$BD$135,0),MATCH(BW$9,'Labor Cost_Master'!$G$3:$BC$3,0)),0)*V47,0)</f>
        <v>0</v>
      </c>
      <c r="BX47" s="64">
        <f>ROUND(IFERROR(INDEX('Labor Cost_Master'!$G$4:$BC$135,MATCH($DN47,'Labor Cost_Master'!$BD$4:$BD$135,0),MATCH(BX$9,'Labor Cost_Master'!$G$3:$BC$3,0)),0)*W47,0)</f>
        <v>0</v>
      </c>
      <c r="BY47" s="64">
        <f>ROUND(IFERROR(INDEX('Labor Cost_Master'!$G$4:$BC$135,MATCH($DN47,'Labor Cost_Master'!$BD$4:$BD$135,0),MATCH(BY$9,'Labor Cost_Master'!$G$3:$BC$3,0)),0)*X47,0)</f>
        <v>0</v>
      </c>
      <c r="BZ47" s="66">
        <f t="shared" si="29"/>
        <v>0</v>
      </c>
      <c r="CA47" s="64">
        <f>ROUND(IFERROR(INDEX('Labor Cost_Master'!$G$4:$BC$135,MATCH($DN47,'Labor Cost_Master'!$BD$4:$BD$135,0),MATCH(CA$9,'Labor Cost_Master'!$G$3:$BC$3,0)),0)*Z47,0)</f>
        <v>0</v>
      </c>
      <c r="CB47" s="64">
        <f>ROUND(IFERROR(INDEX('Labor Cost_Master'!$G$4:$BC$135,MATCH($DN47,'Labor Cost_Master'!$BD$4:$BD$135,0),MATCH(CB$9,'Labor Cost_Master'!$G$3:$BC$3,0)),0)*AA47,0)</f>
        <v>0</v>
      </c>
      <c r="CC47" s="64">
        <f>ROUND(IFERROR(INDEX('Labor Cost_Master'!$G$4:$BC$135,MATCH($DN47,'Labor Cost_Master'!$BD$4:$BD$135,0),MATCH(CC$9,'Labor Cost_Master'!$G$3:$BC$3,0)),0)*AB47,0)</f>
        <v>0</v>
      </c>
      <c r="CD47" s="64">
        <f>ROUND(IFERROR(INDEX('Labor Cost_Master'!$G$4:$BC$135,MATCH($DN47,'Labor Cost_Master'!$BD$4:$BD$135,0),MATCH(CD$9,'Labor Cost_Master'!$G$3:$BC$3,0)),0)*AC47,0)</f>
        <v>0</v>
      </c>
      <c r="CE47" s="64">
        <f>ROUND(IFERROR(INDEX('Labor Cost_Master'!$G$4:$BC$135,MATCH($DN47,'Labor Cost_Master'!$BD$4:$BD$135,0),MATCH(CE$9,'Labor Cost_Master'!$G$3:$BC$3,0)),0)*AD47,0)</f>
        <v>0</v>
      </c>
      <c r="CF47" s="64">
        <f>ROUND(IFERROR(INDEX('Labor Cost_Master'!$G$4:$BC$135,MATCH($DN47,'Labor Cost_Master'!$BD$4:$BD$135,0),MATCH(CF$9,'Labor Cost_Master'!$G$3:$BC$3,0)),0)*AE47,0)</f>
        <v>0</v>
      </c>
      <c r="CG47" s="64">
        <f>ROUND(IFERROR(INDEX('Labor Cost_Master'!$G$4:$BC$135,MATCH($DN47,'Labor Cost_Master'!$BD$4:$BD$135,0),MATCH(CG$9,'Labor Cost_Master'!$G$3:$BC$3,0)),0)*AF47,0)</f>
        <v>0</v>
      </c>
      <c r="CH47" s="64">
        <f>ROUND(IFERROR(INDEX('Labor Cost_Master'!$G$4:$BC$135,MATCH($DN47,'Labor Cost_Master'!$BD$4:$BD$135,0),MATCH(CH$9,'Labor Cost_Master'!$G$3:$BC$3,0)),0)*AG47,0)</f>
        <v>0</v>
      </c>
      <c r="CI47" s="64">
        <f>ROUND(IFERROR(INDEX('Labor Cost_Master'!$G$4:$BC$135,MATCH($DN47,'Labor Cost_Master'!$BD$4:$BD$135,0),MATCH(CI$9,'Labor Cost_Master'!$G$3:$BC$3,0)),0)*AH47,0)</f>
        <v>0</v>
      </c>
      <c r="CJ47" s="64">
        <f>ROUND(IFERROR(INDEX('Labor Cost_Master'!$G$4:$BC$135,MATCH($DN47,'Labor Cost_Master'!$BD$4:$BD$135,0),MATCH(CJ$9,'Labor Cost_Master'!$G$3:$BC$3,0)),0)*AI47,0)</f>
        <v>0</v>
      </c>
      <c r="CK47" s="64">
        <f>ROUND(IFERROR(INDEX('Labor Cost_Master'!$G$4:$BC$135,MATCH($DN47,'Labor Cost_Master'!$BD$4:$BD$135,0),MATCH(CK$9,'Labor Cost_Master'!$G$3:$BC$3,0)),0)*AJ47,0)</f>
        <v>0</v>
      </c>
      <c r="CL47" s="64">
        <f>ROUND(IFERROR(INDEX('Labor Cost_Master'!$G$4:$BC$135,MATCH($DN47,'Labor Cost_Master'!$BD$4:$BD$135,0),MATCH(CL$9,'Labor Cost_Master'!$G$3:$BC$3,0)),0)*AK47,0)</f>
        <v>0</v>
      </c>
      <c r="CM47" s="66">
        <f t="shared" si="30"/>
        <v>0</v>
      </c>
      <c r="CN47" s="64">
        <f>ROUND(IFERROR(INDEX('Labor Cost_Master'!$G$4:$BC$135,MATCH($DN47,'Labor Cost_Master'!$BD$4:$BD$135,0),MATCH(CN$9,'Labor Cost_Master'!$G$3:$BC$3,0)),0)*AM47,0)</f>
        <v>0</v>
      </c>
      <c r="CO47" s="64">
        <f>ROUND(IFERROR(INDEX('Labor Cost_Master'!$G$4:$BC$135,MATCH($DN47,'Labor Cost_Master'!$BD$4:$BD$135,0),MATCH(CO$9,'Labor Cost_Master'!$G$3:$BC$3,0)),0)*AN47,0)</f>
        <v>0</v>
      </c>
      <c r="CP47" s="64">
        <f>ROUND(IFERROR(INDEX('Labor Cost_Master'!$G$4:$BC$135,MATCH($DN47,'Labor Cost_Master'!$BD$4:$BD$135,0),MATCH(CP$9,'Labor Cost_Master'!$G$3:$BC$3,0)),0)*AO47,0)</f>
        <v>0</v>
      </c>
      <c r="CQ47" s="64">
        <f>ROUND(IFERROR(INDEX('Labor Cost_Master'!$G$4:$BC$135,MATCH($DN47,'Labor Cost_Master'!$BD$4:$BD$135,0),MATCH(CQ$9,'Labor Cost_Master'!$G$3:$BC$3,0)),0)*AP47,0)</f>
        <v>0</v>
      </c>
      <c r="CR47" s="64">
        <f>ROUND(IFERROR(INDEX('Labor Cost_Master'!$G$4:$BC$135,MATCH($DN47,'Labor Cost_Master'!$BD$4:$BD$135,0),MATCH(CR$9,'Labor Cost_Master'!$G$3:$BC$3,0)),0)*AQ47,0)</f>
        <v>0</v>
      </c>
      <c r="CS47" s="64">
        <f>ROUND(IFERROR(INDEX('Labor Cost_Master'!$G$4:$BC$135,MATCH($DN47,'Labor Cost_Master'!$BD$4:$BD$135,0),MATCH(CS$9,'Labor Cost_Master'!$G$3:$BC$3,0)),0)*AR47,0)</f>
        <v>0</v>
      </c>
      <c r="CT47" s="64">
        <f>ROUND(IFERROR(INDEX('Labor Cost_Master'!$G$4:$BC$135,MATCH($DN47,'Labor Cost_Master'!$BD$4:$BD$135,0),MATCH(CT$9,'Labor Cost_Master'!$G$3:$BC$3,0)),0)*AS47,0)</f>
        <v>0</v>
      </c>
      <c r="CU47" s="64">
        <f>ROUND(IFERROR(INDEX('Labor Cost_Master'!$G$4:$BC$135,MATCH($DN47,'Labor Cost_Master'!$BD$4:$BD$135,0),MATCH(CU$9,'Labor Cost_Master'!$G$3:$BC$3,0)),0)*AT47,0)</f>
        <v>0</v>
      </c>
      <c r="CV47" s="64">
        <f>ROUND(IFERROR(INDEX('Labor Cost_Master'!$G$4:$BC$135,MATCH($DN47,'Labor Cost_Master'!$BD$4:$BD$135,0),MATCH(CV$9,'Labor Cost_Master'!$G$3:$BC$3,0)),0)*AU47,0)</f>
        <v>0</v>
      </c>
      <c r="CW47" s="64">
        <f>ROUND(IFERROR(INDEX('Labor Cost_Master'!$G$4:$BC$135,MATCH($DN47,'Labor Cost_Master'!$BD$4:$BD$135,0),MATCH(CW$9,'Labor Cost_Master'!$G$3:$BC$3,0)),0)*AV47,0)</f>
        <v>0</v>
      </c>
      <c r="CX47" s="64">
        <f>ROUND(IFERROR(INDEX('Labor Cost_Master'!$G$4:$BC$135,MATCH($DN47,'Labor Cost_Master'!$BD$4:$BD$135,0),MATCH(CX$9,'Labor Cost_Master'!$G$3:$BC$3,0)),0)*AW47,0)</f>
        <v>0</v>
      </c>
      <c r="CY47" s="64">
        <f>ROUND(IFERROR(INDEX('Labor Cost_Master'!$G$4:$BC$135,MATCH($DN47,'Labor Cost_Master'!$BD$4:$BD$135,0),MATCH(CY$9,'Labor Cost_Master'!$G$3:$BC$3,0)),0)*AX47,0)</f>
        <v>0</v>
      </c>
      <c r="CZ47" s="66">
        <f t="shared" si="31"/>
        <v>0</v>
      </c>
      <c r="DA47" s="64">
        <f>ROUND(IFERROR(INDEX('Labor Cost_Master'!$G$4:$BC$135,MATCH($DN47,'Labor Cost_Master'!$BD$4:$BD$135,0),MATCH(DA$9,'Labor Cost_Master'!$G$3:$BC$3,0)),0)*AZ47,0)</f>
        <v>0</v>
      </c>
      <c r="DB47" s="64">
        <f>ROUND(IFERROR(INDEX('Labor Cost_Master'!$G$4:$BC$135,MATCH($DN47,'Labor Cost_Master'!$BD$4:$BD$135,0),MATCH(DB$9,'Labor Cost_Master'!$G$3:$BC$3,0)),0)*BA47,0)</f>
        <v>0</v>
      </c>
      <c r="DC47" s="1166">
        <f>ROUND(IFERROR(INDEX('Labor Cost_Master'!$G$4:$BC$135,MATCH($DN47,'Labor Cost_Master'!$BD$4:$BD$135,0),MATCH(DC$9,'Labor Cost_Master'!$G$3:$BC$3,0)),0)*BB47,0)*1.05</f>
        <v>0</v>
      </c>
      <c r="DD47" s="64">
        <f>ROUND(IFERROR(INDEX('Labor Cost_Master'!$G$4:$BC$135,MATCH($DN47,'Labor Cost_Master'!$BD$4:$BD$135,0),MATCH(DD$9,'Labor Cost_Master'!$G$3:$BC$3,0)),0)*BC47,0)*1.05</f>
        <v>0</v>
      </c>
      <c r="DE47" s="64">
        <f>ROUND(IFERROR(INDEX('Labor Cost_Master'!$G$4:$BC$135,MATCH($DN47,'Labor Cost_Master'!$BD$4:$BD$135,0),MATCH(DE$9,'Labor Cost_Master'!$G$3:$BC$3,0)),0)*BD47,0)*1.05</f>
        <v>0</v>
      </c>
      <c r="DF47" s="64">
        <f>ROUND(IFERROR(INDEX('Labor Cost_Master'!$G$4:$BC$135,MATCH($DN47,'Labor Cost_Master'!$BD$4:$BD$135,0),MATCH(DF$9,'Labor Cost_Master'!$G$3:$BC$3,0)),0)*BE47,0)*1.05</f>
        <v>0</v>
      </c>
      <c r="DG47" s="64">
        <f>ROUND(IFERROR(INDEX('Labor Cost_Master'!$G$4:$BC$135,MATCH($DN47,'Labor Cost_Master'!$BD$4:$BD$135,0),MATCH(DG$9,'Labor Cost_Master'!$G$3:$BC$3,0)),0)*BF47,0)*1.05</f>
        <v>0</v>
      </c>
      <c r="DH47" s="64">
        <f>ROUND(IFERROR(INDEX('Labor Cost_Master'!$G$4:$BC$135,MATCH($DN47,'Labor Cost_Master'!$BD$4:$BD$135,0),MATCH(DH$9,'Labor Cost_Master'!$G$3:$BC$3,0)),0)*BG47,0)*1.05</f>
        <v>0</v>
      </c>
      <c r="DI47" s="64">
        <f>ROUND(IFERROR(INDEX('Labor Cost_Master'!$G$4:$BC$135,MATCH($DN47,'Labor Cost_Master'!$BD$4:$BD$135,0),MATCH(DI$9,'Labor Cost_Master'!$G$3:$BC$3,0)),0)*BH47,0)*1.05</f>
        <v>0</v>
      </c>
      <c r="DJ47" s="64">
        <f>ROUND(IFERROR(INDEX('Labor Cost_Master'!$G$4:$BC$135,MATCH($DN47,'Labor Cost_Master'!$BD$4:$BD$135,0),MATCH(DJ$9,'Labor Cost_Master'!$G$3:$BC$3,0)),0)*BI47,0)*1.05</f>
        <v>0</v>
      </c>
      <c r="DK47" s="64">
        <f>ROUND(IFERROR(INDEX('Labor Cost_Master'!$G$4:$BC$135,MATCH($DN47,'Labor Cost_Master'!$BD$4:$BD$135,0),MATCH(DK$9,'Labor Cost_Master'!$G$3:$BC$3,0)),0)*BJ47,0)*1.05</f>
        <v>0</v>
      </c>
      <c r="DL47" s="64">
        <f>ROUND(IFERROR(INDEX('Labor Cost_Master'!$G$4:$BC$135,MATCH($DN47,'Labor Cost_Master'!$BD$4:$BD$135,0),MATCH(DL$9,'Labor Cost_Master'!$G$3:$BC$3,0)),0)*BK47,0)*1.05</f>
        <v>0</v>
      </c>
      <c r="DM47" s="66">
        <f t="shared" si="32"/>
        <v>0</v>
      </c>
      <c r="DN47" s="80" t="str">
        <f t="shared" si="23"/>
        <v/>
      </c>
      <c r="DO47" s="64">
        <f>ROUND(IFERROR(INDEX(Benefit_Master!$G$4:$BC$135,MATCH($DN47,Benefit_Master!$BD$4:$BD$135,0),MATCH(DO$9,Benefit_Master!$G$3:$BC$3,0)),0)*M47,0)</f>
        <v>0</v>
      </c>
      <c r="DP47" s="64">
        <f>ROUND(IFERROR(INDEX(Benefit_Master!$G$4:$BC$135,MATCH($DN47,Benefit_Master!$BD$4:$BD$135,0),MATCH(DP$9,Benefit_Master!$G$3:$BC$3,0)),0)*N47,0)</f>
        <v>0</v>
      </c>
      <c r="DQ47" s="64">
        <f>ROUND(IFERROR(INDEX(Benefit_Master!$G$4:$BC$135,MATCH($DN47,Benefit_Master!$BD$4:$BD$135,0),MATCH(DQ$9,Benefit_Master!$G$3:$BC$3,0)),0)*O47,0)</f>
        <v>0</v>
      </c>
      <c r="DR47" s="64">
        <f>ROUND(IFERROR(INDEX(Benefit_Master!$G$4:$BC$135,MATCH($DN47,Benefit_Master!$BD$4:$BD$135,0),MATCH(DR$9,Benefit_Master!$G$3:$BC$3,0)),0)*P47,0)</f>
        <v>0</v>
      </c>
      <c r="DS47" s="64">
        <f>ROUND(IFERROR(INDEX(Benefit_Master!$G$4:$BC$135,MATCH($DN47,Benefit_Master!$BD$4:$BD$135,0),MATCH(DS$9,Benefit_Master!$G$3:$BC$3,0)),0)*Q47,0)</f>
        <v>0</v>
      </c>
      <c r="DT47" s="64">
        <f>ROUND(IFERROR(INDEX(Benefit_Master!$G$4:$BC$135,MATCH($DN47,Benefit_Master!$BD$4:$BD$135,0),MATCH(DT$9,Benefit_Master!$G$3:$BC$3,0)),0)*R47,0)</f>
        <v>0</v>
      </c>
      <c r="DU47" s="64">
        <f>ROUND(IFERROR(INDEX(Benefit_Master!$G$4:$BC$135,MATCH($DN47,Benefit_Master!$BD$4:$BD$135,0),MATCH(DU$9,Benefit_Master!$G$3:$BC$3,0)),0)*S47,0)</f>
        <v>0</v>
      </c>
      <c r="DV47" s="64">
        <f>ROUND(IFERROR(INDEX(Benefit_Master!$G$4:$BC$135,MATCH($DN47,Benefit_Master!$BD$4:$BD$135,0),MATCH(DV$9,Benefit_Master!$G$3:$BC$3,0)),0)*T47,0)</f>
        <v>0</v>
      </c>
      <c r="DW47" s="64">
        <f>ROUND(IFERROR(INDEX(Benefit_Master!$G$4:$BC$135,MATCH($DN47,Benefit_Master!$BD$4:$BD$135,0),MATCH(DW$9,Benefit_Master!$G$3:$BC$3,0)),0)*U47,0)</f>
        <v>0</v>
      </c>
      <c r="DX47" s="64">
        <f>ROUND(IFERROR(INDEX(Benefit_Master!$G$4:$BC$135,MATCH($DN47,Benefit_Master!$BD$4:$BD$135,0),MATCH(DX$9,Benefit_Master!$G$3:$BC$3,0)),0)*V47,0)</f>
        <v>0</v>
      </c>
      <c r="DY47" s="64">
        <f>ROUND(IFERROR(INDEX(Benefit_Master!$G$4:$BC$135,MATCH($DN47,Benefit_Master!$BD$4:$BD$135,0),MATCH(DY$9,Benefit_Master!$G$3:$BC$3,0)),0)*W47,0)</f>
        <v>0</v>
      </c>
      <c r="DZ47" s="64">
        <f>ROUND(IFERROR(INDEX(Benefit_Master!$G$4:$BC$135,MATCH($DN47,Benefit_Master!$BD$4:$BD$135,0),MATCH(DZ$9,Benefit_Master!$G$3:$BC$3,0)),0)*X47,0)</f>
        <v>0</v>
      </c>
      <c r="EA47" s="66">
        <f t="shared" si="33"/>
        <v>0</v>
      </c>
      <c r="EB47" s="64">
        <f>ROUND(IFERROR(INDEX(Benefit_Master!$G$4:$BC$135,MATCH($DN47,Benefit_Master!$BD$4:$BD$135,0),MATCH(EB$9,Benefit_Master!$G$3:$BC$3,0)),0)*Z47,0)</f>
        <v>0</v>
      </c>
      <c r="EC47" s="64">
        <f>ROUND(IFERROR(INDEX(Benefit_Master!$G$4:$BC$135,MATCH($DN47,Benefit_Master!$BD$4:$BD$135,0),MATCH(EC$9,Benefit_Master!$G$3:$BC$3,0)),0)*AA47,0)</f>
        <v>0</v>
      </c>
      <c r="ED47" s="64">
        <f>ROUND(IFERROR(INDEX(Benefit_Master!$G$4:$BC$135,MATCH($DN47,Benefit_Master!$BD$4:$BD$135,0),MATCH(ED$9,Benefit_Master!$G$3:$BC$3,0)),0)*AB47,0)</f>
        <v>0</v>
      </c>
      <c r="EE47" s="64">
        <f>ROUND(IFERROR(INDEX(Benefit_Master!$G$4:$BC$135,MATCH($DN47,Benefit_Master!$BD$4:$BD$135,0),MATCH(EE$9,Benefit_Master!$G$3:$BC$3,0)),0)*AC47,0)</f>
        <v>0</v>
      </c>
      <c r="EF47" s="64">
        <f>ROUND(IFERROR(INDEX(Benefit_Master!$G$4:$BC$135,MATCH($DN47,Benefit_Master!$BD$4:$BD$135,0),MATCH(EF$9,Benefit_Master!$G$3:$BC$3,0)),0)*AD47,0)</f>
        <v>0</v>
      </c>
      <c r="EG47" s="64">
        <f>ROUND(IFERROR(INDEX(Benefit_Master!$G$4:$BC$135,MATCH($DN47,Benefit_Master!$BD$4:$BD$135,0),MATCH(EG$9,Benefit_Master!$G$3:$BC$3,0)),0)*AE47,0)</f>
        <v>0</v>
      </c>
      <c r="EH47" s="64">
        <f>ROUND(IFERROR(INDEX(Benefit_Master!$G$4:$BC$135,MATCH($DN47,Benefit_Master!$BD$4:$BD$135,0),MATCH(EH$9,Benefit_Master!$G$3:$BC$3,0)),0)*AF47,0)</f>
        <v>0</v>
      </c>
      <c r="EI47" s="64">
        <f>ROUND(IFERROR(INDEX(Benefit_Master!$G$4:$BC$135,MATCH($DN47,Benefit_Master!$BD$4:$BD$135,0),MATCH(EI$9,Benefit_Master!$G$3:$BC$3,0)),0)*AG47,0)</f>
        <v>0</v>
      </c>
      <c r="EJ47" s="64">
        <f>ROUND(IFERROR(INDEX(Benefit_Master!$G$4:$BC$135,MATCH($DN47,Benefit_Master!$BD$4:$BD$135,0),MATCH(EJ$9,Benefit_Master!$G$3:$BC$3,0)),0)*AH47,0)</f>
        <v>0</v>
      </c>
      <c r="EK47" s="64">
        <f>ROUND(IFERROR(INDEX(Benefit_Master!$G$4:$BC$135,MATCH($DN47,Benefit_Master!$BD$4:$BD$135,0),MATCH(EK$9,Benefit_Master!$G$3:$BC$3,0)),0)*AI47,0)</f>
        <v>0</v>
      </c>
      <c r="EL47" s="64">
        <f>ROUND(IFERROR(INDEX(Benefit_Master!$G$4:$BC$135,MATCH($DN47,Benefit_Master!$BD$4:$BD$135,0),MATCH(EL$9,Benefit_Master!$G$3:$BC$3,0)),0)*AJ47,0)</f>
        <v>0</v>
      </c>
      <c r="EM47" s="64">
        <f>ROUND(IFERROR(INDEX(Benefit_Master!$G$4:$BC$135,MATCH($DN47,Benefit_Master!$BD$4:$BD$135,0),MATCH(EM$9,Benefit_Master!$G$3:$BC$3,0)),0)*AK47,0)</f>
        <v>0</v>
      </c>
      <c r="EN47" s="66">
        <f t="shared" si="34"/>
        <v>0</v>
      </c>
      <c r="EO47" s="64">
        <f>ROUND(IFERROR(INDEX(Benefit_Master!$G$4:$BC$135,MATCH($DN47,Benefit_Master!$BD$4:$BD$135,0),MATCH(EO$9,Benefit_Master!$G$3:$BC$3,0)),0)*AM47,0)</f>
        <v>0</v>
      </c>
      <c r="EP47" s="64">
        <f>ROUND(IFERROR(INDEX(Benefit_Master!$G$4:$BC$135,MATCH($DN47,Benefit_Master!$BD$4:$BD$135,0),MATCH(EP$9,Benefit_Master!$G$3:$BC$3,0)),0)*AN47,0)</f>
        <v>0</v>
      </c>
      <c r="EQ47" s="64">
        <f>ROUND(IFERROR(INDEX(Benefit_Master!$G$4:$BC$135,MATCH($DN47,Benefit_Master!$BD$4:$BD$135,0),MATCH(EQ$9,Benefit_Master!$G$3:$BC$3,0)),0)*AO47,0)</f>
        <v>0</v>
      </c>
      <c r="ER47" s="64">
        <f>ROUND(IFERROR(INDEX(Benefit_Master!$G$4:$BC$135,MATCH($DN47,Benefit_Master!$BD$4:$BD$135,0),MATCH(ER$9,Benefit_Master!$G$3:$BC$3,0)),0)*AP47,0)</f>
        <v>0</v>
      </c>
      <c r="ES47" s="64">
        <f>ROUND(IFERROR(INDEX(Benefit_Master!$G$4:$BC$135,MATCH($DN47,Benefit_Master!$BD$4:$BD$135,0),MATCH(ES$9,Benefit_Master!$G$3:$BC$3,0)),0)*AQ47,0)</f>
        <v>0</v>
      </c>
      <c r="ET47" s="64">
        <f>ROUND(IFERROR(INDEX(Benefit_Master!$G$4:$BC$135,MATCH($DN47,Benefit_Master!$BD$4:$BD$135,0),MATCH(ET$9,Benefit_Master!$G$3:$BC$3,0)),0)*AR47,0)</f>
        <v>0</v>
      </c>
      <c r="EU47" s="64">
        <f>ROUND(IFERROR(INDEX(Benefit_Master!$G$4:$BC$135,MATCH($DN47,Benefit_Master!$BD$4:$BD$135,0),MATCH(EU$9,Benefit_Master!$G$3:$BC$3,0)),0)*AS47,0)</f>
        <v>0</v>
      </c>
      <c r="EV47" s="64">
        <f>ROUND(IFERROR(INDEX(Benefit_Master!$G$4:$BC$135,MATCH($DN47,Benefit_Master!$BD$4:$BD$135,0),MATCH(EV$9,Benefit_Master!$G$3:$BC$3,0)),0)*AT47,0)</f>
        <v>0</v>
      </c>
      <c r="EW47" s="64">
        <f>ROUND(IFERROR(INDEX(Benefit_Master!$G$4:$BC$135,MATCH($DN47,Benefit_Master!$BD$4:$BD$135,0),MATCH(EW$9,Benefit_Master!$G$3:$BC$3,0)),0)*AU47,0)</f>
        <v>0</v>
      </c>
      <c r="EX47" s="64">
        <f>ROUND(IFERROR(INDEX(Benefit_Master!$G$4:$BC$135,MATCH($DN47,Benefit_Master!$BD$4:$BD$135,0),MATCH(EX$9,Benefit_Master!$G$3:$BC$3,0)),0)*AV47,0)</f>
        <v>0</v>
      </c>
      <c r="EY47" s="64">
        <f>ROUND(IFERROR(INDEX(Benefit_Master!$G$4:$BC$135,MATCH($DN47,Benefit_Master!$BD$4:$BD$135,0),MATCH(EY$9,Benefit_Master!$G$3:$BC$3,0)),0)*AW47,0)</f>
        <v>0</v>
      </c>
      <c r="EZ47" s="64">
        <f>ROUND(IFERROR(INDEX(Benefit_Master!$G$4:$BC$135,MATCH($DN47,Benefit_Master!$BD$4:$BD$135,0),MATCH(EZ$9,Benefit_Master!$G$3:$BC$3,0)),0)*AX47,0)</f>
        <v>0</v>
      </c>
      <c r="FA47" s="66">
        <f t="shared" si="35"/>
        <v>0</v>
      </c>
      <c r="FB47" s="64">
        <f>ROUND(IFERROR(INDEX(Benefit_Master!$G$4:$BC$135,MATCH($DN47,Benefit_Master!$BD$4:$BD$135,0),MATCH(FB$9,Benefit_Master!$G$3:$BC$3,0)),0)*AZ47,0)</f>
        <v>0</v>
      </c>
      <c r="FC47" s="64">
        <f>ROUND(IFERROR(INDEX(Benefit_Master!$G$4:$BC$135,MATCH($DN47,Benefit_Master!$BD$4:$BD$135,0),MATCH(FC$9,Benefit_Master!$G$3:$BC$3,0)),0)*BA47,0)</f>
        <v>0</v>
      </c>
      <c r="FD47" s="64">
        <f>ROUND(IFERROR(INDEX(Benefit_Master!$G$4:$BC$135,MATCH($DN47,Benefit_Master!$BD$4:$BD$135,0),MATCH(FD$9,Benefit_Master!$G$3:$BC$3,0)),0)*BB47,0)</f>
        <v>0</v>
      </c>
      <c r="FE47" s="64">
        <f>ROUND(IFERROR(INDEX(Benefit_Master!$G$4:$BC$135,MATCH($DN47,Benefit_Master!$BD$4:$BD$135,0),MATCH(FE$9,Benefit_Master!$G$3:$BC$3,0)),0)*BC47,0)</f>
        <v>0</v>
      </c>
      <c r="FF47" s="64">
        <f>ROUND(IFERROR(INDEX(Benefit_Master!$G$4:$BC$135,MATCH($DN47,Benefit_Master!$BD$4:$BD$135,0),MATCH(FF$9,Benefit_Master!$G$3:$BC$3,0)),0)*BD47,0)</f>
        <v>0</v>
      </c>
      <c r="FG47" s="64">
        <f>ROUND(IFERROR(INDEX(Benefit_Master!$G$4:$BC$135,MATCH($DN47,Benefit_Master!$BD$4:$BD$135,0),MATCH(FG$9,Benefit_Master!$G$3:$BC$3,0)),0)*BE47,0)</f>
        <v>0</v>
      </c>
      <c r="FH47" s="64">
        <f>ROUND(IFERROR(INDEX(Benefit_Master!$G$4:$BC$135,MATCH($DN47,Benefit_Master!$BD$4:$BD$135,0),MATCH(FH$9,Benefit_Master!$G$3:$BC$3,0)),0)*BF47,0)</f>
        <v>0</v>
      </c>
      <c r="FI47" s="64">
        <f>ROUND(IFERROR(INDEX(Benefit_Master!$G$4:$BC$135,MATCH($DN47,Benefit_Master!$BD$4:$BD$135,0),MATCH(FI$9,Benefit_Master!$G$3:$BC$3,0)),0)*BG47,0)</f>
        <v>0</v>
      </c>
      <c r="FJ47" s="64">
        <f>ROUND(IFERROR(INDEX(Benefit_Master!$G$4:$BC$135,MATCH($DN47,Benefit_Master!$BD$4:$BD$135,0),MATCH(FJ$9,Benefit_Master!$G$3:$BC$3,0)),0)*BH47,0)</f>
        <v>0</v>
      </c>
      <c r="FK47" s="64">
        <f>ROUND(IFERROR(INDEX(Benefit_Master!$G$4:$BC$135,MATCH($DN47,Benefit_Master!$BD$4:$BD$135,0),MATCH(FK$9,Benefit_Master!$G$3:$BC$3,0)),0)*BI47,0)</f>
        <v>0</v>
      </c>
      <c r="FL47" s="64">
        <f>ROUND(IFERROR(INDEX(Benefit_Master!$G$4:$BC$135,MATCH($DN47,Benefit_Master!$BD$4:$BD$135,0),MATCH(FL$9,Benefit_Master!$G$3:$BC$3,0)),0)*BJ47,0)</f>
        <v>0</v>
      </c>
      <c r="FM47" s="64">
        <f>ROUND(IFERROR(INDEX(Benefit_Master!$G$4:$BC$135,MATCH($DN47,Benefit_Master!$BD$4:$BD$135,0),MATCH(FM$9,Benefit_Master!$G$3:$BC$3,0)),0)*BK47,0)</f>
        <v>0</v>
      </c>
      <c r="FN47" s="66">
        <f t="shared" si="36"/>
        <v>0</v>
      </c>
    </row>
    <row r="48" spans="2:170" s="12" customFormat="1" ht="15" customHeight="1">
      <c r="B48" s="93">
        <f t="shared" si="28"/>
        <v>36</v>
      </c>
      <c r="C48" s="89"/>
      <c r="D48" s="97"/>
      <c r="E48" s="1157"/>
      <c r="F48" s="425"/>
      <c r="G48" s="94" t="str">
        <f>IFERROR(VLOOKUP($F48,Master!$B$1:$C$7,2,0),"-")</f>
        <v>-</v>
      </c>
      <c r="H48" s="95">
        <f t="shared" si="12"/>
        <v>0</v>
      </c>
      <c r="I48" s="138">
        <f t="shared" si="13"/>
        <v>0</v>
      </c>
      <c r="J48" s="138">
        <f t="shared" si="14"/>
        <v>0</v>
      </c>
      <c r="K48" s="96"/>
      <c r="L48"/>
      <c r="M48" s="58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60">
        <f t="shared" si="15"/>
        <v>0</v>
      </c>
      <c r="Z48" s="58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60">
        <f t="shared" si="16"/>
        <v>0</v>
      </c>
      <c r="AM48" s="58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60">
        <f t="shared" si="17"/>
        <v>0</v>
      </c>
      <c r="AZ48" s="58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60">
        <f t="shared" si="18"/>
        <v>0</v>
      </c>
      <c r="BM48"/>
      <c r="BN48" s="64">
        <f>ROUND(IFERROR(INDEX('Labor Cost_Master'!$G$4:$BC$135,MATCH($DN48,'Labor Cost_Master'!$BD$4:$BD$135,0),MATCH(BN$9,'Labor Cost_Master'!$G$3:$BC$3,0)),0)*M48,0)</f>
        <v>0</v>
      </c>
      <c r="BO48" s="64">
        <f>ROUND(IFERROR(INDEX('Labor Cost_Master'!$G$4:$BC$135,MATCH($DN48,'Labor Cost_Master'!$BD$4:$BD$135,0),MATCH(BO$9,'Labor Cost_Master'!$G$3:$BC$3,0)),0)*N48,0)</f>
        <v>0</v>
      </c>
      <c r="BP48" s="64">
        <f>ROUND(IFERROR(INDEX('Labor Cost_Master'!$G$4:$BC$135,MATCH($DN48,'Labor Cost_Master'!$BD$4:$BD$135,0),MATCH(BP$9,'Labor Cost_Master'!$G$3:$BC$3,0)),0)*O48,0)</f>
        <v>0</v>
      </c>
      <c r="BQ48" s="64">
        <f>ROUND(IFERROR(INDEX('Labor Cost_Master'!$G$4:$BC$135,MATCH($DN48,'Labor Cost_Master'!$BD$4:$BD$135,0),MATCH(BQ$9,'Labor Cost_Master'!$G$3:$BC$3,0)),0)*P48,0)</f>
        <v>0</v>
      </c>
      <c r="BR48" s="64">
        <f>ROUND(IFERROR(INDEX('Labor Cost_Master'!$G$4:$BC$135,MATCH($DN48,'Labor Cost_Master'!$BD$4:$BD$135,0),MATCH(BR$9,'Labor Cost_Master'!$G$3:$BC$3,0)),0)*Q48,0)</f>
        <v>0</v>
      </c>
      <c r="BS48" s="64">
        <f>ROUND(IFERROR(INDEX('Labor Cost_Master'!$G$4:$BC$135,MATCH($DN48,'Labor Cost_Master'!$BD$4:$BD$135,0),MATCH(BS$9,'Labor Cost_Master'!$G$3:$BC$3,0)),0)*R48,0)</f>
        <v>0</v>
      </c>
      <c r="BT48" s="64">
        <f>ROUND(IFERROR(INDEX('Labor Cost_Master'!$G$4:$BC$135,MATCH($DN48,'Labor Cost_Master'!$BD$4:$BD$135,0),MATCH(BT$9,'Labor Cost_Master'!$G$3:$BC$3,0)),0)*S48,0)</f>
        <v>0</v>
      </c>
      <c r="BU48" s="64">
        <f>ROUND(IFERROR(INDEX('Labor Cost_Master'!$G$4:$BC$135,MATCH($DN48,'Labor Cost_Master'!$BD$4:$BD$135,0),MATCH(BU$9,'Labor Cost_Master'!$G$3:$BC$3,0)),0)*T48,0)</f>
        <v>0</v>
      </c>
      <c r="BV48" s="64">
        <f>ROUND(IFERROR(INDEX('Labor Cost_Master'!$G$4:$BC$135,MATCH($DN48,'Labor Cost_Master'!$BD$4:$BD$135,0),MATCH(BV$9,'Labor Cost_Master'!$G$3:$BC$3,0)),0)*U48,0)</f>
        <v>0</v>
      </c>
      <c r="BW48" s="64">
        <f>ROUND(IFERROR(INDEX('Labor Cost_Master'!$G$4:$BC$135,MATCH($DN48,'Labor Cost_Master'!$BD$4:$BD$135,0),MATCH(BW$9,'Labor Cost_Master'!$G$3:$BC$3,0)),0)*V48,0)</f>
        <v>0</v>
      </c>
      <c r="BX48" s="64">
        <f>ROUND(IFERROR(INDEX('Labor Cost_Master'!$G$4:$BC$135,MATCH($DN48,'Labor Cost_Master'!$BD$4:$BD$135,0),MATCH(BX$9,'Labor Cost_Master'!$G$3:$BC$3,0)),0)*W48,0)</f>
        <v>0</v>
      </c>
      <c r="BY48" s="64">
        <f>ROUND(IFERROR(INDEX('Labor Cost_Master'!$G$4:$BC$135,MATCH($DN48,'Labor Cost_Master'!$BD$4:$BD$135,0),MATCH(BY$9,'Labor Cost_Master'!$G$3:$BC$3,0)),0)*X48,0)</f>
        <v>0</v>
      </c>
      <c r="BZ48" s="66">
        <f t="shared" si="29"/>
        <v>0</v>
      </c>
      <c r="CA48" s="64">
        <f>ROUND(IFERROR(INDEX('Labor Cost_Master'!$G$4:$BC$135,MATCH($DN48,'Labor Cost_Master'!$BD$4:$BD$135,0),MATCH(CA$9,'Labor Cost_Master'!$G$3:$BC$3,0)),0)*Z48,0)</f>
        <v>0</v>
      </c>
      <c r="CB48" s="64">
        <f>ROUND(IFERROR(INDEX('Labor Cost_Master'!$G$4:$BC$135,MATCH($DN48,'Labor Cost_Master'!$BD$4:$BD$135,0),MATCH(CB$9,'Labor Cost_Master'!$G$3:$BC$3,0)),0)*AA48,0)</f>
        <v>0</v>
      </c>
      <c r="CC48" s="64">
        <f>ROUND(IFERROR(INDEX('Labor Cost_Master'!$G$4:$BC$135,MATCH($DN48,'Labor Cost_Master'!$BD$4:$BD$135,0),MATCH(CC$9,'Labor Cost_Master'!$G$3:$BC$3,0)),0)*AB48,0)</f>
        <v>0</v>
      </c>
      <c r="CD48" s="64">
        <f>ROUND(IFERROR(INDEX('Labor Cost_Master'!$G$4:$BC$135,MATCH($DN48,'Labor Cost_Master'!$BD$4:$BD$135,0),MATCH(CD$9,'Labor Cost_Master'!$G$3:$BC$3,0)),0)*AC48,0)</f>
        <v>0</v>
      </c>
      <c r="CE48" s="64">
        <f>ROUND(IFERROR(INDEX('Labor Cost_Master'!$G$4:$BC$135,MATCH($DN48,'Labor Cost_Master'!$BD$4:$BD$135,0),MATCH(CE$9,'Labor Cost_Master'!$G$3:$BC$3,0)),0)*AD48,0)</f>
        <v>0</v>
      </c>
      <c r="CF48" s="64">
        <f>ROUND(IFERROR(INDEX('Labor Cost_Master'!$G$4:$BC$135,MATCH($DN48,'Labor Cost_Master'!$BD$4:$BD$135,0),MATCH(CF$9,'Labor Cost_Master'!$G$3:$BC$3,0)),0)*AE48,0)</f>
        <v>0</v>
      </c>
      <c r="CG48" s="64">
        <f>ROUND(IFERROR(INDEX('Labor Cost_Master'!$G$4:$BC$135,MATCH($DN48,'Labor Cost_Master'!$BD$4:$BD$135,0),MATCH(CG$9,'Labor Cost_Master'!$G$3:$BC$3,0)),0)*AF48,0)</f>
        <v>0</v>
      </c>
      <c r="CH48" s="64">
        <f>ROUND(IFERROR(INDEX('Labor Cost_Master'!$G$4:$BC$135,MATCH($DN48,'Labor Cost_Master'!$BD$4:$BD$135,0),MATCH(CH$9,'Labor Cost_Master'!$G$3:$BC$3,0)),0)*AG48,0)</f>
        <v>0</v>
      </c>
      <c r="CI48" s="64">
        <f>ROUND(IFERROR(INDEX('Labor Cost_Master'!$G$4:$BC$135,MATCH($DN48,'Labor Cost_Master'!$BD$4:$BD$135,0),MATCH(CI$9,'Labor Cost_Master'!$G$3:$BC$3,0)),0)*AH48,0)</f>
        <v>0</v>
      </c>
      <c r="CJ48" s="64">
        <f>ROUND(IFERROR(INDEX('Labor Cost_Master'!$G$4:$BC$135,MATCH($DN48,'Labor Cost_Master'!$BD$4:$BD$135,0),MATCH(CJ$9,'Labor Cost_Master'!$G$3:$BC$3,0)),0)*AI48,0)</f>
        <v>0</v>
      </c>
      <c r="CK48" s="64">
        <f>ROUND(IFERROR(INDEX('Labor Cost_Master'!$G$4:$BC$135,MATCH($DN48,'Labor Cost_Master'!$BD$4:$BD$135,0),MATCH(CK$9,'Labor Cost_Master'!$G$3:$BC$3,0)),0)*AJ48,0)</f>
        <v>0</v>
      </c>
      <c r="CL48" s="64">
        <f>ROUND(IFERROR(INDEX('Labor Cost_Master'!$G$4:$BC$135,MATCH($DN48,'Labor Cost_Master'!$BD$4:$BD$135,0),MATCH(CL$9,'Labor Cost_Master'!$G$3:$BC$3,0)),0)*AK48,0)</f>
        <v>0</v>
      </c>
      <c r="CM48" s="66">
        <f t="shared" si="30"/>
        <v>0</v>
      </c>
      <c r="CN48" s="64">
        <f>ROUND(IFERROR(INDEX('Labor Cost_Master'!$G$4:$BC$135,MATCH($DN48,'Labor Cost_Master'!$BD$4:$BD$135,0),MATCH(CN$9,'Labor Cost_Master'!$G$3:$BC$3,0)),0)*AM48,0)</f>
        <v>0</v>
      </c>
      <c r="CO48" s="64">
        <f>ROUND(IFERROR(INDEX('Labor Cost_Master'!$G$4:$BC$135,MATCH($DN48,'Labor Cost_Master'!$BD$4:$BD$135,0),MATCH(CO$9,'Labor Cost_Master'!$G$3:$BC$3,0)),0)*AN48,0)</f>
        <v>0</v>
      </c>
      <c r="CP48" s="64">
        <f>ROUND(IFERROR(INDEX('Labor Cost_Master'!$G$4:$BC$135,MATCH($DN48,'Labor Cost_Master'!$BD$4:$BD$135,0),MATCH(CP$9,'Labor Cost_Master'!$G$3:$BC$3,0)),0)*AO48,0)</f>
        <v>0</v>
      </c>
      <c r="CQ48" s="64">
        <f>ROUND(IFERROR(INDEX('Labor Cost_Master'!$G$4:$BC$135,MATCH($DN48,'Labor Cost_Master'!$BD$4:$BD$135,0),MATCH(CQ$9,'Labor Cost_Master'!$G$3:$BC$3,0)),0)*AP48,0)</f>
        <v>0</v>
      </c>
      <c r="CR48" s="64">
        <f>ROUND(IFERROR(INDEX('Labor Cost_Master'!$G$4:$BC$135,MATCH($DN48,'Labor Cost_Master'!$BD$4:$BD$135,0),MATCH(CR$9,'Labor Cost_Master'!$G$3:$BC$3,0)),0)*AQ48,0)</f>
        <v>0</v>
      </c>
      <c r="CS48" s="64">
        <f>ROUND(IFERROR(INDEX('Labor Cost_Master'!$G$4:$BC$135,MATCH($DN48,'Labor Cost_Master'!$BD$4:$BD$135,0),MATCH(CS$9,'Labor Cost_Master'!$G$3:$BC$3,0)),0)*AR48,0)</f>
        <v>0</v>
      </c>
      <c r="CT48" s="64">
        <f>ROUND(IFERROR(INDEX('Labor Cost_Master'!$G$4:$BC$135,MATCH($DN48,'Labor Cost_Master'!$BD$4:$BD$135,0),MATCH(CT$9,'Labor Cost_Master'!$G$3:$BC$3,0)),0)*AS48,0)</f>
        <v>0</v>
      </c>
      <c r="CU48" s="64">
        <f>ROUND(IFERROR(INDEX('Labor Cost_Master'!$G$4:$BC$135,MATCH($DN48,'Labor Cost_Master'!$BD$4:$BD$135,0),MATCH(CU$9,'Labor Cost_Master'!$G$3:$BC$3,0)),0)*AT48,0)</f>
        <v>0</v>
      </c>
      <c r="CV48" s="64">
        <f>ROUND(IFERROR(INDEX('Labor Cost_Master'!$G$4:$BC$135,MATCH($DN48,'Labor Cost_Master'!$BD$4:$BD$135,0),MATCH(CV$9,'Labor Cost_Master'!$G$3:$BC$3,0)),0)*AU48,0)</f>
        <v>0</v>
      </c>
      <c r="CW48" s="64">
        <f>ROUND(IFERROR(INDEX('Labor Cost_Master'!$G$4:$BC$135,MATCH($DN48,'Labor Cost_Master'!$BD$4:$BD$135,0),MATCH(CW$9,'Labor Cost_Master'!$G$3:$BC$3,0)),0)*AV48,0)</f>
        <v>0</v>
      </c>
      <c r="CX48" s="64">
        <f>ROUND(IFERROR(INDEX('Labor Cost_Master'!$G$4:$BC$135,MATCH($DN48,'Labor Cost_Master'!$BD$4:$BD$135,0),MATCH(CX$9,'Labor Cost_Master'!$G$3:$BC$3,0)),0)*AW48,0)</f>
        <v>0</v>
      </c>
      <c r="CY48" s="64">
        <f>ROUND(IFERROR(INDEX('Labor Cost_Master'!$G$4:$BC$135,MATCH($DN48,'Labor Cost_Master'!$BD$4:$BD$135,0),MATCH(CY$9,'Labor Cost_Master'!$G$3:$BC$3,0)),0)*AX48,0)</f>
        <v>0</v>
      </c>
      <c r="CZ48" s="66">
        <f t="shared" si="31"/>
        <v>0</v>
      </c>
      <c r="DA48" s="64">
        <f>ROUND(IFERROR(INDEX('Labor Cost_Master'!$G$4:$BC$135,MATCH($DN48,'Labor Cost_Master'!$BD$4:$BD$135,0),MATCH(DA$9,'Labor Cost_Master'!$G$3:$BC$3,0)),0)*AZ48,0)</f>
        <v>0</v>
      </c>
      <c r="DB48" s="64">
        <f>ROUND(IFERROR(INDEX('Labor Cost_Master'!$G$4:$BC$135,MATCH($DN48,'Labor Cost_Master'!$BD$4:$BD$135,0),MATCH(DB$9,'Labor Cost_Master'!$G$3:$BC$3,0)),0)*BA48,0)</f>
        <v>0</v>
      </c>
      <c r="DC48" s="1166">
        <f>ROUND(IFERROR(INDEX('Labor Cost_Master'!$G$4:$BC$135,MATCH($DN48,'Labor Cost_Master'!$BD$4:$BD$135,0),MATCH(DC$9,'Labor Cost_Master'!$G$3:$BC$3,0)),0)*BB48,0)*1.05</f>
        <v>0</v>
      </c>
      <c r="DD48" s="64">
        <f>ROUND(IFERROR(INDEX('Labor Cost_Master'!$G$4:$BC$135,MATCH($DN48,'Labor Cost_Master'!$BD$4:$BD$135,0),MATCH(DD$9,'Labor Cost_Master'!$G$3:$BC$3,0)),0)*BC48,0)*1.05</f>
        <v>0</v>
      </c>
      <c r="DE48" s="64">
        <f>ROUND(IFERROR(INDEX('Labor Cost_Master'!$G$4:$BC$135,MATCH($DN48,'Labor Cost_Master'!$BD$4:$BD$135,0),MATCH(DE$9,'Labor Cost_Master'!$G$3:$BC$3,0)),0)*BD48,0)*1.05</f>
        <v>0</v>
      </c>
      <c r="DF48" s="64">
        <f>ROUND(IFERROR(INDEX('Labor Cost_Master'!$G$4:$BC$135,MATCH($DN48,'Labor Cost_Master'!$BD$4:$BD$135,0),MATCH(DF$9,'Labor Cost_Master'!$G$3:$BC$3,0)),0)*BE48,0)*1.05</f>
        <v>0</v>
      </c>
      <c r="DG48" s="64">
        <f>ROUND(IFERROR(INDEX('Labor Cost_Master'!$G$4:$BC$135,MATCH($DN48,'Labor Cost_Master'!$BD$4:$BD$135,0),MATCH(DG$9,'Labor Cost_Master'!$G$3:$BC$3,0)),0)*BF48,0)*1.05</f>
        <v>0</v>
      </c>
      <c r="DH48" s="64">
        <f>ROUND(IFERROR(INDEX('Labor Cost_Master'!$G$4:$BC$135,MATCH($DN48,'Labor Cost_Master'!$BD$4:$BD$135,0),MATCH(DH$9,'Labor Cost_Master'!$G$3:$BC$3,0)),0)*BG48,0)*1.05</f>
        <v>0</v>
      </c>
      <c r="DI48" s="64">
        <f>ROUND(IFERROR(INDEX('Labor Cost_Master'!$G$4:$BC$135,MATCH($DN48,'Labor Cost_Master'!$BD$4:$BD$135,0),MATCH(DI$9,'Labor Cost_Master'!$G$3:$BC$3,0)),0)*BH48,0)*1.05</f>
        <v>0</v>
      </c>
      <c r="DJ48" s="64">
        <f>ROUND(IFERROR(INDEX('Labor Cost_Master'!$G$4:$BC$135,MATCH($DN48,'Labor Cost_Master'!$BD$4:$BD$135,0),MATCH(DJ$9,'Labor Cost_Master'!$G$3:$BC$3,0)),0)*BI48,0)*1.05</f>
        <v>0</v>
      </c>
      <c r="DK48" s="64">
        <f>ROUND(IFERROR(INDEX('Labor Cost_Master'!$G$4:$BC$135,MATCH($DN48,'Labor Cost_Master'!$BD$4:$BD$135,0),MATCH(DK$9,'Labor Cost_Master'!$G$3:$BC$3,0)),0)*BJ48,0)*1.05</f>
        <v>0</v>
      </c>
      <c r="DL48" s="64">
        <f>ROUND(IFERROR(INDEX('Labor Cost_Master'!$G$4:$BC$135,MATCH($DN48,'Labor Cost_Master'!$BD$4:$BD$135,0),MATCH(DL$9,'Labor Cost_Master'!$G$3:$BC$3,0)),0)*BK48,0)*1.05</f>
        <v>0</v>
      </c>
      <c r="DM48" s="66">
        <f t="shared" si="32"/>
        <v>0</v>
      </c>
      <c r="DN48" s="80" t="str">
        <f t="shared" si="23"/>
        <v/>
      </c>
      <c r="DO48" s="64">
        <f>ROUND(IFERROR(INDEX(Benefit_Master!$G$4:$BC$135,MATCH($DN48,Benefit_Master!$BD$4:$BD$135,0),MATCH(DO$9,Benefit_Master!$G$3:$BC$3,0)),0)*M48,0)</f>
        <v>0</v>
      </c>
      <c r="DP48" s="64">
        <f>ROUND(IFERROR(INDEX(Benefit_Master!$G$4:$BC$135,MATCH($DN48,Benefit_Master!$BD$4:$BD$135,0),MATCH(DP$9,Benefit_Master!$G$3:$BC$3,0)),0)*N48,0)</f>
        <v>0</v>
      </c>
      <c r="DQ48" s="64">
        <f>ROUND(IFERROR(INDEX(Benefit_Master!$G$4:$BC$135,MATCH($DN48,Benefit_Master!$BD$4:$BD$135,0),MATCH(DQ$9,Benefit_Master!$G$3:$BC$3,0)),0)*O48,0)</f>
        <v>0</v>
      </c>
      <c r="DR48" s="64">
        <f>ROUND(IFERROR(INDEX(Benefit_Master!$G$4:$BC$135,MATCH($DN48,Benefit_Master!$BD$4:$BD$135,0),MATCH(DR$9,Benefit_Master!$G$3:$BC$3,0)),0)*P48,0)</f>
        <v>0</v>
      </c>
      <c r="DS48" s="64">
        <f>ROUND(IFERROR(INDEX(Benefit_Master!$G$4:$BC$135,MATCH($DN48,Benefit_Master!$BD$4:$BD$135,0),MATCH(DS$9,Benefit_Master!$G$3:$BC$3,0)),0)*Q48,0)</f>
        <v>0</v>
      </c>
      <c r="DT48" s="64">
        <f>ROUND(IFERROR(INDEX(Benefit_Master!$G$4:$BC$135,MATCH($DN48,Benefit_Master!$BD$4:$BD$135,0),MATCH(DT$9,Benefit_Master!$G$3:$BC$3,0)),0)*R48,0)</f>
        <v>0</v>
      </c>
      <c r="DU48" s="64">
        <f>ROUND(IFERROR(INDEX(Benefit_Master!$G$4:$BC$135,MATCH($DN48,Benefit_Master!$BD$4:$BD$135,0),MATCH(DU$9,Benefit_Master!$G$3:$BC$3,0)),0)*S48,0)</f>
        <v>0</v>
      </c>
      <c r="DV48" s="64">
        <f>ROUND(IFERROR(INDEX(Benefit_Master!$G$4:$BC$135,MATCH($DN48,Benefit_Master!$BD$4:$BD$135,0),MATCH(DV$9,Benefit_Master!$G$3:$BC$3,0)),0)*T48,0)</f>
        <v>0</v>
      </c>
      <c r="DW48" s="64">
        <f>ROUND(IFERROR(INDEX(Benefit_Master!$G$4:$BC$135,MATCH($DN48,Benefit_Master!$BD$4:$BD$135,0),MATCH(DW$9,Benefit_Master!$G$3:$BC$3,0)),0)*U48,0)</f>
        <v>0</v>
      </c>
      <c r="DX48" s="64">
        <f>ROUND(IFERROR(INDEX(Benefit_Master!$G$4:$BC$135,MATCH($DN48,Benefit_Master!$BD$4:$BD$135,0),MATCH(DX$9,Benefit_Master!$G$3:$BC$3,0)),0)*V48,0)</f>
        <v>0</v>
      </c>
      <c r="DY48" s="64">
        <f>ROUND(IFERROR(INDEX(Benefit_Master!$G$4:$BC$135,MATCH($DN48,Benefit_Master!$BD$4:$BD$135,0),MATCH(DY$9,Benefit_Master!$G$3:$BC$3,0)),0)*W48,0)</f>
        <v>0</v>
      </c>
      <c r="DZ48" s="64">
        <f>ROUND(IFERROR(INDEX(Benefit_Master!$G$4:$BC$135,MATCH($DN48,Benefit_Master!$BD$4:$BD$135,0),MATCH(DZ$9,Benefit_Master!$G$3:$BC$3,0)),0)*X48,0)</f>
        <v>0</v>
      </c>
      <c r="EA48" s="66">
        <f t="shared" si="33"/>
        <v>0</v>
      </c>
      <c r="EB48" s="64">
        <f>ROUND(IFERROR(INDEX(Benefit_Master!$G$4:$BC$135,MATCH($DN48,Benefit_Master!$BD$4:$BD$135,0),MATCH(EB$9,Benefit_Master!$G$3:$BC$3,0)),0)*Z48,0)</f>
        <v>0</v>
      </c>
      <c r="EC48" s="64">
        <f>ROUND(IFERROR(INDEX(Benefit_Master!$G$4:$BC$135,MATCH($DN48,Benefit_Master!$BD$4:$BD$135,0),MATCH(EC$9,Benefit_Master!$G$3:$BC$3,0)),0)*AA48,0)</f>
        <v>0</v>
      </c>
      <c r="ED48" s="64">
        <f>ROUND(IFERROR(INDEX(Benefit_Master!$G$4:$BC$135,MATCH($DN48,Benefit_Master!$BD$4:$BD$135,0),MATCH(ED$9,Benefit_Master!$G$3:$BC$3,0)),0)*AB48,0)</f>
        <v>0</v>
      </c>
      <c r="EE48" s="64">
        <f>ROUND(IFERROR(INDEX(Benefit_Master!$G$4:$BC$135,MATCH($DN48,Benefit_Master!$BD$4:$BD$135,0),MATCH(EE$9,Benefit_Master!$G$3:$BC$3,0)),0)*AC48,0)</f>
        <v>0</v>
      </c>
      <c r="EF48" s="64">
        <f>ROUND(IFERROR(INDEX(Benefit_Master!$G$4:$BC$135,MATCH($DN48,Benefit_Master!$BD$4:$BD$135,0),MATCH(EF$9,Benefit_Master!$G$3:$BC$3,0)),0)*AD48,0)</f>
        <v>0</v>
      </c>
      <c r="EG48" s="64">
        <f>ROUND(IFERROR(INDEX(Benefit_Master!$G$4:$BC$135,MATCH($DN48,Benefit_Master!$BD$4:$BD$135,0),MATCH(EG$9,Benefit_Master!$G$3:$BC$3,0)),0)*AE48,0)</f>
        <v>0</v>
      </c>
      <c r="EH48" s="64">
        <f>ROUND(IFERROR(INDEX(Benefit_Master!$G$4:$BC$135,MATCH($DN48,Benefit_Master!$BD$4:$BD$135,0),MATCH(EH$9,Benefit_Master!$G$3:$BC$3,0)),0)*AF48,0)</f>
        <v>0</v>
      </c>
      <c r="EI48" s="64">
        <f>ROUND(IFERROR(INDEX(Benefit_Master!$G$4:$BC$135,MATCH($DN48,Benefit_Master!$BD$4:$BD$135,0),MATCH(EI$9,Benefit_Master!$G$3:$BC$3,0)),0)*AG48,0)</f>
        <v>0</v>
      </c>
      <c r="EJ48" s="64">
        <f>ROUND(IFERROR(INDEX(Benefit_Master!$G$4:$BC$135,MATCH($DN48,Benefit_Master!$BD$4:$BD$135,0),MATCH(EJ$9,Benefit_Master!$G$3:$BC$3,0)),0)*AH48,0)</f>
        <v>0</v>
      </c>
      <c r="EK48" s="64">
        <f>ROUND(IFERROR(INDEX(Benefit_Master!$G$4:$BC$135,MATCH($DN48,Benefit_Master!$BD$4:$BD$135,0),MATCH(EK$9,Benefit_Master!$G$3:$BC$3,0)),0)*AI48,0)</f>
        <v>0</v>
      </c>
      <c r="EL48" s="64">
        <f>ROUND(IFERROR(INDEX(Benefit_Master!$G$4:$BC$135,MATCH($DN48,Benefit_Master!$BD$4:$BD$135,0),MATCH(EL$9,Benefit_Master!$G$3:$BC$3,0)),0)*AJ48,0)</f>
        <v>0</v>
      </c>
      <c r="EM48" s="64">
        <f>ROUND(IFERROR(INDEX(Benefit_Master!$G$4:$BC$135,MATCH($DN48,Benefit_Master!$BD$4:$BD$135,0),MATCH(EM$9,Benefit_Master!$G$3:$BC$3,0)),0)*AK48,0)</f>
        <v>0</v>
      </c>
      <c r="EN48" s="66">
        <f t="shared" si="34"/>
        <v>0</v>
      </c>
      <c r="EO48" s="64">
        <f>ROUND(IFERROR(INDEX(Benefit_Master!$G$4:$BC$135,MATCH($DN48,Benefit_Master!$BD$4:$BD$135,0),MATCH(EO$9,Benefit_Master!$G$3:$BC$3,0)),0)*AM48,0)</f>
        <v>0</v>
      </c>
      <c r="EP48" s="64">
        <f>ROUND(IFERROR(INDEX(Benefit_Master!$G$4:$BC$135,MATCH($DN48,Benefit_Master!$BD$4:$BD$135,0),MATCH(EP$9,Benefit_Master!$G$3:$BC$3,0)),0)*AN48,0)</f>
        <v>0</v>
      </c>
      <c r="EQ48" s="64">
        <f>ROUND(IFERROR(INDEX(Benefit_Master!$G$4:$BC$135,MATCH($DN48,Benefit_Master!$BD$4:$BD$135,0),MATCH(EQ$9,Benefit_Master!$G$3:$BC$3,0)),0)*AO48,0)</f>
        <v>0</v>
      </c>
      <c r="ER48" s="64">
        <f>ROUND(IFERROR(INDEX(Benefit_Master!$G$4:$BC$135,MATCH($DN48,Benefit_Master!$BD$4:$BD$135,0),MATCH(ER$9,Benefit_Master!$G$3:$BC$3,0)),0)*AP48,0)</f>
        <v>0</v>
      </c>
      <c r="ES48" s="64">
        <f>ROUND(IFERROR(INDEX(Benefit_Master!$G$4:$BC$135,MATCH($DN48,Benefit_Master!$BD$4:$BD$135,0),MATCH(ES$9,Benefit_Master!$G$3:$BC$3,0)),0)*AQ48,0)</f>
        <v>0</v>
      </c>
      <c r="ET48" s="64">
        <f>ROUND(IFERROR(INDEX(Benefit_Master!$G$4:$BC$135,MATCH($DN48,Benefit_Master!$BD$4:$BD$135,0),MATCH(ET$9,Benefit_Master!$G$3:$BC$3,0)),0)*AR48,0)</f>
        <v>0</v>
      </c>
      <c r="EU48" s="64">
        <f>ROUND(IFERROR(INDEX(Benefit_Master!$G$4:$BC$135,MATCH($DN48,Benefit_Master!$BD$4:$BD$135,0),MATCH(EU$9,Benefit_Master!$G$3:$BC$3,0)),0)*AS48,0)</f>
        <v>0</v>
      </c>
      <c r="EV48" s="64">
        <f>ROUND(IFERROR(INDEX(Benefit_Master!$G$4:$BC$135,MATCH($DN48,Benefit_Master!$BD$4:$BD$135,0),MATCH(EV$9,Benefit_Master!$G$3:$BC$3,0)),0)*AT48,0)</f>
        <v>0</v>
      </c>
      <c r="EW48" s="64">
        <f>ROUND(IFERROR(INDEX(Benefit_Master!$G$4:$BC$135,MATCH($DN48,Benefit_Master!$BD$4:$BD$135,0),MATCH(EW$9,Benefit_Master!$G$3:$BC$3,0)),0)*AU48,0)</f>
        <v>0</v>
      </c>
      <c r="EX48" s="64">
        <f>ROUND(IFERROR(INDEX(Benefit_Master!$G$4:$BC$135,MATCH($DN48,Benefit_Master!$BD$4:$BD$135,0),MATCH(EX$9,Benefit_Master!$G$3:$BC$3,0)),0)*AV48,0)</f>
        <v>0</v>
      </c>
      <c r="EY48" s="64">
        <f>ROUND(IFERROR(INDEX(Benefit_Master!$G$4:$BC$135,MATCH($DN48,Benefit_Master!$BD$4:$BD$135,0),MATCH(EY$9,Benefit_Master!$G$3:$BC$3,0)),0)*AW48,0)</f>
        <v>0</v>
      </c>
      <c r="EZ48" s="64">
        <f>ROUND(IFERROR(INDEX(Benefit_Master!$G$4:$BC$135,MATCH($DN48,Benefit_Master!$BD$4:$BD$135,0),MATCH(EZ$9,Benefit_Master!$G$3:$BC$3,0)),0)*AX48,0)</f>
        <v>0</v>
      </c>
      <c r="FA48" s="66">
        <f t="shared" si="35"/>
        <v>0</v>
      </c>
      <c r="FB48" s="64">
        <f>ROUND(IFERROR(INDEX(Benefit_Master!$G$4:$BC$135,MATCH($DN48,Benefit_Master!$BD$4:$BD$135,0),MATCH(FB$9,Benefit_Master!$G$3:$BC$3,0)),0)*AZ48,0)</f>
        <v>0</v>
      </c>
      <c r="FC48" s="64">
        <f>ROUND(IFERROR(INDEX(Benefit_Master!$G$4:$BC$135,MATCH($DN48,Benefit_Master!$BD$4:$BD$135,0),MATCH(FC$9,Benefit_Master!$G$3:$BC$3,0)),0)*BA48,0)</f>
        <v>0</v>
      </c>
      <c r="FD48" s="64">
        <f>ROUND(IFERROR(INDEX(Benefit_Master!$G$4:$BC$135,MATCH($DN48,Benefit_Master!$BD$4:$BD$135,0),MATCH(FD$9,Benefit_Master!$G$3:$BC$3,0)),0)*BB48,0)</f>
        <v>0</v>
      </c>
      <c r="FE48" s="64">
        <f>ROUND(IFERROR(INDEX(Benefit_Master!$G$4:$BC$135,MATCH($DN48,Benefit_Master!$BD$4:$BD$135,0),MATCH(FE$9,Benefit_Master!$G$3:$BC$3,0)),0)*BC48,0)</f>
        <v>0</v>
      </c>
      <c r="FF48" s="64">
        <f>ROUND(IFERROR(INDEX(Benefit_Master!$G$4:$BC$135,MATCH($DN48,Benefit_Master!$BD$4:$BD$135,0),MATCH(FF$9,Benefit_Master!$G$3:$BC$3,0)),0)*BD48,0)</f>
        <v>0</v>
      </c>
      <c r="FG48" s="64">
        <f>ROUND(IFERROR(INDEX(Benefit_Master!$G$4:$BC$135,MATCH($DN48,Benefit_Master!$BD$4:$BD$135,0),MATCH(FG$9,Benefit_Master!$G$3:$BC$3,0)),0)*BE48,0)</f>
        <v>0</v>
      </c>
      <c r="FH48" s="64">
        <f>ROUND(IFERROR(INDEX(Benefit_Master!$G$4:$BC$135,MATCH($DN48,Benefit_Master!$BD$4:$BD$135,0),MATCH(FH$9,Benefit_Master!$G$3:$BC$3,0)),0)*BF48,0)</f>
        <v>0</v>
      </c>
      <c r="FI48" s="64">
        <f>ROUND(IFERROR(INDEX(Benefit_Master!$G$4:$BC$135,MATCH($DN48,Benefit_Master!$BD$4:$BD$135,0),MATCH(FI$9,Benefit_Master!$G$3:$BC$3,0)),0)*BG48,0)</f>
        <v>0</v>
      </c>
      <c r="FJ48" s="64">
        <f>ROUND(IFERROR(INDEX(Benefit_Master!$G$4:$BC$135,MATCH($DN48,Benefit_Master!$BD$4:$BD$135,0),MATCH(FJ$9,Benefit_Master!$G$3:$BC$3,0)),0)*BH48,0)</f>
        <v>0</v>
      </c>
      <c r="FK48" s="64">
        <f>ROUND(IFERROR(INDEX(Benefit_Master!$G$4:$BC$135,MATCH($DN48,Benefit_Master!$BD$4:$BD$135,0),MATCH(FK$9,Benefit_Master!$G$3:$BC$3,0)),0)*BI48,0)</f>
        <v>0</v>
      </c>
      <c r="FL48" s="64">
        <f>ROUND(IFERROR(INDEX(Benefit_Master!$G$4:$BC$135,MATCH($DN48,Benefit_Master!$BD$4:$BD$135,0),MATCH(FL$9,Benefit_Master!$G$3:$BC$3,0)),0)*BJ48,0)</f>
        <v>0</v>
      </c>
      <c r="FM48" s="64">
        <f>ROUND(IFERROR(INDEX(Benefit_Master!$G$4:$BC$135,MATCH($DN48,Benefit_Master!$BD$4:$BD$135,0),MATCH(FM$9,Benefit_Master!$G$3:$BC$3,0)),0)*BK48,0)</f>
        <v>0</v>
      </c>
      <c r="FN48" s="66">
        <f t="shared" si="36"/>
        <v>0</v>
      </c>
    </row>
    <row r="49" spans="2:170" s="12" customFormat="1" ht="15" customHeight="1">
      <c r="B49" s="93">
        <f t="shared" si="28"/>
        <v>37</v>
      </c>
      <c r="C49" s="89"/>
      <c r="D49" s="97"/>
      <c r="E49" s="1157"/>
      <c r="F49" s="425"/>
      <c r="G49" s="94" t="str">
        <f>IFERROR(VLOOKUP($F49,Master!$B$1:$C$7,2,0),"-")</f>
        <v>-</v>
      </c>
      <c r="H49" s="95">
        <f t="shared" si="12"/>
        <v>0</v>
      </c>
      <c r="I49" s="138">
        <f t="shared" si="13"/>
        <v>0</v>
      </c>
      <c r="J49" s="138">
        <f t="shared" si="14"/>
        <v>0</v>
      </c>
      <c r="K49" s="96"/>
      <c r="L49"/>
      <c r="M49" s="58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60">
        <f t="shared" si="15"/>
        <v>0</v>
      </c>
      <c r="Z49" s="58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60">
        <f t="shared" si="16"/>
        <v>0</v>
      </c>
      <c r="AM49" s="58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60">
        <f t="shared" si="17"/>
        <v>0</v>
      </c>
      <c r="AZ49" s="58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60">
        <f t="shared" si="18"/>
        <v>0</v>
      </c>
      <c r="BM49"/>
      <c r="BN49" s="64">
        <f>ROUND(IFERROR(INDEX('Labor Cost_Master'!$G$4:$BC$135,MATCH($DN49,'Labor Cost_Master'!$BD$4:$BD$135,0),MATCH(BN$9,'Labor Cost_Master'!$G$3:$BC$3,0)),0)*M49,0)</f>
        <v>0</v>
      </c>
      <c r="BO49" s="64">
        <f>ROUND(IFERROR(INDEX('Labor Cost_Master'!$G$4:$BC$135,MATCH($DN49,'Labor Cost_Master'!$BD$4:$BD$135,0),MATCH(BO$9,'Labor Cost_Master'!$G$3:$BC$3,0)),0)*N49,0)</f>
        <v>0</v>
      </c>
      <c r="BP49" s="64">
        <f>ROUND(IFERROR(INDEX('Labor Cost_Master'!$G$4:$BC$135,MATCH($DN49,'Labor Cost_Master'!$BD$4:$BD$135,0),MATCH(BP$9,'Labor Cost_Master'!$G$3:$BC$3,0)),0)*O49,0)</f>
        <v>0</v>
      </c>
      <c r="BQ49" s="64">
        <f>ROUND(IFERROR(INDEX('Labor Cost_Master'!$G$4:$BC$135,MATCH($DN49,'Labor Cost_Master'!$BD$4:$BD$135,0),MATCH(BQ$9,'Labor Cost_Master'!$G$3:$BC$3,0)),0)*P49,0)</f>
        <v>0</v>
      </c>
      <c r="BR49" s="64">
        <f>ROUND(IFERROR(INDEX('Labor Cost_Master'!$G$4:$BC$135,MATCH($DN49,'Labor Cost_Master'!$BD$4:$BD$135,0),MATCH(BR$9,'Labor Cost_Master'!$G$3:$BC$3,0)),0)*Q49,0)</f>
        <v>0</v>
      </c>
      <c r="BS49" s="64">
        <f>ROUND(IFERROR(INDEX('Labor Cost_Master'!$G$4:$BC$135,MATCH($DN49,'Labor Cost_Master'!$BD$4:$BD$135,0),MATCH(BS$9,'Labor Cost_Master'!$G$3:$BC$3,0)),0)*R49,0)</f>
        <v>0</v>
      </c>
      <c r="BT49" s="64">
        <f>ROUND(IFERROR(INDEX('Labor Cost_Master'!$G$4:$BC$135,MATCH($DN49,'Labor Cost_Master'!$BD$4:$BD$135,0),MATCH(BT$9,'Labor Cost_Master'!$G$3:$BC$3,0)),0)*S49,0)</f>
        <v>0</v>
      </c>
      <c r="BU49" s="64">
        <f>ROUND(IFERROR(INDEX('Labor Cost_Master'!$G$4:$BC$135,MATCH($DN49,'Labor Cost_Master'!$BD$4:$BD$135,0),MATCH(BU$9,'Labor Cost_Master'!$G$3:$BC$3,0)),0)*T49,0)</f>
        <v>0</v>
      </c>
      <c r="BV49" s="64">
        <f>ROUND(IFERROR(INDEX('Labor Cost_Master'!$G$4:$BC$135,MATCH($DN49,'Labor Cost_Master'!$BD$4:$BD$135,0),MATCH(BV$9,'Labor Cost_Master'!$G$3:$BC$3,0)),0)*U49,0)</f>
        <v>0</v>
      </c>
      <c r="BW49" s="64">
        <f>ROUND(IFERROR(INDEX('Labor Cost_Master'!$G$4:$BC$135,MATCH($DN49,'Labor Cost_Master'!$BD$4:$BD$135,0),MATCH(BW$9,'Labor Cost_Master'!$G$3:$BC$3,0)),0)*V49,0)</f>
        <v>0</v>
      </c>
      <c r="BX49" s="64">
        <f>ROUND(IFERROR(INDEX('Labor Cost_Master'!$G$4:$BC$135,MATCH($DN49,'Labor Cost_Master'!$BD$4:$BD$135,0),MATCH(BX$9,'Labor Cost_Master'!$G$3:$BC$3,0)),0)*W49,0)</f>
        <v>0</v>
      </c>
      <c r="BY49" s="64">
        <f>ROUND(IFERROR(INDEX('Labor Cost_Master'!$G$4:$BC$135,MATCH($DN49,'Labor Cost_Master'!$BD$4:$BD$135,0),MATCH(BY$9,'Labor Cost_Master'!$G$3:$BC$3,0)),0)*X49,0)</f>
        <v>0</v>
      </c>
      <c r="BZ49" s="66">
        <f t="shared" si="29"/>
        <v>0</v>
      </c>
      <c r="CA49" s="64">
        <f>ROUND(IFERROR(INDEX('Labor Cost_Master'!$G$4:$BC$135,MATCH($DN49,'Labor Cost_Master'!$BD$4:$BD$135,0),MATCH(CA$9,'Labor Cost_Master'!$G$3:$BC$3,0)),0)*Z49,0)</f>
        <v>0</v>
      </c>
      <c r="CB49" s="64">
        <f>ROUND(IFERROR(INDEX('Labor Cost_Master'!$G$4:$BC$135,MATCH($DN49,'Labor Cost_Master'!$BD$4:$BD$135,0),MATCH(CB$9,'Labor Cost_Master'!$G$3:$BC$3,0)),0)*AA49,0)</f>
        <v>0</v>
      </c>
      <c r="CC49" s="64">
        <f>ROUND(IFERROR(INDEX('Labor Cost_Master'!$G$4:$BC$135,MATCH($DN49,'Labor Cost_Master'!$BD$4:$BD$135,0),MATCH(CC$9,'Labor Cost_Master'!$G$3:$BC$3,0)),0)*AB49,0)</f>
        <v>0</v>
      </c>
      <c r="CD49" s="64">
        <f>ROUND(IFERROR(INDEX('Labor Cost_Master'!$G$4:$BC$135,MATCH($DN49,'Labor Cost_Master'!$BD$4:$BD$135,0),MATCH(CD$9,'Labor Cost_Master'!$G$3:$BC$3,0)),0)*AC49,0)</f>
        <v>0</v>
      </c>
      <c r="CE49" s="64">
        <f>ROUND(IFERROR(INDEX('Labor Cost_Master'!$G$4:$BC$135,MATCH($DN49,'Labor Cost_Master'!$BD$4:$BD$135,0),MATCH(CE$9,'Labor Cost_Master'!$G$3:$BC$3,0)),0)*AD49,0)</f>
        <v>0</v>
      </c>
      <c r="CF49" s="64">
        <f>ROUND(IFERROR(INDEX('Labor Cost_Master'!$G$4:$BC$135,MATCH($DN49,'Labor Cost_Master'!$BD$4:$BD$135,0),MATCH(CF$9,'Labor Cost_Master'!$G$3:$BC$3,0)),0)*AE49,0)</f>
        <v>0</v>
      </c>
      <c r="CG49" s="64">
        <f>ROUND(IFERROR(INDEX('Labor Cost_Master'!$G$4:$BC$135,MATCH($DN49,'Labor Cost_Master'!$BD$4:$BD$135,0),MATCH(CG$9,'Labor Cost_Master'!$G$3:$BC$3,0)),0)*AF49,0)</f>
        <v>0</v>
      </c>
      <c r="CH49" s="64">
        <f>ROUND(IFERROR(INDEX('Labor Cost_Master'!$G$4:$BC$135,MATCH($DN49,'Labor Cost_Master'!$BD$4:$BD$135,0),MATCH(CH$9,'Labor Cost_Master'!$G$3:$BC$3,0)),0)*AG49,0)</f>
        <v>0</v>
      </c>
      <c r="CI49" s="64">
        <f>ROUND(IFERROR(INDEX('Labor Cost_Master'!$G$4:$BC$135,MATCH($DN49,'Labor Cost_Master'!$BD$4:$BD$135,0),MATCH(CI$9,'Labor Cost_Master'!$G$3:$BC$3,0)),0)*AH49,0)</f>
        <v>0</v>
      </c>
      <c r="CJ49" s="64">
        <f>ROUND(IFERROR(INDEX('Labor Cost_Master'!$G$4:$BC$135,MATCH($DN49,'Labor Cost_Master'!$BD$4:$BD$135,0),MATCH(CJ$9,'Labor Cost_Master'!$G$3:$BC$3,0)),0)*AI49,0)</f>
        <v>0</v>
      </c>
      <c r="CK49" s="64">
        <f>ROUND(IFERROR(INDEX('Labor Cost_Master'!$G$4:$BC$135,MATCH($DN49,'Labor Cost_Master'!$BD$4:$BD$135,0),MATCH(CK$9,'Labor Cost_Master'!$G$3:$BC$3,0)),0)*AJ49,0)</f>
        <v>0</v>
      </c>
      <c r="CL49" s="64">
        <f>ROUND(IFERROR(INDEX('Labor Cost_Master'!$G$4:$BC$135,MATCH($DN49,'Labor Cost_Master'!$BD$4:$BD$135,0),MATCH(CL$9,'Labor Cost_Master'!$G$3:$BC$3,0)),0)*AK49,0)</f>
        <v>0</v>
      </c>
      <c r="CM49" s="66">
        <f t="shared" si="30"/>
        <v>0</v>
      </c>
      <c r="CN49" s="64">
        <f>ROUND(IFERROR(INDEX('Labor Cost_Master'!$G$4:$BC$135,MATCH($DN49,'Labor Cost_Master'!$BD$4:$BD$135,0),MATCH(CN$9,'Labor Cost_Master'!$G$3:$BC$3,0)),0)*AM49,0)</f>
        <v>0</v>
      </c>
      <c r="CO49" s="64">
        <f>ROUND(IFERROR(INDEX('Labor Cost_Master'!$G$4:$BC$135,MATCH($DN49,'Labor Cost_Master'!$BD$4:$BD$135,0),MATCH(CO$9,'Labor Cost_Master'!$G$3:$BC$3,0)),0)*AN49,0)</f>
        <v>0</v>
      </c>
      <c r="CP49" s="64">
        <f>ROUND(IFERROR(INDEX('Labor Cost_Master'!$G$4:$BC$135,MATCH($DN49,'Labor Cost_Master'!$BD$4:$BD$135,0),MATCH(CP$9,'Labor Cost_Master'!$G$3:$BC$3,0)),0)*AO49,0)</f>
        <v>0</v>
      </c>
      <c r="CQ49" s="64">
        <f>ROUND(IFERROR(INDEX('Labor Cost_Master'!$G$4:$BC$135,MATCH($DN49,'Labor Cost_Master'!$BD$4:$BD$135,0),MATCH(CQ$9,'Labor Cost_Master'!$G$3:$BC$3,0)),0)*AP49,0)</f>
        <v>0</v>
      </c>
      <c r="CR49" s="64">
        <f>ROUND(IFERROR(INDEX('Labor Cost_Master'!$G$4:$BC$135,MATCH($DN49,'Labor Cost_Master'!$BD$4:$BD$135,0),MATCH(CR$9,'Labor Cost_Master'!$G$3:$BC$3,0)),0)*AQ49,0)</f>
        <v>0</v>
      </c>
      <c r="CS49" s="64">
        <f>ROUND(IFERROR(INDEX('Labor Cost_Master'!$G$4:$BC$135,MATCH($DN49,'Labor Cost_Master'!$BD$4:$BD$135,0),MATCH(CS$9,'Labor Cost_Master'!$G$3:$BC$3,0)),0)*AR49,0)</f>
        <v>0</v>
      </c>
      <c r="CT49" s="64">
        <f>ROUND(IFERROR(INDEX('Labor Cost_Master'!$G$4:$BC$135,MATCH($DN49,'Labor Cost_Master'!$BD$4:$BD$135,0),MATCH(CT$9,'Labor Cost_Master'!$G$3:$BC$3,0)),0)*AS49,0)</f>
        <v>0</v>
      </c>
      <c r="CU49" s="64">
        <f>ROUND(IFERROR(INDEX('Labor Cost_Master'!$G$4:$BC$135,MATCH($DN49,'Labor Cost_Master'!$BD$4:$BD$135,0),MATCH(CU$9,'Labor Cost_Master'!$G$3:$BC$3,0)),0)*AT49,0)</f>
        <v>0</v>
      </c>
      <c r="CV49" s="64">
        <f>ROUND(IFERROR(INDEX('Labor Cost_Master'!$G$4:$BC$135,MATCH($DN49,'Labor Cost_Master'!$BD$4:$BD$135,0),MATCH(CV$9,'Labor Cost_Master'!$G$3:$BC$3,0)),0)*AU49,0)</f>
        <v>0</v>
      </c>
      <c r="CW49" s="64">
        <f>ROUND(IFERROR(INDEX('Labor Cost_Master'!$G$4:$BC$135,MATCH($DN49,'Labor Cost_Master'!$BD$4:$BD$135,0),MATCH(CW$9,'Labor Cost_Master'!$G$3:$BC$3,0)),0)*AV49,0)</f>
        <v>0</v>
      </c>
      <c r="CX49" s="64">
        <f>ROUND(IFERROR(INDEX('Labor Cost_Master'!$G$4:$BC$135,MATCH($DN49,'Labor Cost_Master'!$BD$4:$BD$135,0),MATCH(CX$9,'Labor Cost_Master'!$G$3:$BC$3,0)),0)*AW49,0)</f>
        <v>0</v>
      </c>
      <c r="CY49" s="64">
        <f>ROUND(IFERROR(INDEX('Labor Cost_Master'!$G$4:$BC$135,MATCH($DN49,'Labor Cost_Master'!$BD$4:$BD$135,0),MATCH(CY$9,'Labor Cost_Master'!$G$3:$BC$3,0)),0)*AX49,0)</f>
        <v>0</v>
      </c>
      <c r="CZ49" s="66">
        <f t="shared" si="31"/>
        <v>0</v>
      </c>
      <c r="DA49" s="64">
        <f>ROUND(IFERROR(INDEX('Labor Cost_Master'!$G$4:$BC$135,MATCH($DN49,'Labor Cost_Master'!$BD$4:$BD$135,0),MATCH(DA$9,'Labor Cost_Master'!$G$3:$BC$3,0)),0)*AZ49,0)</f>
        <v>0</v>
      </c>
      <c r="DB49" s="64">
        <f>ROUND(IFERROR(INDEX('Labor Cost_Master'!$G$4:$BC$135,MATCH($DN49,'Labor Cost_Master'!$BD$4:$BD$135,0),MATCH(DB$9,'Labor Cost_Master'!$G$3:$BC$3,0)),0)*BA49,0)</f>
        <v>0</v>
      </c>
      <c r="DC49" s="1166">
        <f>ROUND(IFERROR(INDEX('Labor Cost_Master'!$G$4:$BC$135,MATCH($DN49,'Labor Cost_Master'!$BD$4:$BD$135,0),MATCH(DC$9,'Labor Cost_Master'!$G$3:$BC$3,0)),0)*BB49,0)*1.05</f>
        <v>0</v>
      </c>
      <c r="DD49" s="64">
        <f>ROUND(IFERROR(INDEX('Labor Cost_Master'!$G$4:$BC$135,MATCH($DN49,'Labor Cost_Master'!$BD$4:$BD$135,0),MATCH(DD$9,'Labor Cost_Master'!$G$3:$BC$3,0)),0)*BC49,0)*1.05</f>
        <v>0</v>
      </c>
      <c r="DE49" s="64">
        <f>ROUND(IFERROR(INDEX('Labor Cost_Master'!$G$4:$BC$135,MATCH($DN49,'Labor Cost_Master'!$BD$4:$BD$135,0),MATCH(DE$9,'Labor Cost_Master'!$G$3:$BC$3,0)),0)*BD49,0)*1.05</f>
        <v>0</v>
      </c>
      <c r="DF49" s="64">
        <f>ROUND(IFERROR(INDEX('Labor Cost_Master'!$G$4:$BC$135,MATCH($DN49,'Labor Cost_Master'!$BD$4:$BD$135,0),MATCH(DF$9,'Labor Cost_Master'!$G$3:$BC$3,0)),0)*BE49,0)*1.05</f>
        <v>0</v>
      </c>
      <c r="DG49" s="64">
        <f>ROUND(IFERROR(INDEX('Labor Cost_Master'!$G$4:$BC$135,MATCH($DN49,'Labor Cost_Master'!$BD$4:$BD$135,0),MATCH(DG$9,'Labor Cost_Master'!$G$3:$BC$3,0)),0)*BF49,0)*1.05</f>
        <v>0</v>
      </c>
      <c r="DH49" s="64">
        <f>ROUND(IFERROR(INDEX('Labor Cost_Master'!$G$4:$BC$135,MATCH($DN49,'Labor Cost_Master'!$BD$4:$BD$135,0),MATCH(DH$9,'Labor Cost_Master'!$G$3:$BC$3,0)),0)*BG49,0)*1.05</f>
        <v>0</v>
      </c>
      <c r="DI49" s="64">
        <f>ROUND(IFERROR(INDEX('Labor Cost_Master'!$G$4:$BC$135,MATCH($DN49,'Labor Cost_Master'!$BD$4:$BD$135,0),MATCH(DI$9,'Labor Cost_Master'!$G$3:$BC$3,0)),0)*BH49,0)*1.05</f>
        <v>0</v>
      </c>
      <c r="DJ49" s="64">
        <f>ROUND(IFERROR(INDEX('Labor Cost_Master'!$G$4:$BC$135,MATCH($DN49,'Labor Cost_Master'!$BD$4:$BD$135,0),MATCH(DJ$9,'Labor Cost_Master'!$G$3:$BC$3,0)),0)*BI49,0)*1.05</f>
        <v>0</v>
      </c>
      <c r="DK49" s="64">
        <f>ROUND(IFERROR(INDEX('Labor Cost_Master'!$G$4:$BC$135,MATCH($DN49,'Labor Cost_Master'!$BD$4:$BD$135,0),MATCH(DK$9,'Labor Cost_Master'!$G$3:$BC$3,0)),0)*BJ49,0)*1.05</f>
        <v>0</v>
      </c>
      <c r="DL49" s="64">
        <f>ROUND(IFERROR(INDEX('Labor Cost_Master'!$G$4:$BC$135,MATCH($DN49,'Labor Cost_Master'!$BD$4:$BD$135,0),MATCH(DL$9,'Labor Cost_Master'!$G$3:$BC$3,0)),0)*BK49,0)*1.05</f>
        <v>0</v>
      </c>
      <c r="DM49" s="66">
        <f t="shared" si="32"/>
        <v>0</v>
      </c>
      <c r="DN49" s="80" t="str">
        <f t="shared" si="23"/>
        <v/>
      </c>
      <c r="DO49" s="64">
        <f>ROUND(IFERROR(INDEX(Benefit_Master!$G$4:$BC$135,MATCH($DN49,Benefit_Master!$BD$4:$BD$135,0),MATCH(DO$9,Benefit_Master!$G$3:$BC$3,0)),0)*M49,0)</f>
        <v>0</v>
      </c>
      <c r="DP49" s="64">
        <f>ROUND(IFERROR(INDEX(Benefit_Master!$G$4:$BC$135,MATCH($DN49,Benefit_Master!$BD$4:$BD$135,0),MATCH(DP$9,Benefit_Master!$G$3:$BC$3,0)),0)*N49,0)</f>
        <v>0</v>
      </c>
      <c r="DQ49" s="64">
        <f>ROUND(IFERROR(INDEX(Benefit_Master!$G$4:$BC$135,MATCH($DN49,Benefit_Master!$BD$4:$BD$135,0),MATCH(DQ$9,Benefit_Master!$G$3:$BC$3,0)),0)*O49,0)</f>
        <v>0</v>
      </c>
      <c r="DR49" s="64">
        <f>ROUND(IFERROR(INDEX(Benefit_Master!$G$4:$BC$135,MATCH($DN49,Benefit_Master!$BD$4:$BD$135,0),MATCH(DR$9,Benefit_Master!$G$3:$BC$3,0)),0)*P49,0)</f>
        <v>0</v>
      </c>
      <c r="DS49" s="64">
        <f>ROUND(IFERROR(INDEX(Benefit_Master!$G$4:$BC$135,MATCH($DN49,Benefit_Master!$BD$4:$BD$135,0),MATCH(DS$9,Benefit_Master!$G$3:$BC$3,0)),0)*Q49,0)</f>
        <v>0</v>
      </c>
      <c r="DT49" s="64">
        <f>ROUND(IFERROR(INDEX(Benefit_Master!$G$4:$BC$135,MATCH($DN49,Benefit_Master!$BD$4:$BD$135,0),MATCH(DT$9,Benefit_Master!$G$3:$BC$3,0)),0)*R49,0)</f>
        <v>0</v>
      </c>
      <c r="DU49" s="64">
        <f>ROUND(IFERROR(INDEX(Benefit_Master!$G$4:$BC$135,MATCH($DN49,Benefit_Master!$BD$4:$BD$135,0),MATCH(DU$9,Benefit_Master!$G$3:$BC$3,0)),0)*S49,0)</f>
        <v>0</v>
      </c>
      <c r="DV49" s="64">
        <f>ROUND(IFERROR(INDEX(Benefit_Master!$G$4:$BC$135,MATCH($DN49,Benefit_Master!$BD$4:$BD$135,0),MATCH(DV$9,Benefit_Master!$G$3:$BC$3,0)),0)*T49,0)</f>
        <v>0</v>
      </c>
      <c r="DW49" s="64">
        <f>ROUND(IFERROR(INDEX(Benefit_Master!$G$4:$BC$135,MATCH($DN49,Benefit_Master!$BD$4:$BD$135,0),MATCH(DW$9,Benefit_Master!$G$3:$BC$3,0)),0)*U49,0)</f>
        <v>0</v>
      </c>
      <c r="DX49" s="64">
        <f>ROUND(IFERROR(INDEX(Benefit_Master!$G$4:$BC$135,MATCH($DN49,Benefit_Master!$BD$4:$BD$135,0),MATCH(DX$9,Benefit_Master!$G$3:$BC$3,0)),0)*V49,0)</f>
        <v>0</v>
      </c>
      <c r="DY49" s="64">
        <f>ROUND(IFERROR(INDEX(Benefit_Master!$G$4:$BC$135,MATCH($DN49,Benefit_Master!$BD$4:$BD$135,0),MATCH(DY$9,Benefit_Master!$G$3:$BC$3,0)),0)*W49,0)</f>
        <v>0</v>
      </c>
      <c r="DZ49" s="64">
        <f>ROUND(IFERROR(INDEX(Benefit_Master!$G$4:$BC$135,MATCH($DN49,Benefit_Master!$BD$4:$BD$135,0),MATCH(DZ$9,Benefit_Master!$G$3:$BC$3,0)),0)*X49,0)</f>
        <v>0</v>
      </c>
      <c r="EA49" s="66">
        <f t="shared" si="33"/>
        <v>0</v>
      </c>
      <c r="EB49" s="64">
        <f>ROUND(IFERROR(INDEX(Benefit_Master!$G$4:$BC$135,MATCH($DN49,Benefit_Master!$BD$4:$BD$135,0),MATCH(EB$9,Benefit_Master!$G$3:$BC$3,0)),0)*Z49,0)</f>
        <v>0</v>
      </c>
      <c r="EC49" s="64">
        <f>ROUND(IFERROR(INDEX(Benefit_Master!$G$4:$BC$135,MATCH($DN49,Benefit_Master!$BD$4:$BD$135,0),MATCH(EC$9,Benefit_Master!$G$3:$BC$3,0)),0)*AA49,0)</f>
        <v>0</v>
      </c>
      <c r="ED49" s="64">
        <f>ROUND(IFERROR(INDEX(Benefit_Master!$G$4:$BC$135,MATCH($DN49,Benefit_Master!$BD$4:$BD$135,0),MATCH(ED$9,Benefit_Master!$G$3:$BC$3,0)),0)*AB49,0)</f>
        <v>0</v>
      </c>
      <c r="EE49" s="64">
        <f>ROUND(IFERROR(INDEX(Benefit_Master!$G$4:$BC$135,MATCH($DN49,Benefit_Master!$BD$4:$BD$135,0),MATCH(EE$9,Benefit_Master!$G$3:$BC$3,0)),0)*AC49,0)</f>
        <v>0</v>
      </c>
      <c r="EF49" s="64">
        <f>ROUND(IFERROR(INDEX(Benefit_Master!$G$4:$BC$135,MATCH($DN49,Benefit_Master!$BD$4:$BD$135,0),MATCH(EF$9,Benefit_Master!$G$3:$BC$3,0)),0)*AD49,0)</f>
        <v>0</v>
      </c>
      <c r="EG49" s="64">
        <f>ROUND(IFERROR(INDEX(Benefit_Master!$G$4:$BC$135,MATCH($DN49,Benefit_Master!$BD$4:$BD$135,0),MATCH(EG$9,Benefit_Master!$G$3:$BC$3,0)),0)*AE49,0)</f>
        <v>0</v>
      </c>
      <c r="EH49" s="64">
        <f>ROUND(IFERROR(INDEX(Benefit_Master!$G$4:$BC$135,MATCH($DN49,Benefit_Master!$BD$4:$BD$135,0),MATCH(EH$9,Benefit_Master!$G$3:$BC$3,0)),0)*AF49,0)</f>
        <v>0</v>
      </c>
      <c r="EI49" s="64">
        <f>ROUND(IFERROR(INDEX(Benefit_Master!$G$4:$BC$135,MATCH($DN49,Benefit_Master!$BD$4:$BD$135,0),MATCH(EI$9,Benefit_Master!$G$3:$BC$3,0)),0)*AG49,0)</f>
        <v>0</v>
      </c>
      <c r="EJ49" s="64">
        <f>ROUND(IFERROR(INDEX(Benefit_Master!$G$4:$BC$135,MATCH($DN49,Benefit_Master!$BD$4:$BD$135,0),MATCH(EJ$9,Benefit_Master!$G$3:$BC$3,0)),0)*AH49,0)</f>
        <v>0</v>
      </c>
      <c r="EK49" s="64">
        <f>ROUND(IFERROR(INDEX(Benefit_Master!$G$4:$BC$135,MATCH($DN49,Benefit_Master!$BD$4:$BD$135,0),MATCH(EK$9,Benefit_Master!$G$3:$BC$3,0)),0)*AI49,0)</f>
        <v>0</v>
      </c>
      <c r="EL49" s="64">
        <f>ROUND(IFERROR(INDEX(Benefit_Master!$G$4:$BC$135,MATCH($DN49,Benefit_Master!$BD$4:$BD$135,0),MATCH(EL$9,Benefit_Master!$G$3:$BC$3,0)),0)*AJ49,0)</f>
        <v>0</v>
      </c>
      <c r="EM49" s="64">
        <f>ROUND(IFERROR(INDEX(Benefit_Master!$G$4:$BC$135,MATCH($DN49,Benefit_Master!$BD$4:$BD$135,0),MATCH(EM$9,Benefit_Master!$G$3:$BC$3,0)),0)*AK49,0)</f>
        <v>0</v>
      </c>
      <c r="EN49" s="66">
        <f t="shared" si="34"/>
        <v>0</v>
      </c>
      <c r="EO49" s="64">
        <f>ROUND(IFERROR(INDEX(Benefit_Master!$G$4:$BC$135,MATCH($DN49,Benefit_Master!$BD$4:$BD$135,0),MATCH(EO$9,Benefit_Master!$G$3:$BC$3,0)),0)*AM49,0)</f>
        <v>0</v>
      </c>
      <c r="EP49" s="64">
        <f>ROUND(IFERROR(INDEX(Benefit_Master!$G$4:$BC$135,MATCH($DN49,Benefit_Master!$BD$4:$BD$135,0),MATCH(EP$9,Benefit_Master!$G$3:$BC$3,0)),0)*AN49,0)</f>
        <v>0</v>
      </c>
      <c r="EQ49" s="64">
        <f>ROUND(IFERROR(INDEX(Benefit_Master!$G$4:$BC$135,MATCH($DN49,Benefit_Master!$BD$4:$BD$135,0),MATCH(EQ$9,Benefit_Master!$G$3:$BC$3,0)),0)*AO49,0)</f>
        <v>0</v>
      </c>
      <c r="ER49" s="64">
        <f>ROUND(IFERROR(INDEX(Benefit_Master!$G$4:$BC$135,MATCH($DN49,Benefit_Master!$BD$4:$BD$135,0),MATCH(ER$9,Benefit_Master!$G$3:$BC$3,0)),0)*AP49,0)</f>
        <v>0</v>
      </c>
      <c r="ES49" s="64">
        <f>ROUND(IFERROR(INDEX(Benefit_Master!$G$4:$BC$135,MATCH($DN49,Benefit_Master!$BD$4:$BD$135,0),MATCH(ES$9,Benefit_Master!$G$3:$BC$3,0)),0)*AQ49,0)</f>
        <v>0</v>
      </c>
      <c r="ET49" s="64">
        <f>ROUND(IFERROR(INDEX(Benefit_Master!$G$4:$BC$135,MATCH($DN49,Benefit_Master!$BD$4:$BD$135,0),MATCH(ET$9,Benefit_Master!$G$3:$BC$3,0)),0)*AR49,0)</f>
        <v>0</v>
      </c>
      <c r="EU49" s="64">
        <f>ROUND(IFERROR(INDEX(Benefit_Master!$G$4:$BC$135,MATCH($DN49,Benefit_Master!$BD$4:$BD$135,0),MATCH(EU$9,Benefit_Master!$G$3:$BC$3,0)),0)*AS49,0)</f>
        <v>0</v>
      </c>
      <c r="EV49" s="64">
        <f>ROUND(IFERROR(INDEX(Benefit_Master!$G$4:$BC$135,MATCH($DN49,Benefit_Master!$BD$4:$BD$135,0),MATCH(EV$9,Benefit_Master!$G$3:$BC$3,0)),0)*AT49,0)</f>
        <v>0</v>
      </c>
      <c r="EW49" s="64">
        <f>ROUND(IFERROR(INDEX(Benefit_Master!$G$4:$BC$135,MATCH($DN49,Benefit_Master!$BD$4:$BD$135,0),MATCH(EW$9,Benefit_Master!$G$3:$BC$3,0)),0)*AU49,0)</f>
        <v>0</v>
      </c>
      <c r="EX49" s="64">
        <f>ROUND(IFERROR(INDEX(Benefit_Master!$G$4:$BC$135,MATCH($DN49,Benefit_Master!$BD$4:$BD$135,0),MATCH(EX$9,Benefit_Master!$G$3:$BC$3,0)),0)*AV49,0)</f>
        <v>0</v>
      </c>
      <c r="EY49" s="64">
        <f>ROUND(IFERROR(INDEX(Benefit_Master!$G$4:$BC$135,MATCH($DN49,Benefit_Master!$BD$4:$BD$135,0),MATCH(EY$9,Benefit_Master!$G$3:$BC$3,0)),0)*AW49,0)</f>
        <v>0</v>
      </c>
      <c r="EZ49" s="64">
        <f>ROUND(IFERROR(INDEX(Benefit_Master!$G$4:$BC$135,MATCH($DN49,Benefit_Master!$BD$4:$BD$135,0),MATCH(EZ$9,Benefit_Master!$G$3:$BC$3,0)),0)*AX49,0)</f>
        <v>0</v>
      </c>
      <c r="FA49" s="66">
        <f t="shared" si="35"/>
        <v>0</v>
      </c>
      <c r="FB49" s="64">
        <f>ROUND(IFERROR(INDEX(Benefit_Master!$G$4:$BC$135,MATCH($DN49,Benefit_Master!$BD$4:$BD$135,0),MATCH(FB$9,Benefit_Master!$G$3:$BC$3,0)),0)*AZ49,0)</f>
        <v>0</v>
      </c>
      <c r="FC49" s="64">
        <f>ROUND(IFERROR(INDEX(Benefit_Master!$G$4:$BC$135,MATCH($DN49,Benefit_Master!$BD$4:$BD$135,0),MATCH(FC$9,Benefit_Master!$G$3:$BC$3,0)),0)*BA49,0)</f>
        <v>0</v>
      </c>
      <c r="FD49" s="64">
        <f>ROUND(IFERROR(INDEX(Benefit_Master!$G$4:$BC$135,MATCH($DN49,Benefit_Master!$BD$4:$BD$135,0),MATCH(FD$9,Benefit_Master!$G$3:$BC$3,0)),0)*BB49,0)</f>
        <v>0</v>
      </c>
      <c r="FE49" s="64">
        <f>ROUND(IFERROR(INDEX(Benefit_Master!$G$4:$BC$135,MATCH($DN49,Benefit_Master!$BD$4:$BD$135,0),MATCH(FE$9,Benefit_Master!$G$3:$BC$3,0)),0)*BC49,0)</f>
        <v>0</v>
      </c>
      <c r="FF49" s="64">
        <f>ROUND(IFERROR(INDEX(Benefit_Master!$G$4:$BC$135,MATCH($DN49,Benefit_Master!$BD$4:$BD$135,0),MATCH(FF$9,Benefit_Master!$G$3:$BC$3,0)),0)*BD49,0)</f>
        <v>0</v>
      </c>
      <c r="FG49" s="64">
        <f>ROUND(IFERROR(INDEX(Benefit_Master!$G$4:$BC$135,MATCH($DN49,Benefit_Master!$BD$4:$BD$135,0),MATCH(FG$9,Benefit_Master!$G$3:$BC$3,0)),0)*BE49,0)</f>
        <v>0</v>
      </c>
      <c r="FH49" s="64">
        <f>ROUND(IFERROR(INDEX(Benefit_Master!$G$4:$BC$135,MATCH($DN49,Benefit_Master!$BD$4:$BD$135,0),MATCH(FH$9,Benefit_Master!$G$3:$BC$3,0)),0)*BF49,0)</f>
        <v>0</v>
      </c>
      <c r="FI49" s="64">
        <f>ROUND(IFERROR(INDEX(Benefit_Master!$G$4:$BC$135,MATCH($DN49,Benefit_Master!$BD$4:$BD$135,0),MATCH(FI$9,Benefit_Master!$G$3:$BC$3,0)),0)*BG49,0)</f>
        <v>0</v>
      </c>
      <c r="FJ49" s="64">
        <f>ROUND(IFERROR(INDEX(Benefit_Master!$G$4:$BC$135,MATCH($DN49,Benefit_Master!$BD$4:$BD$135,0),MATCH(FJ$9,Benefit_Master!$G$3:$BC$3,0)),0)*BH49,0)</f>
        <v>0</v>
      </c>
      <c r="FK49" s="64">
        <f>ROUND(IFERROR(INDEX(Benefit_Master!$G$4:$BC$135,MATCH($DN49,Benefit_Master!$BD$4:$BD$135,0),MATCH(FK$9,Benefit_Master!$G$3:$BC$3,0)),0)*BI49,0)</f>
        <v>0</v>
      </c>
      <c r="FL49" s="64">
        <f>ROUND(IFERROR(INDEX(Benefit_Master!$G$4:$BC$135,MATCH($DN49,Benefit_Master!$BD$4:$BD$135,0),MATCH(FL$9,Benefit_Master!$G$3:$BC$3,0)),0)*BJ49,0)</f>
        <v>0</v>
      </c>
      <c r="FM49" s="64">
        <f>ROUND(IFERROR(INDEX(Benefit_Master!$G$4:$BC$135,MATCH($DN49,Benefit_Master!$BD$4:$BD$135,0),MATCH(FM$9,Benefit_Master!$G$3:$BC$3,0)),0)*BK49,0)</f>
        <v>0</v>
      </c>
      <c r="FN49" s="66">
        <f t="shared" si="36"/>
        <v>0</v>
      </c>
    </row>
    <row r="50" spans="2:170" s="12" customFormat="1" ht="15" customHeight="1">
      <c r="B50" s="93">
        <f t="shared" si="28"/>
        <v>38</v>
      </c>
      <c r="C50" s="89"/>
      <c r="D50" s="97"/>
      <c r="E50" s="1157"/>
      <c r="F50" s="425"/>
      <c r="G50" s="94" t="str">
        <f>IFERROR(VLOOKUP($F50,Master!$B$1:$C$7,2,0),"-")</f>
        <v>-</v>
      </c>
      <c r="H50" s="95">
        <f t="shared" si="12"/>
        <v>0</v>
      </c>
      <c r="I50" s="138">
        <f t="shared" si="13"/>
        <v>0</v>
      </c>
      <c r="J50" s="138">
        <f t="shared" si="14"/>
        <v>0</v>
      </c>
      <c r="K50" s="96"/>
      <c r="L50"/>
      <c r="M50" s="58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60">
        <f t="shared" si="15"/>
        <v>0</v>
      </c>
      <c r="Z50" s="58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60">
        <f t="shared" si="16"/>
        <v>0</v>
      </c>
      <c r="AM50" s="58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60">
        <f t="shared" si="17"/>
        <v>0</v>
      </c>
      <c r="AZ50" s="58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60">
        <f t="shared" si="18"/>
        <v>0</v>
      </c>
      <c r="BM50"/>
      <c r="BN50" s="64">
        <f>ROUND(IFERROR(INDEX('Labor Cost_Master'!$G$4:$BC$135,MATCH($DN50,'Labor Cost_Master'!$BD$4:$BD$135,0),MATCH(BN$9,'Labor Cost_Master'!$G$3:$BC$3,0)),0)*M50,0)</f>
        <v>0</v>
      </c>
      <c r="BO50" s="64">
        <f>ROUND(IFERROR(INDEX('Labor Cost_Master'!$G$4:$BC$135,MATCH($DN50,'Labor Cost_Master'!$BD$4:$BD$135,0),MATCH(BO$9,'Labor Cost_Master'!$G$3:$BC$3,0)),0)*N50,0)</f>
        <v>0</v>
      </c>
      <c r="BP50" s="64">
        <f>ROUND(IFERROR(INDEX('Labor Cost_Master'!$G$4:$BC$135,MATCH($DN50,'Labor Cost_Master'!$BD$4:$BD$135,0),MATCH(BP$9,'Labor Cost_Master'!$G$3:$BC$3,0)),0)*O50,0)</f>
        <v>0</v>
      </c>
      <c r="BQ50" s="64">
        <f>ROUND(IFERROR(INDEX('Labor Cost_Master'!$G$4:$BC$135,MATCH($DN50,'Labor Cost_Master'!$BD$4:$BD$135,0),MATCH(BQ$9,'Labor Cost_Master'!$G$3:$BC$3,0)),0)*P50,0)</f>
        <v>0</v>
      </c>
      <c r="BR50" s="64">
        <f>ROUND(IFERROR(INDEX('Labor Cost_Master'!$G$4:$BC$135,MATCH($DN50,'Labor Cost_Master'!$BD$4:$BD$135,0),MATCH(BR$9,'Labor Cost_Master'!$G$3:$BC$3,0)),0)*Q50,0)</f>
        <v>0</v>
      </c>
      <c r="BS50" s="64">
        <f>ROUND(IFERROR(INDEX('Labor Cost_Master'!$G$4:$BC$135,MATCH($DN50,'Labor Cost_Master'!$BD$4:$BD$135,0),MATCH(BS$9,'Labor Cost_Master'!$G$3:$BC$3,0)),0)*R50,0)</f>
        <v>0</v>
      </c>
      <c r="BT50" s="64">
        <f>ROUND(IFERROR(INDEX('Labor Cost_Master'!$G$4:$BC$135,MATCH($DN50,'Labor Cost_Master'!$BD$4:$BD$135,0),MATCH(BT$9,'Labor Cost_Master'!$G$3:$BC$3,0)),0)*S50,0)</f>
        <v>0</v>
      </c>
      <c r="BU50" s="64">
        <f>ROUND(IFERROR(INDEX('Labor Cost_Master'!$G$4:$BC$135,MATCH($DN50,'Labor Cost_Master'!$BD$4:$BD$135,0),MATCH(BU$9,'Labor Cost_Master'!$G$3:$BC$3,0)),0)*T50,0)</f>
        <v>0</v>
      </c>
      <c r="BV50" s="64">
        <f>ROUND(IFERROR(INDEX('Labor Cost_Master'!$G$4:$BC$135,MATCH($DN50,'Labor Cost_Master'!$BD$4:$BD$135,0),MATCH(BV$9,'Labor Cost_Master'!$G$3:$BC$3,0)),0)*U50,0)</f>
        <v>0</v>
      </c>
      <c r="BW50" s="64">
        <f>ROUND(IFERROR(INDEX('Labor Cost_Master'!$G$4:$BC$135,MATCH($DN50,'Labor Cost_Master'!$BD$4:$BD$135,0),MATCH(BW$9,'Labor Cost_Master'!$G$3:$BC$3,0)),0)*V50,0)</f>
        <v>0</v>
      </c>
      <c r="BX50" s="64">
        <f>ROUND(IFERROR(INDEX('Labor Cost_Master'!$G$4:$BC$135,MATCH($DN50,'Labor Cost_Master'!$BD$4:$BD$135,0),MATCH(BX$9,'Labor Cost_Master'!$G$3:$BC$3,0)),0)*W50,0)</f>
        <v>0</v>
      </c>
      <c r="BY50" s="64">
        <f>ROUND(IFERROR(INDEX('Labor Cost_Master'!$G$4:$BC$135,MATCH($DN50,'Labor Cost_Master'!$BD$4:$BD$135,0),MATCH(BY$9,'Labor Cost_Master'!$G$3:$BC$3,0)),0)*X50,0)</f>
        <v>0</v>
      </c>
      <c r="BZ50" s="66">
        <f t="shared" si="29"/>
        <v>0</v>
      </c>
      <c r="CA50" s="64">
        <f>ROUND(IFERROR(INDEX('Labor Cost_Master'!$G$4:$BC$135,MATCH($DN50,'Labor Cost_Master'!$BD$4:$BD$135,0),MATCH(CA$9,'Labor Cost_Master'!$G$3:$BC$3,0)),0)*Z50,0)</f>
        <v>0</v>
      </c>
      <c r="CB50" s="64">
        <f>ROUND(IFERROR(INDEX('Labor Cost_Master'!$G$4:$BC$135,MATCH($DN50,'Labor Cost_Master'!$BD$4:$BD$135,0),MATCH(CB$9,'Labor Cost_Master'!$G$3:$BC$3,0)),0)*AA50,0)</f>
        <v>0</v>
      </c>
      <c r="CC50" s="64">
        <f>ROUND(IFERROR(INDEX('Labor Cost_Master'!$G$4:$BC$135,MATCH($DN50,'Labor Cost_Master'!$BD$4:$BD$135,0),MATCH(CC$9,'Labor Cost_Master'!$G$3:$BC$3,0)),0)*AB50,0)</f>
        <v>0</v>
      </c>
      <c r="CD50" s="64">
        <f>ROUND(IFERROR(INDEX('Labor Cost_Master'!$G$4:$BC$135,MATCH($DN50,'Labor Cost_Master'!$BD$4:$BD$135,0),MATCH(CD$9,'Labor Cost_Master'!$G$3:$BC$3,0)),0)*AC50,0)</f>
        <v>0</v>
      </c>
      <c r="CE50" s="64">
        <f>ROUND(IFERROR(INDEX('Labor Cost_Master'!$G$4:$BC$135,MATCH($DN50,'Labor Cost_Master'!$BD$4:$BD$135,0),MATCH(CE$9,'Labor Cost_Master'!$G$3:$BC$3,0)),0)*AD50,0)</f>
        <v>0</v>
      </c>
      <c r="CF50" s="64">
        <f>ROUND(IFERROR(INDEX('Labor Cost_Master'!$G$4:$BC$135,MATCH($DN50,'Labor Cost_Master'!$BD$4:$BD$135,0),MATCH(CF$9,'Labor Cost_Master'!$G$3:$BC$3,0)),0)*AE50,0)</f>
        <v>0</v>
      </c>
      <c r="CG50" s="64">
        <f>ROUND(IFERROR(INDEX('Labor Cost_Master'!$G$4:$BC$135,MATCH($DN50,'Labor Cost_Master'!$BD$4:$BD$135,0),MATCH(CG$9,'Labor Cost_Master'!$G$3:$BC$3,0)),0)*AF50,0)</f>
        <v>0</v>
      </c>
      <c r="CH50" s="64">
        <f>ROUND(IFERROR(INDEX('Labor Cost_Master'!$G$4:$BC$135,MATCH($DN50,'Labor Cost_Master'!$BD$4:$BD$135,0),MATCH(CH$9,'Labor Cost_Master'!$G$3:$BC$3,0)),0)*AG50,0)</f>
        <v>0</v>
      </c>
      <c r="CI50" s="64">
        <f>ROUND(IFERROR(INDEX('Labor Cost_Master'!$G$4:$BC$135,MATCH($DN50,'Labor Cost_Master'!$BD$4:$BD$135,0),MATCH(CI$9,'Labor Cost_Master'!$G$3:$BC$3,0)),0)*AH50,0)</f>
        <v>0</v>
      </c>
      <c r="CJ50" s="64">
        <f>ROUND(IFERROR(INDEX('Labor Cost_Master'!$G$4:$BC$135,MATCH($DN50,'Labor Cost_Master'!$BD$4:$BD$135,0),MATCH(CJ$9,'Labor Cost_Master'!$G$3:$BC$3,0)),0)*AI50,0)</f>
        <v>0</v>
      </c>
      <c r="CK50" s="64">
        <f>ROUND(IFERROR(INDEX('Labor Cost_Master'!$G$4:$BC$135,MATCH($DN50,'Labor Cost_Master'!$BD$4:$BD$135,0),MATCH(CK$9,'Labor Cost_Master'!$G$3:$BC$3,0)),0)*AJ50,0)</f>
        <v>0</v>
      </c>
      <c r="CL50" s="64">
        <f>ROUND(IFERROR(INDEX('Labor Cost_Master'!$G$4:$BC$135,MATCH($DN50,'Labor Cost_Master'!$BD$4:$BD$135,0),MATCH(CL$9,'Labor Cost_Master'!$G$3:$BC$3,0)),0)*AK50,0)</f>
        <v>0</v>
      </c>
      <c r="CM50" s="66">
        <f t="shared" si="30"/>
        <v>0</v>
      </c>
      <c r="CN50" s="64">
        <f>ROUND(IFERROR(INDEX('Labor Cost_Master'!$G$4:$BC$135,MATCH($DN50,'Labor Cost_Master'!$BD$4:$BD$135,0),MATCH(CN$9,'Labor Cost_Master'!$G$3:$BC$3,0)),0)*AM50,0)</f>
        <v>0</v>
      </c>
      <c r="CO50" s="64">
        <f>ROUND(IFERROR(INDEX('Labor Cost_Master'!$G$4:$BC$135,MATCH($DN50,'Labor Cost_Master'!$BD$4:$BD$135,0),MATCH(CO$9,'Labor Cost_Master'!$G$3:$BC$3,0)),0)*AN50,0)</f>
        <v>0</v>
      </c>
      <c r="CP50" s="64">
        <f>ROUND(IFERROR(INDEX('Labor Cost_Master'!$G$4:$BC$135,MATCH($DN50,'Labor Cost_Master'!$BD$4:$BD$135,0),MATCH(CP$9,'Labor Cost_Master'!$G$3:$BC$3,0)),0)*AO50,0)</f>
        <v>0</v>
      </c>
      <c r="CQ50" s="64">
        <f>ROUND(IFERROR(INDEX('Labor Cost_Master'!$G$4:$BC$135,MATCH($DN50,'Labor Cost_Master'!$BD$4:$BD$135,0),MATCH(CQ$9,'Labor Cost_Master'!$G$3:$BC$3,0)),0)*AP50,0)</f>
        <v>0</v>
      </c>
      <c r="CR50" s="64">
        <f>ROUND(IFERROR(INDEX('Labor Cost_Master'!$G$4:$BC$135,MATCH($DN50,'Labor Cost_Master'!$BD$4:$BD$135,0),MATCH(CR$9,'Labor Cost_Master'!$G$3:$BC$3,0)),0)*AQ50,0)</f>
        <v>0</v>
      </c>
      <c r="CS50" s="64">
        <f>ROUND(IFERROR(INDEX('Labor Cost_Master'!$G$4:$BC$135,MATCH($DN50,'Labor Cost_Master'!$BD$4:$BD$135,0),MATCH(CS$9,'Labor Cost_Master'!$G$3:$BC$3,0)),0)*AR50,0)</f>
        <v>0</v>
      </c>
      <c r="CT50" s="64">
        <f>ROUND(IFERROR(INDEX('Labor Cost_Master'!$G$4:$BC$135,MATCH($DN50,'Labor Cost_Master'!$BD$4:$BD$135,0),MATCH(CT$9,'Labor Cost_Master'!$G$3:$BC$3,0)),0)*AS50,0)</f>
        <v>0</v>
      </c>
      <c r="CU50" s="64">
        <f>ROUND(IFERROR(INDEX('Labor Cost_Master'!$G$4:$BC$135,MATCH($DN50,'Labor Cost_Master'!$BD$4:$BD$135,0),MATCH(CU$9,'Labor Cost_Master'!$G$3:$BC$3,0)),0)*AT50,0)</f>
        <v>0</v>
      </c>
      <c r="CV50" s="64">
        <f>ROUND(IFERROR(INDEX('Labor Cost_Master'!$G$4:$BC$135,MATCH($DN50,'Labor Cost_Master'!$BD$4:$BD$135,0),MATCH(CV$9,'Labor Cost_Master'!$G$3:$BC$3,0)),0)*AU50,0)</f>
        <v>0</v>
      </c>
      <c r="CW50" s="64">
        <f>ROUND(IFERROR(INDEX('Labor Cost_Master'!$G$4:$BC$135,MATCH($DN50,'Labor Cost_Master'!$BD$4:$BD$135,0),MATCH(CW$9,'Labor Cost_Master'!$G$3:$BC$3,0)),0)*AV50,0)</f>
        <v>0</v>
      </c>
      <c r="CX50" s="64">
        <f>ROUND(IFERROR(INDEX('Labor Cost_Master'!$G$4:$BC$135,MATCH($DN50,'Labor Cost_Master'!$BD$4:$BD$135,0),MATCH(CX$9,'Labor Cost_Master'!$G$3:$BC$3,0)),0)*AW50,0)</f>
        <v>0</v>
      </c>
      <c r="CY50" s="64">
        <f>ROUND(IFERROR(INDEX('Labor Cost_Master'!$G$4:$BC$135,MATCH($DN50,'Labor Cost_Master'!$BD$4:$BD$135,0),MATCH(CY$9,'Labor Cost_Master'!$G$3:$BC$3,0)),0)*AX50,0)</f>
        <v>0</v>
      </c>
      <c r="CZ50" s="66">
        <f t="shared" si="31"/>
        <v>0</v>
      </c>
      <c r="DA50" s="64">
        <f>ROUND(IFERROR(INDEX('Labor Cost_Master'!$G$4:$BC$135,MATCH($DN50,'Labor Cost_Master'!$BD$4:$BD$135,0),MATCH(DA$9,'Labor Cost_Master'!$G$3:$BC$3,0)),0)*AZ50,0)</f>
        <v>0</v>
      </c>
      <c r="DB50" s="64">
        <f>ROUND(IFERROR(INDEX('Labor Cost_Master'!$G$4:$BC$135,MATCH($DN50,'Labor Cost_Master'!$BD$4:$BD$135,0),MATCH(DB$9,'Labor Cost_Master'!$G$3:$BC$3,0)),0)*BA50,0)</f>
        <v>0</v>
      </c>
      <c r="DC50" s="1166">
        <f>ROUND(IFERROR(INDEX('Labor Cost_Master'!$G$4:$BC$135,MATCH($DN50,'Labor Cost_Master'!$BD$4:$BD$135,0),MATCH(DC$9,'Labor Cost_Master'!$G$3:$BC$3,0)),0)*BB50,0)*1.05</f>
        <v>0</v>
      </c>
      <c r="DD50" s="64">
        <f>ROUND(IFERROR(INDEX('Labor Cost_Master'!$G$4:$BC$135,MATCH($DN50,'Labor Cost_Master'!$BD$4:$BD$135,0),MATCH(DD$9,'Labor Cost_Master'!$G$3:$BC$3,0)),0)*BC50,0)*1.05</f>
        <v>0</v>
      </c>
      <c r="DE50" s="64">
        <f>ROUND(IFERROR(INDEX('Labor Cost_Master'!$G$4:$BC$135,MATCH($DN50,'Labor Cost_Master'!$BD$4:$BD$135,0),MATCH(DE$9,'Labor Cost_Master'!$G$3:$BC$3,0)),0)*BD50,0)*1.05</f>
        <v>0</v>
      </c>
      <c r="DF50" s="64">
        <f>ROUND(IFERROR(INDEX('Labor Cost_Master'!$G$4:$BC$135,MATCH($DN50,'Labor Cost_Master'!$BD$4:$BD$135,0),MATCH(DF$9,'Labor Cost_Master'!$G$3:$BC$3,0)),0)*BE50,0)*1.05</f>
        <v>0</v>
      </c>
      <c r="DG50" s="64">
        <f>ROUND(IFERROR(INDEX('Labor Cost_Master'!$G$4:$BC$135,MATCH($DN50,'Labor Cost_Master'!$BD$4:$BD$135,0),MATCH(DG$9,'Labor Cost_Master'!$G$3:$BC$3,0)),0)*BF50,0)*1.05</f>
        <v>0</v>
      </c>
      <c r="DH50" s="64">
        <f>ROUND(IFERROR(INDEX('Labor Cost_Master'!$G$4:$BC$135,MATCH($DN50,'Labor Cost_Master'!$BD$4:$BD$135,0),MATCH(DH$9,'Labor Cost_Master'!$G$3:$BC$3,0)),0)*BG50,0)*1.05</f>
        <v>0</v>
      </c>
      <c r="DI50" s="64">
        <f>ROUND(IFERROR(INDEX('Labor Cost_Master'!$G$4:$BC$135,MATCH($DN50,'Labor Cost_Master'!$BD$4:$BD$135,0),MATCH(DI$9,'Labor Cost_Master'!$G$3:$BC$3,0)),0)*BH50,0)*1.05</f>
        <v>0</v>
      </c>
      <c r="DJ50" s="64">
        <f>ROUND(IFERROR(INDEX('Labor Cost_Master'!$G$4:$BC$135,MATCH($DN50,'Labor Cost_Master'!$BD$4:$BD$135,0),MATCH(DJ$9,'Labor Cost_Master'!$G$3:$BC$3,0)),0)*BI50,0)*1.05</f>
        <v>0</v>
      </c>
      <c r="DK50" s="64">
        <f>ROUND(IFERROR(INDEX('Labor Cost_Master'!$G$4:$BC$135,MATCH($DN50,'Labor Cost_Master'!$BD$4:$BD$135,0),MATCH(DK$9,'Labor Cost_Master'!$G$3:$BC$3,0)),0)*BJ50,0)*1.05</f>
        <v>0</v>
      </c>
      <c r="DL50" s="64">
        <f>ROUND(IFERROR(INDEX('Labor Cost_Master'!$G$4:$BC$135,MATCH($DN50,'Labor Cost_Master'!$BD$4:$BD$135,0),MATCH(DL$9,'Labor Cost_Master'!$G$3:$BC$3,0)),0)*BK50,0)*1.05</f>
        <v>0</v>
      </c>
      <c r="DM50" s="66">
        <f t="shared" si="32"/>
        <v>0</v>
      </c>
      <c r="DN50" s="80" t="str">
        <f t="shared" si="23"/>
        <v/>
      </c>
      <c r="DO50" s="64">
        <f>ROUND(IFERROR(INDEX(Benefit_Master!$G$4:$BC$135,MATCH($DN50,Benefit_Master!$BD$4:$BD$135,0),MATCH(DO$9,Benefit_Master!$G$3:$BC$3,0)),0)*M50,0)</f>
        <v>0</v>
      </c>
      <c r="DP50" s="64">
        <f>ROUND(IFERROR(INDEX(Benefit_Master!$G$4:$BC$135,MATCH($DN50,Benefit_Master!$BD$4:$BD$135,0),MATCH(DP$9,Benefit_Master!$G$3:$BC$3,0)),0)*N50,0)</f>
        <v>0</v>
      </c>
      <c r="DQ50" s="64">
        <f>ROUND(IFERROR(INDEX(Benefit_Master!$G$4:$BC$135,MATCH($DN50,Benefit_Master!$BD$4:$BD$135,0),MATCH(DQ$9,Benefit_Master!$G$3:$BC$3,0)),0)*O50,0)</f>
        <v>0</v>
      </c>
      <c r="DR50" s="64">
        <f>ROUND(IFERROR(INDEX(Benefit_Master!$G$4:$BC$135,MATCH($DN50,Benefit_Master!$BD$4:$BD$135,0),MATCH(DR$9,Benefit_Master!$G$3:$BC$3,0)),0)*P50,0)</f>
        <v>0</v>
      </c>
      <c r="DS50" s="64">
        <f>ROUND(IFERROR(INDEX(Benefit_Master!$G$4:$BC$135,MATCH($DN50,Benefit_Master!$BD$4:$BD$135,0),MATCH(DS$9,Benefit_Master!$G$3:$BC$3,0)),0)*Q50,0)</f>
        <v>0</v>
      </c>
      <c r="DT50" s="64">
        <f>ROUND(IFERROR(INDEX(Benefit_Master!$G$4:$BC$135,MATCH($DN50,Benefit_Master!$BD$4:$BD$135,0),MATCH(DT$9,Benefit_Master!$G$3:$BC$3,0)),0)*R50,0)</f>
        <v>0</v>
      </c>
      <c r="DU50" s="64">
        <f>ROUND(IFERROR(INDEX(Benefit_Master!$G$4:$BC$135,MATCH($DN50,Benefit_Master!$BD$4:$BD$135,0),MATCH(DU$9,Benefit_Master!$G$3:$BC$3,0)),0)*S50,0)</f>
        <v>0</v>
      </c>
      <c r="DV50" s="64">
        <f>ROUND(IFERROR(INDEX(Benefit_Master!$G$4:$BC$135,MATCH($DN50,Benefit_Master!$BD$4:$BD$135,0),MATCH(DV$9,Benefit_Master!$G$3:$BC$3,0)),0)*T50,0)</f>
        <v>0</v>
      </c>
      <c r="DW50" s="64">
        <f>ROUND(IFERROR(INDEX(Benefit_Master!$G$4:$BC$135,MATCH($DN50,Benefit_Master!$BD$4:$BD$135,0),MATCH(DW$9,Benefit_Master!$G$3:$BC$3,0)),0)*U50,0)</f>
        <v>0</v>
      </c>
      <c r="DX50" s="64">
        <f>ROUND(IFERROR(INDEX(Benefit_Master!$G$4:$BC$135,MATCH($DN50,Benefit_Master!$BD$4:$BD$135,0),MATCH(DX$9,Benefit_Master!$G$3:$BC$3,0)),0)*V50,0)</f>
        <v>0</v>
      </c>
      <c r="DY50" s="64">
        <f>ROUND(IFERROR(INDEX(Benefit_Master!$G$4:$BC$135,MATCH($DN50,Benefit_Master!$BD$4:$BD$135,0),MATCH(DY$9,Benefit_Master!$G$3:$BC$3,0)),0)*W50,0)</f>
        <v>0</v>
      </c>
      <c r="DZ50" s="64">
        <f>ROUND(IFERROR(INDEX(Benefit_Master!$G$4:$BC$135,MATCH($DN50,Benefit_Master!$BD$4:$BD$135,0),MATCH(DZ$9,Benefit_Master!$G$3:$BC$3,0)),0)*X50,0)</f>
        <v>0</v>
      </c>
      <c r="EA50" s="66">
        <f t="shared" si="33"/>
        <v>0</v>
      </c>
      <c r="EB50" s="64">
        <f>ROUND(IFERROR(INDEX(Benefit_Master!$G$4:$BC$135,MATCH($DN50,Benefit_Master!$BD$4:$BD$135,0),MATCH(EB$9,Benefit_Master!$G$3:$BC$3,0)),0)*Z50,0)</f>
        <v>0</v>
      </c>
      <c r="EC50" s="64">
        <f>ROUND(IFERROR(INDEX(Benefit_Master!$G$4:$BC$135,MATCH($DN50,Benefit_Master!$BD$4:$BD$135,0),MATCH(EC$9,Benefit_Master!$G$3:$BC$3,0)),0)*AA50,0)</f>
        <v>0</v>
      </c>
      <c r="ED50" s="64">
        <f>ROUND(IFERROR(INDEX(Benefit_Master!$G$4:$BC$135,MATCH($DN50,Benefit_Master!$BD$4:$BD$135,0),MATCH(ED$9,Benefit_Master!$G$3:$BC$3,0)),0)*AB50,0)</f>
        <v>0</v>
      </c>
      <c r="EE50" s="64">
        <f>ROUND(IFERROR(INDEX(Benefit_Master!$G$4:$BC$135,MATCH($DN50,Benefit_Master!$BD$4:$BD$135,0),MATCH(EE$9,Benefit_Master!$G$3:$BC$3,0)),0)*AC50,0)</f>
        <v>0</v>
      </c>
      <c r="EF50" s="64">
        <f>ROUND(IFERROR(INDEX(Benefit_Master!$G$4:$BC$135,MATCH($DN50,Benefit_Master!$BD$4:$BD$135,0),MATCH(EF$9,Benefit_Master!$G$3:$BC$3,0)),0)*AD50,0)</f>
        <v>0</v>
      </c>
      <c r="EG50" s="64">
        <f>ROUND(IFERROR(INDEX(Benefit_Master!$G$4:$BC$135,MATCH($DN50,Benefit_Master!$BD$4:$BD$135,0),MATCH(EG$9,Benefit_Master!$G$3:$BC$3,0)),0)*AE50,0)</f>
        <v>0</v>
      </c>
      <c r="EH50" s="64">
        <f>ROUND(IFERROR(INDEX(Benefit_Master!$G$4:$BC$135,MATCH($DN50,Benefit_Master!$BD$4:$BD$135,0),MATCH(EH$9,Benefit_Master!$G$3:$BC$3,0)),0)*AF50,0)</f>
        <v>0</v>
      </c>
      <c r="EI50" s="64">
        <f>ROUND(IFERROR(INDEX(Benefit_Master!$G$4:$BC$135,MATCH($DN50,Benefit_Master!$BD$4:$BD$135,0),MATCH(EI$9,Benefit_Master!$G$3:$BC$3,0)),0)*AG50,0)</f>
        <v>0</v>
      </c>
      <c r="EJ50" s="64">
        <f>ROUND(IFERROR(INDEX(Benefit_Master!$G$4:$BC$135,MATCH($DN50,Benefit_Master!$BD$4:$BD$135,0),MATCH(EJ$9,Benefit_Master!$G$3:$BC$3,0)),0)*AH50,0)</f>
        <v>0</v>
      </c>
      <c r="EK50" s="64">
        <f>ROUND(IFERROR(INDEX(Benefit_Master!$G$4:$BC$135,MATCH($DN50,Benefit_Master!$BD$4:$BD$135,0),MATCH(EK$9,Benefit_Master!$G$3:$BC$3,0)),0)*AI50,0)</f>
        <v>0</v>
      </c>
      <c r="EL50" s="64">
        <f>ROUND(IFERROR(INDEX(Benefit_Master!$G$4:$BC$135,MATCH($DN50,Benefit_Master!$BD$4:$BD$135,0),MATCH(EL$9,Benefit_Master!$G$3:$BC$3,0)),0)*AJ50,0)</f>
        <v>0</v>
      </c>
      <c r="EM50" s="64">
        <f>ROUND(IFERROR(INDEX(Benefit_Master!$G$4:$BC$135,MATCH($DN50,Benefit_Master!$BD$4:$BD$135,0),MATCH(EM$9,Benefit_Master!$G$3:$BC$3,0)),0)*AK50,0)</f>
        <v>0</v>
      </c>
      <c r="EN50" s="66">
        <f t="shared" si="34"/>
        <v>0</v>
      </c>
      <c r="EO50" s="64">
        <f>ROUND(IFERROR(INDEX(Benefit_Master!$G$4:$BC$135,MATCH($DN50,Benefit_Master!$BD$4:$BD$135,0),MATCH(EO$9,Benefit_Master!$G$3:$BC$3,0)),0)*AM50,0)</f>
        <v>0</v>
      </c>
      <c r="EP50" s="64">
        <f>ROUND(IFERROR(INDEX(Benefit_Master!$G$4:$BC$135,MATCH($DN50,Benefit_Master!$BD$4:$BD$135,0),MATCH(EP$9,Benefit_Master!$G$3:$BC$3,0)),0)*AN50,0)</f>
        <v>0</v>
      </c>
      <c r="EQ50" s="64">
        <f>ROUND(IFERROR(INDEX(Benefit_Master!$G$4:$BC$135,MATCH($DN50,Benefit_Master!$BD$4:$BD$135,0),MATCH(EQ$9,Benefit_Master!$G$3:$BC$3,0)),0)*AO50,0)</f>
        <v>0</v>
      </c>
      <c r="ER50" s="64">
        <f>ROUND(IFERROR(INDEX(Benefit_Master!$G$4:$BC$135,MATCH($DN50,Benefit_Master!$BD$4:$BD$135,0),MATCH(ER$9,Benefit_Master!$G$3:$BC$3,0)),0)*AP50,0)</f>
        <v>0</v>
      </c>
      <c r="ES50" s="64">
        <f>ROUND(IFERROR(INDEX(Benefit_Master!$G$4:$BC$135,MATCH($DN50,Benefit_Master!$BD$4:$BD$135,0),MATCH(ES$9,Benefit_Master!$G$3:$BC$3,0)),0)*AQ50,0)</f>
        <v>0</v>
      </c>
      <c r="ET50" s="64">
        <f>ROUND(IFERROR(INDEX(Benefit_Master!$G$4:$BC$135,MATCH($DN50,Benefit_Master!$BD$4:$BD$135,0),MATCH(ET$9,Benefit_Master!$G$3:$BC$3,0)),0)*AR50,0)</f>
        <v>0</v>
      </c>
      <c r="EU50" s="64">
        <f>ROUND(IFERROR(INDEX(Benefit_Master!$G$4:$BC$135,MATCH($DN50,Benefit_Master!$BD$4:$BD$135,0),MATCH(EU$9,Benefit_Master!$G$3:$BC$3,0)),0)*AS50,0)</f>
        <v>0</v>
      </c>
      <c r="EV50" s="64">
        <f>ROUND(IFERROR(INDEX(Benefit_Master!$G$4:$BC$135,MATCH($DN50,Benefit_Master!$BD$4:$BD$135,0),MATCH(EV$9,Benefit_Master!$G$3:$BC$3,0)),0)*AT50,0)</f>
        <v>0</v>
      </c>
      <c r="EW50" s="64">
        <f>ROUND(IFERROR(INDEX(Benefit_Master!$G$4:$BC$135,MATCH($DN50,Benefit_Master!$BD$4:$BD$135,0),MATCH(EW$9,Benefit_Master!$G$3:$BC$3,0)),0)*AU50,0)</f>
        <v>0</v>
      </c>
      <c r="EX50" s="64">
        <f>ROUND(IFERROR(INDEX(Benefit_Master!$G$4:$BC$135,MATCH($DN50,Benefit_Master!$BD$4:$BD$135,0),MATCH(EX$9,Benefit_Master!$G$3:$BC$3,0)),0)*AV50,0)</f>
        <v>0</v>
      </c>
      <c r="EY50" s="64">
        <f>ROUND(IFERROR(INDEX(Benefit_Master!$G$4:$BC$135,MATCH($DN50,Benefit_Master!$BD$4:$BD$135,0),MATCH(EY$9,Benefit_Master!$G$3:$BC$3,0)),0)*AW50,0)</f>
        <v>0</v>
      </c>
      <c r="EZ50" s="64">
        <f>ROUND(IFERROR(INDEX(Benefit_Master!$G$4:$BC$135,MATCH($DN50,Benefit_Master!$BD$4:$BD$135,0),MATCH(EZ$9,Benefit_Master!$G$3:$BC$3,0)),0)*AX50,0)</f>
        <v>0</v>
      </c>
      <c r="FA50" s="66">
        <f t="shared" si="35"/>
        <v>0</v>
      </c>
      <c r="FB50" s="64">
        <f>ROUND(IFERROR(INDEX(Benefit_Master!$G$4:$BC$135,MATCH($DN50,Benefit_Master!$BD$4:$BD$135,0),MATCH(FB$9,Benefit_Master!$G$3:$BC$3,0)),0)*AZ50,0)</f>
        <v>0</v>
      </c>
      <c r="FC50" s="64">
        <f>ROUND(IFERROR(INDEX(Benefit_Master!$G$4:$BC$135,MATCH($DN50,Benefit_Master!$BD$4:$BD$135,0),MATCH(FC$9,Benefit_Master!$G$3:$BC$3,0)),0)*BA50,0)</f>
        <v>0</v>
      </c>
      <c r="FD50" s="64">
        <f>ROUND(IFERROR(INDEX(Benefit_Master!$G$4:$BC$135,MATCH($DN50,Benefit_Master!$BD$4:$BD$135,0),MATCH(FD$9,Benefit_Master!$G$3:$BC$3,0)),0)*BB50,0)</f>
        <v>0</v>
      </c>
      <c r="FE50" s="64">
        <f>ROUND(IFERROR(INDEX(Benefit_Master!$G$4:$BC$135,MATCH($DN50,Benefit_Master!$BD$4:$BD$135,0),MATCH(FE$9,Benefit_Master!$G$3:$BC$3,0)),0)*BC50,0)</f>
        <v>0</v>
      </c>
      <c r="FF50" s="64">
        <f>ROUND(IFERROR(INDEX(Benefit_Master!$G$4:$BC$135,MATCH($DN50,Benefit_Master!$BD$4:$BD$135,0),MATCH(FF$9,Benefit_Master!$G$3:$BC$3,0)),0)*BD50,0)</f>
        <v>0</v>
      </c>
      <c r="FG50" s="64">
        <f>ROUND(IFERROR(INDEX(Benefit_Master!$G$4:$BC$135,MATCH($DN50,Benefit_Master!$BD$4:$BD$135,0),MATCH(FG$9,Benefit_Master!$G$3:$BC$3,0)),0)*BE50,0)</f>
        <v>0</v>
      </c>
      <c r="FH50" s="64">
        <f>ROUND(IFERROR(INDEX(Benefit_Master!$G$4:$BC$135,MATCH($DN50,Benefit_Master!$BD$4:$BD$135,0),MATCH(FH$9,Benefit_Master!$G$3:$BC$3,0)),0)*BF50,0)</f>
        <v>0</v>
      </c>
      <c r="FI50" s="64">
        <f>ROUND(IFERROR(INDEX(Benefit_Master!$G$4:$BC$135,MATCH($DN50,Benefit_Master!$BD$4:$BD$135,0),MATCH(FI$9,Benefit_Master!$G$3:$BC$3,0)),0)*BG50,0)</f>
        <v>0</v>
      </c>
      <c r="FJ50" s="64">
        <f>ROUND(IFERROR(INDEX(Benefit_Master!$G$4:$BC$135,MATCH($DN50,Benefit_Master!$BD$4:$BD$135,0),MATCH(FJ$9,Benefit_Master!$G$3:$BC$3,0)),0)*BH50,0)</f>
        <v>0</v>
      </c>
      <c r="FK50" s="64">
        <f>ROUND(IFERROR(INDEX(Benefit_Master!$G$4:$BC$135,MATCH($DN50,Benefit_Master!$BD$4:$BD$135,0),MATCH(FK$9,Benefit_Master!$G$3:$BC$3,0)),0)*BI50,0)</f>
        <v>0</v>
      </c>
      <c r="FL50" s="64">
        <f>ROUND(IFERROR(INDEX(Benefit_Master!$G$4:$BC$135,MATCH($DN50,Benefit_Master!$BD$4:$BD$135,0),MATCH(FL$9,Benefit_Master!$G$3:$BC$3,0)),0)*BJ50,0)</f>
        <v>0</v>
      </c>
      <c r="FM50" s="64">
        <f>ROUND(IFERROR(INDEX(Benefit_Master!$G$4:$BC$135,MATCH($DN50,Benefit_Master!$BD$4:$BD$135,0),MATCH(FM$9,Benefit_Master!$G$3:$BC$3,0)),0)*BK50,0)</f>
        <v>0</v>
      </c>
      <c r="FN50" s="66">
        <f t="shared" si="36"/>
        <v>0</v>
      </c>
    </row>
    <row r="51" spans="2:170" s="12" customFormat="1" ht="15" customHeight="1">
      <c r="B51" s="93">
        <f t="shared" si="28"/>
        <v>39</v>
      </c>
      <c r="C51" s="89"/>
      <c r="D51" s="97"/>
      <c r="E51" s="1157"/>
      <c r="F51" s="425"/>
      <c r="G51" s="94" t="str">
        <f>IFERROR(VLOOKUP($F51,Master!$B$1:$C$7,2,0),"-")</f>
        <v>-</v>
      </c>
      <c r="H51" s="95">
        <f t="shared" si="12"/>
        <v>0</v>
      </c>
      <c r="I51" s="138">
        <f t="shared" si="13"/>
        <v>0</v>
      </c>
      <c r="J51" s="138">
        <f t="shared" si="14"/>
        <v>0</v>
      </c>
      <c r="K51" s="96"/>
      <c r="L51"/>
      <c r="M51" s="58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60">
        <f t="shared" si="15"/>
        <v>0</v>
      </c>
      <c r="Z51" s="58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60">
        <f t="shared" si="16"/>
        <v>0</v>
      </c>
      <c r="AM51" s="58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60">
        <f t="shared" si="17"/>
        <v>0</v>
      </c>
      <c r="AZ51" s="58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60">
        <f t="shared" si="18"/>
        <v>0</v>
      </c>
      <c r="BM51"/>
      <c r="BN51" s="64">
        <f>ROUND(IFERROR(INDEX('Labor Cost_Master'!$G$4:$BC$135,MATCH($DN51,'Labor Cost_Master'!$BD$4:$BD$135,0),MATCH(BN$9,'Labor Cost_Master'!$G$3:$BC$3,0)),0)*M51,0)</f>
        <v>0</v>
      </c>
      <c r="BO51" s="64">
        <f>ROUND(IFERROR(INDEX('Labor Cost_Master'!$G$4:$BC$135,MATCH($DN51,'Labor Cost_Master'!$BD$4:$BD$135,0),MATCH(BO$9,'Labor Cost_Master'!$G$3:$BC$3,0)),0)*N51,0)</f>
        <v>0</v>
      </c>
      <c r="BP51" s="64">
        <f>ROUND(IFERROR(INDEX('Labor Cost_Master'!$G$4:$BC$135,MATCH($DN51,'Labor Cost_Master'!$BD$4:$BD$135,0),MATCH(BP$9,'Labor Cost_Master'!$G$3:$BC$3,0)),0)*O51,0)</f>
        <v>0</v>
      </c>
      <c r="BQ51" s="64">
        <f>ROUND(IFERROR(INDEX('Labor Cost_Master'!$G$4:$BC$135,MATCH($DN51,'Labor Cost_Master'!$BD$4:$BD$135,0),MATCH(BQ$9,'Labor Cost_Master'!$G$3:$BC$3,0)),0)*P51,0)</f>
        <v>0</v>
      </c>
      <c r="BR51" s="64">
        <f>ROUND(IFERROR(INDEX('Labor Cost_Master'!$G$4:$BC$135,MATCH($DN51,'Labor Cost_Master'!$BD$4:$BD$135,0),MATCH(BR$9,'Labor Cost_Master'!$G$3:$BC$3,0)),0)*Q51,0)</f>
        <v>0</v>
      </c>
      <c r="BS51" s="64">
        <f>ROUND(IFERROR(INDEX('Labor Cost_Master'!$G$4:$BC$135,MATCH($DN51,'Labor Cost_Master'!$BD$4:$BD$135,0),MATCH(BS$9,'Labor Cost_Master'!$G$3:$BC$3,0)),0)*R51,0)</f>
        <v>0</v>
      </c>
      <c r="BT51" s="64">
        <f>ROUND(IFERROR(INDEX('Labor Cost_Master'!$G$4:$BC$135,MATCH($DN51,'Labor Cost_Master'!$BD$4:$BD$135,0),MATCH(BT$9,'Labor Cost_Master'!$G$3:$BC$3,0)),0)*S51,0)</f>
        <v>0</v>
      </c>
      <c r="BU51" s="64">
        <f>ROUND(IFERROR(INDEX('Labor Cost_Master'!$G$4:$BC$135,MATCH($DN51,'Labor Cost_Master'!$BD$4:$BD$135,0),MATCH(BU$9,'Labor Cost_Master'!$G$3:$BC$3,0)),0)*T51,0)</f>
        <v>0</v>
      </c>
      <c r="BV51" s="64">
        <f>ROUND(IFERROR(INDEX('Labor Cost_Master'!$G$4:$BC$135,MATCH($DN51,'Labor Cost_Master'!$BD$4:$BD$135,0),MATCH(BV$9,'Labor Cost_Master'!$G$3:$BC$3,0)),0)*U51,0)</f>
        <v>0</v>
      </c>
      <c r="BW51" s="64">
        <f>ROUND(IFERROR(INDEX('Labor Cost_Master'!$G$4:$BC$135,MATCH($DN51,'Labor Cost_Master'!$BD$4:$BD$135,0),MATCH(BW$9,'Labor Cost_Master'!$G$3:$BC$3,0)),0)*V51,0)</f>
        <v>0</v>
      </c>
      <c r="BX51" s="64">
        <f>ROUND(IFERROR(INDEX('Labor Cost_Master'!$G$4:$BC$135,MATCH($DN51,'Labor Cost_Master'!$BD$4:$BD$135,0),MATCH(BX$9,'Labor Cost_Master'!$G$3:$BC$3,0)),0)*W51,0)</f>
        <v>0</v>
      </c>
      <c r="BY51" s="64">
        <f>ROUND(IFERROR(INDEX('Labor Cost_Master'!$G$4:$BC$135,MATCH($DN51,'Labor Cost_Master'!$BD$4:$BD$135,0),MATCH(BY$9,'Labor Cost_Master'!$G$3:$BC$3,0)),0)*X51,0)</f>
        <v>0</v>
      </c>
      <c r="BZ51" s="66">
        <f t="shared" si="29"/>
        <v>0</v>
      </c>
      <c r="CA51" s="64">
        <f>ROUND(IFERROR(INDEX('Labor Cost_Master'!$G$4:$BC$135,MATCH($DN51,'Labor Cost_Master'!$BD$4:$BD$135,0),MATCH(CA$9,'Labor Cost_Master'!$G$3:$BC$3,0)),0)*Z51,0)</f>
        <v>0</v>
      </c>
      <c r="CB51" s="64">
        <f>ROUND(IFERROR(INDEX('Labor Cost_Master'!$G$4:$BC$135,MATCH($DN51,'Labor Cost_Master'!$BD$4:$BD$135,0),MATCH(CB$9,'Labor Cost_Master'!$G$3:$BC$3,0)),0)*AA51,0)</f>
        <v>0</v>
      </c>
      <c r="CC51" s="64">
        <f>ROUND(IFERROR(INDEX('Labor Cost_Master'!$G$4:$BC$135,MATCH($DN51,'Labor Cost_Master'!$BD$4:$BD$135,0),MATCH(CC$9,'Labor Cost_Master'!$G$3:$BC$3,0)),0)*AB51,0)</f>
        <v>0</v>
      </c>
      <c r="CD51" s="64">
        <f>ROUND(IFERROR(INDEX('Labor Cost_Master'!$G$4:$BC$135,MATCH($DN51,'Labor Cost_Master'!$BD$4:$BD$135,0),MATCH(CD$9,'Labor Cost_Master'!$G$3:$BC$3,0)),0)*AC51,0)</f>
        <v>0</v>
      </c>
      <c r="CE51" s="64">
        <f>ROUND(IFERROR(INDEX('Labor Cost_Master'!$G$4:$BC$135,MATCH($DN51,'Labor Cost_Master'!$BD$4:$BD$135,0),MATCH(CE$9,'Labor Cost_Master'!$G$3:$BC$3,0)),0)*AD51,0)</f>
        <v>0</v>
      </c>
      <c r="CF51" s="64">
        <f>ROUND(IFERROR(INDEX('Labor Cost_Master'!$G$4:$BC$135,MATCH($DN51,'Labor Cost_Master'!$BD$4:$BD$135,0),MATCH(CF$9,'Labor Cost_Master'!$G$3:$BC$3,0)),0)*AE51,0)</f>
        <v>0</v>
      </c>
      <c r="CG51" s="64">
        <f>ROUND(IFERROR(INDEX('Labor Cost_Master'!$G$4:$BC$135,MATCH($DN51,'Labor Cost_Master'!$BD$4:$BD$135,0),MATCH(CG$9,'Labor Cost_Master'!$G$3:$BC$3,0)),0)*AF51,0)</f>
        <v>0</v>
      </c>
      <c r="CH51" s="64">
        <f>ROUND(IFERROR(INDEX('Labor Cost_Master'!$G$4:$BC$135,MATCH($DN51,'Labor Cost_Master'!$BD$4:$BD$135,0),MATCH(CH$9,'Labor Cost_Master'!$G$3:$BC$3,0)),0)*AG51,0)</f>
        <v>0</v>
      </c>
      <c r="CI51" s="64">
        <f>ROUND(IFERROR(INDEX('Labor Cost_Master'!$G$4:$BC$135,MATCH($DN51,'Labor Cost_Master'!$BD$4:$BD$135,0),MATCH(CI$9,'Labor Cost_Master'!$G$3:$BC$3,0)),0)*AH51,0)</f>
        <v>0</v>
      </c>
      <c r="CJ51" s="64">
        <f>ROUND(IFERROR(INDEX('Labor Cost_Master'!$G$4:$BC$135,MATCH($DN51,'Labor Cost_Master'!$BD$4:$BD$135,0),MATCH(CJ$9,'Labor Cost_Master'!$G$3:$BC$3,0)),0)*AI51,0)</f>
        <v>0</v>
      </c>
      <c r="CK51" s="64">
        <f>ROUND(IFERROR(INDEX('Labor Cost_Master'!$G$4:$BC$135,MATCH($DN51,'Labor Cost_Master'!$BD$4:$BD$135,0),MATCH(CK$9,'Labor Cost_Master'!$G$3:$BC$3,0)),0)*AJ51,0)</f>
        <v>0</v>
      </c>
      <c r="CL51" s="64">
        <f>ROUND(IFERROR(INDEX('Labor Cost_Master'!$G$4:$BC$135,MATCH($DN51,'Labor Cost_Master'!$BD$4:$BD$135,0),MATCH(CL$9,'Labor Cost_Master'!$G$3:$BC$3,0)),0)*AK51,0)</f>
        <v>0</v>
      </c>
      <c r="CM51" s="66">
        <f t="shared" si="30"/>
        <v>0</v>
      </c>
      <c r="CN51" s="64">
        <f>ROUND(IFERROR(INDEX('Labor Cost_Master'!$G$4:$BC$135,MATCH($DN51,'Labor Cost_Master'!$BD$4:$BD$135,0),MATCH(CN$9,'Labor Cost_Master'!$G$3:$BC$3,0)),0)*AM51,0)</f>
        <v>0</v>
      </c>
      <c r="CO51" s="64">
        <f>ROUND(IFERROR(INDEX('Labor Cost_Master'!$G$4:$BC$135,MATCH($DN51,'Labor Cost_Master'!$BD$4:$BD$135,0),MATCH(CO$9,'Labor Cost_Master'!$G$3:$BC$3,0)),0)*AN51,0)</f>
        <v>0</v>
      </c>
      <c r="CP51" s="64">
        <f>ROUND(IFERROR(INDEX('Labor Cost_Master'!$G$4:$BC$135,MATCH($DN51,'Labor Cost_Master'!$BD$4:$BD$135,0),MATCH(CP$9,'Labor Cost_Master'!$G$3:$BC$3,0)),0)*AO51,0)</f>
        <v>0</v>
      </c>
      <c r="CQ51" s="64">
        <f>ROUND(IFERROR(INDEX('Labor Cost_Master'!$G$4:$BC$135,MATCH($DN51,'Labor Cost_Master'!$BD$4:$BD$135,0),MATCH(CQ$9,'Labor Cost_Master'!$G$3:$BC$3,0)),0)*AP51,0)</f>
        <v>0</v>
      </c>
      <c r="CR51" s="64">
        <f>ROUND(IFERROR(INDEX('Labor Cost_Master'!$G$4:$BC$135,MATCH($DN51,'Labor Cost_Master'!$BD$4:$BD$135,0),MATCH(CR$9,'Labor Cost_Master'!$G$3:$BC$3,0)),0)*AQ51,0)</f>
        <v>0</v>
      </c>
      <c r="CS51" s="64">
        <f>ROUND(IFERROR(INDEX('Labor Cost_Master'!$G$4:$BC$135,MATCH($DN51,'Labor Cost_Master'!$BD$4:$BD$135,0),MATCH(CS$9,'Labor Cost_Master'!$G$3:$BC$3,0)),0)*AR51,0)</f>
        <v>0</v>
      </c>
      <c r="CT51" s="64">
        <f>ROUND(IFERROR(INDEX('Labor Cost_Master'!$G$4:$BC$135,MATCH($DN51,'Labor Cost_Master'!$BD$4:$BD$135,0),MATCH(CT$9,'Labor Cost_Master'!$G$3:$BC$3,0)),0)*AS51,0)</f>
        <v>0</v>
      </c>
      <c r="CU51" s="64">
        <f>ROUND(IFERROR(INDEX('Labor Cost_Master'!$G$4:$BC$135,MATCH($DN51,'Labor Cost_Master'!$BD$4:$BD$135,0),MATCH(CU$9,'Labor Cost_Master'!$G$3:$BC$3,0)),0)*AT51,0)</f>
        <v>0</v>
      </c>
      <c r="CV51" s="64">
        <f>ROUND(IFERROR(INDEX('Labor Cost_Master'!$G$4:$BC$135,MATCH($DN51,'Labor Cost_Master'!$BD$4:$BD$135,0),MATCH(CV$9,'Labor Cost_Master'!$G$3:$BC$3,0)),0)*AU51,0)</f>
        <v>0</v>
      </c>
      <c r="CW51" s="64">
        <f>ROUND(IFERROR(INDEX('Labor Cost_Master'!$G$4:$BC$135,MATCH($DN51,'Labor Cost_Master'!$BD$4:$BD$135,0),MATCH(CW$9,'Labor Cost_Master'!$G$3:$BC$3,0)),0)*AV51,0)</f>
        <v>0</v>
      </c>
      <c r="CX51" s="64">
        <f>ROUND(IFERROR(INDEX('Labor Cost_Master'!$G$4:$BC$135,MATCH($DN51,'Labor Cost_Master'!$BD$4:$BD$135,0),MATCH(CX$9,'Labor Cost_Master'!$G$3:$BC$3,0)),0)*AW51,0)</f>
        <v>0</v>
      </c>
      <c r="CY51" s="64">
        <f>ROUND(IFERROR(INDEX('Labor Cost_Master'!$G$4:$BC$135,MATCH($DN51,'Labor Cost_Master'!$BD$4:$BD$135,0),MATCH(CY$9,'Labor Cost_Master'!$G$3:$BC$3,0)),0)*AX51,0)</f>
        <v>0</v>
      </c>
      <c r="CZ51" s="66">
        <f t="shared" si="31"/>
        <v>0</v>
      </c>
      <c r="DA51" s="64">
        <f>ROUND(IFERROR(INDEX('Labor Cost_Master'!$G$4:$BC$135,MATCH($DN51,'Labor Cost_Master'!$BD$4:$BD$135,0),MATCH(DA$9,'Labor Cost_Master'!$G$3:$BC$3,0)),0)*AZ51,0)</f>
        <v>0</v>
      </c>
      <c r="DB51" s="64">
        <f>ROUND(IFERROR(INDEX('Labor Cost_Master'!$G$4:$BC$135,MATCH($DN51,'Labor Cost_Master'!$BD$4:$BD$135,0),MATCH(DB$9,'Labor Cost_Master'!$G$3:$BC$3,0)),0)*BA51,0)</f>
        <v>0</v>
      </c>
      <c r="DC51" s="1166">
        <f>ROUND(IFERROR(INDEX('Labor Cost_Master'!$G$4:$BC$135,MATCH($DN51,'Labor Cost_Master'!$BD$4:$BD$135,0),MATCH(DC$9,'Labor Cost_Master'!$G$3:$BC$3,0)),0)*BB51,0)*1.05</f>
        <v>0</v>
      </c>
      <c r="DD51" s="64">
        <f>ROUND(IFERROR(INDEX('Labor Cost_Master'!$G$4:$BC$135,MATCH($DN51,'Labor Cost_Master'!$BD$4:$BD$135,0),MATCH(DD$9,'Labor Cost_Master'!$G$3:$BC$3,0)),0)*BC51,0)*1.05</f>
        <v>0</v>
      </c>
      <c r="DE51" s="64">
        <f>ROUND(IFERROR(INDEX('Labor Cost_Master'!$G$4:$BC$135,MATCH($DN51,'Labor Cost_Master'!$BD$4:$BD$135,0),MATCH(DE$9,'Labor Cost_Master'!$G$3:$BC$3,0)),0)*BD51,0)*1.05</f>
        <v>0</v>
      </c>
      <c r="DF51" s="64">
        <f>ROUND(IFERROR(INDEX('Labor Cost_Master'!$G$4:$BC$135,MATCH($DN51,'Labor Cost_Master'!$BD$4:$BD$135,0),MATCH(DF$9,'Labor Cost_Master'!$G$3:$BC$3,0)),0)*BE51,0)*1.05</f>
        <v>0</v>
      </c>
      <c r="DG51" s="64">
        <f>ROUND(IFERROR(INDEX('Labor Cost_Master'!$G$4:$BC$135,MATCH($DN51,'Labor Cost_Master'!$BD$4:$BD$135,0),MATCH(DG$9,'Labor Cost_Master'!$G$3:$BC$3,0)),0)*BF51,0)*1.05</f>
        <v>0</v>
      </c>
      <c r="DH51" s="64">
        <f>ROUND(IFERROR(INDEX('Labor Cost_Master'!$G$4:$BC$135,MATCH($DN51,'Labor Cost_Master'!$BD$4:$BD$135,0),MATCH(DH$9,'Labor Cost_Master'!$G$3:$BC$3,0)),0)*BG51,0)*1.05</f>
        <v>0</v>
      </c>
      <c r="DI51" s="64">
        <f>ROUND(IFERROR(INDEX('Labor Cost_Master'!$G$4:$BC$135,MATCH($DN51,'Labor Cost_Master'!$BD$4:$BD$135,0),MATCH(DI$9,'Labor Cost_Master'!$G$3:$BC$3,0)),0)*BH51,0)*1.05</f>
        <v>0</v>
      </c>
      <c r="DJ51" s="64">
        <f>ROUND(IFERROR(INDEX('Labor Cost_Master'!$G$4:$BC$135,MATCH($DN51,'Labor Cost_Master'!$BD$4:$BD$135,0),MATCH(DJ$9,'Labor Cost_Master'!$G$3:$BC$3,0)),0)*BI51,0)*1.05</f>
        <v>0</v>
      </c>
      <c r="DK51" s="64">
        <f>ROUND(IFERROR(INDEX('Labor Cost_Master'!$G$4:$BC$135,MATCH($DN51,'Labor Cost_Master'!$BD$4:$BD$135,0),MATCH(DK$9,'Labor Cost_Master'!$G$3:$BC$3,0)),0)*BJ51,0)*1.05</f>
        <v>0</v>
      </c>
      <c r="DL51" s="64">
        <f>ROUND(IFERROR(INDEX('Labor Cost_Master'!$G$4:$BC$135,MATCH($DN51,'Labor Cost_Master'!$BD$4:$BD$135,0),MATCH(DL$9,'Labor Cost_Master'!$G$3:$BC$3,0)),0)*BK51,0)*1.05</f>
        <v>0</v>
      </c>
      <c r="DM51" s="66">
        <f t="shared" si="32"/>
        <v>0</v>
      </c>
      <c r="DN51" s="80" t="str">
        <f t="shared" si="23"/>
        <v/>
      </c>
      <c r="DO51" s="64">
        <f>ROUND(IFERROR(INDEX(Benefit_Master!$G$4:$BC$135,MATCH($DN51,Benefit_Master!$BD$4:$BD$135,0),MATCH(DO$9,Benefit_Master!$G$3:$BC$3,0)),0)*M51,0)</f>
        <v>0</v>
      </c>
      <c r="DP51" s="64">
        <f>ROUND(IFERROR(INDEX(Benefit_Master!$G$4:$BC$135,MATCH($DN51,Benefit_Master!$BD$4:$BD$135,0),MATCH(DP$9,Benefit_Master!$G$3:$BC$3,0)),0)*N51,0)</f>
        <v>0</v>
      </c>
      <c r="DQ51" s="64">
        <f>ROUND(IFERROR(INDEX(Benefit_Master!$G$4:$BC$135,MATCH($DN51,Benefit_Master!$BD$4:$BD$135,0),MATCH(DQ$9,Benefit_Master!$G$3:$BC$3,0)),0)*O51,0)</f>
        <v>0</v>
      </c>
      <c r="DR51" s="64">
        <f>ROUND(IFERROR(INDEX(Benefit_Master!$G$4:$BC$135,MATCH($DN51,Benefit_Master!$BD$4:$BD$135,0),MATCH(DR$9,Benefit_Master!$G$3:$BC$3,0)),0)*P51,0)</f>
        <v>0</v>
      </c>
      <c r="DS51" s="64">
        <f>ROUND(IFERROR(INDEX(Benefit_Master!$G$4:$BC$135,MATCH($DN51,Benefit_Master!$BD$4:$BD$135,0),MATCH(DS$9,Benefit_Master!$G$3:$BC$3,0)),0)*Q51,0)</f>
        <v>0</v>
      </c>
      <c r="DT51" s="64">
        <f>ROUND(IFERROR(INDEX(Benefit_Master!$G$4:$BC$135,MATCH($DN51,Benefit_Master!$BD$4:$BD$135,0),MATCH(DT$9,Benefit_Master!$G$3:$BC$3,0)),0)*R51,0)</f>
        <v>0</v>
      </c>
      <c r="DU51" s="64">
        <f>ROUND(IFERROR(INDEX(Benefit_Master!$G$4:$BC$135,MATCH($DN51,Benefit_Master!$BD$4:$BD$135,0),MATCH(DU$9,Benefit_Master!$G$3:$BC$3,0)),0)*S51,0)</f>
        <v>0</v>
      </c>
      <c r="DV51" s="64">
        <f>ROUND(IFERROR(INDEX(Benefit_Master!$G$4:$BC$135,MATCH($DN51,Benefit_Master!$BD$4:$BD$135,0),MATCH(DV$9,Benefit_Master!$G$3:$BC$3,0)),0)*T51,0)</f>
        <v>0</v>
      </c>
      <c r="DW51" s="64">
        <f>ROUND(IFERROR(INDEX(Benefit_Master!$G$4:$BC$135,MATCH($DN51,Benefit_Master!$BD$4:$BD$135,0),MATCH(DW$9,Benefit_Master!$G$3:$BC$3,0)),0)*U51,0)</f>
        <v>0</v>
      </c>
      <c r="DX51" s="64">
        <f>ROUND(IFERROR(INDEX(Benefit_Master!$G$4:$BC$135,MATCH($DN51,Benefit_Master!$BD$4:$BD$135,0),MATCH(DX$9,Benefit_Master!$G$3:$BC$3,0)),0)*V51,0)</f>
        <v>0</v>
      </c>
      <c r="DY51" s="64">
        <f>ROUND(IFERROR(INDEX(Benefit_Master!$G$4:$BC$135,MATCH($DN51,Benefit_Master!$BD$4:$BD$135,0),MATCH(DY$9,Benefit_Master!$G$3:$BC$3,0)),0)*W51,0)</f>
        <v>0</v>
      </c>
      <c r="DZ51" s="64">
        <f>ROUND(IFERROR(INDEX(Benefit_Master!$G$4:$BC$135,MATCH($DN51,Benefit_Master!$BD$4:$BD$135,0),MATCH(DZ$9,Benefit_Master!$G$3:$BC$3,0)),0)*X51,0)</f>
        <v>0</v>
      </c>
      <c r="EA51" s="66">
        <f t="shared" si="33"/>
        <v>0</v>
      </c>
      <c r="EB51" s="64">
        <f>ROUND(IFERROR(INDEX(Benefit_Master!$G$4:$BC$135,MATCH($DN51,Benefit_Master!$BD$4:$BD$135,0),MATCH(EB$9,Benefit_Master!$G$3:$BC$3,0)),0)*Z51,0)</f>
        <v>0</v>
      </c>
      <c r="EC51" s="64">
        <f>ROUND(IFERROR(INDEX(Benefit_Master!$G$4:$BC$135,MATCH($DN51,Benefit_Master!$BD$4:$BD$135,0),MATCH(EC$9,Benefit_Master!$G$3:$BC$3,0)),0)*AA51,0)</f>
        <v>0</v>
      </c>
      <c r="ED51" s="64">
        <f>ROUND(IFERROR(INDEX(Benefit_Master!$G$4:$BC$135,MATCH($DN51,Benefit_Master!$BD$4:$BD$135,0),MATCH(ED$9,Benefit_Master!$G$3:$BC$3,0)),0)*AB51,0)</f>
        <v>0</v>
      </c>
      <c r="EE51" s="64">
        <f>ROUND(IFERROR(INDEX(Benefit_Master!$G$4:$BC$135,MATCH($DN51,Benefit_Master!$BD$4:$BD$135,0),MATCH(EE$9,Benefit_Master!$G$3:$BC$3,0)),0)*AC51,0)</f>
        <v>0</v>
      </c>
      <c r="EF51" s="64">
        <f>ROUND(IFERROR(INDEX(Benefit_Master!$G$4:$BC$135,MATCH($DN51,Benefit_Master!$BD$4:$BD$135,0),MATCH(EF$9,Benefit_Master!$G$3:$BC$3,0)),0)*AD51,0)</f>
        <v>0</v>
      </c>
      <c r="EG51" s="64">
        <f>ROUND(IFERROR(INDEX(Benefit_Master!$G$4:$BC$135,MATCH($DN51,Benefit_Master!$BD$4:$BD$135,0),MATCH(EG$9,Benefit_Master!$G$3:$BC$3,0)),0)*AE51,0)</f>
        <v>0</v>
      </c>
      <c r="EH51" s="64">
        <f>ROUND(IFERROR(INDEX(Benefit_Master!$G$4:$BC$135,MATCH($DN51,Benefit_Master!$BD$4:$BD$135,0),MATCH(EH$9,Benefit_Master!$G$3:$BC$3,0)),0)*AF51,0)</f>
        <v>0</v>
      </c>
      <c r="EI51" s="64">
        <f>ROUND(IFERROR(INDEX(Benefit_Master!$G$4:$BC$135,MATCH($DN51,Benefit_Master!$BD$4:$BD$135,0),MATCH(EI$9,Benefit_Master!$G$3:$BC$3,0)),0)*AG51,0)</f>
        <v>0</v>
      </c>
      <c r="EJ51" s="64">
        <f>ROUND(IFERROR(INDEX(Benefit_Master!$G$4:$BC$135,MATCH($DN51,Benefit_Master!$BD$4:$BD$135,0),MATCH(EJ$9,Benefit_Master!$G$3:$BC$3,0)),0)*AH51,0)</f>
        <v>0</v>
      </c>
      <c r="EK51" s="64">
        <f>ROUND(IFERROR(INDEX(Benefit_Master!$G$4:$BC$135,MATCH($DN51,Benefit_Master!$BD$4:$BD$135,0),MATCH(EK$9,Benefit_Master!$G$3:$BC$3,0)),0)*AI51,0)</f>
        <v>0</v>
      </c>
      <c r="EL51" s="64">
        <f>ROUND(IFERROR(INDEX(Benefit_Master!$G$4:$BC$135,MATCH($DN51,Benefit_Master!$BD$4:$BD$135,0),MATCH(EL$9,Benefit_Master!$G$3:$BC$3,0)),0)*AJ51,0)</f>
        <v>0</v>
      </c>
      <c r="EM51" s="64">
        <f>ROUND(IFERROR(INDEX(Benefit_Master!$G$4:$BC$135,MATCH($DN51,Benefit_Master!$BD$4:$BD$135,0),MATCH(EM$9,Benefit_Master!$G$3:$BC$3,0)),0)*AK51,0)</f>
        <v>0</v>
      </c>
      <c r="EN51" s="66">
        <f t="shared" si="34"/>
        <v>0</v>
      </c>
      <c r="EO51" s="64">
        <f>ROUND(IFERROR(INDEX(Benefit_Master!$G$4:$BC$135,MATCH($DN51,Benefit_Master!$BD$4:$BD$135,0),MATCH(EO$9,Benefit_Master!$G$3:$BC$3,0)),0)*AM51,0)</f>
        <v>0</v>
      </c>
      <c r="EP51" s="64">
        <f>ROUND(IFERROR(INDEX(Benefit_Master!$G$4:$BC$135,MATCH($DN51,Benefit_Master!$BD$4:$BD$135,0),MATCH(EP$9,Benefit_Master!$G$3:$BC$3,0)),0)*AN51,0)</f>
        <v>0</v>
      </c>
      <c r="EQ51" s="64">
        <f>ROUND(IFERROR(INDEX(Benefit_Master!$G$4:$BC$135,MATCH($DN51,Benefit_Master!$BD$4:$BD$135,0),MATCH(EQ$9,Benefit_Master!$G$3:$BC$3,0)),0)*AO51,0)</f>
        <v>0</v>
      </c>
      <c r="ER51" s="64">
        <f>ROUND(IFERROR(INDEX(Benefit_Master!$G$4:$BC$135,MATCH($DN51,Benefit_Master!$BD$4:$BD$135,0),MATCH(ER$9,Benefit_Master!$G$3:$BC$3,0)),0)*AP51,0)</f>
        <v>0</v>
      </c>
      <c r="ES51" s="64">
        <f>ROUND(IFERROR(INDEX(Benefit_Master!$G$4:$BC$135,MATCH($DN51,Benefit_Master!$BD$4:$BD$135,0),MATCH(ES$9,Benefit_Master!$G$3:$BC$3,0)),0)*AQ51,0)</f>
        <v>0</v>
      </c>
      <c r="ET51" s="64">
        <f>ROUND(IFERROR(INDEX(Benefit_Master!$G$4:$BC$135,MATCH($DN51,Benefit_Master!$BD$4:$BD$135,0),MATCH(ET$9,Benefit_Master!$G$3:$BC$3,0)),0)*AR51,0)</f>
        <v>0</v>
      </c>
      <c r="EU51" s="64">
        <f>ROUND(IFERROR(INDEX(Benefit_Master!$G$4:$BC$135,MATCH($DN51,Benefit_Master!$BD$4:$BD$135,0),MATCH(EU$9,Benefit_Master!$G$3:$BC$3,0)),0)*AS51,0)</f>
        <v>0</v>
      </c>
      <c r="EV51" s="64">
        <f>ROUND(IFERROR(INDEX(Benefit_Master!$G$4:$BC$135,MATCH($DN51,Benefit_Master!$BD$4:$BD$135,0),MATCH(EV$9,Benefit_Master!$G$3:$BC$3,0)),0)*AT51,0)</f>
        <v>0</v>
      </c>
      <c r="EW51" s="64">
        <f>ROUND(IFERROR(INDEX(Benefit_Master!$G$4:$BC$135,MATCH($DN51,Benefit_Master!$BD$4:$BD$135,0),MATCH(EW$9,Benefit_Master!$G$3:$BC$3,0)),0)*AU51,0)</f>
        <v>0</v>
      </c>
      <c r="EX51" s="64">
        <f>ROUND(IFERROR(INDEX(Benefit_Master!$G$4:$BC$135,MATCH($DN51,Benefit_Master!$BD$4:$BD$135,0),MATCH(EX$9,Benefit_Master!$G$3:$BC$3,0)),0)*AV51,0)</f>
        <v>0</v>
      </c>
      <c r="EY51" s="64">
        <f>ROUND(IFERROR(INDEX(Benefit_Master!$G$4:$BC$135,MATCH($DN51,Benefit_Master!$BD$4:$BD$135,0),MATCH(EY$9,Benefit_Master!$G$3:$BC$3,0)),0)*AW51,0)</f>
        <v>0</v>
      </c>
      <c r="EZ51" s="64">
        <f>ROUND(IFERROR(INDEX(Benefit_Master!$G$4:$BC$135,MATCH($DN51,Benefit_Master!$BD$4:$BD$135,0),MATCH(EZ$9,Benefit_Master!$G$3:$BC$3,0)),0)*AX51,0)</f>
        <v>0</v>
      </c>
      <c r="FA51" s="66">
        <f t="shared" si="35"/>
        <v>0</v>
      </c>
      <c r="FB51" s="64">
        <f>ROUND(IFERROR(INDEX(Benefit_Master!$G$4:$BC$135,MATCH($DN51,Benefit_Master!$BD$4:$BD$135,0),MATCH(FB$9,Benefit_Master!$G$3:$BC$3,0)),0)*AZ51,0)</f>
        <v>0</v>
      </c>
      <c r="FC51" s="64">
        <f>ROUND(IFERROR(INDEX(Benefit_Master!$G$4:$BC$135,MATCH($DN51,Benefit_Master!$BD$4:$BD$135,0),MATCH(FC$9,Benefit_Master!$G$3:$BC$3,0)),0)*BA51,0)</f>
        <v>0</v>
      </c>
      <c r="FD51" s="64">
        <f>ROUND(IFERROR(INDEX(Benefit_Master!$G$4:$BC$135,MATCH($DN51,Benefit_Master!$BD$4:$BD$135,0),MATCH(FD$9,Benefit_Master!$G$3:$BC$3,0)),0)*BB51,0)</f>
        <v>0</v>
      </c>
      <c r="FE51" s="64">
        <f>ROUND(IFERROR(INDEX(Benefit_Master!$G$4:$BC$135,MATCH($DN51,Benefit_Master!$BD$4:$BD$135,0),MATCH(FE$9,Benefit_Master!$G$3:$BC$3,0)),0)*BC51,0)</f>
        <v>0</v>
      </c>
      <c r="FF51" s="64">
        <f>ROUND(IFERROR(INDEX(Benefit_Master!$G$4:$BC$135,MATCH($DN51,Benefit_Master!$BD$4:$BD$135,0),MATCH(FF$9,Benefit_Master!$G$3:$BC$3,0)),0)*BD51,0)</f>
        <v>0</v>
      </c>
      <c r="FG51" s="64">
        <f>ROUND(IFERROR(INDEX(Benefit_Master!$G$4:$BC$135,MATCH($DN51,Benefit_Master!$BD$4:$BD$135,0),MATCH(FG$9,Benefit_Master!$G$3:$BC$3,0)),0)*BE51,0)</f>
        <v>0</v>
      </c>
      <c r="FH51" s="64">
        <f>ROUND(IFERROR(INDEX(Benefit_Master!$G$4:$BC$135,MATCH($DN51,Benefit_Master!$BD$4:$BD$135,0),MATCH(FH$9,Benefit_Master!$G$3:$BC$3,0)),0)*BF51,0)</f>
        <v>0</v>
      </c>
      <c r="FI51" s="64">
        <f>ROUND(IFERROR(INDEX(Benefit_Master!$G$4:$BC$135,MATCH($DN51,Benefit_Master!$BD$4:$BD$135,0),MATCH(FI$9,Benefit_Master!$G$3:$BC$3,0)),0)*BG51,0)</f>
        <v>0</v>
      </c>
      <c r="FJ51" s="64">
        <f>ROUND(IFERROR(INDEX(Benefit_Master!$G$4:$BC$135,MATCH($DN51,Benefit_Master!$BD$4:$BD$135,0),MATCH(FJ$9,Benefit_Master!$G$3:$BC$3,0)),0)*BH51,0)</f>
        <v>0</v>
      </c>
      <c r="FK51" s="64">
        <f>ROUND(IFERROR(INDEX(Benefit_Master!$G$4:$BC$135,MATCH($DN51,Benefit_Master!$BD$4:$BD$135,0),MATCH(FK$9,Benefit_Master!$G$3:$BC$3,0)),0)*BI51,0)</f>
        <v>0</v>
      </c>
      <c r="FL51" s="64">
        <f>ROUND(IFERROR(INDEX(Benefit_Master!$G$4:$BC$135,MATCH($DN51,Benefit_Master!$BD$4:$BD$135,0),MATCH(FL$9,Benefit_Master!$G$3:$BC$3,0)),0)*BJ51,0)</f>
        <v>0</v>
      </c>
      <c r="FM51" s="64">
        <f>ROUND(IFERROR(INDEX(Benefit_Master!$G$4:$BC$135,MATCH($DN51,Benefit_Master!$BD$4:$BD$135,0),MATCH(FM$9,Benefit_Master!$G$3:$BC$3,0)),0)*BK51,0)</f>
        <v>0</v>
      </c>
      <c r="FN51" s="66">
        <f t="shared" si="36"/>
        <v>0</v>
      </c>
    </row>
    <row r="52" spans="2:170" s="12" customFormat="1" ht="15" customHeight="1">
      <c r="B52" s="98">
        <f t="shared" si="28"/>
        <v>40</v>
      </c>
      <c r="C52" s="99"/>
      <c r="D52" s="99"/>
      <c r="E52" s="1158"/>
      <c r="F52" s="426"/>
      <c r="G52" s="100" t="str">
        <f>IFERROR(VLOOKUP($F52,Master!$B$1:$C$7,2,0),"-")</f>
        <v>-</v>
      </c>
      <c r="H52" s="101">
        <f t="shared" si="12"/>
        <v>0</v>
      </c>
      <c r="I52" s="140">
        <f t="shared" si="13"/>
        <v>0</v>
      </c>
      <c r="J52" s="1059">
        <f t="shared" si="14"/>
        <v>0</v>
      </c>
      <c r="K52" s="102"/>
      <c r="L52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3">
        <f t="shared" si="15"/>
        <v>0</v>
      </c>
      <c r="Z52" s="61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3">
        <f t="shared" si="16"/>
        <v>0</v>
      </c>
      <c r="AM52" s="61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3">
        <f t="shared" si="17"/>
        <v>0</v>
      </c>
      <c r="AZ52" s="61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3">
        <f t="shared" si="18"/>
        <v>0</v>
      </c>
      <c r="BM52"/>
      <c r="BN52" s="64">
        <f>ROUND(IFERROR(INDEX('Labor Cost_Master'!$G$4:$BC$135,MATCH($DN52,'Labor Cost_Master'!$BD$4:$BD$135,0),MATCH(BN$9,'Labor Cost_Master'!$G$3:$BC$3,0)),0)*M52,0)</f>
        <v>0</v>
      </c>
      <c r="BO52" s="64">
        <f>ROUND(IFERROR(INDEX('Labor Cost_Master'!$G$4:$BC$135,MATCH($DN52,'Labor Cost_Master'!$BD$4:$BD$135,0),MATCH(BO$9,'Labor Cost_Master'!$G$3:$BC$3,0)),0)*N52,0)</f>
        <v>0</v>
      </c>
      <c r="BP52" s="64">
        <f>ROUND(IFERROR(INDEX('Labor Cost_Master'!$G$4:$BC$135,MATCH($DN52,'Labor Cost_Master'!$BD$4:$BD$135,0),MATCH(BP$9,'Labor Cost_Master'!$G$3:$BC$3,0)),0)*O52,0)</f>
        <v>0</v>
      </c>
      <c r="BQ52" s="64">
        <f>ROUND(IFERROR(INDEX('Labor Cost_Master'!$G$4:$BC$135,MATCH($DN52,'Labor Cost_Master'!$BD$4:$BD$135,0),MATCH(BQ$9,'Labor Cost_Master'!$G$3:$BC$3,0)),0)*P52,0)</f>
        <v>0</v>
      </c>
      <c r="BR52" s="64">
        <f>ROUND(IFERROR(INDEX('Labor Cost_Master'!$G$4:$BC$135,MATCH($DN52,'Labor Cost_Master'!$BD$4:$BD$135,0),MATCH(BR$9,'Labor Cost_Master'!$G$3:$BC$3,0)),0)*Q52,0)</f>
        <v>0</v>
      </c>
      <c r="BS52" s="64">
        <f>ROUND(IFERROR(INDEX('Labor Cost_Master'!$G$4:$BC$135,MATCH($DN52,'Labor Cost_Master'!$BD$4:$BD$135,0),MATCH(BS$9,'Labor Cost_Master'!$G$3:$BC$3,0)),0)*R52,0)</f>
        <v>0</v>
      </c>
      <c r="BT52" s="64">
        <f>ROUND(IFERROR(INDEX('Labor Cost_Master'!$G$4:$BC$135,MATCH($DN52,'Labor Cost_Master'!$BD$4:$BD$135,0),MATCH(BT$9,'Labor Cost_Master'!$G$3:$BC$3,0)),0)*S52,0)</f>
        <v>0</v>
      </c>
      <c r="BU52" s="64">
        <f>ROUND(IFERROR(INDEX('Labor Cost_Master'!$G$4:$BC$135,MATCH($DN52,'Labor Cost_Master'!$BD$4:$BD$135,0),MATCH(BU$9,'Labor Cost_Master'!$G$3:$BC$3,0)),0)*T52,0)</f>
        <v>0</v>
      </c>
      <c r="BV52" s="64">
        <f>ROUND(IFERROR(INDEX('Labor Cost_Master'!$G$4:$BC$135,MATCH($DN52,'Labor Cost_Master'!$BD$4:$BD$135,0),MATCH(BV$9,'Labor Cost_Master'!$G$3:$BC$3,0)),0)*U52,0)</f>
        <v>0</v>
      </c>
      <c r="BW52" s="64">
        <f>ROUND(IFERROR(INDEX('Labor Cost_Master'!$G$4:$BC$135,MATCH($DN52,'Labor Cost_Master'!$BD$4:$BD$135,0),MATCH(BW$9,'Labor Cost_Master'!$G$3:$BC$3,0)),0)*V52,0)</f>
        <v>0</v>
      </c>
      <c r="BX52" s="64">
        <f>ROUND(IFERROR(INDEX('Labor Cost_Master'!$G$4:$BC$135,MATCH($DN52,'Labor Cost_Master'!$BD$4:$BD$135,0),MATCH(BX$9,'Labor Cost_Master'!$G$3:$BC$3,0)),0)*W52,0)</f>
        <v>0</v>
      </c>
      <c r="BY52" s="64">
        <f>ROUND(IFERROR(INDEX('Labor Cost_Master'!$G$4:$BC$135,MATCH($DN52,'Labor Cost_Master'!$BD$4:$BD$135,0),MATCH(BY$9,'Labor Cost_Master'!$G$3:$BC$3,0)),0)*X52,0)</f>
        <v>0</v>
      </c>
      <c r="BZ52" s="67">
        <f t="shared" si="29"/>
        <v>0</v>
      </c>
      <c r="CA52" s="462">
        <f>ROUND(IFERROR(INDEX('Labor Cost_Master'!$G$4:$BC$135,MATCH($DN52,'Labor Cost_Master'!$BD$4:$BD$135,0),MATCH(CA$9,'Labor Cost_Master'!$G$3:$BC$3,0)),0)*Z52,0)</f>
        <v>0</v>
      </c>
      <c r="CB52" s="462">
        <f>ROUND(IFERROR(INDEX('Labor Cost_Master'!$G$4:$BC$135,MATCH($DN52,'Labor Cost_Master'!$BD$4:$BD$135,0),MATCH(CB$9,'Labor Cost_Master'!$G$3:$BC$3,0)),0)*AA52,0)</f>
        <v>0</v>
      </c>
      <c r="CC52" s="462">
        <f>ROUND(IFERROR(INDEX('Labor Cost_Master'!$G$4:$BC$135,MATCH($DN52,'Labor Cost_Master'!$BD$4:$BD$135,0),MATCH(CC$9,'Labor Cost_Master'!$G$3:$BC$3,0)),0)*AB52,0)</f>
        <v>0</v>
      </c>
      <c r="CD52" s="462">
        <f>ROUND(IFERROR(INDEX('Labor Cost_Master'!$G$4:$BC$135,MATCH($DN52,'Labor Cost_Master'!$BD$4:$BD$135,0),MATCH(CD$9,'Labor Cost_Master'!$G$3:$BC$3,0)),0)*AC52,0)</f>
        <v>0</v>
      </c>
      <c r="CE52" s="462">
        <f>ROUND(IFERROR(INDEX('Labor Cost_Master'!$G$4:$BC$135,MATCH($DN52,'Labor Cost_Master'!$BD$4:$BD$135,0),MATCH(CE$9,'Labor Cost_Master'!$G$3:$BC$3,0)),0)*AD52,0)</f>
        <v>0</v>
      </c>
      <c r="CF52" s="462">
        <f>ROUND(IFERROR(INDEX('Labor Cost_Master'!$G$4:$BC$135,MATCH($DN52,'Labor Cost_Master'!$BD$4:$BD$135,0),MATCH(CF$9,'Labor Cost_Master'!$G$3:$BC$3,0)),0)*AE52,0)</f>
        <v>0</v>
      </c>
      <c r="CG52" s="462">
        <f>ROUND(IFERROR(INDEX('Labor Cost_Master'!$G$4:$BC$135,MATCH($DN52,'Labor Cost_Master'!$BD$4:$BD$135,0),MATCH(CG$9,'Labor Cost_Master'!$G$3:$BC$3,0)),0)*AF52,0)</f>
        <v>0</v>
      </c>
      <c r="CH52" s="462">
        <f>ROUND(IFERROR(INDEX('Labor Cost_Master'!$G$4:$BC$135,MATCH($DN52,'Labor Cost_Master'!$BD$4:$BD$135,0),MATCH(CH$9,'Labor Cost_Master'!$G$3:$BC$3,0)),0)*AG52,0)</f>
        <v>0</v>
      </c>
      <c r="CI52" s="462">
        <f>ROUND(IFERROR(INDEX('Labor Cost_Master'!$G$4:$BC$135,MATCH($DN52,'Labor Cost_Master'!$BD$4:$BD$135,0),MATCH(CI$9,'Labor Cost_Master'!$G$3:$BC$3,0)),0)*AH52,0)</f>
        <v>0</v>
      </c>
      <c r="CJ52" s="462">
        <f>ROUND(IFERROR(INDEX('Labor Cost_Master'!$G$4:$BC$135,MATCH($DN52,'Labor Cost_Master'!$BD$4:$BD$135,0),MATCH(CJ$9,'Labor Cost_Master'!$G$3:$BC$3,0)),0)*AI52,0)</f>
        <v>0</v>
      </c>
      <c r="CK52" s="462">
        <f>ROUND(IFERROR(INDEX('Labor Cost_Master'!$G$4:$BC$135,MATCH($DN52,'Labor Cost_Master'!$BD$4:$BD$135,0),MATCH(CK$9,'Labor Cost_Master'!$G$3:$BC$3,0)),0)*AJ52,0)</f>
        <v>0</v>
      </c>
      <c r="CL52" s="462">
        <f>ROUND(IFERROR(INDEX('Labor Cost_Master'!$G$4:$BC$135,MATCH($DN52,'Labor Cost_Master'!$BD$4:$BD$135,0),MATCH(CL$9,'Labor Cost_Master'!$G$3:$BC$3,0)),0)*AK52,0)</f>
        <v>0</v>
      </c>
      <c r="CM52" s="67">
        <f t="shared" si="30"/>
        <v>0</v>
      </c>
      <c r="CN52" s="462">
        <f>ROUND(IFERROR(INDEX('Labor Cost_Master'!$G$4:$BC$135,MATCH($DN52,'Labor Cost_Master'!$BD$4:$BD$135,0),MATCH(CN$9,'Labor Cost_Master'!$G$3:$BC$3,0)),0)*AM52,0)</f>
        <v>0</v>
      </c>
      <c r="CO52" s="462">
        <f>ROUND(IFERROR(INDEX('Labor Cost_Master'!$G$4:$BC$135,MATCH($DN52,'Labor Cost_Master'!$BD$4:$BD$135,0),MATCH(CO$9,'Labor Cost_Master'!$G$3:$BC$3,0)),0)*AN52,0)</f>
        <v>0</v>
      </c>
      <c r="CP52" s="462">
        <f>ROUND(IFERROR(INDEX('Labor Cost_Master'!$G$4:$BC$135,MATCH($DN52,'Labor Cost_Master'!$BD$4:$BD$135,0),MATCH(CP$9,'Labor Cost_Master'!$G$3:$BC$3,0)),0)*AO52,0)</f>
        <v>0</v>
      </c>
      <c r="CQ52" s="462">
        <f>ROUND(IFERROR(INDEX('Labor Cost_Master'!$G$4:$BC$135,MATCH($DN52,'Labor Cost_Master'!$BD$4:$BD$135,0),MATCH(CQ$9,'Labor Cost_Master'!$G$3:$BC$3,0)),0)*AP52,0)</f>
        <v>0</v>
      </c>
      <c r="CR52" s="462">
        <f>ROUND(IFERROR(INDEX('Labor Cost_Master'!$G$4:$BC$135,MATCH($DN52,'Labor Cost_Master'!$BD$4:$BD$135,0),MATCH(CR$9,'Labor Cost_Master'!$G$3:$BC$3,0)),0)*AQ52,0)</f>
        <v>0</v>
      </c>
      <c r="CS52" s="462">
        <f>ROUND(IFERROR(INDEX('Labor Cost_Master'!$G$4:$BC$135,MATCH($DN52,'Labor Cost_Master'!$BD$4:$BD$135,0),MATCH(CS$9,'Labor Cost_Master'!$G$3:$BC$3,0)),0)*AR52,0)</f>
        <v>0</v>
      </c>
      <c r="CT52" s="462">
        <f>ROUND(IFERROR(INDEX('Labor Cost_Master'!$G$4:$BC$135,MATCH($DN52,'Labor Cost_Master'!$BD$4:$BD$135,0),MATCH(CT$9,'Labor Cost_Master'!$G$3:$BC$3,0)),0)*AS52,0)</f>
        <v>0</v>
      </c>
      <c r="CU52" s="462">
        <f>ROUND(IFERROR(INDEX('Labor Cost_Master'!$G$4:$BC$135,MATCH($DN52,'Labor Cost_Master'!$BD$4:$BD$135,0),MATCH(CU$9,'Labor Cost_Master'!$G$3:$BC$3,0)),0)*AT52,0)</f>
        <v>0</v>
      </c>
      <c r="CV52" s="462">
        <f>ROUND(IFERROR(INDEX('Labor Cost_Master'!$G$4:$BC$135,MATCH($DN52,'Labor Cost_Master'!$BD$4:$BD$135,0),MATCH(CV$9,'Labor Cost_Master'!$G$3:$BC$3,0)),0)*AU52,0)</f>
        <v>0</v>
      </c>
      <c r="CW52" s="462">
        <f>ROUND(IFERROR(INDEX('Labor Cost_Master'!$G$4:$BC$135,MATCH($DN52,'Labor Cost_Master'!$BD$4:$BD$135,0),MATCH(CW$9,'Labor Cost_Master'!$G$3:$BC$3,0)),0)*AV52,0)</f>
        <v>0</v>
      </c>
      <c r="CX52" s="462">
        <f>ROUND(IFERROR(INDEX('Labor Cost_Master'!$G$4:$BC$135,MATCH($DN52,'Labor Cost_Master'!$BD$4:$BD$135,0),MATCH(CX$9,'Labor Cost_Master'!$G$3:$BC$3,0)),0)*AW52,0)</f>
        <v>0</v>
      </c>
      <c r="CY52" s="462">
        <f>ROUND(IFERROR(INDEX('Labor Cost_Master'!$G$4:$BC$135,MATCH($DN52,'Labor Cost_Master'!$BD$4:$BD$135,0),MATCH(CY$9,'Labor Cost_Master'!$G$3:$BC$3,0)),0)*AX52,0)</f>
        <v>0</v>
      </c>
      <c r="CZ52" s="67">
        <f t="shared" si="31"/>
        <v>0</v>
      </c>
      <c r="DA52" s="462">
        <f>ROUND(IFERROR(INDEX('Labor Cost_Master'!$G$4:$BC$135,MATCH($DN52,'Labor Cost_Master'!$BD$4:$BD$135,0),MATCH(DA$9,'Labor Cost_Master'!$G$3:$BC$3,0)),0)*AZ52,0)</f>
        <v>0</v>
      </c>
      <c r="DB52" s="462">
        <f>ROUND(IFERROR(INDEX('Labor Cost_Master'!$G$4:$BC$135,MATCH($DN52,'Labor Cost_Master'!$BD$4:$BD$135,0),MATCH(DB$9,'Labor Cost_Master'!$G$3:$BC$3,0)),0)*BA52,0)</f>
        <v>0</v>
      </c>
      <c r="DC52" s="1167">
        <f>ROUND(IFERROR(INDEX('Labor Cost_Master'!$G$4:$BC$135,MATCH($DN52,'Labor Cost_Master'!$BD$4:$BD$135,0),MATCH(DC$9,'Labor Cost_Master'!$G$3:$BC$3,0)),0)*BB52,0)*1.05</f>
        <v>0</v>
      </c>
      <c r="DD52" s="462">
        <f>ROUND(IFERROR(INDEX('Labor Cost_Master'!$G$4:$BC$135,MATCH($DN52,'Labor Cost_Master'!$BD$4:$BD$135,0),MATCH(DD$9,'Labor Cost_Master'!$G$3:$BC$3,0)),0)*BC52,0)*1.05</f>
        <v>0</v>
      </c>
      <c r="DE52" s="462">
        <f>ROUND(IFERROR(INDEX('Labor Cost_Master'!$G$4:$BC$135,MATCH($DN52,'Labor Cost_Master'!$BD$4:$BD$135,0),MATCH(DE$9,'Labor Cost_Master'!$G$3:$BC$3,0)),0)*BD52,0)*1.05</f>
        <v>0</v>
      </c>
      <c r="DF52" s="462">
        <f>ROUND(IFERROR(INDEX('Labor Cost_Master'!$G$4:$BC$135,MATCH($DN52,'Labor Cost_Master'!$BD$4:$BD$135,0),MATCH(DF$9,'Labor Cost_Master'!$G$3:$BC$3,0)),0)*BE52,0)*1.05</f>
        <v>0</v>
      </c>
      <c r="DG52" s="462">
        <f>ROUND(IFERROR(INDEX('Labor Cost_Master'!$G$4:$BC$135,MATCH($DN52,'Labor Cost_Master'!$BD$4:$BD$135,0),MATCH(DG$9,'Labor Cost_Master'!$G$3:$BC$3,0)),0)*BF52,0)*1.05</f>
        <v>0</v>
      </c>
      <c r="DH52" s="462">
        <f>ROUND(IFERROR(INDEX('Labor Cost_Master'!$G$4:$BC$135,MATCH($DN52,'Labor Cost_Master'!$BD$4:$BD$135,0),MATCH(DH$9,'Labor Cost_Master'!$G$3:$BC$3,0)),0)*BG52,0)*1.05</f>
        <v>0</v>
      </c>
      <c r="DI52" s="462">
        <f>ROUND(IFERROR(INDEX('Labor Cost_Master'!$G$4:$BC$135,MATCH($DN52,'Labor Cost_Master'!$BD$4:$BD$135,0),MATCH(DI$9,'Labor Cost_Master'!$G$3:$BC$3,0)),0)*BH52,0)*1.05</f>
        <v>0</v>
      </c>
      <c r="DJ52" s="462">
        <f>ROUND(IFERROR(INDEX('Labor Cost_Master'!$G$4:$BC$135,MATCH($DN52,'Labor Cost_Master'!$BD$4:$BD$135,0),MATCH(DJ$9,'Labor Cost_Master'!$G$3:$BC$3,0)),0)*BI52,0)*1.05</f>
        <v>0</v>
      </c>
      <c r="DK52" s="462">
        <f>ROUND(IFERROR(INDEX('Labor Cost_Master'!$G$4:$BC$135,MATCH($DN52,'Labor Cost_Master'!$BD$4:$BD$135,0),MATCH(DK$9,'Labor Cost_Master'!$G$3:$BC$3,0)),0)*BJ52,0)*1.05</f>
        <v>0</v>
      </c>
      <c r="DL52" s="462">
        <f>ROUND(IFERROR(INDEX('Labor Cost_Master'!$G$4:$BC$135,MATCH($DN52,'Labor Cost_Master'!$BD$4:$BD$135,0),MATCH(DL$9,'Labor Cost_Master'!$G$3:$BC$3,0)),0)*BK52,0)*1.05</f>
        <v>0</v>
      </c>
      <c r="DM52" s="67">
        <f t="shared" si="32"/>
        <v>0</v>
      </c>
      <c r="DN52" s="80" t="str">
        <f t="shared" si="23"/>
        <v/>
      </c>
      <c r="DO52" s="514">
        <f>ROUND(IFERROR(INDEX(Benefit_Master!$G$4:$BC$135,MATCH($DN52,Benefit_Master!$BD$4:$BD$135,0),MATCH(DO$9,Benefit_Master!$G$3:$BC$3,0)),0)*M52,0)</f>
        <v>0</v>
      </c>
      <c r="DP52" s="514">
        <f>ROUND(IFERROR(INDEX(Benefit_Master!$G$4:$BC$135,MATCH($DN52,Benefit_Master!$BD$4:$BD$135,0),MATCH(DP$9,Benefit_Master!$G$3:$BC$3,0)),0)*N52,0)</f>
        <v>0</v>
      </c>
      <c r="DQ52" s="514">
        <f>ROUND(IFERROR(INDEX(Benefit_Master!$G$4:$BC$135,MATCH($DN52,Benefit_Master!$BD$4:$BD$135,0),MATCH(DQ$9,Benefit_Master!$G$3:$BC$3,0)),0)*O52,0)</f>
        <v>0</v>
      </c>
      <c r="DR52" s="514">
        <f>ROUND(IFERROR(INDEX(Benefit_Master!$G$4:$BC$135,MATCH($DN52,Benefit_Master!$BD$4:$BD$135,0),MATCH(DR$9,Benefit_Master!$G$3:$BC$3,0)),0)*P52,0)</f>
        <v>0</v>
      </c>
      <c r="DS52" s="514">
        <f>ROUND(IFERROR(INDEX(Benefit_Master!$G$4:$BC$135,MATCH($DN52,Benefit_Master!$BD$4:$BD$135,0),MATCH(DS$9,Benefit_Master!$G$3:$BC$3,0)),0)*Q52,0)</f>
        <v>0</v>
      </c>
      <c r="DT52" s="514">
        <f>ROUND(IFERROR(INDEX(Benefit_Master!$G$4:$BC$135,MATCH($DN52,Benefit_Master!$BD$4:$BD$135,0),MATCH(DT$9,Benefit_Master!$G$3:$BC$3,0)),0)*R52,0)</f>
        <v>0</v>
      </c>
      <c r="DU52" s="514">
        <f>ROUND(IFERROR(INDEX(Benefit_Master!$G$4:$BC$135,MATCH($DN52,Benefit_Master!$BD$4:$BD$135,0),MATCH(DU$9,Benefit_Master!$G$3:$BC$3,0)),0)*S52,0)</f>
        <v>0</v>
      </c>
      <c r="DV52" s="514">
        <f>ROUND(IFERROR(INDEX(Benefit_Master!$G$4:$BC$135,MATCH($DN52,Benefit_Master!$BD$4:$BD$135,0),MATCH(DV$9,Benefit_Master!$G$3:$BC$3,0)),0)*T52,0)</f>
        <v>0</v>
      </c>
      <c r="DW52" s="514">
        <f>ROUND(IFERROR(INDEX(Benefit_Master!$G$4:$BC$135,MATCH($DN52,Benefit_Master!$BD$4:$BD$135,0),MATCH(DW$9,Benefit_Master!$G$3:$BC$3,0)),0)*U52,0)</f>
        <v>0</v>
      </c>
      <c r="DX52" s="514">
        <f>ROUND(IFERROR(INDEX(Benefit_Master!$G$4:$BC$135,MATCH($DN52,Benefit_Master!$BD$4:$BD$135,0),MATCH(DX$9,Benefit_Master!$G$3:$BC$3,0)),0)*V52,0)</f>
        <v>0</v>
      </c>
      <c r="DY52" s="514">
        <f>ROUND(IFERROR(INDEX(Benefit_Master!$G$4:$BC$135,MATCH($DN52,Benefit_Master!$BD$4:$BD$135,0),MATCH(DY$9,Benefit_Master!$G$3:$BC$3,0)),0)*W52,0)</f>
        <v>0</v>
      </c>
      <c r="DZ52" s="514">
        <f>ROUND(IFERROR(INDEX(Benefit_Master!$G$4:$BC$135,MATCH($DN52,Benefit_Master!$BD$4:$BD$135,0),MATCH(DZ$9,Benefit_Master!$G$3:$BC$3,0)),0)*X52,0)</f>
        <v>0</v>
      </c>
      <c r="EA52" s="67">
        <f t="shared" si="33"/>
        <v>0</v>
      </c>
      <c r="EB52" s="514">
        <f>ROUND(IFERROR(INDEX(Benefit_Master!$G$4:$BC$135,MATCH($DN52,Benefit_Master!$BD$4:$BD$135,0),MATCH(EB$9,Benefit_Master!$G$3:$BC$3,0)),0)*Z52,0)</f>
        <v>0</v>
      </c>
      <c r="EC52" s="514">
        <f>ROUND(IFERROR(INDEX(Benefit_Master!$G$4:$BC$135,MATCH($DN52,Benefit_Master!$BD$4:$BD$135,0),MATCH(EC$9,Benefit_Master!$G$3:$BC$3,0)),0)*AA52,0)</f>
        <v>0</v>
      </c>
      <c r="ED52" s="514">
        <f>ROUND(IFERROR(INDEX(Benefit_Master!$G$4:$BC$135,MATCH($DN52,Benefit_Master!$BD$4:$BD$135,0),MATCH(ED$9,Benefit_Master!$G$3:$BC$3,0)),0)*AB52,0)</f>
        <v>0</v>
      </c>
      <c r="EE52" s="514">
        <f>ROUND(IFERROR(INDEX(Benefit_Master!$G$4:$BC$135,MATCH($DN52,Benefit_Master!$BD$4:$BD$135,0),MATCH(EE$9,Benefit_Master!$G$3:$BC$3,0)),0)*AC52,0)</f>
        <v>0</v>
      </c>
      <c r="EF52" s="514">
        <f>ROUND(IFERROR(INDEX(Benefit_Master!$G$4:$BC$135,MATCH($DN52,Benefit_Master!$BD$4:$BD$135,0),MATCH(EF$9,Benefit_Master!$G$3:$BC$3,0)),0)*AD52,0)</f>
        <v>0</v>
      </c>
      <c r="EG52" s="514">
        <f>ROUND(IFERROR(INDEX(Benefit_Master!$G$4:$BC$135,MATCH($DN52,Benefit_Master!$BD$4:$BD$135,0),MATCH(EG$9,Benefit_Master!$G$3:$BC$3,0)),0)*AE52,0)</f>
        <v>0</v>
      </c>
      <c r="EH52" s="514">
        <f>ROUND(IFERROR(INDEX(Benefit_Master!$G$4:$BC$135,MATCH($DN52,Benefit_Master!$BD$4:$BD$135,0),MATCH(EH$9,Benefit_Master!$G$3:$BC$3,0)),0)*AF52,0)</f>
        <v>0</v>
      </c>
      <c r="EI52" s="514">
        <f>ROUND(IFERROR(INDEX(Benefit_Master!$G$4:$BC$135,MATCH($DN52,Benefit_Master!$BD$4:$BD$135,0),MATCH(EI$9,Benefit_Master!$G$3:$BC$3,0)),0)*AG52,0)</f>
        <v>0</v>
      </c>
      <c r="EJ52" s="514">
        <f>ROUND(IFERROR(INDEX(Benefit_Master!$G$4:$BC$135,MATCH($DN52,Benefit_Master!$BD$4:$BD$135,0),MATCH(EJ$9,Benefit_Master!$G$3:$BC$3,0)),0)*AH52,0)</f>
        <v>0</v>
      </c>
      <c r="EK52" s="514">
        <f>ROUND(IFERROR(INDEX(Benefit_Master!$G$4:$BC$135,MATCH($DN52,Benefit_Master!$BD$4:$BD$135,0),MATCH(EK$9,Benefit_Master!$G$3:$BC$3,0)),0)*AI52,0)</f>
        <v>0</v>
      </c>
      <c r="EL52" s="514">
        <f>ROUND(IFERROR(INDEX(Benefit_Master!$G$4:$BC$135,MATCH($DN52,Benefit_Master!$BD$4:$BD$135,0),MATCH(EL$9,Benefit_Master!$G$3:$BC$3,0)),0)*AJ52,0)</f>
        <v>0</v>
      </c>
      <c r="EM52" s="514">
        <f>ROUND(IFERROR(INDEX(Benefit_Master!$G$4:$BC$135,MATCH($DN52,Benefit_Master!$BD$4:$BD$135,0),MATCH(EM$9,Benefit_Master!$G$3:$BC$3,0)),0)*AK52,0)</f>
        <v>0</v>
      </c>
      <c r="EN52" s="67">
        <f t="shared" si="34"/>
        <v>0</v>
      </c>
      <c r="EO52" s="514">
        <f>ROUND(IFERROR(INDEX(Benefit_Master!$G$4:$BC$135,MATCH($DN52,Benefit_Master!$BD$4:$BD$135,0),MATCH(EO$9,Benefit_Master!$G$3:$BC$3,0)),0)*AM52,0)</f>
        <v>0</v>
      </c>
      <c r="EP52" s="514">
        <f>ROUND(IFERROR(INDEX(Benefit_Master!$G$4:$BC$135,MATCH($DN52,Benefit_Master!$BD$4:$BD$135,0),MATCH(EP$9,Benefit_Master!$G$3:$BC$3,0)),0)*AN52,0)</f>
        <v>0</v>
      </c>
      <c r="EQ52" s="514">
        <f>ROUND(IFERROR(INDEX(Benefit_Master!$G$4:$BC$135,MATCH($DN52,Benefit_Master!$BD$4:$BD$135,0),MATCH(EQ$9,Benefit_Master!$G$3:$BC$3,0)),0)*AO52,0)</f>
        <v>0</v>
      </c>
      <c r="ER52" s="514">
        <f>ROUND(IFERROR(INDEX(Benefit_Master!$G$4:$BC$135,MATCH($DN52,Benefit_Master!$BD$4:$BD$135,0),MATCH(ER$9,Benefit_Master!$G$3:$BC$3,0)),0)*AP52,0)</f>
        <v>0</v>
      </c>
      <c r="ES52" s="514">
        <f>ROUND(IFERROR(INDEX(Benefit_Master!$G$4:$BC$135,MATCH($DN52,Benefit_Master!$BD$4:$BD$135,0),MATCH(ES$9,Benefit_Master!$G$3:$BC$3,0)),0)*AQ52,0)</f>
        <v>0</v>
      </c>
      <c r="ET52" s="514">
        <f>ROUND(IFERROR(INDEX(Benefit_Master!$G$4:$BC$135,MATCH($DN52,Benefit_Master!$BD$4:$BD$135,0),MATCH(ET$9,Benefit_Master!$G$3:$BC$3,0)),0)*AR52,0)</f>
        <v>0</v>
      </c>
      <c r="EU52" s="514">
        <f>ROUND(IFERROR(INDEX(Benefit_Master!$G$4:$BC$135,MATCH($DN52,Benefit_Master!$BD$4:$BD$135,0),MATCH(EU$9,Benefit_Master!$G$3:$BC$3,0)),0)*AS52,0)</f>
        <v>0</v>
      </c>
      <c r="EV52" s="514">
        <f>ROUND(IFERROR(INDEX(Benefit_Master!$G$4:$BC$135,MATCH($DN52,Benefit_Master!$BD$4:$BD$135,0),MATCH(EV$9,Benefit_Master!$G$3:$BC$3,0)),0)*AT52,0)</f>
        <v>0</v>
      </c>
      <c r="EW52" s="514">
        <f>ROUND(IFERROR(INDEX(Benefit_Master!$G$4:$BC$135,MATCH($DN52,Benefit_Master!$BD$4:$BD$135,0),MATCH(EW$9,Benefit_Master!$G$3:$BC$3,0)),0)*AU52,0)</f>
        <v>0</v>
      </c>
      <c r="EX52" s="514">
        <f>ROUND(IFERROR(INDEX(Benefit_Master!$G$4:$BC$135,MATCH($DN52,Benefit_Master!$BD$4:$BD$135,0),MATCH(EX$9,Benefit_Master!$G$3:$BC$3,0)),0)*AV52,0)</f>
        <v>0</v>
      </c>
      <c r="EY52" s="514">
        <f>ROUND(IFERROR(INDEX(Benefit_Master!$G$4:$BC$135,MATCH($DN52,Benefit_Master!$BD$4:$BD$135,0),MATCH(EY$9,Benefit_Master!$G$3:$BC$3,0)),0)*AW52,0)</f>
        <v>0</v>
      </c>
      <c r="EZ52" s="514">
        <f>ROUND(IFERROR(INDEX(Benefit_Master!$G$4:$BC$135,MATCH($DN52,Benefit_Master!$BD$4:$BD$135,0),MATCH(EZ$9,Benefit_Master!$G$3:$BC$3,0)),0)*AX52,0)</f>
        <v>0</v>
      </c>
      <c r="FA52" s="67">
        <f t="shared" si="35"/>
        <v>0</v>
      </c>
      <c r="FB52" s="514">
        <f>ROUND(IFERROR(INDEX(Benefit_Master!$G$4:$BC$135,MATCH($DN52,Benefit_Master!$BD$4:$BD$135,0),MATCH(FB$9,Benefit_Master!$G$3:$BC$3,0)),0)*AZ52,0)</f>
        <v>0</v>
      </c>
      <c r="FC52" s="514">
        <f>ROUND(IFERROR(INDEX(Benefit_Master!$G$4:$BC$135,MATCH($DN52,Benefit_Master!$BD$4:$BD$135,0),MATCH(FC$9,Benefit_Master!$G$3:$BC$3,0)),0)*BA52,0)</f>
        <v>0</v>
      </c>
      <c r="FD52" s="514">
        <f>ROUND(IFERROR(INDEX(Benefit_Master!$G$4:$BC$135,MATCH($DN52,Benefit_Master!$BD$4:$BD$135,0),MATCH(FD$9,Benefit_Master!$G$3:$BC$3,0)),0)*BB52,0)</f>
        <v>0</v>
      </c>
      <c r="FE52" s="514">
        <f>ROUND(IFERROR(INDEX(Benefit_Master!$G$4:$BC$135,MATCH($DN52,Benefit_Master!$BD$4:$BD$135,0),MATCH(FE$9,Benefit_Master!$G$3:$BC$3,0)),0)*BC52,0)</f>
        <v>0</v>
      </c>
      <c r="FF52" s="514">
        <f>ROUND(IFERROR(INDEX(Benefit_Master!$G$4:$BC$135,MATCH($DN52,Benefit_Master!$BD$4:$BD$135,0),MATCH(FF$9,Benefit_Master!$G$3:$BC$3,0)),0)*BD52,0)</f>
        <v>0</v>
      </c>
      <c r="FG52" s="514">
        <f>ROUND(IFERROR(INDEX(Benefit_Master!$G$4:$BC$135,MATCH($DN52,Benefit_Master!$BD$4:$BD$135,0),MATCH(FG$9,Benefit_Master!$G$3:$BC$3,0)),0)*BE52,0)</f>
        <v>0</v>
      </c>
      <c r="FH52" s="514">
        <f>ROUND(IFERROR(INDEX(Benefit_Master!$G$4:$BC$135,MATCH($DN52,Benefit_Master!$BD$4:$BD$135,0),MATCH(FH$9,Benefit_Master!$G$3:$BC$3,0)),0)*BF52,0)</f>
        <v>0</v>
      </c>
      <c r="FI52" s="514">
        <f>ROUND(IFERROR(INDEX(Benefit_Master!$G$4:$BC$135,MATCH($DN52,Benefit_Master!$BD$4:$BD$135,0),MATCH(FI$9,Benefit_Master!$G$3:$BC$3,0)),0)*BG52,0)</f>
        <v>0</v>
      </c>
      <c r="FJ52" s="514">
        <f>ROUND(IFERROR(INDEX(Benefit_Master!$G$4:$BC$135,MATCH($DN52,Benefit_Master!$BD$4:$BD$135,0),MATCH(FJ$9,Benefit_Master!$G$3:$BC$3,0)),0)*BH52,0)</f>
        <v>0</v>
      </c>
      <c r="FK52" s="514">
        <f>ROUND(IFERROR(INDEX(Benefit_Master!$G$4:$BC$135,MATCH($DN52,Benefit_Master!$BD$4:$BD$135,0),MATCH(FK$9,Benefit_Master!$G$3:$BC$3,0)),0)*BI52,0)</f>
        <v>0</v>
      </c>
      <c r="FL52" s="514">
        <f>ROUND(IFERROR(INDEX(Benefit_Master!$G$4:$BC$135,MATCH($DN52,Benefit_Master!$BD$4:$BD$135,0),MATCH(FL$9,Benefit_Master!$G$3:$BC$3,0)),0)*BJ52,0)</f>
        <v>0</v>
      </c>
      <c r="FM52" s="514">
        <f>ROUND(IFERROR(INDEX(Benefit_Master!$G$4:$BC$135,MATCH($DN52,Benefit_Master!$BD$4:$BD$135,0),MATCH(FM$9,Benefit_Master!$G$3:$BC$3,0)),0)*BK52,0)</f>
        <v>0</v>
      </c>
      <c r="FN52" s="67">
        <f t="shared" si="36"/>
        <v>0</v>
      </c>
    </row>
    <row r="53" spans="2:170" ht="15" customHeight="1">
      <c r="G53" s="6" t="s">
        <v>508</v>
      </c>
    </row>
    <row r="54" spans="2:170" ht="15" customHeight="1">
      <c r="G54" s="174" t="s">
        <v>453</v>
      </c>
      <c r="H54" s="174">
        <f t="shared" ref="H54:J58" si="37">+SUMIF($F$13:$F$52,$G54,H$13:H$52)</f>
        <v>0</v>
      </c>
      <c r="I54" s="174">
        <f t="shared" si="37"/>
        <v>0</v>
      </c>
      <c r="J54" s="174">
        <f t="shared" si="37"/>
        <v>0</v>
      </c>
      <c r="K54" s="511"/>
      <c r="L54" s="177"/>
      <c r="M54" s="174">
        <f t="shared" ref="M54:V58" si="38">+SUMIF($F$13:$F$52,$G54,M$13:M$52)</f>
        <v>0</v>
      </c>
      <c r="N54" s="174">
        <f t="shared" si="38"/>
        <v>0</v>
      </c>
      <c r="O54" s="174">
        <f t="shared" si="38"/>
        <v>0</v>
      </c>
      <c r="P54" s="174">
        <f t="shared" si="38"/>
        <v>0</v>
      </c>
      <c r="Q54" s="174">
        <f t="shared" si="38"/>
        <v>0</v>
      </c>
      <c r="R54" s="174">
        <f t="shared" si="38"/>
        <v>0</v>
      </c>
      <c r="S54" s="174">
        <f t="shared" si="38"/>
        <v>0</v>
      </c>
      <c r="T54" s="174">
        <f t="shared" si="38"/>
        <v>0</v>
      </c>
      <c r="U54" s="174">
        <f t="shared" si="38"/>
        <v>0</v>
      </c>
      <c r="V54" s="174">
        <f t="shared" si="38"/>
        <v>0</v>
      </c>
      <c r="W54" s="174">
        <f t="shared" ref="W54:AF58" si="39">+SUMIF($F$13:$F$52,$G54,W$13:W$52)</f>
        <v>0</v>
      </c>
      <c r="X54" s="174">
        <f t="shared" si="39"/>
        <v>0</v>
      </c>
      <c r="Y54" s="174">
        <f t="shared" si="39"/>
        <v>0</v>
      </c>
      <c r="Z54" s="174">
        <f t="shared" si="39"/>
        <v>0</v>
      </c>
      <c r="AA54" s="174">
        <f t="shared" si="39"/>
        <v>0</v>
      </c>
      <c r="AB54" s="174">
        <f t="shared" si="39"/>
        <v>0</v>
      </c>
      <c r="AC54" s="174">
        <f t="shared" si="39"/>
        <v>0</v>
      </c>
      <c r="AD54" s="174">
        <f t="shared" si="39"/>
        <v>0</v>
      </c>
      <c r="AE54" s="174">
        <f t="shared" si="39"/>
        <v>0</v>
      </c>
      <c r="AF54" s="174">
        <f t="shared" si="39"/>
        <v>0</v>
      </c>
      <c r="AG54" s="174">
        <f t="shared" ref="AG54:AP58" si="40">+SUMIF($F$13:$F$52,$G54,AG$13:AG$52)</f>
        <v>0</v>
      </c>
      <c r="AH54" s="174">
        <f t="shared" si="40"/>
        <v>0</v>
      </c>
      <c r="AI54" s="174">
        <f t="shared" si="40"/>
        <v>0</v>
      </c>
      <c r="AJ54" s="174">
        <f t="shared" si="40"/>
        <v>0</v>
      </c>
      <c r="AK54" s="174">
        <f t="shared" si="40"/>
        <v>0</v>
      </c>
      <c r="AL54" s="174">
        <f t="shared" si="40"/>
        <v>0</v>
      </c>
      <c r="AM54" s="174">
        <f t="shared" si="40"/>
        <v>0</v>
      </c>
      <c r="AN54" s="174">
        <f t="shared" si="40"/>
        <v>0</v>
      </c>
      <c r="AO54" s="174">
        <f t="shared" si="40"/>
        <v>0</v>
      </c>
      <c r="AP54" s="174">
        <f t="shared" si="40"/>
        <v>0</v>
      </c>
      <c r="AQ54" s="174">
        <f t="shared" ref="AQ54:AZ58" si="41">+SUMIF($F$13:$F$52,$G54,AQ$13:AQ$52)</f>
        <v>0</v>
      </c>
      <c r="AR54" s="174">
        <f t="shared" si="41"/>
        <v>0</v>
      </c>
      <c r="AS54" s="174">
        <f t="shared" si="41"/>
        <v>0</v>
      </c>
      <c r="AT54" s="174">
        <f t="shared" si="41"/>
        <v>0</v>
      </c>
      <c r="AU54" s="174">
        <f t="shared" si="41"/>
        <v>0</v>
      </c>
      <c r="AV54" s="174">
        <f t="shared" si="41"/>
        <v>0</v>
      </c>
      <c r="AW54" s="174">
        <f t="shared" si="41"/>
        <v>0</v>
      </c>
      <c r="AX54" s="174">
        <f t="shared" si="41"/>
        <v>0</v>
      </c>
      <c r="AY54" s="174">
        <f t="shared" si="41"/>
        <v>0</v>
      </c>
      <c r="AZ54" s="174">
        <f t="shared" si="41"/>
        <v>0</v>
      </c>
      <c r="BA54" s="174">
        <f t="shared" ref="BA54:BL58" si="42">+SUMIF($F$13:$F$52,$G54,BA$13:BA$52)</f>
        <v>0</v>
      </c>
      <c r="BB54" s="174">
        <f t="shared" si="42"/>
        <v>0</v>
      </c>
      <c r="BC54" s="174">
        <f t="shared" si="42"/>
        <v>0</v>
      </c>
      <c r="BD54" s="174">
        <f t="shared" si="42"/>
        <v>0</v>
      </c>
      <c r="BE54" s="174">
        <f t="shared" si="42"/>
        <v>0</v>
      </c>
      <c r="BF54" s="174">
        <f t="shared" si="42"/>
        <v>0</v>
      </c>
      <c r="BG54" s="174">
        <f t="shared" si="42"/>
        <v>0</v>
      </c>
      <c r="BH54" s="174">
        <f t="shared" si="42"/>
        <v>0</v>
      </c>
      <c r="BI54" s="174">
        <f t="shared" si="42"/>
        <v>0</v>
      </c>
      <c r="BJ54" s="174">
        <f t="shared" si="42"/>
        <v>0</v>
      </c>
      <c r="BK54" s="174">
        <f t="shared" si="42"/>
        <v>0</v>
      </c>
      <c r="BL54" s="174">
        <f t="shared" si="42"/>
        <v>0</v>
      </c>
      <c r="BM54" s="174">
        <f t="shared" ref="BM54:BV58" si="43">+SUMIF($F$13:$F$52,$G54,BM$13:BM$52)</f>
        <v>0</v>
      </c>
      <c r="BN54" s="174">
        <f t="shared" si="43"/>
        <v>0</v>
      </c>
      <c r="BO54" s="174">
        <f t="shared" si="43"/>
        <v>0</v>
      </c>
      <c r="BP54" s="174">
        <f t="shared" si="43"/>
        <v>0</v>
      </c>
      <c r="BQ54" s="174">
        <f t="shared" si="43"/>
        <v>0</v>
      </c>
      <c r="BR54" s="174">
        <f t="shared" si="43"/>
        <v>0</v>
      </c>
      <c r="BS54" s="174">
        <f t="shared" si="43"/>
        <v>0</v>
      </c>
      <c r="BT54" s="174">
        <f t="shared" si="43"/>
        <v>0</v>
      </c>
      <c r="BU54" s="174">
        <f t="shared" si="43"/>
        <v>0</v>
      </c>
      <c r="BV54" s="174">
        <f t="shared" si="43"/>
        <v>0</v>
      </c>
      <c r="BW54" s="174">
        <f t="shared" ref="BW54:CF58" si="44">+SUMIF($F$13:$F$52,$G54,BW$13:BW$52)</f>
        <v>0</v>
      </c>
      <c r="BX54" s="174">
        <f t="shared" si="44"/>
        <v>0</v>
      </c>
      <c r="BY54" s="174">
        <f t="shared" si="44"/>
        <v>0</v>
      </c>
      <c r="BZ54" s="174">
        <f t="shared" si="44"/>
        <v>0</v>
      </c>
      <c r="CA54" s="174">
        <f t="shared" si="44"/>
        <v>0</v>
      </c>
      <c r="CB54" s="174">
        <f t="shared" si="44"/>
        <v>0</v>
      </c>
      <c r="CC54" s="174">
        <f t="shared" si="44"/>
        <v>0</v>
      </c>
      <c r="CD54" s="174">
        <f t="shared" si="44"/>
        <v>0</v>
      </c>
      <c r="CE54" s="174">
        <f t="shared" si="44"/>
        <v>0</v>
      </c>
      <c r="CF54" s="174">
        <f t="shared" si="44"/>
        <v>0</v>
      </c>
      <c r="CG54" s="174">
        <f t="shared" ref="CG54:CP58" si="45">+SUMIF($F$13:$F$52,$G54,CG$13:CG$52)</f>
        <v>0</v>
      </c>
      <c r="CH54" s="174">
        <f t="shared" si="45"/>
        <v>0</v>
      </c>
      <c r="CI54" s="174">
        <f t="shared" si="45"/>
        <v>0</v>
      </c>
      <c r="CJ54" s="174">
        <f t="shared" si="45"/>
        <v>0</v>
      </c>
      <c r="CK54" s="174">
        <f t="shared" si="45"/>
        <v>0</v>
      </c>
      <c r="CL54" s="174">
        <f t="shared" si="45"/>
        <v>0</v>
      </c>
      <c r="CM54" s="174">
        <f t="shared" si="45"/>
        <v>0</v>
      </c>
      <c r="CN54" s="174">
        <f t="shared" si="45"/>
        <v>0</v>
      </c>
      <c r="CO54" s="174">
        <f t="shared" si="45"/>
        <v>0</v>
      </c>
      <c r="CP54" s="174">
        <f t="shared" si="45"/>
        <v>0</v>
      </c>
      <c r="CQ54" s="174">
        <f t="shared" ref="CQ54:CZ58" si="46">+SUMIF($F$13:$F$52,$G54,CQ$13:CQ$52)</f>
        <v>0</v>
      </c>
      <c r="CR54" s="174">
        <f t="shared" si="46"/>
        <v>0</v>
      </c>
      <c r="CS54" s="174">
        <f t="shared" si="46"/>
        <v>0</v>
      </c>
      <c r="CT54" s="174">
        <f t="shared" si="46"/>
        <v>0</v>
      </c>
      <c r="CU54" s="174">
        <f t="shared" si="46"/>
        <v>0</v>
      </c>
      <c r="CV54" s="174">
        <f t="shared" si="46"/>
        <v>0</v>
      </c>
      <c r="CW54" s="174">
        <f t="shared" si="46"/>
        <v>0</v>
      </c>
      <c r="CX54" s="174">
        <f t="shared" si="46"/>
        <v>0</v>
      </c>
      <c r="CY54" s="174">
        <f t="shared" si="46"/>
        <v>0</v>
      </c>
      <c r="CZ54" s="174">
        <f t="shared" si="46"/>
        <v>0</v>
      </c>
      <c r="DA54" s="174">
        <f t="shared" ref="DA54:DJ58" si="47">+SUMIF($F$13:$F$52,$G54,DA$13:DA$52)</f>
        <v>0</v>
      </c>
      <c r="DB54" s="174">
        <f t="shared" si="47"/>
        <v>0</v>
      </c>
      <c r="DC54" s="174">
        <f t="shared" si="47"/>
        <v>0</v>
      </c>
      <c r="DD54" s="174">
        <f t="shared" si="47"/>
        <v>0</v>
      </c>
      <c r="DE54" s="174">
        <f t="shared" si="47"/>
        <v>0</v>
      </c>
      <c r="DF54" s="174">
        <f t="shared" si="47"/>
        <v>0</v>
      </c>
      <c r="DG54" s="174">
        <f t="shared" si="47"/>
        <v>0</v>
      </c>
      <c r="DH54" s="174">
        <f t="shared" si="47"/>
        <v>0</v>
      </c>
      <c r="DI54" s="174">
        <f t="shared" si="47"/>
        <v>0</v>
      </c>
      <c r="DJ54" s="174">
        <f t="shared" si="47"/>
        <v>0</v>
      </c>
      <c r="DK54" s="174">
        <f t="shared" ref="DK54:DM58" si="48">+SUMIF($F$13:$F$52,$G54,DK$13:DK$52)</f>
        <v>0</v>
      </c>
      <c r="DL54" s="174">
        <f t="shared" si="48"/>
        <v>0</v>
      </c>
      <c r="DM54" s="174">
        <f t="shared" si="48"/>
        <v>0</v>
      </c>
      <c r="DN54" s="174">
        <f t="shared" ref="DN54:DQ58" si="49">+SUMIF($F$13:$F$52,$G54,DN$13:DN$52)</f>
        <v>0</v>
      </c>
      <c r="DO54" s="174">
        <f t="shared" si="49"/>
        <v>0</v>
      </c>
      <c r="DP54" s="174">
        <f t="shared" si="49"/>
        <v>0</v>
      </c>
      <c r="DQ54" s="174">
        <f t="shared" si="49"/>
        <v>0</v>
      </c>
      <c r="DR54" s="174">
        <f t="shared" ref="DR54:EA58" si="50">+SUMIF($F$13:$F$52,$G54,DR$13:DR$52)</f>
        <v>0</v>
      </c>
      <c r="DS54" s="174">
        <f t="shared" si="50"/>
        <v>0</v>
      </c>
      <c r="DT54" s="174">
        <f t="shared" si="50"/>
        <v>0</v>
      </c>
      <c r="DU54" s="174">
        <f t="shared" si="50"/>
        <v>0</v>
      </c>
      <c r="DV54" s="174">
        <f t="shared" si="50"/>
        <v>0</v>
      </c>
      <c r="DW54" s="174">
        <f t="shared" si="50"/>
        <v>0</v>
      </c>
      <c r="DX54" s="174">
        <f t="shared" si="50"/>
        <v>0</v>
      </c>
      <c r="DY54" s="174">
        <f t="shared" si="50"/>
        <v>0</v>
      </c>
      <c r="DZ54" s="174">
        <f t="shared" si="50"/>
        <v>0</v>
      </c>
      <c r="EA54" s="174">
        <f t="shared" si="50"/>
        <v>0</v>
      </c>
      <c r="EB54" s="174">
        <f t="shared" ref="EB54:EK58" si="51">+SUMIF($F$13:$F$52,$G54,EB$13:EB$52)</f>
        <v>0</v>
      </c>
      <c r="EC54" s="174">
        <f t="shared" si="51"/>
        <v>0</v>
      </c>
      <c r="ED54" s="174">
        <f t="shared" si="51"/>
        <v>0</v>
      </c>
      <c r="EE54" s="174">
        <f t="shared" si="51"/>
        <v>0</v>
      </c>
      <c r="EF54" s="174">
        <f t="shared" si="51"/>
        <v>0</v>
      </c>
      <c r="EG54" s="174">
        <f t="shared" si="51"/>
        <v>0</v>
      </c>
      <c r="EH54" s="174">
        <f t="shared" si="51"/>
        <v>0</v>
      </c>
      <c r="EI54" s="174">
        <f t="shared" si="51"/>
        <v>0</v>
      </c>
      <c r="EJ54" s="174">
        <f t="shared" si="51"/>
        <v>0</v>
      </c>
      <c r="EK54" s="174">
        <f t="shared" si="51"/>
        <v>0</v>
      </c>
      <c r="EL54" s="174">
        <f t="shared" ref="EL54:EU58" si="52">+SUMIF($F$13:$F$52,$G54,EL$13:EL$52)</f>
        <v>0</v>
      </c>
      <c r="EM54" s="174">
        <f t="shared" si="52"/>
        <v>0</v>
      </c>
      <c r="EN54" s="174">
        <f t="shared" si="52"/>
        <v>0</v>
      </c>
      <c r="EO54" s="174">
        <f t="shared" si="52"/>
        <v>0</v>
      </c>
      <c r="EP54" s="174">
        <f t="shared" si="52"/>
        <v>0</v>
      </c>
      <c r="EQ54" s="174">
        <f t="shared" si="52"/>
        <v>0</v>
      </c>
      <c r="ER54" s="174">
        <f t="shared" si="52"/>
        <v>0</v>
      </c>
      <c r="ES54" s="174">
        <f t="shared" si="52"/>
        <v>0</v>
      </c>
      <c r="ET54" s="174">
        <f t="shared" si="52"/>
        <v>0</v>
      </c>
      <c r="EU54" s="174">
        <f t="shared" si="52"/>
        <v>0</v>
      </c>
      <c r="EV54" s="174">
        <f t="shared" ref="EV54:FE58" si="53">+SUMIF($F$13:$F$52,$G54,EV$13:EV$52)</f>
        <v>0</v>
      </c>
      <c r="EW54" s="174">
        <f t="shared" si="53"/>
        <v>0</v>
      </c>
      <c r="EX54" s="174">
        <f t="shared" si="53"/>
        <v>0</v>
      </c>
      <c r="EY54" s="174">
        <f t="shared" si="53"/>
        <v>0</v>
      </c>
      <c r="EZ54" s="174">
        <f t="shared" si="53"/>
        <v>0</v>
      </c>
      <c r="FA54" s="174">
        <f t="shared" si="53"/>
        <v>0</v>
      </c>
      <c r="FB54" s="174">
        <f t="shared" si="53"/>
        <v>0</v>
      </c>
      <c r="FC54" s="174">
        <f t="shared" si="53"/>
        <v>0</v>
      </c>
      <c r="FD54" s="174">
        <f t="shared" si="53"/>
        <v>0</v>
      </c>
      <c r="FE54" s="174">
        <f t="shared" si="53"/>
        <v>0</v>
      </c>
      <c r="FF54" s="174">
        <f t="shared" ref="FF54:FN58" si="54">+SUMIF($F$13:$F$52,$G54,FF$13:FF$52)</f>
        <v>0</v>
      </c>
      <c r="FG54" s="174">
        <f t="shared" si="54"/>
        <v>0</v>
      </c>
      <c r="FH54" s="174">
        <f t="shared" si="54"/>
        <v>0</v>
      </c>
      <c r="FI54" s="174">
        <f t="shared" si="54"/>
        <v>0</v>
      </c>
      <c r="FJ54" s="174">
        <f t="shared" si="54"/>
        <v>0</v>
      </c>
      <c r="FK54" s="174">
        <f t="shared" si="54"/>
        <v>0</v>
      </c>
      <c r="FL54" s="174">
        <f t="shared" si="54"/>
        <v>0</v>
      </c>
      <c r="FM54" s="174">
        <f t="shared" si="54"/>
        <v>0</v>
      </c>
      <c r="FN54" s="174">
        <f t="shared" si="54"/>
        <v>0</v>
      </c>
    </row>
    <row r="55" spans="2:170" ht="15" customHeight="1">
      <c r="G55" s="512" t="s">
        <v>454</v>
      </c>
      <c r="H55" s="174">
        <f t="shared" si="37"/>
        <v>0</v>
      </c>
      <c r="I55" s="174">
        <f t="shared" si="37"/>
        <v>0</v>
      </c>
      <c r="J55" s="174">
        <f t="shared" si="37"/>
        <v>0</v>
      </c>
      <c r="K55" s="511"/>
      <c r="L55" s="177"/>
      <c r="M55" s="174">
        <f t="shared" si="38"/>
        <v>0</v>
      </c>
      <c r="N55" s="174">
        <f t="shared" si="38"/>
        <v>0</v>
      </c>
      <c r="O55" s="174">
        <f t="shared" si="38"/>
        <v>0</v>
      </c>
      <c r="P55" s="174">
        <f t="shared" si="38"/>
        <v>0</v>
      </c>
      <c r="Q55" s="174">
        <f t="shared" si="38"/>
        <v>0</v>
      </c>
      <c r="R55" s="174">
        <f t="shared" si="38"/>
        <v>0</v>
      </c>
      <c r="S55" s="174">
        <f t="shared" si="38"/>
        <v>0</v>
      </c>
      <c r="T55" s="174">
        <f t="shared" si="38"/>
        <v>0</v>
      </c>
      <c r="U55" s="174">
        <f t="shared" si="38"/>
        <v>0</v>
      </c>
      <c r="V55" s="174">
        <f t="shared" si="38"/>
        <v>0</v>
      </c>
      <c r="W55" s="174">
        <f t="shared" si="39"/>
        <v>0</v>
      </c>
      <c r="X55" s="174">
        <f t="shared" si="39"/>
        <v>0</v>
      </c>
      <c r="Y55" s="174">
        <f t="shared" si="39"/>
        <v>0</v>
      </c>
      <c r="Z55" s="174">
        <f t="shared" si="39"/>
        <v>0</v>
      </c>
      <c r="AA55" s="174">
        <f t="shared" si="39"/>
        <v>0</v>
      </c>
      <c r="AB55" s="174">
        <f t="shared" si="39"/>
        <v>0</v>
      </c>
      <c r="AC55" s="174">
        <f t="shared" si="39"/>
        <v>0</v>
      </c>
      <c r="AD55" s="174">
        <f t="shared" si="39"/>
        <v>0</v>
      </c>
      <c r="AE55" s="174">
        <f t="shared" si="39"/>
        <v>0</v>
      </c>
      <c r="AF55" s="174">
        <f t="shared" si="39"/>
        <v>0</v>
      </c>
      <c r="AG55" s="174">
        <f t="shared" si="40"/>
        <v>0</v>
      </c>
      <c r="AH55" s="174">
        <f t="shared" si="40"/>
        <v>0</v>
      </c>
      <c r="AI55" s="174">
        <f t="shared" si="40"/>
        <v>0</v>
      </c>
      <c r="AJ55" s="174">
        <f t="shared" si="40"/>
        <v>0</v>
      </c>
      <c r="AK55" s="174">
        <f t="shared" si="40"/>
        <v>0</v>
      </c>
      <c r="AL55" s="174">
        <f t="shared" si="40"/>
        <v>0</v>
      </c>
      <c r="AM55" s="174">
        <f t="shared" si="40"/>
        <v>0</v>
      </c>
      <c r="AN55" s="174">
        <f t="shared" si="40"/>
        <v>0</v>
      </c>
      <c r="AO55" s="174">
        <f t="shared" si="40"/>
        <v>0</v>
      </c>
      <c r="AP55" s="174">
        <f t="shared" si="40"/>
        <v>0</v>
      </c>
      <c r="AQ55" s="174">
        <f t="shared" si="41"/>
        <v>0</v>
      </c>
      <c r="AR55" s="174">
        <f t="shared" si="41"/>
        <v>0</v>
      </c>
      <c r="AS55" s="174">
        <f t="shared" si="41"/>
        <v>0</v>
      </c>
      <c r="AT55" s="174">
        <f t="shared" si="41"/>
        <v>0</v>
      </c>
      <c r="AU55" s="174">
        <f t="shared" si="41"/>
        <v>0</v>
      </c>
      <c r="AV55" s="174">
        <f t="shared" si="41"/>
        <v>0</v>
      </c>
      <c r="AW55" s="174">
        <f t="shared" si="41"/>
        <v>0</v>
      </c>
      <c r="AX55" s="174">
        <f t="shared" si="41"/>
        <v>0</v>
      </c>
      <c r="AY55" s="174">
        <f t="shared" si="41"/>
        <v>0</v>
      </c>
      <c r="AZ55" s="174">
        <f t="shared" si="41"/>
        <v>0</v>
      </c>
      <c r="BA55" s="174">
        <f t="shared" si="42"/>
        <v>0</v>
      </c>
      <c r="BB55" s="174">
        <f t="shared" si="42"/>
        <v>0</v>
      </c>
      <c r="BC55" s="174">
        <f t="shared" si="42"/>
        <v>0</v>
      </c>
      <c r="BD55" s="174">
        <f t="shared" si="42"/>
        <v>0</v>
      </c>
      <c r="BE55" s="174">
        <f t="shared" si="42"/>
        <v>0</v>
      </c>
      <c r="BF55" s="174">
        <f t="shared" si="42"/>
        <v>0</v>
      </c>
      <c r="BG55" s="174">
        <f t="shared" si="42"/>
        <v>0</v>
      </c>
      <c r="BH55" s="174">
        <f t="shared" si="42"/>
        <v>0</v>
      </c>
      <c r="BI55" s="174">
        <f t="shared" si="42"/>
        <v>0</v>
      </c>
      <c r="BJ55" s="174">
        <f t="shared" si="42"/>
        <v>0</v>
      </c>
      <c r="BK55" s="174">
        <f t="shared" si="42"/>
        <v>0</v>
      </c>
      <c r="BL55" s="174">
        <f t="shared" si="42"/>
        <v>0</v>
      </c>
      <c r="BM55" s="174">
        <f t="shared" si="43"/>
        <v>0</v>
      </c>
      <c r="BN55" s="174">
        <f t="shared" si="43"/>
        <v>0</v>
      </c>
      <c r="BO55" s="174">
        <f t="shared" si="43"/>
        <v>0</v>
      </c>
      <c r="BP55" s="174">
        <f t="shared" si="43"/>
        <v>0</v>
      </c>
      <c r="BQ55" s="174">
        <f t="shared" si="43"/>
        <v>0</v>
      </c>
      <c r="BR55" s="174">
        <f t="shared" si="43"/>
        <v>0</v>
      </c>
      <c r="BS55" s="174">
        <f t="shared" si="43"/>
        <v>0</v>
      </c>
      <c r="BT55" s="174">
        <f t="shared" si="43"/>
        <v>0</v>
      </c>
      <c r="BU55" s="174">
        <f t="shared" si="43"/>
        <v>0</v>
      </c>
      <c r="BV55" s="174">
        <f t="shared" si="43"/>
        <v>0</v>
      </c>
      <c r="BW55" s="174">
        <f t="shared" si="44"/>
        <v>0</v>
      </c>
      <c r="BX55" s="174">
        <f t="shared" si="44"/>
        <v>0</v>
      </c>
      <c r="BY55" s="174">
        <f t="shared" si="44"/>
        <v>0</v>
      </c>
      <c r="BZ55" s="174">
        <f t="shared" si="44"/>
        <v>0</v>
      </c>
      <c r="CA55" s="174">
        <f t="shared" si="44"/>
        <v>0</v>
      </c>
      <c r="CB55" s="174">
        <f t="shared" si="44"/>
        <v>0</v>
      </c>
      <c r="CC55" s="174">
        <f t="shared" si="44"/>
        <v>0</v>
      </c>
      <c r="CD55" s="174">
        <f t="shared" si="44"/>
        <v>0</v>
      </c>
      <c r="CE55" s="174">
        <f t="shared" si="44"/>
        <v>0</v>
      </c>
      <c r="CF55" s="174">
        <f t="shared" si="44"/>
        <v>0</v>
      </c>
      <c r="CG55" s="174">
        <f t="shared" si="45"/>
        <v>0</v>
      </c>
      <c r="CH55" s="174">
        <f t="shared" si="45"/>
        <v>0</v>
      </c>
      <c r="CI55" s="174">
        <f t="shared" si="45"/>
        <v>0</v>
      </c>
      <c r="CJ55" s="174">
        <f t="shared" si="45"/>
        <v>0</v>
      </c>
      <c r="CK55" s="174">
        <f t="shared" si="45"/>
        <v>0</v>
      </c>
      <c r="CL55" s="174">
        <f t="shared" si="45"/>
        <v>0</v>
      </c>
      <c r="CM55" s="174">
        <f t="shared" si="45"/>
        <v>0</v>
      </c>
      <c r="CN55" s="174">
        <f t="shared" si="45"/>
        <v>0</v>
      </c>
      <c r="CO55" s="174">
        <f t="shared" si="45"/>
        <v>0</v>
      </c>
      <c r="CP55" s="174">
        <f t="shared" si="45"/>
        <v>0</v>
      </c>
      <c r="CQ55" s="174">
        <f t="shared" si="46"/>
        <v>0</v>
      </c>
      <c r="CR55" s="174">
        <f t="shared" si="46"/>
        <v>0</v>
      </c>
      <c r="CS55" s="174">
        <f t="shared" si="46"/>
        <v>0</v>
      </c>
      <c r="CT55" s="174">
        <f t="shared" si="46"/>
        <v>0</v>
      </c>
      <c r="CU55" s="174">
        <f t="shared" si="46"/>
        <v>0</v>
      </c>
      <c r="CV55" s="174">
        <f t="shared" si="46"/>
        <v>0</v>
      </c>
      <c r="CW55" s="174">
        <f t="shared" si="46"/>
        <v>0</v>
      </c>
      <c r="CX55" s="174">
        <f t="shared" si="46"/>
        <v>0</v>
      </c>
      <c r="CY55" s="174">
        <f t="shared" si="46"/>
        <v>0</v>
      </c>
      <c r="CZ55" s="174">
        <f t="shared" si="46"/>
        <v>0</v>
      </c>
      <c r="DA55" s="174">
        <f t="shared" si="47"/>
        <v>0</v>
      </c>
      <c r="DB55" s="174">
        <f t="shared" si="47"/>
        <v>0</v>
      </c>
      <c r="DC55" s="174">
        <f t="shared" si="47"/>
        <v>0</v>
      </c>
      <c r="DD55" s="174">
        <f t="shared" si="47"/>
        <v>0</v>
      </c>
      <c r="DE55" s="174">
        <f t="shared" si="47"/>
        <v>0</v>
      </c>
      <c r="DF55" s="174">
        <f t="shared" si="47"/>
        <v>0</v>
      </c>
      <c r="DG55" s="174">
        <f t="shared" si="47"/>
        <v>0</v>
      </c>
      <c r="DH55" s="174">
        <f t="shared" si="47"/>
        <v>0</v>
      </c>
      <c r="DI55" s="174">
        <f t="shared" si="47"/>
        <v>0</v>
      </c>
      <c r="DJ55" s="174">
        <f t="shared" si="47"/>
        <v>0</v>
      </c>
      <c r="DK55" s="174">
        <f t="shared" si="48"/>
        <v>0</v>
      </c>
      <c r="DL55" s="174">
        <f t="shared" si="48"/>
        <v>0</v>
      </c>
      <c r="DM55" s="174">
        <f t="shared" si="48"/>
        <v>0</v>
      </c>
      <c r="DN55" s="174">
        <f t="shared" si="49"/>
        <v>0</v>
      </c>
      <c r="DO55" s="174">
        <f t="shared" si="49"/>
        <v>0</v>
      </c>
      <c r="DP55" s="174">
        <f t="shared" si="49"/>
        <v>0</v>
      </c>
      <c r="DQ55" s="174">
        <f t="shared" si="49"/>
        <v>0</v>
      </c>
      <c r="DR55" s="174">
        <f t="shared" si="50"/>
        <v>0</v>
      </c>
      <c r="DS55" s="174">
        <f t="shared" si="50"/>
        <v>0</v>
      </c>
      <c r="DT55" s="174">
        <f t="shared" si="50"/>
        <v>0</v>
      </c>
      <c r="DU55" s="174">
        <f t="shared" si="50"/>
        <v>0</v>
      </c>
      <c r="DV55" s="174">
        <f t="shared" si="50"/>
        <v>0</v>
      </c>
      <c r="DW55" s="174">
        <f t="shared" si="50"/>
        <v>0</v>
      </c>
      <c r="DX55" s="174">
        <f t="shared" si="50"/>
        <v>0</v>
      </c>
      <c r="DY55" s="174">
        <f t="shared" si="50"/>
        <v>0</v>
      </c>
      <c r="DZ55" s="174">
        <f t="shared" si="50"/>
        <v>0</v>
      </c>
      <c r="EA55" s="174">
        <f t="shared" si="50"/>
        <v>0</v>
      </c>
      <c r="EB55" s="174">
        <f t="shared" si="51"/>
        <v>0</v>
      </c>
      <c r="EC55" s="174">
        <f t="shared" si="51"/>
        <v>0</v>
      </c>
      <c r="ED55" s="174">
        <f t="shared" si="51"/>
        <v>0</v>
      </c>
      <c r="EE55" s="174">
        <f t="shared" si="51"/>
        <v>0</v>
      </c>
      <c r="EF55" s="174">
        <f t="shared" si="51"/>
        <v>0</v>
      </c>
      <c r="EG55" s="174">
        <f t="shared" si="51"/>
        <v>0</v>
      </c>
      <c r="EH55" s="174">
        <f t="shared" si="51"/>
        <v>0</v>
      </c>
      <c r="EI55" s="174">
        <f t="shared" si="51"/>
        <v>0</v>
      </c>
      <c r="EJ55" s="174">
        <f t="shared" si="51"/>
        <v>0</v>
      </c>
      <c r="EK55" s="174">
        <f t="shared" si="51"/>
        <v>0</v>
      </c>
      <c r="EL55" s="174">
        <f t="shared" si="52"/>
        <v>0</v>
      </c>
      <c r="EM55" s="174">
        <f t="shared" si="52"/>
        <v>0</v>
      </c>
      <c r="EN55" s="174">
        <f t="shared" si="52"/>
        <v>0</v>
      </c>
      <c r="EO55" s="174">
        <f t="shared" si="52"/>
        <v>0</v>
      </c>
      <c r="EP55" s="174">
        <f t="shared" si="52"/>
        <v>0</v>
      </c>
      <c r="EQ55" s="174">
        <f t="shared" si="52"/>
        <v>0</v>
      </c>
      <c r="ER55" s="174">
        <f t="shared" si="52"/>
        <v>0</v>
      </c>
      <c r="ES55" s="174">
        <f t="shared" si="52"/>
        <v>0</v>
      </c>
      <c r="ET55" s="174">
        <f t="shared" si="52"/>
        <v>0</v>
      </c>
      <c r="EU55" s="174">
        <f t="shared" si="52"/>
        <v>0</v>
      </c>
      <c r="EV55" s="174">
        <f t="shared" si="53"/>
        <v>0</v>
      </c>
      <c r="EW55" s="174">
        <f t="shared" si="53"/>
        <v>0</v>
      </c>
      <c r="EX55" s="174">
        <f t="shared" si="53"/>
        <v>0</v>
      </c>
      <c r="EY55" s="174">
        <f t="shared" si="53"/>
        <v>0</v>
      </c>
      <c r="EZ55" s="174">
        <f t="shared" si="53"/>
        <v>0</v>
      </c>
      <c r="FA55" s="174">
        <f t="shared" si="53"/>
        <v>0</v>
      </c>
      <c r="FB55" s="174">
        <f t="shared" si="53"/>
        <v>0</v>
      </c>
      <c r="FC55" s="174">
        <f t="shared" si="53"/>
        <v>0</v>
      </c>
      <c r="FD55" s="174">
        <f t="shared" si="53"/>
        <v>0</v>
      </c>
      <c r="FE55" s="174">
        <f t="shared" si="53"/>
        <v>0</v>
      </c>
      <c r="FF55" s="174">
        <f t="shared" si="54"/>
        <v>0</v>
      </c>
      <c r="FG55" s="174">
        <f t="shared" si="54"/>
        <v>0</v>
      </c>
      <c r="FH55" s="174">
        <f t="shared" si="54"/>
        <v>0</v>
      </c>
      <c r="FI55" s="174">
        <f t="shared" si="54"/>
        <v>0</v>
      </c>
      <c r="FJ55" s="174">
        <f t="shared" si="54"/>
        <v>0</v>
      </c>
      <c r="FK55" s="174">
        <f t="shared" si="54"/>
        <v>0</v>
      </c>
      <c r="FL55" s="174">
        <f t="shared" si="54"/>
        <v>0</v>
      </c>
      <c r="FM55" s="174">
        <f t="shared" si="54"/>
        <v>0</v>
      </c>
      <c r="FN55" s="174">
        <f t="shared" si="54"/>
        <v>0</v>
      </c>
    </row>
    <row r="56" spans="2:170" ht="15" customHeight="1">
      <c r="G56" s="512" t="s">
        <v>456</v>
      </c>
      <c r="H56" s="174">
        <f t="shared" si="37"/>
        <v>1</v>
      </c>
      <c r="I56" s="174">
        <f t="shared" si="37"/>
        <v>9220418</v>
      </c>
      <c r="J56" s="174">
        <f t="shared" si="37"/>
        <v>817567</v>
      </c>
      <c r="K56" s="511"/>
      <c r="L56" s="177"/>
      <c r="M56" s="174">
        <f t="shared" si="38"/>
        <v>0</v>
      </c>
      <c r="N56" s="174">
        <f t="shared" si="38"/>
        <v>0</v>
      </c>
      <c r="O56" s="174">
        <f t="shared" si="38"/>
        <v>0</v>
      </c>
      <c r="P56" s="174">
        <f t="shared" si="38"/>
        <v>0</v>
      </c>
      <c r="Q56" s="174">
        <f t="shared" si="38"/>
        <v>0</v>
      </c>
      <c r="R56" s="174">
        <f t="shared" si="38"/>
        <v>0</v>
      </c>
      <c r="S56" s="174">
        <f t="shared" si="38"/>
        <v>0</v>
      </c>
      <c r="T56" s="174">
        <f t="shared" si="38"/>
        <v>0</v>
      </c>
      <c r="U56" s="174">
        <f t="shared" si="38"/>
        <v>0</v>
      </c>
      <c r="V56" s="174">
        <f t="shared" si="38"/>
        <v>1</v>
      </c>
      <c r="W56" s="174">
        <f t="shared" si="39"/>
        <v>0</v>
      </c>
      <c r="X56" s="174">
        <f t="shared" si="39"/>
        <v>0</v>
      </c>
      <c r="Y56" s="174">
        <f t="shared" si="39"/>
        <v>1</v>
      </c>
      <c r="Z56" s="174">
        <f t="shared" si="39"/>
        <v>0</v>
      </c>
      <c r="AA56" s="174">
        <f t="shared" si="39"/>
        <v>0</v>
      </c>
      <c r="AB56" s="174">
        <f t="shared" si="39"/>
        <v>0</v>
      </c>
      <c r="AC56" s="174">
        <f t="shared" si="39"/>
        <v>0</v>
      </c>
      <c r="AD56" s="174">
        <f t="shared" si="39"/>
        <v>0</v>
      </c>
      <c r="AE56" s="174">
        <f t="shared" si="39"/>
        <v>0</v>
      </c>
      <c r="AF56" s="174">
        <f t="shared" si="39"/>
        <v>0</v>
      </c>
      <c r="AG56" s="174">
        <f t="shared" si="40"/>
        <v>0</v>
      </c>
      <c r="AH56" s="174">
        <f t="shared" si="40"/>
        <v>0</v>
      </c>
      <c r="AI56" s="174">
        <f t="shared" si="40"/>
        <v>0</v>
      </c>
      <c r="AJ56" s="174">
        <f t="shared" si="40"/>
        <v>0</v>
      </c>
      <c r="AK56" s="174">
        <f t="shared" si="40"/>
        <v>0</v>
      </c>
      <c r="AL56" s="174">
        <f t="shared" si="40"/>
        <v>0</v>
      </c>
      <c r="AM56" s="174">
        <f t="shared" si="40"/>
        <v>0</v>
      </c>
      <c r="AN56" s="174">
        <f t="shared" si="40"/>
        <v>0</v>
      </c>
      <c r="AO56" s="174">
        <f t="shared" si="40"/>
        <v>0</v>
      </c>
      <c r="AP56" s="174">
        <f t="shared" si="40"/>
        <v>0</v>
      </c>
      <c r="AQ56" s="174">
        <f t="shared" si="41"/>
        <v>0</v>
      </c>
      <c r="AR56" s="174">
        <f t="shared" si="41"/>
        <v>0</v>
      </c>
      <c r="AS56" s="174">
        <f t="shared" si="41"/>
        <v>0</v>
      </c>
      <c r="AT56" s="174">
        <f t="shared" si="41"/>
        <v>0</v>
      </c>
      <c r="AU56" s="174">
        <f t="shared" si="41"/>
        <v>0</v>
      </c>
      <c r="AV56" s="174">
        <f t="shared" si="41"/>
        <v>0</v>
      </c>
      <c r="AW56" s="174">
        <f t="shared" si="41"/>
        <v>0</v>
      </c>
      <c r="AX56" s="174">
        <f t="shared" si="41"/>
        <v>0</v>
      </c>
      <c r="AY56" s="174">
        <f t="shared" si="41"/>
        <v>0</v>
      </c>
      <c r="AZ56" s="174">
        <f t="shared" si="41"/>
        <v>0</v>
      </c>
      <c r="BA56" s="174">
        <f t="shared" si="42"/>
        <v>0</v>
      </c>
      <c r="BB56" s="174">
        <f t="shared" si="42"/>
        <v>0</v>
      </c>
      <c r="BC56" s="174">
        <f t="shared" si="42"/>
        <v>0</v>
      </c>
      <c r="BD56" s="174">
        <f t="shared" si="42"/>
        <v>0</v>
      </c>
      <c r="BE56" s="174">
        <f t="shared" si="42"/>
        <v>0</v>
      </c>
      <c r="BF56" s="174">
        <f t="shared" si="42"/>
        <v>0</v>
      </c>
      <c r="BG56" s="174">
        <f t="shared" si="42"/>
        <v>0</v>
      </c>
      <c r="BH56" s="174">
        <f t="shared" si="42"/>
        <v>0</v>
      </c>
      <c r="BI56" s="174">
        <f t="shared" si="42"/>
        <v>0</v>
      </c>
      <c r="BJ56" s="174">
        <f t="shared" si="42"/>
        <v>0</v>
      </c>
      <c r="BK56" s="174">
        <f t="shared" si="42"/>
        <v>0</v>
      </c>
      <c r="BL56" s="174">
        <f t="shared" si="42"/>
        <v>0</v>
      </c>
      <c r="BM56" s="174">
        <f t="shared" si="43"/>
        <v>0</v>
      </c>
      <c r="BN56" s="174">
        <f t="shared" si="43"/>
        <v>0</v>
      </c>
      <c r="BO56" s="174">
        <f t="shared" si="43"/>
        <v>0</v>
      </c>
      <c r="BP56" s="174">
        <f t="shared" si="43"/>
        <v>0</v>
      </c>
      <c r="BQ56" s="174">
        <f t="shared" si="43"/>
        <v>0</v>
      </c>
      <c r="BR56" s="174">
        <f t="shared" si="43"/>
        <v>0</v>
      </c>
      <c r="BS56" s="174">
        <f t="shared" si="43"/>
        <v>0</v>
      </c>
      <c r="BT56" s="174">
        <f t="shared" si="43"/>
        <v>0</v>
      </c>
      <c r="BU56" s="174">
        <f t="shared" si="43"/>
        <v>0</v>
      </c>
      <c r="BV56" s="174">
        <f t="shared" si="43"/>
        <v>0</v>
      </c>
      <c r="BW56" s="174">
        <f t="shared" si="44"/>
        <v>9220418</v>
      </c>
      <c r="BX56" s="174">
        <f t="shared" si="44"/>
        <v>0</v>
      </c>
      <c r="BY56" s="174">
        <f t="shared" si="44"/>
        <v>0</v>
      </c>
      <c r="BZ56" s="174">
        <f t="shared" si="44"/>
        <v>9220418</v>
      </c>
      <c r="CA56" s="174">
        <f t="shared" si="44"/>
        <v>0</v>
      </c>
      <c r="CB56" s="174">
        <f t="shared" si="44"/>
        <v>0</v>
      </c>
      <c r="CC56" s="174">
        <f t="shared" si="44"/>
        <v>0</v>
      </c>
      <c r="CD56" s="174">
        <f t="shared" si="44"/>
        <v>0</v>
      </c>
      <c r="CE56" s="174">
        <f t="shared" si="44"/>
        <v>0</v>
      </c>
      <c r="CF56" s="174">
        <f t="shared" si="44"/>
        <v>0</v>
      </c>
      <c r="CG56" s="174">
        <f t="shared" si="45"/>
        <v>0</v>
      </c>
      <c r="CH56" s="174">
        <f t="shared" si="45"/>
        <v>0</v>
      </c>
      <c r="CI56" s="174">
        <f t="shared" si="45"/>
        <v>0</v>
      </c>
      <c r="CJ56" s="174">
        <f t="shared" si="45"/>
        <v>0</v>
      </c>
      <c r="CK56" s="174">
        <f t="shared" si="45"/>
        <v>0</v>
      </c>
      <c r="CL56" s="174">
        <f t="shared" si="45"/>
        <v>0</v>
      </c>
      <c r="CM56" s="174">
        <f t="shared" si="45"/>
        <v>0</v>
      </c>
      <c r="CN56" s="174">
        <f t="shared" si="45"/>
        <v>0</v>
      </c>
      <c r="CO56" s="174">
        <f t="shared" si="45"/>
        <v>0</v>
      </c>
      <c r="CP56" s="174">
        <f t="shared" si="45"/>
        <v>0</v>
      </c>
      <c r="CQ56" s="174">
        <f t="shared" si="46"/>
        <v>0</v>
      </c>
      <c r="CR56" s="174">
        <f t="shared" si="46"/>
        <v>0</v>
      </c>
      <c r="CS56" s="174">
        <f t="shared" si="46"/>
        <v>0</v>
      </c>
      <c r="CT56" s="174">
        <f t="shared" si="46"/>
        <v>0</v>
      </c>
      <c r="CU56" s="174">
        <f t="shared" si="46"/>
        <v>0</v>
      </c>
      <c r="CV56" s="174">
        <f t="shared" si="46"/>
        <v>0</v>
      </c>
      <c r="CW56" s="174">
        <f t="shared" si="46"/>
        <v>0</v>
      </c>
      <c r="CX56" s="174">
        <f t="shared" si="46"/>
        <v>0</v>
      </c>
      <c r="CY56" s="174">
        <f t="shared" si="46"/>
        <v>0</v>
      </c>
      <c r="CZ56" s="174">
        <f t="shared" si="46"/>
        <v>0</v>
      </c>
      <c r="DA56" s="174">
        <f t="shared" si="47"/>
        <v>0</v>
      </c>
      <c r="DB56" s="174">
        <f t="shared" si="47"/>
        <v>0</v>
      </c>
      <c r="DC56" s="174">
        <f t="shared" si="47"/>
        <v>0</v>
      </c>
      <c r="DD56" s="174">
        <f t="shared" si="47"/>
        <v>0</v>
      </c>
      <c r="DE56" s="174">
        <f t="shared" si="47"/>
        <v>0</v>
      </c>
      <c r="DF56" s="174">
        <f t="shared" si="47"/>
        <v>0</v>
      </c>
      <c r="DG56" s="174">
        <f t="shared" si="47"/>
        <v>0</v>
      </c>
      <c r="DH56" s="174">
        <f t="shared" si="47"/>
        <v>0</v>
      </c>
      <c r="DI56" s="174">
        <f t="shared" si="47"/>
        <v>0</v>
      </c>
      <c r="DJ56" s="174">
        <f t="shared" si="47"/>
        <v>0</v>
      </c>
      <c r="DK56" s="174">
        <f t="shared" si="48"/>
        <v>0</v>
      </c>
      <c r="DL56" s="174">
        <f t="shared" si="48"/>
        <v>0</v>
      </c>
      <c r="DM56" s="174">
        <f t="shared" si="48"/>
        <v>0</v>
      </c>
      <c r="DN56" s="174">
        <f t="shared" si="49"/>
        <v>0</v>
      </c>
      <c r="DO56" s="174">
        <f t="shared" si="49"/>
        <v>0</v>
      </c>
      <c r="DP56" s="174">
        <f t="shared" si="49"/>
        <v>0</v>
      </c>
      <c r="DQ56" s="174">
        <f t="shared" si="49"/>
        <v>0</v>
      </c>
      <c r="DR56" s="174">
        <f t="shared" si="50"/>
        <v>0</v>
      </c>
      <c r="DS56" s="174">
        <f t="shared" si="50"/>
        <v>0</v>
      </c>
      <c r="DT56" s="174">
        <f t="shared" si="50"/>
        <v>0</v>
      </c>
      <c r="DU56" s="174">
        <f t="shared" si="50"/>
        <v>0</v>
      </c>
      <c r="DV56" s="174">
        <f t="shared" si="50"/>
        <v>0</v>
      </c>
      <c r="DW56" s="174">
        <f t="shared" si="50"/>
        <v>0</v>
      </c>
      <c r="DX56" s="174">
        <f t="shared" si="50"/>
        <v>817567</v>
      </c>
      <c r="DY56" s="174">
        <f t="shared" si="50"/>
        <v>0</v>
      </c>
      <c r="DZ56" s="174">
        <f t="shared" si="50"/>
        <v>0</v>
      </c>
      <c r="EA56" s="174">
        <f t="shared" si="50"/>
        <v>817567</v>
      </c>
      <c r="EB56" s="174">
        <f t="shared" si="51"/>
        <v>0</v>
      </c>
      <c r="EC56" s="174">
        <f t="shared" si="51"/>
        <v>0</v>
      </c>
      <c r="ED56" s="174">
        <f t="shared" si="51"/>
        <v>0</v>
      </c>
      <c r="EE56" s="174">
        <f t="shared" si="51"/>
        <v>0</v>
      </c>
      <c r="EF56" s="174">
        <f t="shared" si="51"/>
        <v>0</v>
      </c>
      <c r="EG56" s="174">
        <f t="shared" si="51"/>
        <v>0</v>
      </c>
      <c r="EH56" s="174">
        <f t="shared" si="51"/>
        <v>0</v>
      </c>
      <c r="EI56" s="174">
        <f t="shared" si="51"/>
        <v>0</v>
      </c>
      <c r="EJ56" s="174">
        <f t="shared" si="51"/>
        <v>0</v>
      </c>
      <c r="EK56" s="174">
        <f t="shared" si="51"/>
        <v>0</v>
      </c>
      <c r="EL56" s="174">
        <f t="shared" si="52"/>
        <v>0</v>
      </c>
      <c r="EM56" s="174">
        <f t="shared" si="52"/>
        <v>0</v>
      </c>
      <c r="EN56" s="174">
        <f t="shared" si="52"/>
        <v>0</v>
      </c>
      <c r="EO56" s="174">
        <f t="shared" si="52"/>
        <v>0</v>
      </c>
      <c r="EP56" s="174">
        <f t="shared" si="52"/>
        <v>0</v>
      </c>
      <c r="EQ56" s="174">
        <f t="shared" si="52"/>
        <v>0</v>
      </c>
      <c r="ER56" s="174">
        <f t="shared" si="52"/>
        <v>0</v>
      </c>
      <c r="ES56" s="174">
        <f t="shared" si="52"/>
        <v>0</v>
      </c>
      <c r="ET56" s="174">
        <f t="shared" si="52"/>
        <v>0</v>
      </c>
      <c r="EU56" s="174">
        <f t="shared" si="52"/>
        <v>0</v>
      </c>
      <c r="EV56" s="174">
        <f t="shared" si="53"/>
        <v>0</v>
      </c>
      <c r="EW56" s="174">
        <f t="shared" si="53"/>
        <v>0</v>
      </c>
      <c r="EX56" s="174">
        <f t="shared" si="53"/>
        <v>0</v>
      </c>
      <c r="EY56" s="174">
        <f t="shared" si="53"/>
        <v>0</v>
      </c>
      <c r="EZ56" s="174">
        <f t="shared" si="53"/>
        <v>0</v>
      </c>
      <c r="FA56" s="174">
        <f t="shared" si="53"/>
        <v>0</v>
      </c>
      <c r="FB56" s="174">
        <f t="shared" si="53"/>
        <v>0</v>
      </c>
      <c r="FC56" s="174">
        <f t="shared" si="53"/>
        <v>0</v>
      </c>
      <c r="FD56" s="174">
        <f t="shared" si="53"/>
        <v>0</v>
      </c>
      <c r="FE56" s="174">
        <f t="shared" si="53"/>
        <v>0</v>
      </c>
      <c r="FF56" s="174">
        <f t="shared" si="54"/>
        <v>0</v>
      </c>
      <c r="FG56" s="174">
        <f t="shared" si="54"/>
        <v>0</v>
      </c>
      <c r="FH56" s="174">
        <f t="shared" si="54"/>
        <v>0</v>
      </c>
      <c r="FI56" s="174">
        <f t="shared" si="54"/>
        <v>0</v>
      </c>
      <c r="FJ56" s="174">
        <f t="shared" si="54"/>
        <v>0</v>
      </c>
      <c r="FK56" s="174">
        <f t="shared" si="54"/>
        <v>0</v>
      </c>
      <c r="FL56" s="174">
        <f t="shared" si="54"/>
        <v>0</v>
      </c>
      <c r="FM56" s="174">
        <f t="shared" si="54"/>
        <v>0</v>
      </c>
      <c r="FN56" s="174">
        <f t="shared" si="54"/>
        <v>0</v>
      </c>
    </row>
    <row r="57" spans="2:170" ht="15" customHeight="1">
      <c r="G57" s="512" t="s">
        <v>458</v>
      </c>
      <c r="H57" s="174">
        <f t="shared" si="37"/>
        <v>0</v>
      </c>
      <c r="I57" s="174">
        <f t="shared" si="37"/>
        <v>0</v>
      </c>
      <c r="J57" s="174">
        <f t="shared" si="37"/>
        <v>0</v>
      </c>
      <c r="K57" s="511"/>
      <c r="L57" s="177"/>
      <c r="M57" s="174">
        <f t="shared" si="38"/>
        <v>0</v>
      </c>
      <c r="N57" s="174">
        <f t="shared" si="38"/>
        <v>0</v>
      </c>
      <c r="O57" s="174">
        <f t="shared" si="38"/>
        <v>0</v>
      </c>
      <c r="P57" s="174">
        <f t="shared" si="38"/>
        <v>0</v>
      </c>
      <c r="Q57" s="174">
        <f t="shared" si="38"/>
        <v>0</v>
      </c>
      <c r="R57" s="174">
        <f t="shared" si="38"/>
        <v>0</v>
      </c>
      <c r="S57" s="174">
        <f t="shared" si="38"/>
        <v>0</v>
      </c>
      <c r="T57" s="174">
        <f t="shared" si="38"/>
        <v>0</v>
      </c>
      <c r="U57" s="174">
        <f t="shared" si="38"/>
        <v>0</v>
      </c>
      <c r="V57" s="174">
        <f t="shared" si="38"/>
        <v>0</v>
      </c>
      <c r="W57" s="174">
        <f t="shared" si="39"/>
        <v>0</v>
      </c>
      <c r="X57" s="174">
        <f t="shared" si="39"/>
        <v>0</v>
      </c>
      <c r="Y57" s="174">
        <f t="shared" si="39"/>
        <v>0</v>
      </c>
      <c r="Z57" s="174">
        <f t="shared" si="39"/>
        <v>0</v>
      </c>
      <c r="AA57" s="174">
        <f t="shared" si="39"/>
        <v>0</v>
      </c>
      <c r="AB57" s="174">
        <f t="shared" si="39"/>
        <v>0</v>
      </c>
      <c r="AC57" s="174">
        <f t="shared" si="39"/>
        <v>0</v>
      </c>
      <c r="AD57" s="174">
        <f t="shared" si="39"/>
        <v>0</v>
      </c>
      <c r="AE57" s="174">
        <f t="shared" si="39"/>
        <v>0</v>
      </c>
      <c r="AF57" s="174">
        <f t="shared" si="39"/>
        <v>0</v>
      </c>
      <c r="AG57" s="174">
        <f t="shared" si="40"/>
        <v>0</v>
      </c>
      <c r="AH57" s="174">
        <f t="shared" si="40"/>
        <v>0</v>
      </c>
      <c r="AI57" s="174">
        <f t="shared" si="40"/>
        <v>0</v>
      </c>
      <c r="AJ57" s="174">
        <f t="shared" si="40"/>
        <v>0</v>
      </c>
      <c r="AK57" s="174">
        <f t="shared" si="40"/>
        <v>0</v>
      </c>
      <c r="AL57" s="174">
        <f t="shared" si="40"/>
        <v>0</v>
      </c>
      <c r="AM57" s="174">
        <f t="shared" si="40"/>
        <v>0</v>
      </c>
      <c r="AN57" s="174">
        <f t="shared" si="40"/>
        <v>0</v>
      </c>
      <c r="AO57" s="174">
        <f t="shared" si="40"/>
        <v>0</v>
      </c>
      <c r="AP57" s="174">
        <f t="shared" si="40"/>
        <v>0</v>
      </c>
      <c r="AQ57" s="174">
        <f t="shared" si="41"/>
        <v>0</v>
      </c>
      <c r="AR57" s="174">
        <f t="shared" si="41"/>
        <v>0</v>
      </c>
      <c r="AS57" s="174">
        <f t="shared" si="41"/>
        <v>0</v>
      </c>
      <c r="AT57" s="174">
        <f t="shared" si="41"/>
        <v>0</v>
      </c>
      <c r="AU57" s="174">
        <f t="shared" si="41"/>
        <v>0</v>
      </c>
      <c r="AV57" s="174">
        <f t="shared" si="41"/>
        <v>0</v>
      </c>
      <c r="AW57" s="174">
        <f t="shared" si="41"/>
        <v>0</v>
      </c>
      <c r="AX57" s="174">
        <f t="shared" si="41"/>
        <v>0</v>
      </c>
      <c r="AY57" s="174">
        <f t="shared" si="41"/>
        <v>0</v>
      </c>
      <c r="AZ57" s="174">
        <f t="shared" si="41"/>
        <v>0</v>
      </c>
      <c r="BA57" s="174">
        <f t="shared" si="42"/>
        <v>0</v>
      </c>
      <c r="BB57" s="174">
        <f t="shared" si="42"/>
        <v>0</v>
      </c>
      <c r="BC57" s="174">
        <f t="shared" si="42"/>
        <v>0</v>
      </c>
      <c r="BD57" s="174">
        <f t="shared" si="42"/>
        <v>0</v>
      </c>
      <c r="BE57" s="174">
        <f t="shared" si="42"/>
        <v>0</v>
      </c>
      <c r="BF57" s="174">
        <f t="shared" si="42"/>
        <v>0</v>
      </c>
      <c r="BG57" s="174">
        <f t="shared" si="42"/>
        <v>0</v>
      </c>
      <c r="BH57" s="174">
        <f t="shared" si="42"/>
        <v>0</v>
      </c>
      <c r="BI57" s="174">
        <f t="shared" si="42"/>
        <v>0</v>
      </c>
      <c r="BJ57" s="174">
        <f t="shared" si="42"/>
        <v>0</v>
      </c>
      <c r="BK57" s="174">
        <f t="shared" si="42"/>
        <v>0</v>
      </c>
      <c r="BL57" s="174">
        <f t="shared" si="42"/>
        <v>0</v>
      </c>
      <c r="BM57" s="174">
        <f t="shared" si="43"/>
        <v>0</v>
      </c>
      <c r="BN57" s="174">
        <f t="shared" si="43"/>
        <v>0</v>
      </c>
      <c r="BO57" s="174">
        <f t="shared" si="43"/>
        <v>0</v>
      </c>
      <c r="BP57" s="174">
        <f t="shared" si="43"/>
        <v>0</v>
      </c>
      <c r="BQ57" s="174">
        <f t="shared" si="43"/>
        <v>0</v>
      </c>
      <c r="BR57" s="174">
        <f t="shared" si="43"/>
        <v>0</v>
      </c>
      <c r="BS57" s="174">
        <f t="shared" si="43"/>
        <v>0</v>
      </c>
      <c r="BT57" s="174">
        <f t="shared" si="43"/>
        <v>0</v>
      </c>
      <c r="BU57" s="174">
        <f t="shared" si="43"/>
        <v>0</v>
      </c>
      <c r="BV57" s="174">
        <f t="shared" si="43"/>
        <v>0</v>
      </c>
      <c r="BW57" s="174">
        <f t="shared" si="44"/>
        <v>0</v>
      </c>
      <c r="BX57" s="174">
        <f t="shared" si="44"/>
        <v>0</v>
      </c>
      <c r="BY57" s="174">
        <f t="shared" si="44"/>
        <v>0</v>
      </c>
      <c r="BZ57" s="174">
        <f t="shared" si="44"/>
        <v>0</v>
      </c>
      <c r="CA57" s="174">
        <f t="shared" si="44"/>
        <v>0</v>
      </c>
      <c r="CB57" s="174">
        <f t="shared" si="44"/>
        <v>0</v>
      </c>
      <c r="CC57" s="174">
        <f t="shared" si="44"/>
        <v>0</v>
      </c>
      <c r="CD57" s="174">
        <f t="shared" si="44"/>
        <v>0</v>
      </c>
      <c r="CE57" s="174">
        <f t="shared" si="44"/>
        <v>0</v>
      </c>
      <c r="CF57" s="174">
        <f t="shared" si="44"/>
        <v>0</v>
      </c>
      <c r="CG57" s="174">
        <f t="shared" si="45"/>
        <v>0</v>
      </c>
      <c r="CH57" s="174">
        <f t="shared" si="45"/>
        <v>0</v>
      </c>
      <c r="CI57" s="174">
        <f t="shared" si="45"/>
        <v>0</v>
      </c>
      <c r="CJ57" s="174">
        <f t="shared" si="45"/>
        <v>0</v>
      </c>
      <c r="CK57" s="174">
        <f t="shared" si="45"/>
        <v>0</v>
      </c>
      <c r="CL57" s="174">
        <f t="shared" si="45"/>
        <v>0</v>
      </c>
      <c r="CM57" s="174">
        <f t="shared" si="45"/>
        <v>0</v>
      </c>
      <c r="CN57" s="174">
        <f t="shared" si="45"/>
        <v>0</v>
      </c>
      <c r="CO57" s="174">
        <f t="shared" si="45"/>
        <v>0</v>
      </c>
      <c r="CP57" s="174">
        <f t="shared" si="45"/>
        <v>0</v>
      </c>
      <c r="CQ57" s="174">
        <f t="shared" si="46"/>
        <v>0</v>
      </c>
      <c r="CR57" s="174">
        <f t="shared" si="46"/>
        <v>0</v>
      </c>
      <c r="CS57" s="174">
        <f t="shared" si="46"/>
        <v>0</v>
      </c>
      <c r="CT57" s="174">
        <f t="shared" si="46"/>
        <v>0</v>
      </c>
      <c r="CU57" s="174">
        <f t="shared" si="46"/>
        <v>0</v>
      </c>
      <c r="CV57" s="174">
        <f t="shared" si="46"/>
        <v>0</v>
      </c>
      <c r="CW57" s="174">
        <f t="shared" si="46"/>
        <v>0</v>
      </c>
      <c r="CX57" s="174">
        <f t="shared" si="46"/>
        <v>0</v>
      </c>
      <c r="CY57" s="174">
        <f t="shared" si="46"/>
        <v>0</v>
      </c>
      <c r="CZ57" s="174">
        <f t="shared" si="46"/>
        <v>0</v>
      </c>
      <c r="DA57" s="174">
        <f t="shared" si="47"/>
        <v>0</v>
      </c>
      <c r="DB57" s="174">
        <f t="shared" si="47"/>
        <v>0</v>
      </c>
      <c r="DC57" s="174">
        <f t="shared" si="47"/>
        <v>0</v>
      </c>
      <c r="DD57" s="174">
        <f t="shared" si="47"/>
        <v>0</v>
      </c>
      <c r="DE57" s="174">
        <f t="shared" si="47"/>
        <v>0</v>
      </c>
      <c r="DF57" s="174">
        <f t="shared" si="47"/>
        <v>0</v>
      </c>
      <c r="DG57" s="174">
        <f t="shared" si="47"/>
        <v>0</v>
      </c>
      <c r="DH57" s="174">
        <f t="shared" si="47"/>
        <v>0</v>
      </c>
      <c r="DI57" s="174">
        <f t="shared" si="47"/>
        <v>0</v>
      </c>
      <c r="DJ57" s="174">
        <f t="shared" si="47"/>
        <v>0</v>
      </c>
      <c r="DK57" s="174">
        <f t="shared" si="48"/>
        <v>0</v>
      </c>
      <c r="DL57" s="174">
        <f t="shared" si="48"/>
        <v>0</v>
      </c>
      <c r="DM57" s="174">
        <f t="shared" si="48"/>
        <v>0</v>
      </c>
      <c r="DN57" s="174">
        <f t="shared" si="49"/>
        <v>0</v>
      </c>
      <c r="DO57" s="174">
        <f t="shared" si="49"/>
        <v>0</v>
      </c>
      <c r="DP57" s="174">
        <f t="shared" si="49"/>
        <v>0</v>
      </c>
      <c r="DQ57" s="174">
        <f t="shared" si="49"/>
        <v>0</v>
      </c>
      <c r="DR57" s="174">
        <f t="shared" si="50"/>
        <v>0</v>
      </c>
      <c r="DS57" s="174">
        <f t="shared" si="50"/>
        <v>0</v>
      </c>
      <c r="DT57" s="174">
        <f t="shared" si="50"/>
        <v>0</v>
      </c>
      <c r="DU57" s="174">
        <f t="shared" si="50"/>
        <v>0</v>
      </c>
      <c r="DV57" s="174">
        <f t="shared" si="50"/>
        <v>0</v>
      </c>
      <c r="DW57" s="174">
        <f t="shared" si="50"/>
        <v>0</v>
      </c>
      <c r="DX57" s="174">
        <f t="shared" si="50"/>
        <v>0</v>
      </c>
      <c r="DY57" s="174">
        <f t="shared" si="50"/>
        <v>0</v>
      </c>
      <c r="DZ57" s="174">
        <f t="shared" si="50"/>
        <v>0</v>
      </c>
      <c r="EA57" s="174">
        <f t="shared" si="50"/>
        <v>0</v>
      </c>
      <c r="EB57" s="174">
        <f t="shared" si="51"/>
        <v>0</v>
      </c>
      <c r="EC57" s="174">
        <f t="shared" si="51"/>
        <v>0</v>
      </c>
      <c r="ED57" s="174">
        <f t="shared" si="51"/>
        <v>0</v>
      </c>
      <c r="EE57" s="174">
        <f t="shared" si="51"/>
        <v>0</v>
      </c>
      <c r="EF57" s="174">
        <f t="shared" si="51"/>
        <v>0</v>
      </c>
      <c r="EG57" s="174">
        <f t="shared" si="51"/>
        <v>0</v>
      </c>
      <c r="EH57" s="174">
        <f t="shared" si="51"/>
        <v>0</v>
      </c>
      <c r="EI57" s="174">
        <f t="shared" si="51"/>
        <v>0</v>
      </c>
      <c r="EJ57" s="174">
        <f t="shared" si="51"/>
        <v>0</v>
      </c>
      <c r="EK57" s="174">
        <f t="shared" si="51"/>
        <v>0</v>
      </c>
      <c r="EL57" s="174">
        <f t="shared" si="52"/>
        <v>0</v>
      </c>
      <c r="EM57" s="174">
        <f t="shared" si="52"/>
        <v>0</v>
      </c>
      <c r="EN57" s="174">
        <f t="shared" si="52"/>
        <v>0</v>
      </c>
      <c r="EO57" s="174">
        <f t="shared" si="52"/>
        <v>0</v>
      </c>
      <c r="EP57" s="174">
        <f t="shared" si="52"/>
        <v>0</v>
      </c>
      <c r="EQ57" s="174">
        <f t="shared" si="52"/>
        <v>0</v>
      </c>
      <c r="ER57" s="174">
        <f t="shared" si="52"/>
        <v>0</v>
      </c>
      <c r="ES57" s="174">
        <f t="shared" si="52"/>
        <v>0</v>
      </c>
      <c r="ET57" s="174">
        <f t="shared" si="52"/>
        <v>0</v>
      </c>
      <c r="EU57" s="174">
        <f t="shared" si="52"/>
        <v>0</v>
      </c>
      <c r="EV57" s="174">
        <f t="shared" si="53"/>
        <v>0</v>
      </c>
      <c r="EW57" s="174">
        <f t="shared" si="53"/>
        <v>0</v>
      </c>
      <c r="EX57" s="174">
        <f t="shared" si="53"/>
        <v>0</v>
      </c>
      <c r="EY57" s="174">
        <f t="shared" si="53"/>
        <v>0</v>
      </c>
      <c r="EZ57" s="174">
        <f t="shared" si="53"/>
        <v>0</v>
      </c>
      <c r="FA57" s="174">
        <f t="shared" si="53"/>
        <v>0</v>
      </c>
      <c r="FB57" s="174">
        <f t="shared" si="53"/>
        <v>0</v>
      </c>
      <c r="FC57" s="174">
        <f t="shared" si="53"/>
        <v>0</v>
      </c>
      <c r="FD57" s="174">
        <f t="shared" si="53"/>
        <v>0</v>
      </c>
      <c r="FE57" s="174">
        <f t="shared" si="53"/>
        <v>0</v>
      </c>
      <c r="FF57" s="174">
        <f t="shared" si="54"/>
        <v>0</v>
      </c>
      <c r="FG57" s="174">
        <f t="shared" si="54"/>
        <v>0</v>
      </c>
      <c r="FH57" s="174">
        <f t="shared" si="54"/>
        <v>0</v>
      </c>
      <c r="FI57" s="174">
        <f t="shared" si="54"/>
        <v>0</v>
      </c>
      <c r="FJ57" s="174">
        <f t="shared" si="54"/>
        <v>0</v>
      </c>
      <c r="FK57" s="174">
        <f t="shared" si="54"/>
        <v>0</v>
      </c>
      <c r="FL57" s="174">
        <f t="shared" si="54"/>
        <v>0</v>
      </c>
      <c r="FM57" s="174">
        <f t="shared" si="54"/>
        <v>0</v>
      </c>
      <c r="FN57" s="174">
        <f t="shared" si="54"/>
        <v>0</v>
      </c>
    </row>
    <row r="58" spans="2:170" ht="15" customHeight="1">
      <c r="G58" s="512" t="s">
        <v>497</v>
      </c>
      <c r="H58" s="174">
        <f t="shared" si="37"/>
        <v>0</v>
      </c>
      <c r="I58" s="174">
        <f t="shared" si="37"/>
        <v>0</v>
      </c>
      <c r="J58" s="174">
        <f t="shared" si="37"/>
        <v>0</v>
      </c>
      <c r="K58" s="511"/>
      <c r="L58" s="177"/>
      <c r="M58" s="174">
        <f t="shared" si="38"/>
        <v>0</v>
      </c>
      <c r="N58" s="174">
        <f t="shared" si="38"/>
        <v>0</v>
      </c>
      <c r="O58" s="174">
        <f t="shared" si="38"/>
        <v>0</v>
      </c>
      <c r="P58" s="174">
        <f t="shared" si="38"/>
        <v>0</v>
      </c>
      <c r="Q58" s="174">
        <f t="shared" si="38"/>
        <v>0</v>
      </c>
      <c r="R58" s="174">
        <f t="shared" si="38"/>
        <v>0</v>
      </c>
      <c r="S58" s="174">
        <f t="shared" si="38"/>
        <v>0</v>
      </c>
      <c r="T58" s="174">
        <f t="shared" si="38"/>
        <v>0</v>
      </c>
      <c r="U58" s="174">
        <f t="shared" si="38"/>
        <v>0</v>
      </c>
      <c r="V58" s="174">
        <f t="shared" si="38"/>
        <v>0</v>
      </c>
      <c r="W58" s="174">
        <f t="shared" si="39"/>
        <v>0</v>
      </c>
      <c r="X58" s="174">
        <f t="shared" si="39"/>
        <v>0</v>
      </c>
      <c r="Y58" s="174">
        <f t="shared" si="39"/>
        <v>0</v>
      </c>
      <c r="Z58" s="174">
        <f t="shared" si="39"/>
        <v>0</v>
      </c>
      <c r="AA58" s="174">
        <f t="shared" si="39"/>
        <v>0</v>
      </c>
      <c r="AB58" s="174">
        <f t="shared" si="39"/>
        <v>0</v>
      </c>
      <c r="AC58" s="174">
        <f t="shared" si="39"/>
        <v>0</v>
      </c>
      <c r="AD58" s="174">
        <f t="shared" si="39"/>
        <v>0</v>
      </c>
      <c r="AE58" s="174">
        <f t="shared" si="39"/>
        <v>0</v>
      </c>
      <c r="AF58" s="174">
        <f t="shared" si="39"/>
        <v>0</v>
      </c>
      <c r="AG58" s="174">
        <f t="shared" si="40"/>
        <v>0</v>
      </c>
      <c r="AH58" s="174">
        <f t="shared" si="40"/>
        <v>0</v>
      </c>
      <c r="AI58" s="174">
        <f t="shared" si="40"/>
        <v>0</v>
      </c>
      <c r="AJ58" s="174">
        <f t="shared" si="40"/>
        <v>0</v>
      </c>
      <c r="AK58" s="174">
        <f t="shared" si="40"/>
        <v>0</v>
      </c>
      <c r="AL58" s="174">
        <f t="shared" si="40"/>
        <v>0</v>
      </c>
      <c r="AM58" s="174">
        <f t="shared" si="40"/>
        <v>0</v>
      </c>
      <c r="AN58" s="174">
        <f t="shared" si="40"/>
        <v>0</v>
      </c>
      <c r="AO58" s="174">
        <f t="shared" si="40"/>
        <v>0</v>
      </c>
      <c r="AP58" s="174">
        <f t="shared" si="40"/>
        <v>0</v>
      </c>
      <c r="AQ58" s="174">
        <f t="shared" si="41"/>
        <v>0</v>
      </c>
      <c r="AR58" s="174">
        <f t="shared" si="41"/>
        <v>0</v>
      </c>
      <c r="AS58" s="174">
        <f t="shared" si="41"/>
        <v>0</v>
      </c>
      <c r="AT58" s="174">
        <f t="shared" si="41"/>
        <v>0</v>
      </c>
      <c r="AU58" s="174">
        <f t="shared" si="41"/>
        <v>0</v>
      </c>
      <c r="AV58" s="174">
        <f t="shared" si="41"/>
        <v>0</v>
      </c>
      <c r="AW58" s="174">
        <f t="shared" si="41"/>
        <v>0</v>
      </c>
      <c r="AX58" s="174">
        <f t="shared" si="41"/>
        <v>0</v>
      </c>
      <c r="AY58" s="174">
        <f t="shared" si="41"/>
        <v>0</v>
      </c>
      <c r="AZ58" s="174">
        <f t="shared" si="41"/>
        <v>0</v>
      </c>
      <c r="BA58" s="174">
        <f t="shared" si="42"/>
        <v>0</v>
      </c>
      <c r="BB58" s="174">
        <f t="shared" si="42"/>
        <v>0</v>
      </c>
      <c r="BC58" s="174">
        <f t="shared" si="42"/>
        <v>0</v>
      </c>
      <c r="BD58" s="174">
        <f t="shared" si="42"/>
        <v>0</v>
      </c>
      <c r="BE58" s="174">
        <f t="shared" si="42"/>
        <v>0</v>
      </c>
      <c r="BF58" s="174">
        <f t="shared" si="42"/>
        <v>0</v>
      </c>
      <c r="BG58" s="174">
        <f t="shared" si="42"/>
        <v>0</v>
      </c>
      <c r="BH58" s="174">
        <f t="shared" si="42"/>
        <v>0</v>
      </c>
      <c r="BI58" s="174">
        <f t="shared" si="42"/>
        <v>0</v>
      </c>
      <c r="BJ58" s="174">
        <f t="shared" si="42"/>
        <v>0</v>
      </c>
      <c r="BK58" s="174">
        <f t="shared" si="42"/>
        <v>0</v>
      </c>
      <c r="BL58" s="174">
        <f t="shared" si="42"/>
        <v>0</v>
      </c>
      <c r="BM58" s="174">
        <f t="shared" si="43"/>
        <v>0</v>
      </c>
      <c r="BN58" s="174">
        <f t="shared" si="43"/>
        <v>0</v>
      </c>
      <c r="BO58" s="174">
        <f t="shared" si="43"/>
        <v>0</v>
      </c>
      <c r="BP58" s="174">
        <f t="shared" si="43"/>
        <v>0</v>
      </c>
      <c r="BQ58" s="174">
        <f t="shared" si="43"/>
        <v>0</v>
      </c>
      <c r="BR58" s="174">
        <f t="shared" si="43"/>
        <v>0</v>
      </c>
      <c r="BS58" s="174">
        <f t="shared" si="43"/>
        <v>0</v>
      </c>
      <c r="BT58" s="174">
        <f t="shared" si="43"/>
        <v>0</v>
      </c>
      <c r="BU58" s="174">
        <f t="shared" si="43"/>
        <v>0</v>
      </c>
      <c r="BV58" s="174">
        <f t="shared" si="43"/>
        <v>0</v>
      </c>
      <c r="BW58" s="174">
        <f t="shared" si="44"/>
        <v>0</v>
      </c>
      <c r="BX58" s="174">
        <f t="shared" si="44"/>
        <v>0</v>
      </c>
      <c r="BY58" s="174">
        <f t="shared" si="44"/>
        <v>0</v>
      </c>
      <c r="BZ58" s="174">
        <f t="shared" si="44"/>
        <v>0</v>
      </c>
      <c r="CA58" s="174">
        <f t="shared" si="44"/>
        <v>0</v>
      </c>
      <c r="CB58" s="174">
        <f t="shared" si="44"/>
        <v>0</v>
      </c>
      <c r="CC58" s="174">
        <f t="shared" si="44"/>
        <v>0</v>
      </c>
      <c r="CD58" s="174">
        <f t="shared" si="44"/>
        <v>0</v>
      </c>
      <c r="CE58" s="174">
        <f t="shared" si="44"/>
        <v>0</v>
      </c>
      <c r="CF58" s="174">
        <f t="shared" si="44"/>
        <v>0</v>
      </c>
      <c r="CG58" s="174">
        <f t="shared" si="45"/>
        <v>0</v>
      </c>
      <c r="CH58" s="174">
        <f t="shared" si="45"/>
        <v>0</v>
      </c>
      <c r="CI58" s="174">
        <f t="shared" si="45"/>
        <v>0</v>
      </c>
      <c r="CJ58" s="174">
        <f t="shared" si="45"/>
        <v>0</v>
      </c>
      <c r="CK58" s="174">
        <f t="shared" si="45"/>
        <v>0</v>
      </c>
      <c r="CL58" s="174">
        <f t="shared" si="45"/>
        <v>0</v>
      </c>
      <c r="CM58" s="174">
        <f t="shared" si="45"/>
        <v>0</v>
      </c>
      <c r="CN58" s="174">
        <f t="shared" si="45"/>
        <v>0</v>
      </c>
      <c r="CO58" s="174">
        <f t="shared" si="45"/>
        <v>0</v>
      </c>
      <c r="CP58" s="174">
        <f t="shared" si="45"/>
        <v>0</v>
      </c>
      <c r="CQ58" s="174">
        <f t="shared" si="46"/>
        <v>0</v>
      </c>
      <c r="CR58" s="174">
        <f t="shared" si="46"/>
        <v>0</v>
      </c>
      <c r="CS58" s="174">
        <f t="shared" si="46"/>
        <v>0</v>
      </c>
      <c r="CT58" s="174">
        <f t="shared" si="46"/>
        <v>0</v>
      </c>
      <c r="CU58" s="174">
        <f t="shared" si="46"/>
        <v>0</v>
      </c>
      <c r="CV58" s="174">
        <f t="shared" si="46"/>
        <v>0</v>
      </c>
      <c r="CW58" s="174">
        <f t="shared" si="46"/>
        <v>0</v>
      </c>
      <c r="CX58" s="174">
        <f t="shared" si="46"/>
        <v>0</v>
      </c>
      <c r="CY58" s="174">
        <f t="shared" si="46"/>
        <v>0</v>
      </c>
      <c r="CZ58" s="174">
        <f t="shared" si="46"/>
        <v>0</v>
      </c>
      <c r="DA58" s="174">
        <f t="shared" si="47"/>
        <v>0</v>
      </c>
      <c r="DB58" s="174">
        <f t="shared" si="47"/>
        <v>0</v>
      </c>
      <c r="DC58" s="174">
        <f t="shared" si="47"/>
        <v>0</v>
      </c>
      <c r="DD58" s="174">
        <f t="shared" si="47"/>
        <v>0</v>
      </c>
      <c r="DE58" s="174">
        <f t="shared" si="47"/>
        <v>0</v>
      </c>
      <c r="DF58" s="174">
        <f t="shared" si="47"/>
        <v>0</v>
      </c>
      <c r="DG58" s="174">
        <f t="shared" si="47"/>
        <v>0</v>
      </c>
      <c r="DH58" s="174">
        <f t="shared" si="47"/>
        <v>0</v>
      </c>
      <c r="DI58" s="174">
        <f t="shared" si="47"/>
        <v>0</v>
      </c>
      <c r="DJ58" s="174">
        <f t="shared" si="47"/>
        <v>0</v>
      </c>
      <c r="DK58" s="174">
        <f t="shared" si="48"/>
        <v>0</v>
      </c>
      <c r="DL58" s="174">
        <f t="shared" si="48"/>
        <v>0</v>
      </c>
      <c r="DM58" s="174">
        <f t="shared" si="48"/>
        <v>0</v>
      </c>
      <c r="DN58" s="174">
        <f t="shared" si="49"/>
        <v>0</v>
      </c>
      <c r="DO58" s="174">
        <f t="shared" si="49"/>
        <v>0</v>
      </c>
      <c r="DP58" s="174">
        <f t="shared" si="49"/>
        <v>0</v>
      </c>
      <c r="DQ58" s="174">
        <f t="shared" si="49"/>
        <v>0</v>
      </c>
      <c r="DR58" s="174">
        <f t="shared" si="50"/>
        <v>0</v>
      </c>
      <c r="DS58" s="174">
        <f t="shared" si="50"/>
        <v>0</v>
      </c>
      <c r="DT58" s="174">
        <f t="shared" si="50"/>
        <v>0</v>
      </c>
      <c r="DU58" s="174">
        <f t="shared" si="50"/>
        <v>0</v>
      </c>
      <c r="DV58" s="174">
        <f t="shared" si="50"/>
        <v>0</v>
      </c>
      <c r="DW58" s="174">
        <f t="shared" si="50"/>
        <v>0</v>
      </c>
      <c r="DX58" s="174">
        <f t="shared" si="50"/>
        <v>0</v>
      </c>
      <c r="DY58" s="174">
        <f t="shared" si="50"/>
        <v>0</v>
      </c>
      <c r="DZ58" s="174">
        <f t="shared" si="50"/>
        <v>0</v>
      </c>
      <c r="EA58" s="174">
        <f t="shared" si="50"/>
        <v>0</v>
      </c>
      <c r="EB58" s="174">
        <f t="shared" si="51"/>
        <v>0</v>
      </c>
      <c r="EC58" s="174">
        <f t="shared" si="51"/>
        <v>0</v>
      </c>
      <c r="ED58" s="174">
        <f t="shared" si="51"/>
        <v>0</v>
      </c>
      <c r="EE58" s="174">
        <f t="shared" si="51"/>
        <v>0</v>
      </c>
      <c r="EF58" s="174">
        <f t="shared" si="51"/>
        <v>0</v>
      </c>
      <c r="EG58" s="174">
        <f t="shared" si="51"/>
        <v>0</v>
      </c>
      <c r="EH58" s="174">
        <f t="shared" si="51"/>
        <v>0</v>
      </c>
      <c r="EI58" s="174">
        <f t="shared" si="51"/>
        <v>0</v>
      </c>
      <c r="EJ58" s="174">
        <f t="shared" si="51"/>
        <v>0</v>
      </c>
      <c r="EK58" s="174">
        <f t="shared" si="51"/>
        <v>0</v>
      </c>
      <c r="EL58" s="174">
        <f t="shared" si="52"/>
        <v>0</v>
      </c>
      <c r="EM58" s="174">
        <f t="shared" si="52"/>
        <v>0</v>
      </c>
      <c r="EN58" s="174">
        <f t="shared" si="52"/>
        <v>0</v>
      </c>
      <c r="EO58" s="174">
        <f t="shared" si="52"/>
        <v>0</v>
      </c>
      <c r="EP58" s="174">
        <f t="shared" si="52"/>
        <v>0</v>
      </c>
      <c r="EQ58" s="174">
        <f t="shared" si="52"/>
        <v>0</v>
      </c>
      <c r="ER58" s="174">
        <f t="shared" si="52"/>
        <v>0</v>
      </c>
      <c r="ES58" s="174">
        <f t="shared" si="52"/>
        <v>0</v>
      </c>
      <c r="ET58" s="174">
        <f t="shared" si="52"/>
        <v>0</v>
      </c>
      <c r="EU58" s="174">
        <f t="shared" si="52"/>
        <v>0</v>
      </c>
      <c r="EV58" s="174">
        <f t="shared" si="53"/>
        <v>0</v>
      </c>
      <c r="EW58" s="174">
        <f t="shared" si="53"/>
        <v>0</v>
      </c>
      <c r="EX58" s="174">
        <f t="shared" si="53"/>
        <v>0</v>
      </c>
      <c r="EY58" s="174">
        <f t="shared" si="53"/>
        <v>0</v>
      </c>
      <c r="EZ58" s="174">
        <f t="shared" si="53"/>
        <v>0</v>
      </c>
      <c r="FA58" s="174">
        <f t="shared" si="53"/>
        <v>0</v>
      </c>
      <c r="FB58" s="174">
        <f t="shared" si="53"/>
        <v>0</v>
      </c>
      <c r="FC58" s="174">
        <f t="shared" si="53"/>
        <v>0</v>
      </c>
      <c r="FD58" s="174">
        <f t="shared" si="53"/>
        <v>0</v>
      </c>
      <c r="FE58" s="174">
        <f t="shared" si="53"/>
        <v>0</v>
      </c>
      <c r="FF58" s="174">
        <f t="shared" si="54"/>
        <v>0</v>
      </c>
      <c r="FG58" s="174">
        <f t="shared" si="54"/>
        <v>0</v>
      </c>
      <c r="FH58" s="174">
        <f t="shared" si="54"/>
        <v>0</v>
      </c>
      <c r="FI58" s="174">
        <f t="shared" si="54"/>
        <v>0</v>
      </c>
      <c r="FJ58" s="174">
        <f t="shared" si="54"/>
        <v>0</v>
      </c>
      <c r="FK58" s="174">
        <f t="shared" si="54"/>
        <v>0</v>
      </c>
      <c r="FL58" s="174">
        <f t="shared" si="54"/>
        <v>0</v>
      </c>
      <c r="FM58" s="174">
        <f t="shared" si="54"/>
        <v>0</v>
      </c>
      <c r="FN58" s="174">
        <f t="shared" si="54"/>
        <v>0</v>
      </c>
    </row>
    <row r="59" spans="2:170" ht="15" customHeight="1">
      <c r="H59" s="513">
        <f t="shared" ref="H59:AM59" si="55">SUM(H54:H58)-H12</f>
        <v>0</v>
      </c>
      <c r="I59" s="513">
        <f t="shared" si="55"/>
        <v>0</v>
      </c>
      <c r="J59" s="513">
        <f t="shared" si="55"/>
        <v>0</v>
      </c>
      <c r="K59" s="513">
        <f t="shared" si="55"/>
        <v>0</v>
      </c>
      <c r="L59" s="513">
        <f t="shared" si="55"/>
        <v>0</v>
      </c>
      <c r="M59" s="513">
        <f t="shared" si="55"/>
        <v>0</v>
      </c>
      <c r="N59" s="513">
        <f t="shared" si="55"/>
        <v>0</v>
      </c>
      <c r="O59" s="513">
        <f t="shared" si="55"/>
        <v>0</v>
      </c>
      <c r="P59" s="513">
        <f t="shared" si="55"/>
        <v>0</v>
      </c>
      <c r="Q59" s="513">
        <f t="shared" si="55"/>
        <v>0</v>
      </c>
      <c r="R59" s="513">
        <f t="shared" si="55"/>
        <v>0</v>
      </c>
      <c r="S59" s="513">
        <f t="shared" si="55"/>
        <v>0</v>
      </c>
      <c r="T59" s="513">
        <f t="shared" si="55"/>
        <v>0</v>
      </c>
      <c r="U59" s="513">
        <f t="shared" si="55"/>
        <v>0</v>
      </c>
      <c r="V59" s="513">
        <f t="shared" si="55"/>
        <v>0</v>
      </c>
      <c r="W59" s="513">
        <f t="shared" si="55"/>
        <v>0</v>
      </c>
      <c r="X59" s="513">
        <f t="shared" si="55"/>
        <v>0</v>
      </c>
      <c r="Y59" s="513">
        <f t="shared" si="55"/>
        <v>0</v>
      </c>
      <c r="Z59" s="513">
        <f t="shared" si="55"/>
        <v>0</v>
      </c>
      <c r="AA59" s="513">
        <f t="shared" si="55"/>
        <v>0</v>
      </c>
      <c r="AB59" s="513">
        <f t="shared" si="55"/>
        <v>0</v>
      </c>
      <c r="AC59" s="513">
        <f t="shared" si="55"/>
        <v>0</v>
      </c>
      <c r="AD59" s="513">
        <f t="shared" si="55"/>
        <v>0</v>
      </c>
      <c r="AE59" s="513">
        <f t="shared" si="55"/>
        <v>0</v>
      </c>
      <c r="AF59" s="513">
        <f t="shared" si="55"/>
        <v>0</v>
      </c>
      <c r="AG59" s="513">
        <f t="shared" si="55"/>
        <v>0</v>
      </c>
      <c r="AH59" s="513">
        <f t="shared" si="55"/>
        <v>0</v>
      </c>
      <c r="AI59" s="513">
        <f t="shared" si="55"/>
        <v>0</v>
      </c>
      <c r="AJ59" s="513">
        <f t="shared" si="55"/>
        <v>0</v>
      </c>
      <c r="AK59" s="513">
        <f t="shared" si="55"/>
        <v>0</v>
      </c>
      <c r="AL59" s="513">
        <f t="shared" si="55"/>
        <v>0</v>
      </c>
      <c r="AM59" s="513">
        <f t="shared" si="55"/>
        <v>0</v>
      </c>
      <c r="AN59" s="513">
        <f t="shared" ref="AN59:BL59" si="56">SUM(AN54:AN58)-AN12</f>
        <v>0</v>
      </c>
      <c r="AO59" s="513">
        <f t="shared" si="56"/>
        <v>0</v>
      </c>
      <c r="AP59" s="513">
        <f t="shared" si="56"/>
        <v>0</v>
      </c>
      <c r="AQ59" s="513">
        <f t="shared" si="56"/>
        <v>0</v>
      </c>
      <c r="AR59" s="513">
        <f t="shared" si="56"/>
        <v>0</v>
      </c>
      <c r="AS59" s="513">
        <f t="shared" si="56"/>
        <v>0</v>
      </c>
      <c r="AT59" s="513">
        <f t="shared" si="56"/>
        <v>0</v>
      </c>
      <c r="AU59" s="513">
        <f t="shared" si="56"/>
        <v>0</v>
      </c>
      <c r="AV59" s="513">
        <f t="shared" si="56"/>
        <v>0</v>
      </c>
      <c r="AW59" s="513">
        <f t="shared" si="56"/>
        <v>0</v>
      </c>
      <c r="AX59" s="513">
        <f t="shared" si="56"/>
        <v>0</v>
      </c>
      <c r="AY59" s="513">
        <f t="shared" si="56"/>
        <v>0</v>
      </c>
      <c r="AZ59" s="513">
        <f t="shared" si="56"/>
        <v>0</v>
      </c>
      <c r="BA59" s="513">
        <f t="shared" si="56"/>
        <v>0</v>
      </c>
      <c r="BB59" s="513">
        <f t="shared" si="56"/>
        <v>0</v>
      </c>
      <c r="BC59" s="513">
        <f t="shared" si="56"/>
        <v>0</v>
      </c>
      <c r="BD59" s="513">
        <f t="shared" si="56"/>
        <v>0</v>
      </c>
      <c r="BE59" s="513">
        <f t="shared" si="56"/>
        <v>0</v>
      </c>
      <c r="BF59" s="513">
        <f t="shared" si="56"/>
        <v>0</v>
      </c>
      <c r="BG59" s="513">
        <f t="shared" si="56"/>
        <v>0</v>
      </c>
      <c r="BH59" s="513">
        <f t="shared" si="56"/>
        <v>0</v>
      </c>
      <c r="BI59" s="513">
        <f t="shared" si="56"/>
        <v>0</v>
      </c>
      <c r="BJ59" s="513">
        <f t="shared" si="56"/>
        <v>0</v>
      </c>
      <c r="BK59" s="513">
        <f t="shared" si="56"/>
        <v>0</v>
      </c>
      <c r="BL59" s="513">
        <f t="shared" si="56"/>
        <v>0</v>
      </c>
      <c r="BM59" s="513">
        <f t="shared" ref="BM59:CR59" si="57">SUM(BM54:BM58)-BM12</f>
        <v>0</v>
      </c>
      <c r="BN59" s="513">
        <f t="shared" si="57"/>
        <v>0</v>
      </c>
      <c r="BO59" s="513">
        <f t="shared" si="57"/>
        <v>0</v>
      </c>
      <c r="BP59" s="513">
        <f t="shared" si="57"/>
        <v>0</v>
      </c>
      <c r="BQ59" s="513">
        <f t="shared" si="57"/>
        <v>0</v>
      </c>
      <c r="BR59" s="513">
        <f t="shared" si="57"/>
        <v>0</v>
      </c>
      <c r="BS59" s="513">
        <f t="shared" si="57"/>
        <v>0</v>
      </c>
      <c r="BT59" s="513">
        <f t="shared" si="57"/>
        <v>0</v>
      </c>
      <c r="BU59" s="513">
        <f t="shared" si="57"/>
        <v>0</v>
      </c>
      <c r="BV59" s="513">
        <f t="shared" si="57"/>
        <v>0</v>
      </c>
      <c r="BW59" s="513">
        <f t="shared" si="57"/>
        <v>0</v>
      </c>
      <c r="BX59" s="513">
        <f t="shared" si="57"/>
        <v>0</v>
      </c>
      <c r="BY59" s="513">
        <f t="shared" si="57"/>
        <v>0</v>
      </c>
      <c r="BZ59" s="513">
        <f t="shared" si="57"/>
        <v>0</v>
      </c>
      <c r="CA59" s="513">
        <f t="shared" si="57"/>
        <v>0</v>
      </c>
      <c r="CB59" s="513">
        <f t="shared" si="57"/>
        <v>0</v>
      </c>
      <c r="CC59" s="513">
        <f t="shared" si="57"/>
        <v>0</v>
      </c>
      <c r="CD59" s="513">
        <f t="shared" si="57"/>
        <v>0</v>
      </c>
      <c r="CE59" s="513">
        <f t="shared" si="57"/>
        <v>0</v>
      </c>
      <c r="CF59" s="513">
        <f t="shared" si="57"/>
        <v>0</v>
      </c>
      <c r="CG59" s="513">
        <f t="shared" si="57"/>
        <v>0</v>
      </c>
      <c r="CH59" s="513">
        <f t="shared" si="57"/>
        <v>0</v>
      </c>
      <c r="CI59" s="513">
        <f t="shared" si="57"/>
        <v>0</v>
      </c>
      <c r="CJ59" s="513">
        <f t="shared" si="57"/>
        <v>0</v>
      </c>
      <c r="CK59" s="513">
        <f t="shared" si="57"/>
        <v>0</v>
      </c>
      <c r="CL59" s="513">
        <f t="shared" si="57"/>
        <v>0</v>
      </c>
      <c r="CM59" s="513">
        <f t="shared" si="57"/>
        <v>0</v>
      </c>
      <c r="CN59" s="513">
        <f t="shared" si="57"/>
        <v>0</v>
      </c>
      <c r="CO59" s="513">
        <f t="shared" si="57"/>
        <v>0</v>
      </c>
      <c r="CP59" s="513">
        <f t="shared" si="57"/>
        <v>0</v>
      </c>
      <c r="CQ59" s="513">
        <f t="shared" si="57"/>
        <v>0</v>
      </c>
      <c r="CR59" s="513">
        <f t="shared" si="57"/>
        <v>0</v>
      </c>
      <c r="CS59" s="513">
        <f t="shared" ref="CS59:DM59" si="58">SUM(CS54:CS58)-CS12</f>
        <v>0</v>
      </c>
      <c r="CT59" s="513">
        <f t="shared" si="58"/>
        <v>0</v>
      </c>
      <c r="CU59" s="513">
        <f t="shared" si="58"/>
        <v>0</v>
      </c>
      <c r="CV59" s="513">
        <f t="shared" si="58"/>
        <v>0</v>
      </c>
      <c r="CW59" s="513">
        <f t="shared" si="58"/>
        <v>0</v>
      </c>
      <c r="CX59" s="513">
        <f t="shared" si="58"/>
        <v>0</v>
      </c>
      <c r="CY59" s="513">
        <f t="shared" si="58"/>
        <v>0</v>
      </c>
      <c r="CZ59" s="513">
        <f t="shared" si="58"/>
        <v>0</v>
      </c>
      <c r="DA59" s="513">
        <f t="shared" si="58"/>
        <v>0</v>
      </c>
      <c r="DB59" s="513">
        <f t="shared" si="58"/>
        <v>0</v>
      </c>
      <c r="DC59" s="513">
        <f t="shared" si="58"/>
        <v>0</v>
      </c>
      <c r="DD59" s="513">
        <f t="shared" si="58"/>
        <v>0</v>
      </c>
      <c r="DE59" s="513">
        <f t="shared" si="58"/>
        <v>0</v>
      </c>
      <c r="DF59" s="513">
        <f t="shared" si="58"/>
        <v>0</v>
      </c>
      <c r="DG59" s="513">
        <f t="shared" si="58"/>
        <v>0</v>
      </c>
      <c r="DH59" s="513">
        <f t="shared" si="58"/>
        <v>0</v>
      </c>
      <c r="DI59" s="513">
        <f t="shared" si="58"/>
        <v>0</v>
      </c>
      <c r="DJ59" s="513">
        <f t="shared" si="58"/>
        <v>0</v>
      </c>
      <c r="DK59" s="513">
        <f t="shared" si="58"/>
        <v>0</v>
      </c>
      <c r="DL59" s="513">
        <f t="shared" si="58"/>
        <v>0</v>
      </c>
      <c r="DM59" s="513">
        <f t="shared" si="58"/>
        <v>0</v>
      </c>
      <c r="DN59" s="513">
        <f t="shared" ref="DN59:EQ59" si="59">SUM(DN54:DN58)-DN12</f>
        <v>0</v>
      </c>
      <c r="DO59" s="513">
        <f t="shared" si="59"/>
        <v>0</v>
      </c>
      <c r="DP59" s="513">
        <f t="shared" si="59"/>
        <v>0</v>
      </c>
      <c r="DQ59" s="513">
        <f t="shared" si="59"/>
        <v>0</v>
      </c>
      <c r="DR59" s="513">
        <f t="shared" si="59"/>
        <v>0</v>
      </c>
      <c r="DS59" s="513">
        <f t="shared" si="59"/>
        <v>0</v>
      </c>
      <c r="DT59" s="513">
        <f t="shared" si="59"/>
        <v>0</v>
      </c>
      <c r="DU59" s="513">
        <f t="shared" si="59"/>
        <v>0</v>
      </c>
      <c r="DV59" s="513">
        <f t="shared" si="59"/>
        <v>0</v>
      </c>
      <c r="DW59" s="513">
        <f t="shared" si="59"/>
        <v>0</v>
      </c>
      <c r="DX59" s="513">
        <f t="shared" si="59"/>
        <v>0</v>
      </c>
      <c r="DY59" s="513">
        <f t="shared" si="59"/>
        <v>0</v>
      </c>
      <c r="DZ59" s="513">
        <f t="shared" si="59"/>
        <v>0</v>
      </c>
      <c r="EA59" s="513">
        <f t="shared" si="59"/>
        <v>0</v>
      </c>
      <c r="EB59" s="513">
        <f t="shared" si="59"/>
        <v>0</v>
      </c>
      <c r="EC59" s="513">
        <f t="shared" si="59"/>
        <v>0</v>
      </c>
      <c r="ED59" s="513">
        <f t="shared" si="59"/>
        <v>0</v>
      </c>
      <c r="EE59" s="513">
        <f t="shared" si="59"/>
        <v>0</v>
      </c>
      <c r="EF59" s="513">
        <f t="shared" si="59"/>
        <v>0</v>
      </c>
      <c r="EG59" s="513">
        <f t="shared" si="59"/>
        <v>0</v>
      </c>
      <c r="EH59" s="513">
        <f t="shared" si="59"/>
        <v>0</v>
      </c>
      <c r="EI59" s="513">
        <f t="shared" si="59"/>
        <v>0</v>
      </c>
      <c r="EJ59" s="513">
        <f t="shared" si="59"/>
        <v>0</v>
      </c>
      <c r="EK59" s="513">
        <f t="shared" si="59"/>
        <v>0</v>
      </c>
      <c r="EL59" s="513">
        <f t="shared" si="59"/>
        <v>0</v>
      </c>
      <c r="EM59" s="513">
        <f t="shared" si="59"/>
        <v>0</v>
      </c>
      <c r="EN59" s="513">
        <f t="shared" si="59"/>
        <v>0</v>
      </c>
      <c r="EO59" s="513">
        <f t="shared" si="59"/>
        <v>0</v>
      </c>
      <c r="EP59" s="513">
        <f t="shared" si="59"/>
        <v>0</v>
      </c>
      <c r="EQ59" s="513">
        <f t="shared" si="59"/>
        <v>0</v>
      </c>
      <c r="ER59" s="513">
        <f t="shared" ref="ER59:FN59" si="60">SUM(ER54:ER58)-ER12</f>
        <v>0</v>
      </c>
      <c r="ES59" s="513">
        <f t="shared" si="60"/>
        <v>0</v>
      </c>
      <c r="ET59" s="513">
        <f t="shared" si="60"/>
        <v>0</v>
      </c>
      <c r="EU59" s="513">
        <f t="shared" si="60"/>
        <v>0</v>
      </c>
      <c r="EV59" s="513">
        <f t="shared" si="60"/>
        <v>0</v>
      </c>
      <c r="EW59" s="513">
        <f t="shared" si="60"/>
        <v>0</v>
      </c>
      <c r="EX59" s="513">
        <f t="shared" si="60"/>
        <v>0</v>
      </c>
      <c r="EY59" s="513">
        <f t="shared" si="60"/>
        <v>0</v>
      </c>
      <c r="EZ59" s="513">
        <f t="shared" si="60"/>
        <v>0</v>
      </c>
      <c r="FA59" s="513">
        <f t="shared" si="60"/>
        <v>0</v>
      </c>
      <c r="FB59" s="513">
        <f t="shared" si="60"/>
        <v>0</v>
      </c>
      <c r="FC59" s="513">
        <f t="shared" si="60"/>
        <v>0</v>
      </c>
      <c r="FD59" s="513">
        <f t="shared" si="60"/>
        <v>0</v>
      </c>
      <c r="FE59" s="513">
        <f t="shared" si="60"/>
        <v>0</v>
      </c>
      <c r="FF59" s="513">
        <f t="shared" si="60"/>
        <v>0</v>
      </c>
      <c r="FG59" s="513">
        <f t="shared" si="60"/>
        <v>0</v>
      </c>
      <c r="FH59" s="513">
        <f t="shared" si="60"/>
        <v>0</v>
      </c>
      <c r="FI59" s="513">
        <f t="shared" si="60"/>
        <v>0</v>
      </c>
      <c r="FJ59" s="513">
        <f t="shared" si="60"/>
        <v>0</v>
      </c>
      <c r="FK59" s="513">
        <f t="shared" si="60"/>
        <v>0</v>
      </c>
      <c r="FL59" s="513">
        <f t="shared" si="60"/>
        <v>0</v>
      </c>
      <c r="FM59" s="513">
        <f t="shared" si="60"/>
        <v>0</v>
      </c>
      <c r="FN59" s="513">
        <f t="shared" si="60"/>
        <v>0</v>
      </c>
    </row>
    <row r="60" spans="2:170" ht="15" customHeight="1">
      <c r="F60" s="1058"/>
      <c r="H60" s="6"/>
      <c r="I60" s="10"/>
      <c r="K60" s="5"/>
      <c r="L60" s="9"/>
      <c r="M60"/>
      <c r="BM60" s="5"/>
      <c r="BN60"/>
    </row>
    <row r="61" spans="2:170" ht="15" customHeight="1">
      <c r="F61" s="1058"/>
      <c r="H61" s="6"/>
      <c r="I61" s="10"/>
      <c r="K61" s="5"/>
      <c r="L61" s="9"/>
      <c r="M61"/>
      <c r="BM61" s="5"/>
      <c r="BN61"/>
    </row>
    <row r="62" spans="2:170" ht="15" customHeight="1"/>
    <row r="63" spans="2:170" ht="15" customHeight="1"/>
    <row r="64" spans="2:170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dataConsolidate/>
  <mergeCells count="18">
    <mergeCell ref="AZ10:BL10"/>
    <mergeCell ref="I10:I11"/>
    <mergeCell ref="K10:K11"/>
    <mergeCell ref="J10:J11"/>
    <mergeCell ref="E10:E11"/>
    <mergeCell ref="B12:D12"/>
    <mergeCell ref="H10:H11"/>
    <mergeCell ref="B10:B11"/>
    <mergeCell ref="D10:D11"/>
    <mergeCell ref="F10:F11"/>
    <mergeCell ref="C10:C11"/>
    <mergeCell ref="G10:G11"/>
    <mergeCell ref="B2:C2"/>
    <mergeCell ref="B3:C3"/>
    <mergeCell ref="B4:C4"/>
    <mergeCell ref="B6:C6"/>
    <mergeCell ref="B7:C7"/>
    <mergeCell ref="B5:C5"/>
  </mergeCells>
  <phoneticPr fontId="1" type="noConversion"/>
  <conditionalFormatting sqref="B13 B28:B52">
    <cfRule type="expression" dxfId="6" priority="6">
      <formula>$B13=0</formula>
    </cfRule>
  </conditionalFormatting>
  <conditionalFormatting sqref="B14:B27">
    <cfRule type="expression" dxfId="5" priority="2">
      <formula>$B14=0</formula>
    </cfRule>
  </conditionalFormatting>
  <conditionalFormatting sqref="G13:G52">
    <cfRule type="expression" dxfId="4" priority="1">
      <formula>$G13="-"</formula>
    </cfRule>
  </conditionalFormatting>
  <printOptions horizontalCentered="1"/>
  <pageMargins left="0.23622047244094491" right="0.23622047244094491" top="0.47244094488188981" bottom="0.47244094488188981" header="0.31496062992125984" footer="0.31496062992125984"/>
  <pageSetup paperSize="9" scale="5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Master!$N$2:$N$21</xm:f>
          </x14:formula1>
          <xm:sqref>D13:D52</xm:sqref>
        </x14:dataValidation>
        <x14:dataValidation type="list" allowBlank="1" showInputMessage="1" showErrorMessage="1">
          <x14:formula1>
            <xm:f>Master!$B$2:$B$6</xm:f>
          </x14:formula1>
          <xm:sqref>F13:F52</xm:sqref>
        </x14:dataValidation>
        <x14:dataValidation type="list" allowBlank="1" showInputMessage="1" showErrorMessage="1">
          <x14:formula1>
            <xm:f>Master!$A$2:$A$12</xm:f>
          </x14:formula1>
          <xm:sqref>C13:C52</xm:sqref>
        </x14:dataValidation>
        <x14:dataValidation type="list" allowBlank="1" showInputMessage="1" showErrorMessage="1">
          <x14:formula1>
            <xm:f>Master!$O$2:$O$4</xm:f>
          </x14:formula1>
          <xm:sqref>E13:E52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1:DM76"/>
  <sheetViews>
    <sheetView showGridLines="0" zoomScaleNormal="100" workbookViewId="0">
      <selection activeCell="G60" sqref="G60"/>
    </sheetView>
  </sheetViews>
  <sheetFormatPr defaultColWidth="8.5625" defaultRowHeight="16.899999999999999"/>
  <cols>
    <col min="1" max="1" width="0.5625" style="5" customWidth="1"/>
    <col min="2" max="2" width="4.3125" style="5" customWidth="1"/>
    <col min="3" max="3" width="18" style="6" customWidth="1"/>
    <col min="4" max="5" width="11.5625" style="464" customWidth="1"/>
    <col min="6" max="6" width="12.8125" style="6" customWidth="1"/>
    <col min="7" max="7" width="11.5625" style="6" customWidth="1"/>
    <col min="8" max="8" width="5.0625" style="10" customWidth="1"/>
    <col min="9" max="10" width="11.0625" style="5" customWidth="1"/>
    <col min="11" max="11" width="26" style="9" customWidth="1"/>
    <col min="12" max="12" width="0.5625" customWidth="1"/>
    <col min="13" max="23" width="4.5" style="5" customWidth="1"/>
    <col min="24" max="24" width="4.3125" style="5" customWidth="1"/>
    <col min="25" max="36" width="4.5" style="5" customWidth="1"/>
    <col min="37" max="37" width="4.3125" style="5" customWidth="1"/>
    <col min="38" max="39" width="4.5" style="5" customWidth="1"/>
    <col min="40" max="65" width="8.5625" style="5" customWidth="1"/>
    <col min="66" max="66" width="3.0625" style="5" customWidth="1"/>
    <col min="67" max="118" width="8.5625" style="5" customWidth="1"/>
    <col min="119" max="16384" width="8.5625" style="5"/>
  </cols>
  <sheetData>
    <row r="1" spans="2:117" ht="19.5" thickBot="1">
      <c r="B1" s="7" t="s">
        <v>490</v>
      </c>
    </row>
    <row r="2" spans="2:117" ht="17.25" thickBot="1">
      <c r="B2" s="5" t="s">
        <v>493</v>
      </c>
      <c r="C2" s="465">
        <f>+E2+G2</f>
        <v>0</v>
      </c>
      <c r="D2" s="6" t="s">
        <v>491</v>
      </c>
      <c r="E2" s="465">
        <f>+G8+E26</f>
        <v>0</v>
      </c>
      <c r="G2" s="5"/>
    </row>
    <row r="3" spans="2:117" ht="22.45" customHeight="1">
      <c r="B3" s="7" t="s">
        <v>479</v>
      </c>
      <c r="F3" s="5"/>
      <c r="G3" s="5"/>
      <c r="H3" s="5"/>
      <c r="K3" s="10"/>
    </row>
    <row r="4" spans="2:117" ht="15.75" customHeight="1">
      <c r="B4" s="1478" t="s">
        <v>118</v>
      </c>
      <c r="C4" s="1479"/>
      <c r="D4" s="296" t="s">
        <v>117</v>
      </c>
      <c r="E4" s="306" t="s">
        <v>116</v>
      </c>
      <c r="F4" s="301" t="s">
        <v>150</v>
      </c>
      <c r="G4" s="301" t="s">
        <v>481</v>
      </c>
      <c r="H4" s="5"/>
      <c r="K4" s="10"/>
    </row>
    <row r="5" spans="2:117" ht="15.75" customHeight="1">
      <c r="B5" s="1480" t="s">
        <v>269</v>
      </c>
      <c r="C5" s="1481"/>
      <c r="D5" s="297">
        <f>D8-D6-D7</f>
        <v>0</v>
      </c>
      <c r="E5" s="307">
        <f>E8-E6-E7</f>
        <v>0</v>
      </c>
      <c r="F5" s="302">
        <f>F8-F6-F7</f>
        <v>0</v>
      </c>
      <c r="G5" s="302">
        <f>+F5+E5</f>
        <v>0</v>
      </c>
      <c r="H5" s="5"/>
      <c r="K5" s="10"/>
    </row>
    <row r="6" spans="2:117" ht="15" customHeight="1">
      <c r="B6" s="1482"/>
      <c r="C6" s="1483"/>
      <c r="D6" s="298">
        <f>SUMIF($D$14:$D$20,$B$6,$H$14:$H$20)</f>
        <v>0</v>
      </c>
      <c r="E6" s="308">
        <f>SUMIF($D$14:$D$20,$B$6,$I$14:$I$20)</f>
        <v>0</v>
      </c>
      <c r="F6" s="303">
        <f>SUMIF($D$14:$D$20,$B$6,$J$14:$J$20)</f>
        <v>0</v>
      </c>
      <c r="G6" s="303">
        <f>+F6+E6</f>
        <v>0</v>
      </c>
      <c r="H6" s="5"/>
      <c r="K6" s="10"/>
    </row>
    <row r="7" spans="2:117" ht="15.75" customHeight="1">
      <c r="B7" s="1484"/>
      <c r="C7" s="1485"/>
      <c r="D7" s="299">
        <f>SUMIF($D$14:$D$20,$B$7,$H$14:$H$20)</f>
        <v>0</v>
      </c>
      <c r="E7" s="309">
        <f>SUMIF($D$14:$D$20,$B$7,$I$14:$I$20)</f>
        <v>0</v>
      </c>
      <c r="F7" s="304">
        <f>SUMIF($D$14:$D$20,$B$7,$J$14:$J$20)</f>
        <v>0</v>
      </c>
      <c r="G7" s="304">
        <f>+F7+E7</f>
        <v>0</v>
      </c>
      <c r="H7" s="5"/>
      <c r="K7" s="10"/>
    </row>
    <row r="8" spans="2:117" ht="15.75" customHeight="1">
      <c r="B8" s="1486" t="s">
        <v>296</v>
      </c>
      <c r="C8" s="1487"/>
      <c r="D8" s="300">
        <f>SUBTOTAL(9,H14:H20)</f>
        <v>0</v>
      </c>
      <c r="E8" s="310">
        <f>SUBTOTAL(9,$I14:$I20)</f>
        <v>0</v>
      </c>
      <c r="F8" s="305">
        <f>SUBTOTAL(9,$J14:$J20)</f>
        <v>0</v>
      </c>
      <c r="G8" s="305">
        <f>+F8+E8</f>
        <v>0</v>
      </c>
      <c r="H8" s="5"/>
      <c r="K8" s="10"/>
      <c r="AN8" s="633" t="s">
        <v>554</v>
      </c>
      <c r="BO8" s="633" t="s">
        <v>555</v>
      </c>
    </row>
    <row r="9" spans="2:117" ht="4.45" customHeight="1">
      <c r="B9" s="69"/>
      <c r="C9" s="70"/>
      <c r="D9" s="71"/>
      <c r="E9" s="71"/>
      <c r="F9" s="5"/>
      <c r="G9" s="5"/>
      <c r="H9" s="5"/>
      <c r="K9" s="10"/>
    </row>
    <row r="10" spans="2:117" ht="15" customHeight="1">
      <c r="B10" s="8"/>
      <c r="C10" s="72" t="s">
        <v>119</v>
      </c>
      <c r="F10" s="5"/>
      <c r="G10" s="5"/>
      <c r="H10" s="5"/>
      <c r="J10" s="164" t="s">
        <v>199</v>
      </c>
      <c r="K10" s="10"/>
      <c r="M10" s="73" t="s">
        <v>478</v>
      </c>
      <c r="AN10" s="68">
        <v>202601</v>
      </c>
      <c r="AO10" s="68">
        <v>202602</v>
      </c>
      <c r="AP10" s="68">
        <v>202603</v>
      </c>
      <c r="AQ10" s="68">
        <v>202604</v>
      </c>
      <c r="AR10" s="68">
        <v>202605</v>
      </c>
      <c r="AS10" s="68">
        <v>202606</v>
      </c>
      <c r="AT10" s="68">
        <v>202607</v>
      </c>
      <c r="AU10" s="68">
        <v>202608</v>
      </c>
      <c r="AV10" s="68">
        <v>202609</v>
      </c>
      <c r="AW10" s="68">
        <v>202610</v>
      </c>
      <c r="AX10" s="68">
        <v>202611</v>
      </c>
      <c r="AY10" s="68">
        <v>202612</v>
      </c>
      <c r="BA10" s="68">
        <v>202701</v>
      </c>
      <c r="BB10" s="68">
        <v>202702</v>
      </c>
      <c r="BC10" s="68">
        <v>202703</v>
      </c>
      <c r="BD10" s="68">
        <v>202704</v>
      </c>
      <c r="BE10" s="68">
        <v>202705</v>
      </c>
      <c r="BF10" s="68">
        <v>202706</v>
      </c>
      <c r="BG10" s="68">
        <v>202707</v>
      </c>
      <c r="BH10" s="68">
        <v>202708</v>
      </c>
      <c r="BI10" s="68">
        <v>202709</v>
      </c>
      <c r="BJ10" s="68">
        <v>202710</v>
      </c>
      <c r="BK10" s="68">
        <v>202711</v>
      </c>
      <c r="BL10" s="68">
        <v>202712</v>
      </c>
      <c r="BN10" s="68">
        <v>202501</v>
      </c>
      <c r="BO10" s="68">
        <v>202601</v>
      </c>
      <c r="BP10" s="68">
        <v>202602</v>
      </c>
      <c r="BQ10" s="68">
        <v>202603</v>
      </c>
      <c r="BR10" s="68">
        <v>202604</v>
      </c>
      <c r="BS10" s="68">
        <v>202605</v>
      </c>
      <c r="BT10" s="68">
        <v>202606</v>
      </c>
      <c r="BU10" s="68">
        <v>202607</v>
      </c>
      <c r="BV10" s="68">
        <v>202608</v>
      </c>
      <c r="BW10" s="68">
        <v>202609</v>
      </c>
      <c r="BX10" s="68">
        <v>202610</v>
      </c>
      <c r="BY10" s="68">
        <v>202611</v>
      </c>
      <c r="BZ10" s="68">
        <v>202612</v>
      </c>
      <c r="CB10" s="68">
        <v>202701</v>
      </c>
      <c r="CC10" s="68">
        <v>202702</v>
      </c>
      <c r="CD10" s="68">
        <v>202703</v>
      </c>
      <c r="CE10" s="68">
        <v>202704</v>
      </c>
      <c r="CF10" s="68">
        <v>202705</v>
      </c>
      <c r="CG10" s="68">
        <v>202706</v>
      </c>
      <c r="CH10" s="68">
        <v>202707</v>
      </c>
      <c r="CI10" s="68">
        <v>202708</v>
      </c>
      <c r="CJ10" s="68">
        <v>202709</v>
      </c>
      <c r="CK10" s="68">
        <v>202710</v>
      </c>
      <c r="CL10" s="68">
        <v>202711</v>
      </c>
      <c r="CM10" s="68">
        <v>202712</v>
      </c>
      <c r="CO10" s="68">
        <v>202501</v>
      </c>
      <c r="CP10" s="68">
        <v>202502</v>
      </c>
      <c r="CQ10" s="68">
        <v>202503</v>
      </c>
      <c r="CR10" s="68">
        <v>202504</v>
      </c>
      <c r="CS10" s="68">
        <v>202505</v>
      </c>
      <c r="CT10" s="68">
        <v>202506</v>
      </c>
      <c r="CU10" s="68">
        <v>202507</v>
      </c>
      <c r="CV10" s="68">
        <v>202508</v>
      </c>
      <c r="CW10" s="68">
        <v>202509</v>
      </c>
      <c r="CX10" s="68">
        <v>202510</v>
      </c>
      <c r="CY10" s="68">
        <v>202511</v>
      </c>
      <c r="CZ10" s="68">
        <v>202512</v>
      </c>
      <c r="DB10" s="68">
        <v>202601</v>
      </c>
      <c r="DC10" s="68">
        <v>202602</v>
      </c>
      <c r="DD10" s="68">
        <v>202603</v>
      </c>
      <c r="DE10" s="68">
        <v>202604</v>
      </c>
      <c r="DF10" s="68">
        <v>202605</v>
      </c>
      <c r="DG10" s="68">
        <v>202606</v>
      </c>
      <c r="DH10" s="68">
        <v>202607</v>
      </c>
      <c r="DI10" s="68">
        <v>202608</v>
      </c>
      <c r="DJ10" s="68">
        <v>202609</v>
      </c>
      <c r="DK10" s="68">
        <v>202610</v>
      </c>
      <c r="DL10" s="68">
        <v>202611</v>
      </c>
      <c r="DM10" s="68">
        <v>202612</v>
      </c>
    </row>
    <row r="11" spans="2:117" s="76" customFormat="1" ht="15.7" customHeight="1">
      <c r="B11" s="1493" t="s">
        <v>101</v>
      </c>
      <c r="C11" s="1493" t="s">
        <v>100</v>
      </c>
      <c r="D11" s="1493" t="s">
        <v>85</v>
      </c>
      <c r="E11" s="1507" t="s">
        <v>463</v>
      </c>
      <c r="F11" s="1495" t="s">
        <v>464</v>
      </c>
      <c r="G11" s="1497" t="s">
        <v>83</v>
      </c>
      <c r="H11" s="1491" t="s">
        <v>107</v>
      </c>
      <c r="I11" s="1502" t="s">
        <v>116</v>
      </c>
      <c r="J11" s="1504" t="s">
        <v>475</v>
      </c>
      <c r="K11" s="1493" t="s">
        <v>99</v>
      </c>
      <c r="M11" s="1499">
        <v>2026</v>
      </c>
      <c r="N11" s="1500"/>
      <c r="O11" s="1500"/>
      <c r="P11" s="1500"/>
      <c r="Q11" s="1500"/>
      <c r="R11" s="1500"/>
      <c r="S11" s="1500"/>
      <c r="T11" s="1500"/>
      <c r="U11" s="1500"/>
      <c r="V11" s="1500"/>
      <c r="W11" s="1500"/>
      <c r="X11" s="1500"/>
      <c r="Y11" s="1501"/>
      <c r="Z11" s="1499">
        <v>2027</v>
      </c>
      <c r="AA11" s="1500"/>
      <c r="AB11" s="1500"/>
      <c r="AC11" s="1500"/>
      <c r="AD11" s="1500"/>
      <c r="AE11" s="1500"/>
      <c r="AF11" s="1500"/>
      <c r="AG11" s="1500"/>
      <c r="AH11" s="1500"/>
      <c r="AI11" s="1500"/>
      <c r="AJ11" s="1500"/>
      <c r="AK11" s="1500"/>
      <c r="AL11" s="1501"/>
      <c r="AN11" s="635"/>
      <c r="AO11" s="636"/>
      <c r="AP11" s="636"/>
      <c r="AQ11" s="636"/>
      <c r="AR11" s="636"/>
      <c r="AS11" s="636"/>
      <c r="AT11" s="636">
        <v>2026</v>
      </c>
      <c r="AU11" s="636"/>
      <c r="AV11" s="636"/>
      <c r="AW11" s="636"/>
      <c r="AX11" s="636"/>
      <c r="AY11" s="637"/>
      <c r="AZ11" s="637"/>
      <c r="BA11" s="635"/>
      <c r="BB11" s="636"/>
      <c r="BC11" s="636"/>
      <c r="BD11" s="636"/>
      <c r="BE11" s="636"/>
      <c r="BF11" s="636"/>
      <c r="BG11" s="636">
        <v>2027</v>
      </c>
      <c r="BH11" s="636"/>
      <c r="BI11" s="636"/>
      <c r="BJ11" s="636"/>
      <c r="BK11" s="636"/>
      <c r="BL11" s="636"/>
      <c r="BM11" s="637"/>
      <c r="BN11" s="5"/>
      <c r="BO11" s="141"/>
      <c r="BP11" s="142"/>
      <c r="BQ11" s="142"/>
      <c r="BR11" s="142"/>
      <c r="BS11" s="142"/>
      <c r="BT11" s="142"/>
      <c r="BU11" s="142">
        <v>2026</v>
      </c>
      <c r="BV11" s="142"/>
      <c r="BW11" s="142"/>
      <c r="BX11" s="142"/>
      <c r="BY11" s="142"/>
      <c r="BZ11" s="142"/>
      <c r="CA11" s="143"/>
      <c r="CB11" s="141"/>
      <c r="CC11" s="142"/>
      <c r="CD11" s="142"/>
      <c r="CE11" s="142"/>
      <c r="CF11" s="142"/>
      <c r="CG11" s="142"/>
      <c r="CH11" s="142">
        <v>2027</v>
      </c>
      <c r="CI11" s="142"/>
      <c r="CJ11" s="142"/>
      <c r="CK11" s="142"/>
      <c r="CL11" s="142"/>
      <c r="CM11" s="142"/>
      <c r="CN11" s="143"/>
    </row>
    <row r="12" spans="2:117" s="6" customFormat="1" ht="15.7" customHeight="1">
      <c r="B12" s="1494"/>
      <c r="C12" s="1494"/>
      <c r="D12" s="1494"/>
      <c r="E12" s="1508"/>
      <c r="F12" s="1496"/>
      <c r="G12" s="1498"/>
      <c r="H12" s="1492"/>
      <c r="I12" s="1503"/>
      <c r="J12" s="1503"/>
      <c r="K12" s="1494"/>
      <c r="L12" s="76"/>
      <c r="M12" s="85" t="s">
        <v>87</v>
      </c>
      <c r="N12" s="86" t="s">
        <v>88</v>
      </c>
      <c r="O12" s="86" t="s">
        <v>89</v>
      </c>
      <c r="P12" s="86" t="s">
        <v>90</v>
      </c>
      <c r="Q12" s="86" t="s">
        <v>91</v>
      </c>
      <c r="R12" s="86" t="s">
        <v>92</v>
      </c>
      <c r="S12" s="86" t="s">
        <v>93</v>
      </c>
      <c r="T12" s="86" t="s">
        <v>94</v>
      </c>
      <c r="U12" s="86" t="s">
        <v>95</v>
      </c>
      <c r="V12" s="86" t="s">
        <v>96</v>
      </c>
      <c r="W12" s="86" t="s">
        <v>97</v>
      </c>
      <c r="X12" s="86" t="s">
        <v>98</v>
      </c>
      <c r="Y12" s="87" t="s">
        <v>108</v>
      </c>
      <c r="Z12" s="85" t="s">
        <v>87</v>
      </c>
      <c r="AA12" s="86" t="s">
        <v>88</v>
      </c>
      <c r="AB12" s="86" t="s">
        <v>89</v>
      </c>
      <c r="AC12" s="86" t="s">
        <v>90</v>
      </c>
      <c r="AD12" s="86" t="s">
        <v>91</v>
      </c>
      <c r="AE12" s="86" t="s">
        <v>92</v>
      </c>
      <c r="AF12" s="86" t="s">
        <v>93</v>
      </c>
      <c r="AG12" s="86" t="s">
        <v>94</v>
      </c>
      <c r="AH12" s="86" t="s">
        <v>95</v>
      </c>
      <c r="AI12" s="86" t="s">
        <v>96</v>
      </c>
      <c r="AJ12" s="86" t="s">
        <v>97</v>
      </c>
      <c r="AK12" s="86" t="s">
        <v>98</v>
      </c>
      <c r="AL12" s="87" t="s">
        <v>108</v>
      </c>
      <c r="AM12" s="76"/>
      <c r="AN12" s="638" t="s">
        <v>87</v>
      </c>
      <c r="AO12" s="639" t="s">
        <v>88</v>
      </c>
      <c r="AP12" s="639" t="s">
        <v>89</v>
      </c>
      <c r="AQ12" s="639" t="s">
        <v>90</v>
      </c>
      <c r="AR12" s="639" t="s">
        <v>91</v>
      </c>
      <c r="AS12" s="639" t="s">
        <v>92</v>
      </c>
      <c r="AT12" s="639" t="s">
        <v>93</v>
      </c>
      <c r="AU12" s="639" t="s">
        <v>94</v>
      </c>
      <c r="AV12" s="639" t="s">
        <v>95</v>
      </c>
      <c r="AW12" s="639" t="s">
        <v>96</v>
      </c>
      <c r="AX12" s="639" t="s">
        <v>97</v>
      </c>
      <c r="AY12" s="640" t="s">
        <v>98</v>
      </c>
      <c r="AZ12" s="749" t="s">
        <v>108</v>
      </c>
      <c r="BA12" s="638" t="s">
        <v>87</v>
      </c>
      <c r="BB12" s="639" t="s">
        <v>88</v>
      </c>
      <c r="BC12" s="639" t="s">
        <v>89</v>
      </c>
      <c r="BD12" s="639" t="s">
        <v>90</v>
      </c>
      <c r="BE12" s="639" t="s">
        <v>91</v>
      </c>
      <c r="BF12" s="639" t="s">
        <v>92</v>
      </c>
      <c r="BG12" s="639" t="s">
        <v>93</v>
      </c>
      <c r="BH12" s="639" t="s">
        <v>94</v>
      </c>
      <c r="BI12" s="639" t="s">
        <v>95</v>
      </c>
      <c r="BJ12" s="639" t="s">
        <v>96</v>
      </c>
      <c r="BK12" s="639" t="s">
        <v>97</v>
      </c>
      <c r="BL12" s="639" t="s">
        <v>98</v>
      </c>
      <c r="BM12" s="640" t="s">
        <v>108</v>
      </c>
      <c r="BN12" s="464"/>
      <c r="BO12" s="144" t="s">
        <v>87</v>
      </c>
      <c r="BP12" s="145" t="s">
        <v>88</v>
      </c>
      <c r="BQ12" s="145" t="s">
        <v>89</v>
      </c>
      <c r="BR12" s="145" t="s">
        <v>90</v>
      </c>
      <c r="BS12" s="145" t="s">
        <v>91</v>
      </c>
      <c r="BT12" s="145" t="s">
        <v>92</v>
      </c>
      <c r="BU12" s="145" t="s">
        <v>93</v>
      </c>
      <c r="BV12" s="145" t="s">
        <v>94</v>
      </c>
      <c r="BW12" s="145" t="s">
        <v>95</v>
      </c>
      <c r="BX12" s="145" t="s">
        <v>96</v>
      </c>
      <c r="BY12" s="145" t="s">
        <v>97</v>
      </c>
      <c r="BZ12" s="145" t="s">
        <v>98</v>
      </c>
      <c r="CA12" s="146" t="s">
        <v>108</v>
      </c>
      <c r="CB12" s="144" t="s">
        <v>87</v>
      </c>
      <c r="CC12" s="145" t="s">
        <v>88</v>
      </c>
      <c r="CD12" s="145" t="s">
        <v>89</v>
      </c>
      <c r="CE12" s="145" t="s">
        <v>90</v>
      </c>
      <c r="CF12" s="145" t="s">
        <v>91</v>
      </c>
      <c r="CG12" s="145" t="s">
        <v>92</v>
      </c>
      <c r="CH12" s="145" t="s">
        <v>93</v>
      </c>
      <c r="CI12" s="145" t="s">
        <v>94</v>
      </c>
      <c r="CJ12" s="145" t="s">
        <v>95</v>
      </c>
      <c r="CK12" s="145" t="s">
        <v>96</v>
      </c>
      <c r="CL12" s="145" t="s">
        <v>97</v>
      </c>
      <c r="CM12" s="145" t="s">
        <v>98</v>
      </c>
      <c r="CN12" s="146" t="s">
        <v>108</v>
      </c>
    </row>
    <row r="13" spans="2:117" s="454" customFormat="1" ht="15.7" customHeight="1">
      <c r="B13" s="1488" t="s">
        <v>296</v>
      </c>
      <c r="C13" s="1489"/>
      <c r="D13" s="1490"/>
      <c r="E13" s="444"/>
      <c r="F13" s="445"/>
      <c r="G13" s="446"/>
      <c r="H13" s="447">
        <f>SUM(H14:H20)</f>
        <v>0</v>
      </c>
      <c r="I13" s="448">
        <f>SUM(I14:I20)</f>
        <v>0</v>
      </c>
      <c r="J13" s="448">
        <f>SUM(J14:J20)</f>
        <v>0</v>
      </c>
      <c r="K13" s="443"/>
      <c r="L13" s="73"/>
      <c r="M13" s="450">
        <f t="shared" ref="M13:X13" si="0">SUM(M14:M20)</f>
        <v>0</v>
      </c>
      <c r="N13" s="451">
        <f t="shared" si="0"/>
        <v>0</v>
      </c>
      <c r="O13" s="451">
        <f t="shared" si="0"/>
        <v>0</v>
      </c>
      <c r="P13" s="451">
        <f t="shared" si="0"/>
        <v>0</v>
      </c>
      <c r="Q13" s="451">
        <f t="shared" si="0"/>
        <v>0</v>
      </c>
      <c r="R13" s="451">
        <f t="shared" si="0"/>
        <v>0</v>
      </c>
      <c r="S13" s="451">
        <f t="shared" si="0"/>
        <v>0</v>
      </c>
      <c r="T13" s="451">
        <f t="shared" si="0"/>
        <v>0</v>
      </c>
      <c r="U13" s="451">
        <f t="shared" si="0"/>
        <v>0</v>
      </c>
      <c r="V13" s="451">
        <f t="shared" si="0"/>
        <v>0</v>
      </c>
      <c r="W13" s="451">
        <f t="shared" si="0"/>
        <v>0</v>
      </c>
      <c r="X13" s="451">
        <f t="shared" si="0"/>
        <v>0</v>
      </c>
      <c r="Y13" s="452">
        <f t="shared" ref="Y13:AL13" si="1">SUM(Y14:Y20)</f>
        <v>0</v>
      </c>
      <c r="Z13" s="450">
        <f t="shared" si="1"/>
        <v>0</v>
      </c>
      <c r="AA13" s="451">
        <f t="shared" si="1"/>
        <v>0</v>
      </c>
      <c r="AB13" s="451">
        <f t="shared" si="1"/>
        <v>0</v>
      </c>
      <c r="AC13" s="451">
        <f t="shared" si="1"/>
        <v>0</v>
      </c>
      <c r="AD13" s="451">
        <f t="shared" si="1"/>
        <v>0</v>
      </c>
      <c r="AE13" s="451">
        <f t="shared" si="1"/>
        <v>0</v>
      </c>
      <c r="AF13" s="451">
        <f t="shared" si="1"/>
        <v>0</v>
      </c>
      <c r="AG13" s="451">
        <f t="shared" si="1"/>
        <v>0</v>
      </c>
      <c r="AH13" s="451">
        <f t="shared" si="1"/>
        <v>0</v>
      </c>
      <c r="AI13" s="451">
        <f t="shared" si="1"/>
        <v>0</v>
      </c>
      <c r="AJ13" s="451">
        <f t="shared" si="1"/>
        <v>0</v>
      </c>
      <c r="AK13" s="451">
        <f t="shared" si="1"/>
        <v>0</v>
      </c>
      <c r="AL13" s="452">
        <f t="shared" si="1"/>
        <v>0</v>
      </c>
      <c r="AM13" s="73"/>
      <c r="AN13" s="453">
        <f t="shared" ref="AN13:AY13" si="2">SUM(AN14:AN20)</f>
        <v>0</v>
      </c>
      <c r="AO13" s="448">
        <f t="shared" si="2"/>
        <v>0</v>
      </c>
      <c r="AP13" s="448">
        <f t="shared" si="2"/>
        <v>0</v>
      </c>
      <c r="AQ13" s="448">
        <f t="shared" si="2"/>
        <v>0</v>
      </c>
      <c r="AR13" s="448">
        <f t="shared" si="2"/>
        <v>0</v>
      </c>
      <c r="AS13" s="448">
        <f t="shared" si="2"/>
        <v>0</v>
      </c>
      <c r="AT13" s="448">
        <f t="shared" si="2"/>
        <v>0</v>
      </c>
      <c r="AU13" s="448">
        <f t="shared" si="2"/>
        <v>0</v>
      </c>
      <c r="AV13" s="448">
        <f t="shared" si="2"/>
        <v>0</v>
      </c>
      <c r="AW13" s="448">
        <f t="shared" si="2"/>
        <v>0</v>
      </c>
      <c r="AX13" s="448">
        <f t="shared" si="2"/>
        <v>0</v>
      </c>
      <c r="AY13" s="449">
        <f t="shared" si="2"/>
        <v>0</v>
      </c>
      <c r="AZ13" s="750">
        <f t="shared" ref="AZ13:BM13" si="3">SUM(AZ14:AZ20)</f>
        <v>0</v>
      </c>
      <c r="BA13" s="453">
        <f t="shared" si="3"/>
        <v>0</v>
      </c>
      <c r="BB13" s="448">
        <f t="shared" si="3"/>
        <v>0</v>
      </c>
      <c r="BC13" s="448">
        <f t="shared" si="3"/>
        <v>0</v>
      </c>
      <c r="BD13" s="448">
        <f t="shared" si="3"/>
        <v>0</v>
      </c>
      <c r="BE13" s="448">
        <f t="shared" si="3"/>
        <v>0</v>
      </c>
      <c r="BF13" s="448">
        <f t="shared" si="3"/>
        <v>0</v>
      </c>
      <c r="BG13" s="448">
        <f t="shared" si="3"/>
        <v>0</v>
      </c>
      <c r="BH13" s="448">
        <f t="shared" si="3"/>
        <v>0</v>
      </c>
      <c r="BI13" s="448">
        <f t="shared" si="3"/>
        <v>0</v>
      </c>
      <c r="BJ13" s="448">
        <f t="shared" si="3"/>
        <v>0</v>
      </c>
      <c r="BK13" s="448">
        <f t="shared" si="3"/>
        <v>0</v>
      </c>
      <c r="BL13" s="448">
        <f t="shared" si="3"/>
        <v>0</v>
      </c>
      <c r="BM13" s="449">
        <f t="shared" si="3"/>
        <v>0</v>
      </c>
      <c r="BO13" s="453">
        <f t="shared" ref="BO13:BZ13" si="4">SUM(BO14:BO20)</f>
        <v>0</v>
      </c>
      <c r="BP13" s="448">
        <f t="shared" si="4"/>
        <v>0</v>
      </c>
      <c r="BQ13" s="448">
        <f t="shared" si="4"/>
        <v>0</v>
      </c>
      <c r="BR13" s="448">
        <f t="shared" si="4"/>
        <v>0</v>
      </c>
      <c r="BS13" s="448">
        <f t="shared" si="4"/>
        <v>0</v>
      </c>
      <c r="BT13" s="448">
        <f t="shared" si="4"/>
        <v>0</v>
      </c>
      <c r="BU13" s="448">
        <f t="shared" si="4"/>
        <v>0</v>
      </c>
      <c r="BV13" s="448">
        <f t="shared" si="4"/>
        <v>0</v>
      </c>
      <c r="BW13" s="448">
        <f t="shared" si="4"/>
        <v>0</v>
      </c>
      <c r="BX13" s="448">
        <f t="shared" si="4"/>
        <v>0</v>
      </c>
      <c r="BY13" s="448">
        <f t="shared" si="4"/>
        <v>0</v>
      </c>
      <c r="BZ13" s="448">
        <f t="shared" si="4"/>
        <v>0</v>
      </c>
      <c r="CA13" s="449">
        <f t="shared" ref="CA13:CN13" si="5">SUM(CA14:CA20)</f>
        <v>0</v>
      </c>
      <c r="CB13" s="453">
        <f t="shared" si="5"/>
        <v>0</v>
      </c>
      <c r="CC13" s="448">
        <f t="shared" si="5"/>
        <v>0</v>
      </c>
      <c r="CD13" s="448">
        <f t="shared" si="5"/>
        <v>0</v>
      </c>
      <c r="CE13" s="448">
        <f t="shared" si="5"/>
        <v>0</v>
      </c>
      <c r="CF13" s="448">
        <f t="shared" si="5"/>
        <v>0</v>
      </c>
      <c r="CG13" s="448">
        <f t="shared" si="5"/>
        <v>0</v>
      </c>
      <c r="CH13" s="448">
        <f t="shared" si="5"/>
        <v>0</v>
      </c>
      <c r="CI13" s="448">
        <f t="shared" si="5"/>
        <v>0</v>
      </c>
      <c r="CJ13" s="448">
        <f t="shared" si="5"/>
        <v>0</v>
      </c>
      <c r="CK13" s="448">
        <f t="shared" si="5"/>
        <v>0</v>
      </c>
      <c r="CL13" s="448">
        <f t="shared" si="5"/>
        <v>0</v>
      </c>
      <c r="CM13" s="448">
        <f t="shared" si="5"/>
        <v>0</v>
      </c>
      <c r="CN13" s="449">
        <f t="shared" si="5"/>
        <v>0</v>
      </c>
    </row>
    <row r="14" spans="2:117" s="12" customFormat="1" ht="15" customHeight="1">
      <c r="B14" s="88">
        <v>1</v>
      </c>
      <c r="C14" s="89"/>
      <c r="D14" s="89"/>
      <c r="E14" s="427"/>
      <c r="F14" s="424"/>
      <c r="G14" s="90" t="str">
        <f>IFERROR(VLOOKUP($F14,Master!$B$1:$C$7,2,0),"-")</f>
        <v>-</v>
      </c>
      <c r="H14" s="91">
        <f>Y14+AL14</f>
        <v>0</v>
      </c>
      <c r="I14" s="138">
        <f>SUM(AZ14,BM14)</f>
        <v>0</v>
      </c>
      <c r="J14" s="138">
        <f>SUM(CA14,CN14)</f>
        <v>0</v>
      </c>
      <c r="K14" s="92"/>
      <c r="L14"/>
      <c r="M14" s="55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7">
        <f>SUM(M14:X14)</f>
        <v>0</v>
      </c>
      <c r="Z14" s="55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7">
        <f>SUM(Z14:AK14)</f>
        <v>0</v>
      </c>
      <c r="AM14"/>
      <c r="AN14" s="461">
        <f>IFERROR(INDEX('Labor Cost_Master'!$G$4:$BO$135,MATCH($BN14,'Labor Cost_Master'!$BD$4:$BD$135,0),MATCH(AN$10,'Labor Cost_Master'!$G$3:$BO$3,0)),0)*M14</f>
        <v>0</v>
      </c>
      <c r="AO14" s="64">
        <f>IFERROR(INDEX('Labor Cost_Master'!$G$4:$BO$135,MATCH($BN14,'Labor Cost_Master'!$BD$4:$BD$135,0),MATCH(AO$10,'Labor Cost_Master'!$G$3:$BO$3,0)),0)*N14</f>
        <v>0</v>
      </c>
      <c r="AP14" s="64">
        <f>IFERROR(INDEX('Labor Cost_Master'!$G$4:$BO$135,MATCH($BN14,'Labor Cost_Master'!$BD$4:$BD$135,0),MATCH(AP$10,'Labor Cost_Master'!$G$3:$BO$3,0)),0)*O14</f>
        <v>0</v>
      </c>
      <c r="AQ14" s="64">
        <f>IFERROR(INDEX('Labor Cost_Master'!$G$4:$BO$135,MATCH($BN14,'Labor Cost_Master'!$BD$4:$BD$135,0),MATCH(AQ$10,'Labor Cost_Master'!$G$3:$BO$3,0)),0)*P14</f>
        <v>0</v>
      </c>
      <c r="AR14" s="64">
        <f>IFERROR(INDEX('Labor Cost_Master'!$G$4:$BO$135,MATCH($BN14,'Labor Cost_Master'!$BD$4:$BD$135,0),MATCH(AR$10,'Labor Cost_Master'!$G$3:$BO$3,0)),0)*Q14</f>
        <v>0</v>
      </c>
      <c r="AS14" s="64">
        <f>IFERROR(INDEX('Labor Cost_Master'!$G$4:$BO$135,MATCH($BN14,'Labor Cost_Master'!$BD$4:$BD$135,0),MATCH(AS$10,'Labor Cost_Master'!$G$3:$BO$3,0)),0)*R14</f>
        <v>0</v>
      </c>
      <c r="AT14" s="64">
        <f>IFERROR(INDEX('Labor Cost_Master'!$G$4:$BO$135,MATCH($BN14,'Labor Cost_Master'!$BD$4:$BD$135,0),MATCH(AT$10,'Labor Cost_Master'!$G$3:$BO$3,0)),0)*S14</f>
        <v>0</v>
      </c>
      <c r="AU14" s="64">
        <f>IFERROR(INDEX('Labor Cost_Master'!$G$4:$BO$135,MATCH($BN14,'Labor Cost_Master'!$BD$4:$BD$135,0),MATCH(AU$10,'Labor Cost_Master'!$G$3:$BO$3,0)),0)*T14</f>
        <v>0</v>
      </c>
      <c r="AV14" s="64">
        <f>IFERROR(INDEX('Labor Cost_Master'!$G$4:$BO$135,MATCH($BN14,'Labor Cost_Master'!$BD$4:$BD$135,0),MATCH(AV$10,'Labor Cost_Master'!$G$3:$BO$3,0)),0)*U14</f>
        <v>0</v>
      </c>
      <c r="AW14" s="64">
        <f>IFERROR(INDEX('Labor Cost_Master'!$G$4:$BO$135,MATCH($BN14,'Labor Cost_Master'!$BD$4:$BD$135,0),MATCH(AW$10,'Labor Cost_Master'!$G$3:$BO$3,0)),0)*V14</f>
        <v>0</v>
      </c>
      <c r="AX14" s="64">
        <f>IFERROR(INDEX('Labor Cost_Master'!$G$4:$BO$135,MATCH($BN14,'Labor Cost_Master'!$BD$4:$BD$135,0),MATCH(AX$10,'Labor Cost_Master'!$G$3:$BO$3,0)),0)*W14</f>
        <v>0</v>
      </c>
      <c r="AY14" s="754">
        <f>IFERROR(INDEX('Labor Cost_Master'!$G$4:$BO$135,MATCH($BN14,'Labor Cost_Master'!$BD$4:$BD$135,0),MATCH(AY$10,'Labor Cost_Master'!$G$3:$BO$3,0)),0)*X14</f>
        <v>0</v>
      </c>
      <c r="AZ14" s="751">
        <f t="shared" ref="AZ14:AZ20" si="6">SUM(AN14:AY14)</f>
        <v>0</v>
      </c>
      <c r="BA14" s="64">
        <f>IFERROR(INDEX('Labor Cost_Master'!$G$4:$BC$135,MATCH($BN14,'Labor Cost_Master'!$BD$4:$BD$135,0),MATCH(#REF!,'Labor Cost_Master'!$G$3:$BC$3,0)),0)*Z14</f>
        <v>0</v>
      </c>
      <c r="BB14" s="64">
        <f>IFERROR(INDEX('Labor Cost_Master'!$G$4:$BC$135,MATCH($BN14,'Labor Cost_Master'!$BD$4:$BD$135,0),MATCH(#REF!,'Labor Cost_Master'!$G$3:$BC$3,0)),0)*AA14</f>
        <v>0</v>
      </c>
      <c r="BC14" s="64">
        <f>IFERROR(INDEX('Labor Cost_Master'!$G$4:$BC$135,MATCH($BN14,'Labor Cost_Master'!$BD$4:$BD$135,0),MATCH(#REF!,'Labor Cost_Master'!$G$3:$BC$3,0)),0)*AB14</f>
        <v>0</v>
      </c>
      <c r="BD14" s="64">
        <f>IFERROR(INDEX('Labor Cost_Master'!$G$4:$BC$135,MATCH($BN14,'Labor Cost_Master'!$BD$4:$BD$135,0),MATCH(#REF!,'Labor Cost_Master'!$G$3:$BC$3,0)),0)*AC14</f>
        <v>0</v>
      </c>
      <c r="BE14" s="64">
        <f>IFERROR(INDEX('Labor Cost_Master'!$G$4:$BC$135,MATCH($BN14,'Labor Cost_Master'!$BD$4:$BD$135,0),MATCH(#REF!,'Labor Cost_Master'!$G$3:$BC$3,0)),0)*AD14</f>
        <v>0</v>
      </c>
      <c r="BF14" s="64">
        <f>IFERROR(INDEX('Labor Cost_Master'!$G$4:$BC$135,MATCH($BN14,'Labor Cost_Master'!$BD$4:$BD$135,0),MATCH(#REF!,'Labor Cost_Master'!$G$3:$BC$3,0)),0)*AE14</f>
        <v>0</v>
      </c>
      <c r="BG14" s="64">
        <f>IFERROR(INDEX('Labor Cost_Master'!$G$4:$BC$135,MATCH($BN14,'Labor Cost_Master'!$BD$4:$BD$135,0),MATCH(#REF!,'Labor Cost_Master'!$G$3:$BC$3,0)),0)*AF14</f>
        <v>0</v>
      </c>
      <c r="BH14" s="64">
        <f>IFERROR(INDEX('Labor Cost_Master'!$G$4:$BC$135,MATCH($BN14,'Labor Cost_Master'!$BD$4:$BD$135,0),MATCH(#REF!,'Labor Cost_Master'!$G$3:$BC$3,0)),0)*AG14</f>
        <v>0</v>
      </c>
      <c r="BI14" s="64">
        <f>IFERROR(INDEX('Labor Cost_Master'!$G$4:$BC$135,MATCH($BN14,'Labor Cost_Master'!$BD$4:$BD$135,0),MATCH(#REF!,'Labor Cost_Master'!$G$3:$BC$3,0)),0)*AH14</f>
        <v>0</v>
      </c>
      <c r="BJ14" s="64">
        <f>IFERROR(INDEX('Labor Cost_Master'!$G$4:$BC$135,MATCH($BN14,'Labor Cost_Master'!$BD$4:$BD$135,0),MATCH(#REF!,'Labor Cost_Master'!$G$3:$BC$3,0)),0)*AI14</f>
        <v>0</v>
      </c>
      <c r="BK14" s="64">
        <f>IFERROR(INDEX('Labor Cost_Master'!$G$4:$BC$135,MATCH($BN14,'Labor Cost_Master'!$BD$4:$BD$135,0),MATCH(#REF!,'Labor Cost_Master'!$G$3:$BC$3,0)),0)*AJ14</f>
        <v>0</v>
      </c>
      <c r="BL14" s="64">
        <f>IFERROR(INDEX('Labor Cost_Master'!$G$4:$BC$135,MATCH($BN14,'Labor Cost_Master'!$BD$4:$BD$135,0),MATCH(#REF!,'Labor Cost_Master'!$G$3:$BC$3,0)),0)*AK14</f>
        <v>0</v>
      </c>
      <c r="BM14" s="65">
        <f t="shared" ref="BM14:BM20" si="7">SUM(BA14:BL14)</f>
        <v>0</v>
      </c>
      <c r="BN14" s="80" t="str">
        <f t="shared" ref="BN14:BN20" si="8">D14&amp;F14</f>
        <v/>
      </c>
      <c r="BO14" s="64">
        <f>IFERROR(INDEX(Benefit_Master!$G$4:$BC$135,MATCH($BN14,Benefit_Master!$BD$4:$BD$135,0),MATCH(BO$10,Benefit_Master!$G$3:$BC$3,0)),0)*M14</f>
        <v>0</v>
      </c>
      <c r="BP14" s="64">
        <f>IFERROR(INDEX(Benefit_Master!$G$4:$BC$135,MATCH($BN14,Benefit_Master!$BD$4:$BD$135,0),MATCH(BP$10,Benefit_Master!$G$3:$BC$3,0)),0)*N14</f>
        <v>0</v>
      </c>
      <c r="BQ14" s="64">
        <f>IFERROR(INDEX(Benefit_Master!$G$4:$BC$135,MATCH($BN14,Benefit_Master!$BD$4:$BD$135,0),MATCH(BQ$10,Benefit_Master!$G$3:$BC$3,0)),0)*O14</f>
        <v>0</v>
      </c>
      <c r="BR14" s="64">
        <f>IFERROR(INDEX(Benefit_Master!$G$4:$BC$135,MATCH($BN14,Benefit_Master!$BD$4:$BD$135,0),MATCH(BR$10,Benefit_Master!$G$3:$BC$3,0)),0)*P14</f>
        <v>0</v>
      </c>
      <c r="BS14" s="64">
        <f>IFERROR(INDEX(Benefit_Master!$G$4:$BC$135,MATCH($BN14,Benefit_Master!$BD$4:$BD$135,0),MATCH(BS$10,Benefit_Master!$G$3:$BC$3,0)),0)*Q14</f>
        <v>0</v>
      </c>
      <c r="BT14" s="64">
        <f>IFERROR(INDEX(Benefit_Master!$G$4:$BC$135,MATCH($BN14,Benefit_Master!$BD$4:$BD$135,0),MATCH(BT$10,Benefit_Master!$G$3:$BC$3,0)),0)*R14</f>
        <v>0</v>
      </c>
      <c r="BU14" s="64">
        <f>IFERROR(INDEX(Benefit_Master!$G$4:$BC$135,MATCH($BN14,Benefit_Master!$BD$4:$BD$135,0),MATCH(BU$10,Benefit_Master!$G$3:$BC$3,0)),0)*S14</f>
        <v>0</v>
      </c>
      <c r="BV14" s="64">
        <f>IFERROR(INDEX(Benefit_Master!$G$4:$BC$135,MATCH($BN14,Benefit_Master!$BD$4:$BD$135,0),MATCH(BV$10,Benefit_Master!$G$3:$BC$3,0)),0)*T14</f>
        <v>0</v>
      </c>
      <c r="BW14" s="64">
        <f>IFERROR(INDEX(Benefit_Master!$G$4:$BC$135,MATCH($BN14,Benefit_Master!$BD$4:$BD$135,0),MATCH(BW$10,Benefit_Master!$G$3:$BC$3,0)),0)*U14</f>
        <v>0</v>
      </c>
      <c r="BX14" s="64">
        <f>IFERROR(INDEX(Benefit_Master!$G$4:$BC$135,MATCH($BN14,Benefit_Master!$BD$4:$BD$135,0),MATCH(BX$10,Benefit_Master!$G$3:$BC$3,0)),0)*V14</f>
        <v>0</v>
      </c>
      <c r="BY14" s="64">
        <f>IFERROR(INDEX(Benefit_Master!$G$4:$BC$135,MATCH($BN14,Benefit_Master!$BD$4:$BD$135,0),MATCH(BY$10,Benefit_Master!$G$3:$BC$3,0)),0)*W14</f>
        <v>0</v>
      </c>
      <c r="BZ14" s="64">
        <f>IFERROR(INDEX(Benefit_Master!$G$4:$BC$135,MATCH($BN14,Benefit_Master!$BD$4:$BD$135,0),MATCH(BZ$10,Benefit_Master!$G$3:$BC$3,0)),0)*X14</f>
        <v>0</v>
      </c>
      <c r="CA14" s="65">
        <f t="shared" ref="CA14:CA20" si="9">SUM(BO14:BZ14)</f>
        <v>0</v>
      </c>
      <c r="CB14" s="64">
        <f>IFERROR(INDEX(Benefit_Master!$G$4:$BC$135,MATCH($BN14,Benefit_Master!$BD$4:$BD$135,0),MATCH(CB$10,Benefit_Master!$G$3:$BC$3,0)),0)*Z14</f>
        <v>0</v>
      </c>
      <c r="CC14" s="64">
        <f>IFERROR(INDEX(Benefit_Master!$G$4:$BC$135,MATCH($BN14,Benefit_Master!$BD$4:$BD$135,0),MATCH(CC$10,Benefit_Master!$G$3:$BC$3,0)),0)*AA14</f>
        <v>0</v>
      </c>
      <c r="CD14" s="64">
        <f>IFERROR(INDEX(Benefit_Master!$G$4:$BC$135,MATCH($BN14,Benefit_Master!$BD$4:$BD$135,0),MATCH(CD$10,Benefit_Master!$G$3:$BC$3,0)),0)*AB14</f>
        <v>0</v>
      </c>
      <c r="CE14" s="64">
        <f>IFERROR(INDEX(Benefit_Master!$G$4:$BC$135,MATCH($BN14,Benefit_Master!$BD$4:$BD$135,0),MATCH(CE$10,Benefit_Master!$G$3:$BC$3,0)),0)*AC14</f>
        <v>0</v>
      </c>
      <c r="CF14" s="64">
        <f>IFERROR(INDEX(Benefit_Master!$G$4:$BC$135,MATCH($BN14,Benefit_Master!$BD$4:$BD$135,0),MATCH(CF$10,Benefit_Master!$G$3:$BC$3,0)),0)*AD14</f>
        <v>0</v>
      </c>
      <c r="CG14" s="64">
        <f>IFERROR(INDEX(Benefit_Master!$G$4:$BC$135,MATCH($BN14,Benefit_Master!$BD$4:$BD$135,0),MATCH(CG$10,Benefit_Master!$G$3:$BC$3,0)),0)*AE14</f>
        <v>0</v>
      </c>
      <c r="CH14" s="64">
        <f>IFERROR(INDEX(Benefit_Master!$G$4:$BC$135,MATCH($BN14,Benefit_Master!$BD$4:$BD$135,0),MATCH(CH$10,Benefit_Master!$G$3:$BC$3,0)),0)*AF14</f>
        <v>0</v>
      </c>
      <c r="CI14" s="64">
        <f>IFERROR(INDEX(Benefit_Master!$G$4:$BC$135,MATCH($BN14,Benefit_Master!$BD$4:$BD$135,0),MATCH(CI$10,Benefit_Master!$G$3:$BC$3,0)),0)*AG14</f>
        <v>0</v>
      </c>
      <c r="CJ14" s="64">
        <f>IFERROR(INDEX(Benefit_Master!$G$4:$BC$135,MATCH($BN14,Benefit_Master!$BD$4:$BD$135,0),MATCH(CJ$10,Benefit_Master!$G$3:$BC$3,0)),0)*AH14</f>
        <v>0</v>
      </c>
      <c r="CK14" s="64">
        <f>IFERROR(INDEX(Benefit_Master!$G$4:$BC$135,MATCH($BN14,Benefit_Master!$BD$4:$BD$135,0),MATCH(CK$10,Benefit_Master!$G$3:$BC$3,0)),0)*AI14</f>
        <v>0</v>
      </c>
      <c r="CL14" s="64">
        <f>IFERROR(INDEX(Benefit_Master!$G$4:$BC$135,MATCH($BN14,Benefit_Master!$BD$4:$BD$135,0),MATCH(CL$10,Benefit_Master!$G$3:$BC$3,0)),0)*AJ14</f>
        <v>0</v>
      </c>
      <c r="CM14" s="64">
        <f>IFERROR(INDEX(Benefit_Master!$G$4:$BC$135,MATCH($BN14,Benefit_Master!$BD$4:$BD$135,0),MATCH(CM$10,Benefit_Master!$G$3:$BC$3,0)),0)*AK14</f>
        <v>0</v>
      </c>
      <c r="CN14" s="65">
        <f t="shared" ref="CN14:CN20" si="10">SUM(CB14:CM14)</f>
        <v>0</v>
      </c>
      <c r="CO14" s="12" t="str">
        <f t="shared" ref="CO14:CO20" si="11">D14&amp;E14</f>
        <v/>
      </c>
      <c r="CP14" s="12" t="str">
        <f t="shared" ref="CP14:CP20" si="12">D14&amp;F14</f>
        <v/>
      </c>
    </row>
    <row r="15" spans="2:117" s="12" customFormat="1" ht="15" customHeight="1">
      <c r="B15" s="93">
        <f t="shared" ref="B15:B20" si="13">B14+1</f>
        <v>2</v>
      </c>
      <c r="C15" s="89"/>
      <c r="D15" s="89"/>
      <c r="E15" s="427"/>
      <c r="F15" s="424"/>
      <c r="G15" s="94" t="str">
        <f>IFERROR(VLOOKUP($F15,Master!$B$1:$C$7,2,0),"-")</f>
        <v>-</v>
      </c>
      <c r="H15" s="95">
        <f t="shared" ref="H15:H20" si="14">Y15+AL15</f>
        <v>0</v>
      </c>
      <c r="I15" s="139">
        <f t="shared" ref="I15:I20" si="15">SUM(AZ15,BM15)</f>
        <v>0</v>
      </c>
      <c r="J15" s="139">
        <f t="shared" ref="J15:J20" si="16">SUM(CA15,CN15)</f>
        <v>0</v>
      </c>
      <c r="K15" s="96"/>
      <c r="L15"/>
      <c r="M15" s="58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60">
        <f t="shared" ref="Y15:Y20" si="17">SUM(M15:X15)</f>
        <v>0</v>
      </c>
      <c r="Z15" s="58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60">
        <f t="shared" ref="AL15:AL20" si="18">SUM(Z15:AK15)</f>
        <v>0</v>
      </c>
      <c r="AM15"/>
      <c r="AN15" s="461">
        <f>IFERROR(INDEX('Labor Cost_Master'!$G$4:$BO$135,MATCH($BN15,'Labor Cost_Master'!$BD$4:$BD$135,0),MATCH(AN$10,'Labor Cost_Master'!$G$3:$BO$3,0)),0)*M15</f>
        <v>0</v>
      </c>
      <c r="AO15" s="64">
        <f>IFERROR(INDEX('Labor Cost_Master'!$G$4:$BO$135,MATCH($BN15,'Labor Cost_Master'!$BD$4:$BD$135,0),MATCH(AO$10,'Labor Cost_Master'!$G$3:$BO$3,0)),0)*N15</f>
        <v>0</v>
      </c>
      <c r="AP15" s="64">
        <f>IFERROR(INDEX('Labor Cost_Master'!$G$4:$BO$135,MATCH($BN15,'Labor Cost_Master'!$BD$4:$BD$135,0),MATCH(AP$10,'Labor Cost_Master'!$G$3:$BO$3,0)),0)*O15</f>
        <v>0</v>
      </c>
      <c r="AQ15" s="64">
        <f>IFERROR(INDEX('Labor Cost_Master'!$G$4:$BO$135,MATCH($BN15,'Labor Cost_Master'!$BD$4:$BD$135,0),MATCH(AQ$10,'Labor Cost_Master'!$G$3:$BO$3,0)),0)*P15</f>
        <v>0</v>
      </c>
      <c r="AR15" s="64">
        <f>IFERROR(INDEX('Labor Cost_Master'!$G$4:$BO$135,MATCH($BN15,'Labor Cost_Master'!$BD$4:$BD$135,0),MATCH(AR$10,'Labor Cost_Master'!$G$3:$BO$3,0)),0)*Q15</f>
        <v>0</v>
      </c>
      <c r="AS15" s="64">
        <f>IFERROR(INDEX('Labor Cost_Master'!$G$4:$BO$135,MATCH($BN15,'Labor Cost_Master'!$BD$4:$BD$135,0),MATCH(AS$10,'Labor Cost_Master'!$G$3:$BO$3,0)),0)*R15</f>
        <v>0</v>
      </c>
      <c r="AT15" s="64">
        <f>IFERROR(INDEX('Labor Cost_Master'!$G$4:$BO$135,MATCH($BN15,'Labor Cost_Master'!$BD$4:$BD$135,0),MATCH(AT$10,'Labor Cost_Master'!$G$3:$BO$3,0)),0)*S15</f>
        <v>0</v>
      </c>
      <c r="AU15" s="64">
        <f>IFERROR(INDEX('Labor Cost_Master'!$G$4:$BO$135,MATCH($BN15,'Labor Cost_Master'!$BD$4:$BD$135,0),MATCH(AU$10,'Labor Cost_Master'!$G$3:$BO$3,0)),0)*T15</f>
        <v>0</v>
      </c>
      <c r="AV15" s="64">
        <f>IFERROR(INDEX('Labor Cost_Master'!$G$4:$BO$135,MATCH($BN15,'Labor Cost_Master'!$BD$4:$BD$135,0),MATCH(AV$10,'Labor Cost_Master'!$G$3:$BO$3,0)),0)*U15</f>
        <v>0</v>
      </c>
      <c r="AW15" s="64">
        <f>IFERROR(INDEX('Labor Cost_Master'!$G$4:$BO$135,MATCH($BN15,'Labor Cost_Master'!$BD$4:$BD$135,0),MATCH(AW$10,'Labor Cost_Master'!$G$3:$BO$3,0)),0)*V15</f>
        <v>0</v>
      </c>
      <c r="AX15" s="64">
        <f>IFERROR(INDEX('Labor Cost_Master'!$G$4:$BO$135,MATCH($BN15,'Labor Cost_Master'!$BD$4:$BD$135,0),MATCH(AX$10,'Labor Cost_Master'!$G$3:$BO$3,0)),0)*W15</f>
        <v>0</v>
      </c>
      <c r="AY15" s="754">
        <f>IFERROR(INDEX('Labor Cost_Master'!$G$4:$BO$135,MATCH($BN15,'Labor Cost_Master'!$BD$4:$BD$135,0),MATCH(AY$10,'Labor Cost_Master'!$G$3:$BO$3,0)),0)*X15</f>
        <v>0</v>
      </c>
      <c r="AZ15" s="752">
        <f t="shared" si="6"/>
        <v>0</v>
      </c>
      <c r="BA15" s="64">
        <f>IFERROR(INDEX('Labor Cost_Master'!$G$4:$BC$135,MATCH($BN15,'Labor Cost_Master'!$BD$4:$BD$135,0),MATCH(#REF!,'Labor Cost_Master'!$G$3:$BC$3,0)),0)*Z15</f>
        <v>0</v>
      </c>
      <c r="BB15" s="64">
        <f>IFERROR(INDEX('Labor Cost_Master'!$G$4:$BC$135,MATCH($BN15,'Labor Cost_Master'!$BD$4:$BD$135,0),MATCH(#REF!,'Labor Cost_Master'!$G$3:$BC$3,0)),0)*AA15</f>
        <v>0</v>
      </c>
      <c r="BC15" s="64">
        <f>IFERROR(INDEX('Labor Cost_Master'!$G$4:$BC$135,MATCH($BN15,'Labor Cost_Master'!$BD$4:$BD$135,0),MATCH(#REF!,'Labor Cost_Master'!$G$3:$BC$3,0)),0)*AB15</f>
        <v>0</v>
      </c>
      <c r="BD15" s="64">
        <f>IFERROR(INDEX('Labor Cost_Master'!$G$4:$BC$135,MATCH($BN15,'Labor Cost_Master'!$BD$4:$BD$135,0),MATCH(#REF!,'Labor Cost_Master'!$G$3:$BC$3,0)),0)*AC15</f>
        <v>0</v>
      </c>
      <c r="BE15" s="64">
        <f>IFERROR(INDEX('Labor Cost_Master'!$G$4:$BC$135,MATCH($BN15,'Labor Cost_Master'!$BD$4:$BD$135,0),MATCH(#REF!,'Labor Cost_Master'!$G$3:$BC$3,0)),0)*AD15</f>
        <v>0</v>
      </c>
      <c r="BF15" s="64">
        <f>IFERROR(INDEX('Labor Cost_Master'!$G$4:$BC$135,MATCH($BN15,'Labor Cost_Master'!$BD$4:$BD$135,0),MATCH(#REF!,'Labor Cost_Master'!$G$3:$BC$3,0)),0)*AE15</f>
        <v>0</v>
      </c>
      <c r="BG15" s="64">
        <f>IFERROR(INDEX('Labor Cost_Master'!$G$4:$BC$135,MATCH($BN15,'Labor Cost_Master'!$BD$4:$BD$135,0),MATCH(#REF!,'Labor Cost_Master'!$G$3:$BC$3,0)),0)*AF15</f>
        <v>0</v>
      </c>
      <c r="BH15" s="64">
        <f>IFERROR(INDEX('Labor Cost_Master'!$G$4:$BC$135,MATCH($BN15,'Labor Cost_Master'!$BD$4:$BD$135,0),MATCH(#REF!,'Labor Cost_Master'!$G$3:$BC$3,0)),0)*AG15</f>
        <v>0</v>
      </c>
      <c r="BI15" s="64">
        <f>IFERROR(INDEX('Labor Cost_Master'!$G$4:$BC$135,MATCH($BN15,'Labor Cost_Master'!$BD$4:$BD$135,0),MATCH(#REF!,'Labor Cost_Master'!$G$3:$BC$3,0)),0)*AH15</f>
        <v>0</v>
      </c>
      <c r="BJ15" s="64">
        <f>IFERROR(INDEX('Labor Cost_Master'!$G$4:$BC$135,MATCH($BN15,'Labor Cost_Master'!$BD$4:$BD$135,0),MATCH(#REF!,'Labor Cost_Master'!$G$3:$BC$3,0)),0)*AI15</f>
        <v>0</v>
      </c>
      <c r="BK15" s="64">
        <f>IFERROR(INDEX('Labor Cost_Master'!$G$4:$BC$135,MATCH($BN15,'Labor Cost_Master'!$BD$4:$BD$135,0),MATCH(#REF!,'Labor Cost_Master'!$G$3:$BC$3,0)),0)*AJ15</f>
        <v>0</v>
      </c>
      <c r="BL15" s="64">
        <f>IFERROR(INDEX('Labor Cost_Master'!$G$4:$BC$135,MATCH($BN15,'Labor Cost_Master'!$BD$4:$BD$135,0),MATCH(#REF!,'Labor Cost_Master'!$G$3:$BC$3,0)),0)*AK15</f>
        <v>0</v>
      </c>
      <c r="BM15" s="66">
        <f t="shared" si="7"/>
        <v>0</v>
      </c>
      <c r="BN15" s="80" t="str">
        <f t="shared" si="8"/>
        <v/>
      </c>
      <c r="BO15" s="64">
        <f>IFERROR(INDEX(Benefit_Master!$G$4:$BC$135,MATCH($BN15,Benefit_Master!$BD$4:$BD$135,0),MATCH(BO$10,Benefit_Master!$G$3:$BC$3,0)),0)*M15</f>
        <v>0</v>
      </c>
      <c r="BP15" s="64">
        <f>IFERROR(INDEX(Benefit_Master!$G$4:$BC$135,MATCH($BN15,Benefit_Master!$BD$4:$BD$135,0),MATCH(BP$10,Benefit_Master!$G$3:$BC$3,0)),0)*N15</f>
        <v>0</v>
      </c>
      <c r="BQ15" s="64">
        <f>IFERROR(INDEX(Benefit_Master!$G$4:$BC$135,MATCH($BN15,Benefit_Master!$BD$4:$BD$135,0),MATCH(BQ$10,Benefit_Master!$G$3:$BC$3,0)),0)*O15</f>
        <v>0</v>
      </c>
      <c r="BR15" s="64">
        <f>IFERROR(INDEX(Benefit_Master!$G$4:$BC$135,MATCH($BN15,Benefit_Master!$BD$4:$BD$135,0),MATCH(BR$10,Benefit_Master!$G$3:$BC$3,0)),0)*P15</f>
        <v>0</v>
      </c>
      <c r="BS15" s="64">
        <f>IFERROR(INDEX(Benefit_Master!$G$4:$BC$135,MATCH($BN15,Benefit_Master!$BD$4:$BD$135,0),MATCH(BS$10,Benefit_Master!$G$3:$BC$3,0)),0)*Q15</f>
        <v>0</v>
      </c>
      <c r="BT15" s="64">
        <f>IFERROR(INDEX(Benefit_Master!$G$4:$BC$135,MATCH($BN15,Benefit_Master!$BD$4:$BD$135,0),MATCH(BT$10,Benefit_Master!$G$3:$BC$3,0)),0)*R15</f>
        <v>0</v>
      </c>
      <c r="BU15" s="64">
        <f>IFERROR(INDEX(Benefit_Master!$G$4:$BC$135,MATCH($BN15,Benefit_Master!$BD$4:$BD$135,0),MATCH(BU$10,Benefit_Master!$G$3:$BC$3,0)),0)*S15</f>
        <v>0</v>
      </c>
      <c r="BV15" s="64">
        <f>IFERROR(INDEX(Benefit_Master!$G$4:$BC$135,MATCH($BN15,Benefit_Master!$BD$4:$BD$135,0),MATCH(BV$10,Benefit_Master!$G$3:$BC$3,0)),0)*T15</f>
        <v>0</v>
      </c>
      <c r="BW15" s="64">
        <f>IFERROR(INDEX(Benefit_Master!$G$4:$BC$135,MATCH($BN15,Benefit_Master!$BD$4:$BD$135,0),MATCH(BW$10,Benefit_Master!$G$3:$BC$3,0)),0)*U15</f>
        <v>0</v>
      </c>
      <c r="BX15" s="64">
        <f>IFERROR(INDEX(Benefit_Master!$G$4:$BC$135,MATCH($BN15,Benefit_Master!$BD$4:$BD$135,0),MATCH(BX$10,Benefit_Master!$G$3:$BC$3,0)),0)*V15</f>
        <v>0</v>
      </c>
      <c r="BY15" s="64">
        <f>IFERROR(INDEX(Benefit_Master!$G$4:$BC$135,MATCH($BN15,Benefit_Master!$BD$4:$BD$135,0),MATCH(BY$10,Benefit_Master!$G$3:$BC$3,0)),0)*W15</f>
        <v>0</v>
      </c>
      <c r="BZ15" s="64">
        <f>IFERROR(INDEX(Benefit_Master!$G$4:$BC$135,MATCH($BN15,Benefit_Master!$BD$4:$BD$135,0),MATCH(BZ$10,Benefit_Master!$G$3:$BC$3,0)),0)*X15</f>
        <v>0</v>
      </c>
      <c r="CA15" s="66">
        <f t="shared" si="9"/>
        <v>0</v>
      </c>
      <c r="CB15" s="64">
        <f>IFERROR(INDEX(Benefit_Master!$G$4:$BC$135,MATCH($BN15,Benefit_Master!$BD$4:$BD$135,0),MATCH(CB$10,Benefit_Master!$G$3:$BC$3,0)),0)*Z15</f>
        <v>0</v>
      </c>
      <c r="CC15" s="64">
        <f>IFERROR(INDEX(Benefit_Master!$G$4:$BC$135,MATCH($BN15,Benefit_Master!$BD$4:$BD$135,0),MATCH(CC$10,Benefit_Master!$G$3:$BC$3,0)),0)*AA15</f>
        <v>0</v>
      </c>
      <c r="CD15" s="64">
        <f>IFERROR(INDEX(Benefit_Master!$G$4:$BC$135,MATCH($BN15,Benefit_Master!$BD$4:$BD$135,0),MATCH(CD$10,Benefit_Master!$G$3:$BC$3,0)),0)*AB15</f>
        <v>0</v>
      </c>
      <c r="CE15" s="64">
        <f>IFERROR(INDEX(Benefit_Master!$G$4:$BC$135,MATCH($BN15,Benefit_Master!$BD$4:$BD$135,0),MATCH(CE$10,Benefit_Master!$G$3:$BC$3,0)),0)*AC15</f>
        <v>0</v>
      </c>
      <c r="CF15" s="64">
        <f>IFERROR(INDEX(Benefit_Master!$G$4:$BC$135,MATCH($BN15,Benefit_Master!$BD$4:$BD$135,0),MATCH(CF$10,Benefit_Master!$G$3:$BC$3,0)),0)*AD15</f>
        <v>0</v>
      </c>
      <c r="CG15" s="64">
        <f>IFERROR(INDEX(Benefit_Master!$G$4:$BC$135,MATCH($BN15,Benefit_Master!$BD$4:$BD$135,0),MATCH(CG$10,Benefit_Master!$G$3:$BC$3,0)),0)*AE15</f>
        <v>0</v>
      </c>
      <c r="CH15" s="64">
        <f>IFERROR(INDEX(Benefit_Master!$G$4:$BC$135,MATCH($BN15,Benefit_Master!$BD$4:$BD$135,0),MATCH(CH$10,Benefit_Master!$G$3:$BC$3,0)),0)*AF15</f>
        <v>0</v>
      </c>
      <c r="CI15" s="64">
        <f>IFERROR(INDEX(Benefit_Master!$G$4:$BC$135,MATCH($BN15,Benefit_Master!$BD$4:$BD$135,0),MATCH(CI$10,Benefit_Master!$G$3:$BC$3,0)),0)*AG15</f>
        <v>0</v>
      </c>
      <c r="CJ15" s="64">
        <f>IFERROR(INDEX(Benefit_Master!$G$4:$BC$135,MATCH($BN15,Benefit_Master!$BD$4:$BD$135,0),MATCH(CJ$10,Benefit_Master!$G$3:$BC$3,0)),0)*AH15</f>
        <v>0</v>
      </c>
      <c r="CK15" s="64">
        <f>IFERROR(INDEX(Benefit_Master!$G$4:$BC$135,MATCH($BN15,Benefit_Master!$BD$4:$BD$135,0),MATCH(CK$10,Benefit_Master!$G$3:$BC$3,0)),0)*AI15</f>
        <v>0</v>
      </c>
      <c r="CL15" s="64">
        <f>IFERROR(INDEX(Benefit_Master!$G$4:$BC$135,MATCH($BN15,Benefit_Master!$BD$4:$BD$135,0),MATCH(CL$10,Benefit_Master!$G$3:$BC$3,0)),0)*AJ15</f>
        <v>0</v>
      </c>
      <c r="CM15" s="64">
        <f>IFERROR(INDEX(Benefit_Master!$G$4:$BC$135,MATCH($BN15,Benefit_Master!$BD$4:$BD$135,0),MATCH(CM$10,Benefit_Master!$G$3:$BC$3,0)),0)*AK15</f>
        <v>0</v>
      </c>
      <c r="CN15" s="66">
        <f t="shared" si="10"/>
        <v>0</v>
      </c>
      <c r="CO15" s="12" t="str">
        <f t="shared" si="11"/>
        <v/>
      </c>
      <c r="CP15" s="12" t="str">
        <f t="shared" si="12"/>
        <v/>
      </c>
    </row>
    <row r="16" spans="2:117" s="12" customFormat="1" ht="15" customHeight="1">
      <c r="B16" s="93">
        <f t="shared" si="13"/>
        <v>3</v>
      </c>
      <c r="C16" s="89"/>
      <c r="D16" s="97"/>
      <c r="E16" s="428"/>
      <c r="F16" s="425"/>
      <c r="G16" s="94" t="str">
        <f>IFERROR(VLOOKUP($F16,Master!$B$1:$C$7,2,0),"-")</f>
        <v>-</v>
      </c>
      <c r="H16" s="95">
        <f t="shared" si="14"/>
        <v>0</v>
      </c>
      <c r="I16" s="139">
        <f t="shared" si="15"/>
        <v>0</v>
      </c>
      <c r="J16" s="139">
        <f t="shared" si="16"/>
        <v>0</v>
      </c>
      <c r="K16" s="96"/>
      <c r="L16"/>
      <c r="M16" s="58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60">
        <f t="shared" si="17"/>
        <v>0</v>
      </c>
      <c r="Z16" s="58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60">
        <f t="shared" si="18"/>
        <v>0</v>
      </c>
      <c r="AM16"/>
      <c r="AN16" s="461">
        <f>IFERROR(INDEX('Labor Cost_Master'!$G$4:$BO$135,MATCH($BN16,'Labor Cost_Master'!$BD$4:$BD$135,0),MATCH(AN$10,'Labor Cost_Master'!$G$3:$BO$3,0)),0)*M16</f>
        <v>0</v>
      </c>
      <c r="AO16" s="64">
        <f>IFERROR(INDEX('Labor Cost_Master'!$G$4:$BO$135,MATCH($BN16,'Labor Cost_Master'!$BD$4:$BD$135,0),MATCH(AO$10,'Labor Cost_Master'!$G$3:$BO$3,0)),0)*N16</f>
        <v>0</v>
      </c>
      <c r="AP16" s="64">
        <f>IFERROR(INDEX('Labor Cost_Master'!$G$4:$BO$135,MATCH($BN16,'Labor Cost_Master'!$BD$4:$BD$135,0),MATCH(AP$10,'Labor Cost_Master'!$G$3:$BO$3,0)),0)*O16</f>
        <v>0</v>
      </c>
      <c r="AQ16" s="64">
        <f>IFERROR(INDEX('Labor Cost_Master'!$G$4:$BO$135,MATCH($BN16,'Labor Cost_Master'!$BD$4:$BD$135,0),MATCH(AQ$10,'Labor Cost_Master'!$G$3:$BO$3,0)),0)*P16</f>
        <v>0</v>
      </c>
      <c r="AR16" s="64">
        <f>IFERROR(INDEX('Labor Cost_Master'!$G$4:$BO$135,MATCH($BN16,'Labor Cost_Master'!$BD$4:$BD$135,0),MATCH(AR$10,'Labor Cost_Master'!$G$3:$BO$3,0)),0)*Q16</f>
        <v>0</v>
      </c>
      <c r="AS16" s="64">
        <f>IFERROR(INDEX('Labor Cost_Master'!$G$4:$BO$135,MATCH($BN16,'Labor Cost_Master'!$BD$4:$BD$135,0),MATCH(AS$10,'Labor Cost_Master'!$G$3:$BO$3,0)),0)*R16</f>
        <v>0</v>
      </c>
      <c r="AT16" s="64">
        <f>IFERROR(INDEX('Labor Cost_Master'!$G$4:$BO$135,MATCH($BN16,'Labor Cost_Master'!$BD$4:$BD$135,0),MATCH(AT$10,'Labor Cost_Master'!$G$3:$BO$3,0)),0)*S16</f>
        <v>0</v>
      </c>
      <c r="AU16" s="64">
        <f>IFERROR(INDEX('Labor Cost_Master'!$G$4:$BO$135,MATCH($BN16,'Labor Cost_Master'!$BD$4:$BD$135,0),MATCH(AU$10,'Labor Cost_Master'!$G$3:$BO$3,0)),0)*T16</f>
        <v>0</v>
      </c>
      <c r="AV16" s="64">
        <f>IFERROR(INDEX('Labor Cost_Master'!$G$4:$BO$135,MATCH($BN16,'Labor Cost_Master'!$BD$4:$BD$135,0),MATCH(AV$10,'Labor Cost_Master'!$G$3:$BO$3,0)),0)*U16</f>
        <v>0</v>
      </c>
      <c r="AW16" s="64">
        <f>IFERROR(INDEX('Labor Cost_Master'!$G$4:$BO$135,MATCH($BN16,'Labor Cost_Master'!$BD$4:$BD$135,0),MATCH(AW$10,'Labor Cost_Master'!$G$3:$BO$3,0)),0)*V16</f>
        <v>0</v>
      </c>
      <c r="AX16" s="64">
        <f>IFERROR(INDEX('Labor Cost_Master'!$G$4:$BO$135,MATCH($BN16,'Labor Cost_Master'!$BD$4:$BD$135,0),MATCH(AX$10,'Labor Cost_Master'!$G$3:$BO$3,0)),0)*W16</f>
        <v>0</v>
      </c>
      <c r="AY16" s="754">
        <f>IFERROR(INDEX('Labor Cost_Master'!$G$4:$BO$135,MATCH($BN16,'Labor Cost_Master'!$BD$4:$BD$135,0),MATCH(AY$10,'Labor Cost_Master'!$G$3:$BO$3,0)),0)*X16</f>
        <v>0</v>
      </c>
      <c r="AZ16" s="752">
        <f t="shared" si="6"/>
        <v>0</v>
      </c>
      <c r="BA16" s="64">
        <f>IFERROR(INDEX('Labor Cost_Master'!$G$4:$BC$135,MATCH($BN16,'Labor Cost_Master'!$BD$4:$BD$135,0),MATCH(#REF!,'Labor Cost_Master'!$G$3:$BC$3,0)),0)*Z16</f>
        <v>0</v>
      </c>
      <c r="BB16" s="64">
        <f>IFERROR(INDEX('Labor Cost_Master'!$G$4:$BC$135,MATCH($BN16,'Labor Cost_Master'!$BD$4:$BD$135,0),MATCH(#REF!,'Labor Cost_Master'!$G$3:$BC$3,0)),0)*AA16</f>
        <v>0</v>
      </c>
      <c r="BC16" s="64">
        <f>IFERROR(INDEX('Labor Cost_Master'!$G$4:$BC$135,MATCH($BN16,'Labor Cost_Master'!$BD$4:$BD$135,0),MATCH(#REF!,'Labor Cost_Master'!$G$3:$BC$3,0)),0)*AB16</f>
        <v>0</v>
      </c>
      <c r="BD16" s="64">
        <f>IFERROR(INDEX('Labor Cost_Master'!$G$4:$BC$135,MATCH($BN16,'Labor Cost_Master'!$BD$4:$BD$135,0),MATCH(#REF!,'Labor Cost_Master'!$G$3:$BC$3,0)),0)*AC16</f>
        <v>0</v>
      </c>
      <c r="BE16" s="64">
        <f>IFERROR(INDEX('Labor Cost_Master'!$G$4:$BC$135,MATCH($BN16,'Labor Cost_Master'!$BD$4:$BD$135,0),MATCH(#REF!,'Labor Cost_Master'!$G$3:$BC$3,0)),0)*AD16</f>
        <v>0</v>
      </c>
      <c r="BF16" s="64">
        <f>IFERROR(INDEX('Labor Cost_Master'!$G$4:$BC$135,MATCH($BN16,'Labor Cost_Master'!$BD$4:$BD$135,0),MATCH(#REF!,'Labor Cost_Master'!$G$3:$BC$3,0)),0)*AE16</f>
        <v>0</v>
      </c>
      <c r="BG16" s="64">
        <f>IFERROR(INDEX('Labor Cost_Master'!$G$4:$BC$135,MATCH($BN16,'Labor Cost_Master'!$BD$4:$BD$135,0),MATCH(#REF!,'Labor Cost_Master'!$G$3:$BC$3,0)),0)*AF16</f>
        <v>0</v>
      </c>
      <c r="BH16" s="64">
        <f>IFERROR(INDEX('Labor Cost_Master'!$G$4:$BC$135,MATCH($BN16,'Labor Cost_Master'!$BD$4:$BD$135,0),MATCH(#REF!,'Labor Cost_Master'!$G$3:$BC$3,0)),0)*AG16</f>
        <v>0</v>
      </c>
      <c r="BI16" s="64">
        <f>IFERROR(INDEX('Labor Cost_Master'!$G$4:$BC$135,MATCH($BN16,'Labor Cost_Master'!$BD$4:$BD$135,0),MATCH(#REF!,'Labor Cost_Master'!$G$3:$BC$3,0)),0)*AH16</f>
        <v>0</v>
      </c>
      <c r="BJ16" s="64">
        <f>IFERROR(INDEX('Labor Cost_Master'!$G$4:$BC$135,MATCH($BN16,'Labor Cost_Master'!$BD$4:$BD$135,0),MATCH(#REF!,'Labor Cost_Master'!$G$3:$BC$3,0)),0)*AI16</f>
        <v>0</v>
      </c>
      <c r="BK16" s="64">
        <f>IFERROR(INDEX('Labor Cost_Master'!$G$4:$BC$135,MATCH($BN16,'Labor Cost_Master'!$BD$4:$BD$135,0),MATCH(#REF!,'Labor Cost_Master'!$G$3:$BC$3,0)),0)*AJ16</f>
        <v>0</v>
      </c>
      <c r="BL16" s="64">
        <f>IFERROR(INDEX('Labor Cost_Master'!$G$4:$BC$135,MATCH($BN16,'Labor Cost_Master'!$BD$4:$BD$135,0),MATCH(#REF!,'Labor Cost_Master'!$G$3:$BC$3,0)),0)*AK16</f>
        <v>0</v>
      </c>
      <c r="BM16" s="66">
        <f t="shared" si="7"/>
        <v>0</v>
      </c>
      <c r="BN16" s="80" t="str">
        <f t="shared" si="8"/>
        <v/>
      </c>
      <c r="BO16" s="64">
        <f>IFERROR(INDEX(Benefit_Master!$G$4:$BC$135,MATCH($BN16,Benefit_Master!$BD$4:$BD$135,0),MATCH(BO$10,Benefit_Master!$G$3:$BC$3,0)),0)*M16</f>
        <v>0</v>
      </c>
      <c r="BP16" s="64">
        <f>IFERROR(INDEX(Benefit_Master!$G$4:$BC$135,MATCH($BN16,Benefit_Master!$BD$4:$BD$135,0),MATCH(BP$10,Benefit_Master!$G$3:$BC$3,0)),0)*N16</f>
        <v>0</v>
      </c>
      <c r="BQ16" s="64">
        <f>IFERROR(INDEX(Benefit_Master!$G$4:$BC$135,MATCH($BN16,Benefit_Master!$BD$4:$BD$135,0),MATCH(BQ$10,Benefit_Master!$G$3:$BC$3,0)),0)*O16</f>
        <v>0</v>
      </c>
      <c r="BR16" s="64">
        <f>IFERROR(INDEX(Benefit_Master!$G$4:$BC$135,MATCH($BN16,Benefit_Master!$BD$4:$BD$135,0),MATCH(BR$10,Benefit_Master!$G$3:$BC$3,0)),0)*P16</f>
        <v>0</v>
      </c>
      <c r="BS16" s="64">
        <f>IFERROR(INDEX(Benefit_Master!$G$4:$BC$135,MATCH($BN16,Benefit_Master!$BD$4:$BD$135,0),MATCH(BS$10,Benefit_Master!$G$3:$BC$3,0)),0)*Q16</f>
        <v>0</v>
      </c>
      <c r="BT16" s="64">
        <f>IFERROR(INDEX(Benefit_Master!$G$4:$BC$135,MATCH($BN16,Benefit_Master!$BD$4:$BD$135,0),MATCH(BT$10,Benefit_Master!$G$3:$BC$3,0)),0)*R16</f>
        <v>0</v>
      </c>
      <c r="BU16" s="64">
        <f>IFERROR(INDEX(Benefit_Master!$G$4:$BC$135,MATCH($BN16,Benefit_Master!$BD$4:$BD$135,0),MATCH(BU$10,Benefit_Master!$G$3:$BC$3,0)),0)*S16</f>
        <v>0</v>
      </c>
      <c r="BV16" s="64">
        <f>IFERROR(INDEX(Benefit_Master!$G$4:$BC$135,MATCH($BN16,Benefit_Master!$BD$4:$BD$135,0),MATCH(BV$10,Benefit_Master!$G$3:$BC$3,0)),0)*T16</f>
        <v>0</v>
      </c>
      <c r="BW16" s="64">
        <f>IFERROR(INDEX(Benefit_Master!$G$4:$BC$135,MATCH($BN16,Benefit_Master!$BD$4:$BD$135,0),MATCH(BW$10,Benefit_Master!$G$3:$BC$3,0)),0)*U16</f>
        <v>0</v>
      </c>
      <c r="BX16" s="64">
        <f>IFERROR(INDEX(Benefit_Master!$G$4:$BC$135,MATCH($BN16,Benefit_Master!$BD$4:$BD$135,0),MATCH(BX$10,Benefit_Master!$G$3:$BC$3,0)),0)*V16</f>
        <v>0</v>
      </c>
      <c r="BY16" s="64">
        <f>IFERROR(INDEX(Benefit_Master!$G$4:$BC$135,MATCH($BN16,Benefit_Master!$BD$4:$BD$135,0),MATCH(BY$10,Benefit_Master!$G$3:$BC$3,0)),0)*W16</f>
        <v>0</v>
      </c>
      <c r="BZ16" s="64">
        <f>IFERROR(INDEX(Benefit_Master!$G$4:$BC$135,MATCH($BN16,Benefit_Master!$BD$4:$BD$135,0),MATCH(BZ$10,Benefit_Master!$G$3:$BC$3,0)),0)*X16</f>
        <v>0</v>
      </c>
      <c r="CA16" s="66">
        <f t="shared" si="9"/>
        <v>0</v>
      </c>
      <c r="CB16" s="64">
        <f>IFERROR(INDEX(Benefit_Master!$G$4:$BC$135,MATCH($BN16,Benefit_Master!$BD$4:$BD$135,0),MATCH(CB$10,Benefit_Master!$G$3:$BC$3,0)),0)*Z16</f>
        <v>0</v>
      </c>
      <c r="CC16" s="64">
        <f>IFERROR(INDEX(Benefit_Master!$G$4:$BC$135,MATCH($BN16,Benefit_Master!$BD$4:$BD$135,0),MATCH(CC$10,Benefit_Master!$G$3:$BC$3,0)),0)*AA16</f>
        <v>0</v>
      </c>
      <c r="CD16" s="64">
        <f>IFERROR(INDEX(Benefit_Master!$G$4:$BC$135,MATCH($BN16,Benefit_Master!$BD$4:$BD$135,0),MATCH(CD$10,Benefit_Master!$G$3:$BC$3,0)),0)*AB16</f>
        <v>0</v>
      </c>
      <c r="CE16" s="64">
        <f>IFERROR(INDEX(Benefit_Master!$G$4:$BC$135,MATCH($BN16,Benefit_Master!$BD$4:$BD$135,0),MATCH(CE$10,Benefit_Master!$G$3:$BC$3,0)),0)*AC16</f>
        <v>0</v>
      </c>
      <c r="CF16" s="64">
        <f>IFERROR(INDEX(Benefit_Master!$G$4:$BC$135,MATCH($BN16,Benefit_Master!$BD$4:$BD$135,0),MATCH(CF$10,Benefit_Master!$G$3:$BC$3,0)),0)*AD16</f>
        <v>0</v>
      </c>
      <c r="CG16" s="64">
        <f>IFERROR(INDEX(Benefit_Master!$G$4:$BC$135,MATCH($BN16,Benefit_Master!$BD$4:$BD$135,0),MATCH(CG$10,Benefit_Master!$G$3:$BC$3,0)),0)*AE16</f>
        <v>0</v>
      </c>
      <c r="CH16" s="64">
        <f>IFERROR(INDEX(Benefit_Master!$G$4:$BC$135,MATCH($BN16,Benefit_Master!$BD$4:$BD$135,0),MATCH(CH$10,Benefit_Master!$G$3:$BC$3,0)),0)*AF16</f>
        <v>0</v>
      </c>
      <c r="CI16" s="64">
        <f>IFERROR(INDEX(Benefit_Master!$G$4:$BC$135,MATCH($BN16,Benefit_Master!$BD$4:$BD$135,0),MATCH(CI$10,Benefit_Master!$G$3:$BC$3,0)),0)*AG16</f>
        <v>0</v>
      </c>
      <c r="CJ16" s="64">
        <f>IFERROR(INDEX(Benefit_Master!$G$4:$BC$135,MATCH($BN16,Benefit_Master!$BD$4:$BD$135,0),MATCH(CJ$10,Benefit_Master!$G$3:$BC$3,0)),0)*AH16</f>
        <v>0</v>
      </c>
      <c r="CK16" s="64">
        <f>IFERROR(INDEX(Benefit_Master!$G$4:$BC$135,MATCH($BN16,Benefit_Master!$BD$4:$BD$135,0),MATCH(CK$10,Benefit_Master!$G$3:$BC$3,0)),0)*AI16</f>
        <v>0</v>
      </c>
      <c r="CL16" s="64">
        <f>IFERROR(INDEX(Benefit_Master!$G$4:$BC$135,MATCH($BN16,Benefit_Master!$BD$4:$BD$135,0),MATCH(CL$10,Benefit_Master!$G$3:$BC$3,0)),0)*AJ16</f>
        <v>0</v>
      </c>
      <c r="CM16" s="64">
        <f>IFERROR(INDEX(Benefit_Master!$G$4:$BC$135,MATCH($BN16,Benefit_Master!$BD$4:$BD$135,0),MATCH(CM$10,Benefit_Master!$G$3:$BC$3,0)),0)*AK16</f>
        <v>0</v>
      </c>
      <c r="CN16" s="66">
        <f t="shared" si="10"/>
        <v>0</v>
      </c>
      <c r="CO16" s="12" t="str">
        <f t="shared" si="11"/>
        <v/>
      </c>
      <c r="CP16" s="12" t="str">
        <f t="shared" si="12"/>
        <v/>
      </c>
    </row>
    <row r="17" spans="2:94" s="12" customFormat="1" ht="15" customHeight="1">
      <c r="B17" s="93">
        <f t="shared" si="13"/>
        <v>4</v>
      </c>
      <c r="C17" s="89"/>
      <c r="D17" s="97"/>
      <c r="E17" s="428"/>
      <c r="F17" s="425"/>
      <c r="G17" s="94" t="str">
        <f>IFERROR(VLOOKUP($F17,Master!$B$1:$C$7,2,0),"-")</f>
        <v>-</v>
      </c>
      <c r="H17" s="95">
        <f t="shared" si="14"/>
        <v>0</v>
      </c>
      <c r="I17" s="139">
        <f t="shared" si="15"/>
        <v>0</v>
      </c>
      <c r="J17" s="139">
        <f t="shared" si="16"/>
        <v>0</v>
      </c>
      <c r="K17" s="96"/>
      <c r="L17"/>
      <c r="M17" s="58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60">
        <f t="shared" si="17"/>
        <v>0</v>
      </c>
      <c r="Z17" s="58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60">
        <f t="shared" si="18"/>
        <v>0</v>
      </c>
      <c r="AM17"/>
      <c r="AN17" s="461">
        <f>IFERROR(INDEX('Labor Cost_Master'!$G$4:$BO$135,MATCH($BN17,'Labor Cost_Master'!$BD$4:$BD$135,0),MATCH(AN$10,'Labor Cost_Master'!$G$3:$BO$3,0)),0)*M17</f>
        <v>0</v>
      </c>
      <c r="AO17" s="64">
        <f>IFERROR(INDEX('Labor Cost_Master'!$G$4:$BO$135,MATCH($BN17,'Labor Cost_Master'!$BD$4:$BD$135,0),MATCH(AO$10,'Labor Cost_Master'!$G$3:$BO$3,0)),0)*N17</f>
        <v>0</v>
      </c>
      <c r="AP17" s="64">
        <f>IFERROR(INDEX('Labor Cost_Master'!$G$4:$BO$135,MATCH($BN17,'Labor Cost_Master'!$BD$4:$BD$135,0),MATCH(AP$10,'Labor Cost_Master'!$G$3:$BO$3,0)),0)*O17</f>
        <v>0</v>
      </c>
      <c r="AQ17" s="64">
        <f>IFERROR(INDEX('Labor Cost_Master'!$G$4:$BO$135,MATCH($BN17,'Labor Cost_Master'!$BD$4:$BD$135,0),MATCH(AQ$10,'Labor Cost_Master'!$G$3:$BO$3,0)),0)*P17</f>
        <v>0</v>
      </c>
      <c r="AR17" s="64">
        <f>IFERROR(INDEX('Labor Cost_Master'!$G$4:$BO$135,MATCH($BN17,'Labor Cost_Master'!$BD$4:$BD$135,0),MATCH(AR$10,'Labor Cost_Master'!$G$3:$BO$3,0)),0)*Q17</f>
        <v>0</v>
      </c>
      <c r="AS17" s="64">
        <f>IFERROR(INDEX('Labor Cost_Master'!$G$4:$BO$135,MATCH($BN17,'Labor Cost_Master'!$BD$4:$BD$135,0),MATCH(AS$10,'Labor Cost_Master'!$G$3:$BO$3,0)),0)*R17</f>
        <v>0</v>
      </c>
      <c r="AT17" s="64">
        <f>IFERROR(INDEX('Labor Cost_Master'!$G$4:$BO$135,MATCH($BN17,'Labor Cost_Master'!$BD$4:$BD$135,0),MATCH(AT$10,'Labor Cost_Master'!$G$3:$BO$3,0)),0)*S17</f>
        <v>0</v>
      </c>
      <c r="AU17" s="64">
        <f>IFERROR(INDEX('Labor Cost_Master'!$G$4:$BO$135,MATCH($BN17,'Labor Cost_Master'!$BD$4:$BD$135,0),MATCH(AU$10,'Labor Cost_Master'!$G$3:$BO$3,0)),0)*T17</f>
        <v>0</v>
      </c>
      <c r="AV17" s="64">
        <f>IFERROR(INDEX('Labor Cost_Master'!$G$4:$BO$135,MATCH($BN17,'Labor Cost_Master'!$BD$4:$BD$135,0),MATCH(AV$10,'Labor Cost_Master'!$G$3:$BO$3,0)),0)*U17</f>
        <v>0</v>
      </c>
      <c r="AW17" s="64">
        <f>IFERROR(INDEX('Labor Cost_Master'!$G$4:$BO$135,MATCH($BN17,'Labor Cost_Master'!$BD$4:$BD$135,0),MATCH(AW$10,'Labor Cost_Master'!$G$3:$BO$3,0)),0)*V17</f>
        <v>0</v>
      </c>
      <c r="AX17" s="64">
        <f>IFERROR(INDEX('Labor Cost_Master'!$G$4:$BO$135,MATCH($BN17,'Labor Cost_Master'!$BD$4:$BD$135,0),MATCH(AX$10,'Labor Cost_Master'!$G$3:$BO$3,0)),0)*W17</f>
        <v>0</v>
      </c>
      <c r="AY17" s="754">
        <f>IFERROR(INDEX('Labor Cost_Master'!$G$4:$BO$135,MATCH($BN17,'Labor Cost_Master'!$BD$4:$BD$135,0),MATCH(AY$10,'Labor Cost_Master'!$G$3:$BO$3,0)),0)*X17</f>
        <v>0</v>
      </c>
      <c r="AZ17" s="752">
        <f t="shared" si="6"/>
        <v>0</v>
      </c>
      <c r="BA17" s="64">
        <f>IFERROR(INDEX('Labor Cost_Master'!$G$4:$BC$135,MATCH($BN17,'Labor Cost_Master'!$BD$4:$BD$135,0),MATCH(#REF!,'Labor Cost_Master'!$G$3:$BC$3,0)),0)*Z17</f>
        <v>0</v>
      </c>
      <c r="BB17" s="64">
        <f>IFERROR(INDEX('Labor Cost_Master'!$G$4:$BC$135,MATCH($BN17,'Labor Cost_Master'!$BD$4:$BD$135,0),MATCH(#REF!,'Labor Cost_Master'!$G$3:$BC$3,0)),0)*AA17</f>
        <v>0</v>
      </c>
      <c r="BC17" s="64">
        <f>IFERROR(INDEX('Labor Cost_Master'!$G$4:$BC$135,MATCH($BN17,'Labor Cost_Master'!$BD$4:$BD$135,0),MATCH(#REF!,'Labor Cost_Master'!$G$3:$BC$3,0)),0)*AB17</f>
        <v>0</v>
      </c>
      <c r="BD17" s="64">
        <f>IFERROR(INDEX('Labor Cost_Master'!$G$4:$BC$135,MATCH($BN17,'Labor Cost_Master'!$BD$4:$BD$135,0),MATCH(#REF!,'Labor Cost_Master'!$G$3:$BC$3,0)),0)*AC17</f>
        <v>0</v>
      </c>
      <c r="BE17" s="64">
        <f>IFERROR(INDEX('Labor Cost_Master'!$G$4:$BC$135,MATCH($BN17,'Labor Cost_Master'!$BD$4:$BD$135,0),MATCH(#REF!,'Labor Cost_Master'!$G$3:$BC$3,0)),0)*AD17</f>
        <v>0</v>
      </c>
      <c r="BF17" s="64">
        <f>IFERROR(INDEX('Labor Cost_Master'!$G$4:$BC$135,MATCH($BN17,'Labor Cost_Master'!$BD$4:$BD$135,0),MATCH(#REF!,'Labor Cost_Master'!$G$3:$BC$3,0)),0)*AE17</f>
        <v>0</v>
      </c>
      <c r="BG17" s="64">
        <f>IFERROR(INDEX('Labor Cost_Master'!$G$4:$BC$135,MATCH($BN17,'Labor Cost_Master'!$BD$4:$BD$135,0),MATCH(#REF!,'Labor Cost_Master'!$G$3:$BC$3,0)),0)*AF17</f>
        <v>0</v>
      </c>
      <c r="BH17" s="64">
        <f>IFERROR(INDEX('Labor Cost_Master'!$G$4:$BC$135,MATCH($BN17,'Labor Cost_Master'!$BD$4:$BD$135,0),MATCH(#REF!,'Labor Cost_Master'!$G$3:$BC$3,0)),0)*AG17</f>
        <v>0</v>
      </c>
      <c r="BI17" s="64">
        <f>IFERROR(INDEX('Labor Cost_Master'!$G$4:$BC$135,MATCH($BN17,'Labor Cost_Master'!$BD$4:$BD$135,0),MATCH(#REF!,'Labor Cost_Master'!$G$3:$BC$3,0)),0)*AH17</f>
        <v>0</v>
      </c>
      <c r="BJ17" s="64">
        <f>IFERROR(INDEX('Labor Cost_Master'!$G$4:$BC$135,MATCH($BN17,'Labor Cost_Master'!$BD$4:$BD$135,0),MATCH(#REF!,'Labor Cost_Master'!$G$3:$BC$3,0)),0)*AI17</f>
        <v>0</v>
      </c>
      <c r="BK17" s="64">
        <f>IFERROR(INDEX('Labor Cost_Master'!$G$4:$BC$135,MATCH($BN17,'Labor Cost_Master'!$BD$4:$BD$135,0),MATCH(#REF!,'Labor Cost_Master'!$G$3:$BC$3,0)),0)*AJ17</f>
        <v>0</v>
      </c>
      <c r="BL17" s="64">
        <f>IFERROR(INDEX('Labor Cost_Master'!$G$4:$BC$135,MATCH($BN17,'Labor Cost_Master'!$BD$4:$BD$135,0),MATCH(#REF!,'Labor Cost_Master'!$G$3:$BC$3,0)),0)*AK17</f>
        <v>0</v>
      </c>
      <c r="BM17" s="66">
        <f t="shared" si="7"/>
        <v>0</v>
      </c>
      <c r="BN17" s="80" t="str">
        <f t="shared" si="8"/>
        <v/>
      </c>
      <c r="BO17" s="64">
        <f>IFERROR(INDEX(Benefit_Master!$G$4:$BC$135,MATCH($BN17,Benefit_Master!$BD$4:$BD$135,0),MATCH(BO$10,Benefit_Master!$G$3:$BC$3,0)),0)*M17</f>
        <v>0</v>
      </c>
      <c r="BP17" s="64">
        <f>IFERROR(INDEX(Benefit_Master!$G$4:$BC$135,MATCH($BN17,Benefit_Master!$BD$4:$BD$135,0),MATCH(BP$10,Benefit_Master!$G$3:$BC$3,0)),0)*N17</f>
        <v>0</v>
      </c>
      <c r="BQ17" s="64">
        <f>IFERROR(INDEX(Benefit_Master!$G$4:$BC$135,MATCH($BN17,Benefit_Master!$BD$4:$BD$135,0),MATCH(BQ$10,Benefit_Master!$G$3:$BC$3,0)),0)*O17</f>
        <v>0</v>
      </c>
      <c r="BR17" s="64">
        <f>IFERROR(INDEX(Benefit_Master!$G$4:$BC$135,MATCH($BN17,Benefit_Master!$BD$4:$BD$135,0),MATCH(BR$10,Benefit_Master!$G$3:$BC$3,0)),0)*P17</f>
        <v>0</v>
      </c>
      <c r="BS17" s="64">
        <f>IFERROR(INDEX(Benefit_Master!$G$4:$BC$135,MATCH($BN17,Benefit_Master!$BD$4:$BD$135,0),MATCH(BS$10,Benefit_Master!$G$3:$BC$3,0)),0)*Q17</f>
        <v>0</v>
      </c>
      <c r="BT17" s="64">
        <f>IFERROR(INDEX(Benefit_Master!$G$4:$BC$135,MATCH($BN17,Benefit_Master!$BD$4:$BD$135,0),MATCH(BT$10,Benefit_Master!$G$3:$BC$3,0)),0)*R17</f>
        <v>0</v>
      </c>
      <c r="BU17" s="64">
        <f>IFERROR(INDEX(Benefit_Master!$G$4:$BC$135,MATCH($BN17,Benefit_Master!$BD$4:$BD$135,0),MATCH(BU$10,Benefit_Master!$G$3:$BC$3,0)),0)*S17</f>
        <v>0</v>
      </c>
      <c r="BV17" s="64">
        <f>IFERROR(INDEX(Benefit_Master!$G$4:$BC$135,MATCH($BN17,Benefit_Master!$BD$4:$BD$135,0),MATCH(BV$10,Benefit_Master!$G$3:$BC$3,0)),0)*T17</f>
        <v>0</v>
      </c>
      <c r="BW17" s="64">
        <f>IFERROR(INDEX(Benefit_Master!$G$4:$BC$135,MATCH($BN17,Benefit_Master!$BD$4:$BD$135,0),MATCH(BW$10,Benefit_Master!$G$3:$BC$3,0)),0)*U17</f>
        <v>0</v>
      </c>
      <c r="BX17" s="64">
        <f>IFERROR(INDEX(Benefit_Master!$G$4:$BC$135,MATCH($BN17,Benefit_Master!$BD$4:$BD$135,0),MATCH(BX$10,Benefit_Master!$G$3:$BC$3,0)),0)*V17</f>
        <v>0</v>
      </c>
      <c r="BY17" s="64">
        <f>IFERROR(INDEX(Benefit_Master!$G$4:$BC$135,MATCH($BN17,Benefit_Master!$BD$4:$BD$135,0),MATCH(BY$10,Benefit_Master!$G$3:$BC$3,0)),0)*W17</f>
        <v>0</v>
      </c>
      <c r="BZ17" s="64">
        <f>IFERROR(INDEX(Benefit_Master!$G$4:$BC$135,MATCH($BN17,Benefit_Master!$BD$4:$BD$135,0),MATCH(BZ$10,Benefit_Master!$G$3:$BC$3,0)),0)*X17</f>
        <v>0</v>
      </c>
      <c r="CA17" s="66">
        <f t="shared" si="9"/>
        <v>0</v>
      </c>
      <c r="CB17" s="64">
        <f>IFERROR(INDEX(Benefit_Master!$G$4:$BC$135,MATCH($BN17,Benefit_Master!$BD$4:$BD$135,0),MATCH(CB$10,Benefit_Master!$G$3:$BC$3,0)),0)*Z17</f>
        <v>0</v>
      </c>
      <c r="CC17" s="64">
        <f>IFERROR(INDEX(Benefit_Master!$G$4:$BC$135,MATCH($BN17,Benefit_Master!$BD$4:$BD$135,0),MATCH(CC$10,Benefit_Master!$G$3:$BC$3,0)),0)*AA17</f>
        <v>0</v>
      </c>
      <c r="CD17" s="64">
        <f>IFERROR(INDEX(Benefit_Master!$G$4:$BC$135,MATCH($BN17,Benefit_Master!$BD$4:$BD$135,0),MATCH(CD$10,Benefit_Master!$G$3:$BC$3,0)),0)*AB17</f>
        <v>0</v>
      </c>
      <c r="CE17" s="64">
        <f>IFERROR(INDEX(Benefit_Master!$G$4:$BC$135,MATCH($BN17,Benefit_Master!$BD$4:$BD$135,0),MATCH(CE$10,Benefit_Master!$G$3:$BC$3,0)),0)*AC17</f>
        <v>0</v>
      </c>
      <c r="CF17" s="64">
        <f>IFERROR(INDEX(Benefit_Master!$G$4:$BC$135,MATCH($BN17,Benefit_Master!$BD$4:$BD$135,0),MATCH(CF$10,Benefit_Master!$G$3:$BC$3,0)),0)*AD17</f>
        <v>0</v>
      </c>
      <c r="CG17" s="64">
        <f>IFERROR(INDEX(Benefit_Master!$G$4:$BC$135,MATCH($BN17,Benefit_Master!$BD$4:$BD$135,0),MATCH(CG$10,Benefit_Master!$G$3:$BC$3,0)),0)*AE17</f>
        <v>0</v>
      </c>
      <c r="CH17" s="64">
        <f>IFERROR(INDEX(Benefit_Master!$G$4:$BC$135,MATCH($BN17,Benefit_Master!$BD$4:$BD$135,0),MATCH(CH$10,Benefit_Master!$G$3:$BC$3,0)),0)*AF17</f>
        <v>0</v>
      </c>
      <c r="CI17" s="64">
        <f>IFERROR(INDEX(Benefit_Master!$G$4:$BC$135,MATCH($BN17,Benefit_Master!$BD$4:$BD$135,0),MATCH(CI$10,Benefit_Master!$G$3:$BC$3,0)),0)*AG17</f>
        <v>0</v>
      </c>
      <c r="CJ17" s="64">
        <f>IFERROR(INDEX(Benefit_Master!$G$4:$BC$135,MATCH($BN17,Benefit_Master!$BD$4:$BD$135,0),MATCH(CJ$10,Benefit_Master!$G$3:$BC$3,0)),0)*AH17</f>
        <v>0</v>
      </c>
      <c r="CK17" s="64">
        <f>IFERROR(INDEX(Benefit_Master!$G$4:$BC$135,MATCH($BN17,Benefit_Master!$BD$4:$BD$135,0),MATCH(CK$10,Benefit_Master!$G$3:$BC$3,0)),0)*AI17</f>
        <v>0</v>
      </c>
      <c r="CL17" s="64">
        <f>IFERROR(INDEX(Benefit_Master!$G$4:$BC$135,MATCH($BN17,Benefit_Master!$BD$4:$BD$135,0),MATCH(CL$10,Benefit_Master!$G$3:$BC$3,0)),0)*AJ17</f>
        <v>0</v>
      </c>
      <c r="CM17" s="64">
        <f>IFERROR(INDEX(Benefit_Master!$G$4:$BC$135,MATCH($BN17,Benefit_Master!$BD$4:$BD$135,0),MATCH(CM$10,Benefit_Master!$G$3:$BC$3,0)),0)*AK17</f>
        <v>0</v>
      </c>
      <c r="CN17" s="66">
        <f t="shared" si="10"/>
        <v>0</v>
      </c>
      <c r="CO17" s="12" t="str">
        <f t="shared" si="11"/>
        <v/>
      </c>
      <c r="CP17" s="12" t="str">
        <f t="shared" si="12"/>
        <v/>
      </c>
    </row>
    <row r="18" spans="2:94" s="12" customFormat="1" ht="15" customHeight="1">
      <c r="B18" s="93">
        <f t="shared" si="13"/>
        <v>5</v>
      </c>
      <c r="C18" s="89"/>
      <c r="D18" s="97"/>
      <c r="E18" s="428"/>
      <c r="F18" s="425"/>
      <c r="G18" s="94" t="str">
        <f>IFERROR(VLOOKUP($F18,Master!$B$1:$C$7,2,0),"-")</f>
        <v>-</v>
      </c>
      <c r="H18" s="95">
        <f t="shared" si="14"/>
        <v>0</v>
      </c>
      <c r="I18" s="139">
        <f t="shared" si="15"/>
        <v>0</v>
      </c>
      <c r="J18" s="139">
        <f t="shared" si="16"/>
        <v>0</v>
      </c>
      <c r="K18" s="96"/>
      <c r="L18"/>
      <c r="M18" s="58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60">
        <f t="shared" si="17"/>
        <v>0</v>
      </c>
      <c r="Z18" s="58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60">
        <f t="shared" si="18"/>
        <v>0</v>
      </c>
      <c r="AM18"/>
      <c r="AN18" s="461">
        <f>IFERROR(INDEX('Labor Cost_Master'!$G$4:$BO$135,MATCH($BN18,'Labor Cost_Master'!$BD$4:$BD$135,0),MATCH(AN$10,'Labor Cost_Master'!$G$3:$BO$3,0)),0)*M18</f>
        <v>0</v>
      </c>
      <c r="AO18" s="64">
        <f>IFERROR(INDEX('Labor Cost_Master'!$G$4:$BO$135,MATCH($BN18,'Labor Cost_Master'!$BD$4:$BD$135,0),MATCH(AO$10,'Labor Cost_Master'!$G$3:$BO$3,0)),0)*N18</f>
        <v>0</v>
      </c>
      <c r="AP18" s="64">
        <f>IFERROR(INDEX('Labor Cost_Master'!$G$4:$BO$135,MATCH($BN18,'Labor Cost_Master'!$BD$4:$BD$135,0),MATCH(AP$10,'Labor Cost_Master'!$G$3:$BO$3,0)),0)*O18</f>
        <v>0</v>
      </c>
      <c r="AQ18" s="64">
        <f>IFERROR(INDEX('Labor Cost_Master'!$G$4:$BO$135,MATCH($BN18,'Labor Cost_Master'!$BD$4:$BD$135,0),MATCH(AQ$10,'Labor Cost_Master'!$G$3:$BO$3,0)),0)*P18</f>
        <v>0</v>
      </c>
      <c r="AR18" s="64">
        <f>IFERROR(INDEX('Labor Cost_Master'!$G$4:$BO$135,MATCH($BN18,'Labor Cost_Master'!$BD$4:$BD$135,0),MATCH(AR$10,'Labor Cost_Master'!$G$3:$BO$3,0)),0)*Q18</f>
        <v>0</v>
      </c>
      <c r="AS18" s="64">
        <f>IFERROR(INDEX('Labor Cost_Master'!$G$4:$BO$135,MATCH($BN18,'Labor Cost_Master'!$BD$4:$BD$135,0),MATCH(AS$10,'Labor Cost_Master'!$G$3:$BO$3,0)),0)*R18</f>
        <v>0</v>
      </c>
      <c r="AT18" s="64">
        <f>IFERROR(INDEX('Labor Cost_Master'!$G$4:$BO$135,MATCH($BN18,'Labor Cost_Master'!$BD$4:$BD$135,0),MATCH(AT$10,'Labor Cost_Master'!$G$3:$BO$3,0)),0)*S18</f>
        <v>0</v>
      </c>
      <c r="AU18" s="64">
        <f>IFERROR(INDEX('Labor Cost_Master'!$G$4:$BO$135,MATCH($BN18,'Labor Cost_Master'!$BD$4:$BD$135,0),MATCH(AU$10,'Labor Cost_Master'!$G$3:$BO$3,0)),0)*T18</f>
        <v>0</v>
      </c>
      <c r="AV18" s="64">
        <f>IFERROR(INDEX('Labor Cost_Master'!$G$4:$BO$135,MATCH($BN18,'Labor Cost_Master'!$BD$4:$BD$135,0),MATCH(AV$10,'Labor Cost_Master'!$G$3:$BO$3,0)),0)*U18</f>
        <v>0</v>
      </c>
      <c r="AW18" s="64">
        <f>IFERROR(INDEX('Labor Cost_Master'!$G$4:$BO$135,MATCH($BN18,'Labor Cost_Master'!$BD$4:$BD$135,0),MATCH(AW$10,'Labor Cost_Master'!$G$3:$BO$3,0)),0)*V18</f>
        <v>0</v>
      </c>
      <c r="AX18" s="64">
        <f>IFERROR(INDEX('Labor Cost_Master'!$G$4:$BO$135,MATCH($BN18,'Labor Cost_Master'!$BD$4:$BD$135,0),MATCH(AX$10,'Labor Cost_Master'!$G$3:$BO$3,0)),0)*W18</f>
        <v>0</v>
      </c>
      <c r="AY18" s="754">
        <f>IFERROR(INDEX('Labor Cost_Master'!$G$4:$BO$135,MATCH($BN18,'Labor Cost_Master'!$BD$4:$BD$135,0),MATCH(AY$10,'Labor Cost_Master'!$G$3:$BO$3,0)),0)*X18</f>
        <v>0</v>
      </c>
      <c r="AZ18" s="752">
        <f t="shared" si="6"/>
        <v>0</v>
      </c>
      <c r="BA18" s="64">
        <f>IFERROR(INDEX('Labor Cost_Master'!$G$4:$BC$135,MATCH($BN18,'Labor Cost_Master'!$BD$4:$BD$135,0),MATCH(#REF!,'Labor Cost_Master'!$G$3:$BC$3,0)),0)*Z18</f>
        <v>0</v>
      </c>
      <c r="BB18" s="64">
        <f>IFERROR(INDEX('Labor Cost_Master'!$G$4:$BC$135,MATCH($BN18,'Labor Cost_Master'!$BD$4:$BD$135,0),MATCH(#REF!,'Labor Cost_Master'!$G$3:$BC$3,0)),0)*AA18</f>
        <v>0</v>
      </c>
      <c r="BC18" s="64">
        <f>IFERROR(INDEX('Labor Cost_Master'!$G$4:$BC$135,MATCH($BN18,'Labor Cost_Master'!$BD$4:$BD$135,0),MATCH(#REF!,'Labor Cost_Master'!$G$3:$BC$3,0)),0)*AB18</f>
        <v>0</v>
      </c>
      <c r="BD18" s="64">
        <f>IFERROR(INDEX('Labor Cost_Master'!$G$4:$BC$135,MATCH($BN18,'Labor Cost_Master'!$BD$4:$BD$135,0),MATCH(#REF!,'Labor Cost_Master'!$G$3:$BC$3,0)),0)*AC18</f>
        <v>0</v>
      </c>
      <c r="BE18" s="64">
        <f>IFERROR(INDEX('Labor Cost_Master'!$G$4:$BC$135,MATCH($BN18,'Labor Cost_Master'!$BD$4:$BD$135,0),MATCH(#REF!,'Labor Cost_Master'!$G$3:$BC$3,0)),0)*AD18</f>
        <v>0</v>
      </c>
      <c r="BF18" s="64">
        <f>IFERROR(INDEX('Labor Cost_Master'!$G$4:$BC$135,MATCH($BN18,'Labor Cost_Master'!$BD$4:$BD$135,0),MATCH(#REF!,'Labor Cost_Master'!$G$3:$BC$3,0)),0)*AE18</f>
        <v>0</v>
      </c>
      <c r="BG18" s="64">
        <f>IFERROR(INDEX('Labor Cost_Master'!$G$4:$BC$135,MATCH($BN18,'Labor Cost_Master'!$BD$4:$BD$135,0),MATCH(#REF!,'Labor Cost_Master'!$G$3:$BC$3,0)),0)*AF18</f>
        <v>0</v>
      </c>
      <c r="BH18" s="64">
        <f>IFERROR(INDEX('Labor Cost_Master'!$G$4:$BC$135,MATCH($BN18,'Labor Cost_Master'!$BD$4:$BD$135,0),MATCH(#REF!,'Labor Cost_Master'!$G$3:$BC$3,0)),0)*AG18</f>
        <v>0</v>
      </c>
      <c r="BI18" s="64">
        <f>IFERROR(INDEX('Labor Cost_Master'!$G$4:$BC$135,MATCH($BN18,'Labor Cost_Master'!$BD$4:$BD$135,0),MATCH(#REF!,'Labor Cost_Master'!$G$3:$BC$3,0)),0)*AH18</f>
        <v>0</v>
      </c>
      <c r="BJ18" s="64">
        <f>IFERROR(INDEX('Labor Cost_Master'!$G$4:$BC$135,MATCH($BN18,'Labor Cost_Master'!$BD$4:$BD$135,0),MATCH(#REF!,'Labor Cost_Master'!$G$3:$BC$3,0)),0)*AI18</f>
        <v>0</v>
      </c>
      <c r="BK18" s="64">
        <f>IFERROR(INDEX('Labor Cost_Master'!$G$4:$BC$135,MATCH($BN18,'Labor Cost_Master'!$BD$4:$BD$135,0),MATCH(#REF!,'Labor Cost_Master'!$G$3:$BC$3,0)),0)*AJ18</f>
        <v>0</v>
      </c>
      <c r="BL18" s="64">
        <f>IFERROR(INDEX('Labor Cost_Master'!$G$4:$BC$135,MATCH($BN18,'Labor Cost_Master'!$BD$4:$BD$135,0),MATCH(#REF!,'Labor Cost_Master'!$G$3:$BC$3,0)),0)*AK18</f>
        <v>0</v>
      </c>
      <c r="BM18" s="66">
        <f t="shared" si="7"/>
        <v>0</v>
      </c>
      <c r="BN18" s="80" t="str">
        <f t="shared" si="8"/>
        <v/>
      </c>
      <c r="BO18" s="64">
        <f>IFERROR(INDEX(Benefit_Master!$G$4:$BC$135,MATCH($BN18,Benefit_Master!$BD$4:$BD$135,0),MATCH(BO$10,Benefit_Master!$G$3:$BC$3,0)),0)*M18</f>
        <v>0</v>
      </c>
      <c r="BP18" s="64">
        <f>IFERROR(INDEX(Benefit_Master!$G$4:$BC$135,MATCH($BN18,Benefit_Master!$BD$4:$BD$135,0),MATCH(BP$10,Benefit_Master!$G$3:$BC$3,0)),0)*N18</f>
        <v>0</v>
      </c>
      <c r="BQ18" s="64">
        <f>IFERROR(INDEX(Benefit_Master!$G$4:$BC$135,MATCH($BN18,Benefit_Master!$BD$4:$BD$135,0),MATCH(BQ$10,Benefit_Master!$G$3:$BC$3,0)),0)*O18</f>
        <v>0</v>
      </c>
      <c r="BR18" s="64">
        <f>IFERROR(INDEX(Benefit_Master!$G$4:$BC$135,MATCH($BN18,Benefit_Master!$BD$4:$BD$135,0),MATCH(BR$10,Benefit_Master!$G$3:$BC$3,0)),0)*P18</f>
        <v>0</v>
      </c>
      <c r="BS18" s="64">
        <f>IFERROR(INDEX(Benefit_Master!$G$4:$BC$135,MATCH($BN18,Benefit_Master!$BD$4:$BD$135,0),MATCH(BS$10,Benefit_Master!$G$3:$BC$3,0)),0)*Q18</f>
        <v>0</v>
      </c>
      <c r="BT18" s="64">
        <f>IFERROR(INDEX(Benefit_Master!$G$4:$BC$135,MATCH($BN18,Benefit_Master!$BD$4:$BD$135,0),MATCH(BT$10,Benefit_Master!$G$3:$BC$3,0)),0)*R18</f>
        <v>0</v>
      </c>
      <c r="BU18" s="64">
        <f>IFERROR(INDEX(Benefit_Master!$G$4:$BC$135,MATCH($BN18,Benefit_Master!$BD$4:$BD$135,0),MATCH(BU$10,Benefit_Master!$G$3:$BC$3,0)),0)*S18</f>
        <v>0</v>
      </c>
      <c r="BV18" s="64">
        <f>IFERROR(INDEX(Benefit_Master!$G$4:$BC$135,MATCH($BN18,Benefit_Master!$BD$4:$BD$135,0),MATCH(BV$10,Benefit_Master!$G$3:$BC$3,0)),0)*T18</f>
        <v>0</v>
      </c>
      <c r="BW18" s="64">
        <f>IFERROR(INDEX(Benefit_Master!$G$4:$BC$135,MATCH($BN18,Benefit_Master!$BD$4:$BD$135,0),MATCH(BW$10,Benefit_Master!$G$3:$BC$3,0)),0)*U18</f>
        <v>0</v>
      </c>
      <c r="BX18" s="64">
        <f>IFERROR(INDEX(Benefit_Master!$G$4:$BC$135,MATCH($BN18,Benefit_Master!$BD$4:$BD$135,0),MATCH(BX$10,Benefit_Master!$G$3:$BC$3,0)),0)*V18</f>
        <v>0</v>
      </c>
      <c r="BY18" s="64">
        <f>IFERROR(INDEX(Benefit_Master!$G$4:$BC$135,MATCH($BN18,Benefit_Master!$BD$4:$BD$135,0),MATCH(BY$10,Benefit_Master!$G$3:$BC$3,0)),0)*W18</f>
        <v>0</v>
      </c>
      <c r="BZ18" s="64">
        <f>IFERROR(INDEX(Benefit_Master!$G$4:$BC$135,MATCH($BN18,Benefit_Master!$BD$4:$BD$135,0),MATCH(BZ$10,Benefit_Master!$G$3:$BC$3,0)),0)*X18</f>
        <v>0</v>
      </c>
      <c r="CA18" s="66">
        <f t="shared" si="9"/>
        <v>0</v>
      </c>
      <c r="CB18" s="64">
        <f>IFERROR(INDEX(Benefit_Master!$G$4:$BC$135,MATCH($BN18,Benefit_Master!$BD$4:$BD$135,0),MATCH(CB$10,Benefit_Master!$G$3:$BC$3,0)),0)*Z18</f>
        <v>0</v>
      </c>
      <c r="CC18" s="64">
        <f>IFERROR(INDEX(Benefit_Master!$G$4:$BC$135,MATCH($BN18,Benefit_Master!$BD$4:$BD$135,0),MATCH(CC$10,Benefit_Master!$G$3:$BC$3,0)),0)*AA18</f>
        <v>0</v>
      </c>
      <c r="CD18" s="64">
        <f>IFERROR(INDEX(Benefit_Master!$G$4:$BC$135,MATCH($BN18,Benefit_Master!$BD$4:$BD$135,0),MATCH(CD$10,Benefit_Master!$G$3:$BC$3,0)),0)*AB18</f>
        <v>0</v>
      </c>
      <c r="CE18" s="64">
        <f>IFERROR(INDEX(Benefit_Master!$G$4:$BC$135,MATCH($BN18,Benefit_Master!$BD$4:$BD$135,0),MATCH(CE$10,Benefit_Master!$G$3:$BC$3,0)),0)*AC18</f>
        <v>0</v>
      </c>
      <c r="CF18" s="64">
        <f>IFERROR(INDEX(Benefit_Master!$G$4:$BC$135,MATCH($BN18,Benefit_Master!$BD$4:$BD$135,0),MATCH(CF$10,Benefit_Master!$G$3:$BC$3,0)),0)*AD18</f>
        <v>0</v>
      </c>
      <c r="CG18" s="64">
        <f>IFERROR(INDEX(Benefit_Master!$G$4:$BC$135,MATCH($BN18,Benefit_Master!$BD$4:$BD$135,0),MATCH(CG$10,Benefit_Master!$G$3:$BC$3,0)),0)*AE18</f>
        <v>0</v>
      </c>
      <c r="CH18" s="64">
        <f>IFERROR(INDEX(Benefit_Master!$G$4:$BC$135,MATCH($BN18,Benefit_Master!$BD$4:$BD$135,0),MATCH(CH$10,Benefit_Master!$G$3:$BC$3,0)),0)*AF18</f>
        <v>0</v>
      </c>
      <c r="CI18" s="64">
        <f>IFERROR(INDEX(Benefit_Master!$G$4:$BC$135,MATCH($BN18,Benefit_Master!$BD$4:$BD$135,0),MATCH(CI$10,Benefit_Master!$G$3:$BC$3,0)),0)*AG18</f>
        <v>0</v>
      </c>
      <c r="CJ18" s="64">
        <f>IFERROR(INDEX(Benefit_Master!$G$4:$BC$135,MATCH($BN18,Benefit_Master!$BD$4:$BD$135,0),MATCH(CJ$10,Benefit_Master!$G$3:$BC$3,0)),0)*AH18</f>
        <v>0</v>
      </c>
      <c r="CK18" s="64">
        <f>IFERROR(INDEX(Benefit_Master!$G$4:$BC$135,MATCH($BN18,Benefit_Master!$BD$4:$BD$135,0),MATCH(CK$10,Benefit_Master!$G$3:$BC$3,0)),0)*AI18</f>
        <v>0</v>
      </c>
      <c r="CL18" s="64">
        <f>IFERROR(INDEX(Benefit_Master!$G$4:$BC$135,MATCH($BN18,Benefit_Master!$BD$4:$BD$135,0),MATCH(CL$10,Benefit_Master!$G$3:$BC$3,0)),0)*AJ18</f>
        <v>0</v>
      </c>
      <c r="CM18" s="64">
        <f>IFERROR(INDEX(Benefit_Master!$G$4:$BC$135,MATCH($BN18,Benefit_Master!$BD$4:$BD$135,0),MATCH(CM$10,Benefit_Master!$G$3:$BC$3,0)),0)*AK18</f>
        <v>0</v>
      </c>
      <c r="CN18" s="66">
        <f t="shared" si="10"/>
        <v>0</v>
      </c>
      <c r="CO18" s="12" t="str">
        <f t="shared" si="11"/>
        <v/>
      </c>
      <c r="CP18" s="12" t="str">
        <f t="shared" si="12"/>
        <v/>
      </c>
    </row>
    <row r="19" spans="2:94" s="12" customFormat="1" ht="15" customHeight="1">
      <c r="B19" s="93">
        <f t="shared" si="13"/>
        <v>6</v>
      </c>
      <c r="C19" s="89"/>
      <c r="D19" s="97"/>
      <c r="E19" s="428"/>
      <c r="F19" s="425"/>
      <c r="G19" s="94" t="str">
        <f>IFERROR(VLOOKUP($F19,Master!$B$1:$C$7,2,0),"-")</f>
        <v>-</v>
      </c>
      <c r="H19" s="95">
        <f t="shared" si="14"/>
        <v>0</v>
      </c>
      <c r="I19" s="139">
        <f t="shared" si="15"/>
        <v>0</v>
      </c>
      <c r="J19" s="139">
        <f t="shared" si="16"/>
        <v>0</v>
      </c>
      <c r="K19" s="96"/>
      <c r="L19"/>
      <c r="M19" s="58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60">
        <f t="shared" si="17"/>
        <v>0</v>
      </c>
      <c r="Z19" s="58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60">
        <f t="shared" si="18"/>
        <v>0</v>
      </c>
      <c r="AM19"/>
      <c r="AN19" s="461">
        <f>IFERROR(INDEX('Labor Cost_Master'!$G$4:$BO$135,MATCH($BN19,'Labor Cost_Master'!$BD$4:$BD$135,0),MATCH(AN$10,'Labor Cost_Master'!$G$3:$BO$3,0)),0)*M19</f>
        <v>0</v>
      </c>
      <c r="AO19" s="64">
        <f>IFERROR(INDEX('Labor Cost_Master'!$G$4:$BO$135,MATCH($BN19,'Labor Cost_Master'!$BD$4:$BD$135,0),MATCH(AO$10,'Labor Cost_Master'!$G$3:$BO$3,0)),0)*N19</f>
        <v>0</v>
      </c>
      <c r="AP19" s="64">
        <f>IFERROR(INDEX('Labor Cost_Master'!$G$4:$BO$135,MATCH($BN19,'Labor Cost_Master'!$BD$4:$BD$135,0),MATCH(AP$10,'Labor Cost_Master'!$G$3:$BO$3,0)),0)*O19</f>
        <v>0</v>
      </c>
      <c r="AQ19" s="64">
        <f>IFERROR(INDEX('Labor Cost_Master'!$G$4:$BO$135,MATCH($BN19,'Labor Cost_Master'!$BD$4:$BD$135,0),MATCH(AQ$10,'Labor Cost_Master'!$G$3:$BO$3,0)),0)*P19</f>
        <v>0</v>
      </c>
      <c r="AR19" s="64">
        <f>IFERROR(INDEX('Labor Cost_Master'!$G$4:$BO$135,MATCH($BN19,'Labor Cost_Master'!$BD$4:$BD$135,0),MATCH(AR$10,'Labor Cost_Master'!$G$3:$BO$3,0)),0)*Q19</f>
        <v>0</v>
      </c>
      <c r="AS19" s="64">
        <f>IFERROR(INDEX('Labor Cost_Master'!$G$4:$BO$135,MATCH($BN19,'Labor Cost_Master'!$BD$4:$BD$135,0),MATCH(AS$10,'Labor Cost_Master'!$G$3:$BO$3,0)),0)*R19</f>
        <v>0</v>
      </c>
      <c r="AT19" s="64">
        <f>IFERROR(INDEX('Labor Cost_Master'!$G$4:$BO$135,MATCH($BN19,'Labor Cost_Master'!$BD$4:$BD$135,0),MATCH(AT$10,'Labor Cost_Master'!$G$3:$BO$3,0)),0)*S19</f>
        <v>0</v>
      </c>
      <c r="AU19" s="64">
        <f>IFERROR(INDEX('Labor Cost_Master'!$G$4:$BO$135,MATCH($BN19,'Labor Cost_Master'!$BD$4:$BD$135,0),MATCH(AU$10,'Labor Cost_Master'!$G$3:$BO$3,0)),0)*T19</f>
        <v>0</v>
      </c>
      <c r="AV19" s="64">
        <f>IFERROR(INDEX('Labor Cost_Master'!$G$4:$BO$135,MATCH($BN19,'Labor Cost_Master'!$BD$4:$BD$135,0),MATCH(AV$10,'Labor Cost_Master'!$G$3:$BO$3,0)),0)*U19</f>
        <v>0</v>
      </c>
      <c r="AW19" s="64">
        <f>IFERROR(INDEX('Labor Cost_Master'!$G$4:$BO$135,MATCH($BN19,'Labor Cost_Master'!$BD$4:$BD$135,0),MATCH(AW$10,'Labor Cost_Master'!$G$3:$BO$3,0)),0)*V19</f>
        <v>0</v>
      </c>
      <c r="AX19" s="64">
        <f>IFERROR(INDEX('Labor Cost_Master'!$G$4:$BO$135,MATCH($BN19,'Labor Cost_Master'!$BD$4:$BD$135,0),MATCH(AX$10,'Labor Cost_Master'!$G$3:$BO$3,0)),0)*W19</f>
        <v>0</v>
      </c>
      <c r="AY19" s="754">
        <f>IFERROR(INDEX('Labor Cost_Master'!$G$4:$BO$135,MATCH($BN19,'Labor Cost_Master'!$BD$4:$BD$135,0),MATCH(AY$10,'Labor Cost_Master'!$G$3:$BO$3,0)),0)*X19</f>
        <v>0</v>
      </c>
      <c r="AZ19" s="752">
        <f t="shared" si="6"/>
        <v>0</v>
      </c>
      <c r="BA19" s="64">
        <f>IFERROR(INDEX('Labor Cost_Master'!$G$4:$BC$135,MATCH($BN19,'Labor Cost_Master'!$BD$4:$BD$135,0),MATCH(#REF!,'Labor Cost_Master'!$G$3:$BC$3,0)),0)*Z19</f>
        <v>0</v>
      </c>
      <c r="BB19" s="64">
        <f>IFERROR(INDEX('Labor Cost_Master'!$G$4:$BC$135,MATCH($BN19,'Labor Cost_Master'!$BD$4:$BD$135,0),MATCH(#REF!,'Labor Cost_Master'!$G$3:$BC$3,0)),0)*AA19</f>
        <v>0</v>
      </c>
      <c r="BC19" s="64">
        <f>IFERROR(INDEX('Labor Cost_Master'!$G$4:$BC$135,MATCH($BN19,'Labor Cost_Master'!$BD$4:$BD$135,0),MATCH(#REF!,'Labor Cost_Master'!$G$3:$BC$3,0)),0)*AB19</f>
        <v>0</v>
      </c>
      <c r="BD19" s="64">
        <f>IFERROR(INDEX('Labor Cost_Master'!$G$4:$BC$135,MATCH($BN19,'Labor Cost_Master'!$BD$4:$BD$135,0),MATCH(#REF!,'Labor Cost_Master'!$G$3:$BC$3,0)),0)*AC19</f>
        <v>0</v>
      </c>
      <c r="BE19" s="64">
        <f>IFERROR(INDEX('Labor Cost_Master'!$G$4:$BC$135,MATCH($BN19,'Labor Cost_Master'!$BD$4:$BD$135,0),MATCH(#REF!,'Labor Cost_Master'!$G$3:$BC$3,0)),0)*AD19</f>
        <v>0</v>
      </c>
      <c r="BF19" s="64">
        <f>IFERROR(INDEX('Labor Cost_Master'!$G$4:$BC$135,MATCH($BN19,'Labor Cost_Master'!$BD$4:$BD$135,0),MATCH(#REF!,'Labor Cost_Master'!$G$3:$BC$3,0)),0)*AE19</f>
        <v>0</v>
      </c>
      <c r="BG19" s="64">
        <f>IFERROR(INDEX('Labor Cost_Master'!$G$4:$BC$135,MATCH($BN19,'Labor Cost_Master'!$BD$4:$BD$135,0),MATCH(#REF!,'Labor Cost_Master'!$G$3:$BC$3,0)),0)*AF19</f>
        <v>0</v>
      </c>
      <c r="BH19" s="64">
        <f>IFERROR(INDEX('Labor Cost_Master'!$G$4:$BC$135,MATCH($BN19,'Labor Cost_Master'!$BD$4:$BD$135,0),MATCH(#REF!,'Labor Cost_Master'!$G$3:$BC$3,0)),0)*AG19</f>
        <v>0</v>
      </c>
      <c r="BI19" s="64">
        <f>IFERROR(INDEX('Labor Cost_Master'!$G$4:$BC$135,MATCH($BN19,'Labor Cost_Master'!$BD$4:$BD$135,0),MATCH(#REF!,'Labor Cost_Master'!$G$3:$BC$3,0)),0)*AH19</f>
        <v>0</v>
      </c>
      <c r="BJ19" s="64">
        <f>IFERROR(INDEX('Labor Cost_Master'!$G$4:$BC$135,MATCH($BN19,'Labor Cost_Master'!$BD$4:$BD$135,0),MATCH(#REF!,'Labor Cost_Master'!$G$3:$BC$3,0)),0)*AI19</f>
        <v>0</v>
      </c>
      <c r="BK19" s="64">
        <f>IFERROR(INDEX('Labor Cost_Master'!$G$4:$BC$135,MATCH($BN19,'Labor Cost_Master'!$BD$4:$BD$135,0),MATCH(#REF!,'Labor Cost_Master'!$G$3:$BC$3,0)),0)*AJ19</f>
        <v>0</v>
      </c>
      <c r="BL19" s="64">
        <f>IFERROR(INDEX('Labor Cost_Master'!$G$4:$BC$135,MATCH($BN19,'Labor Cost_Master'!$BD$4:$BD$135,0),MATCH(#REF!,'Labor Cost_Master'!$G$3:$BC$3,0)),0)*AK19</f>
        <v>0</v>
      </c>
      <c r="BM19" s="66">
        <f t="shared" si="7"/>
        <v>0</v>
      </c>
      <c r="BN19" s="80" t="str">
        <f t="shared" si="8"/>
        <v/>
      </c>
      <c r="BO19" s="64">
        <f>IFERROR(INDEX(Benefit_Master!$G$4:$BC$135,MATCH($BN19,Benefit_Master!$BD$4:$BD$135,0),MATCH(BO$10,Benefit_Master!$G$3:$BC$3,0)),0)*M19</f>
        <v>0</v>
      </c>
      <c r="BP19" s="64">
        <f>IFERROR(INDEX(Benefit_Master!$G$4:$BC$135,MATCH($BN19,Benefit_Master!$BD$4:$BD$135,0),MATCH(BP$10,Benefit_Master!$G$3:$BC$3,0)),0)*N19</f>
        <v>0</v>
      </c>
      <c r="BQ19" s="64">
        <f>IFERROR(INDEX(Benefit_Master!$G$4:$BC$135,MATCH($BN19,Benefit_Master!$BD$4:$BD$135,0),MATCH(BQ$10,Benefit_Master!$G$3:$BC$3,0)),0)*O19</f>
        <v>0</v>
      </c>
      <c r="BR19" s="64">
        <f>IFERROR(INDEX(Benefit_Master!$G$4:$BC$135,MATCH($BN19,Benefit_Master!$BD$4:$BD$135,0),MATCH(BR$10,Benefit_Master!$G$3:$BC$3,0)),0)*P19</f>
        <v>0</v>
      </c>
      <c r="BS19" s="64">
        <f>IFERROR(INDEX(Benefit_Master!$G$4:$BC$135,MATCH($BN19,Benefit_Master!$BD$4:$BD$135,0),MATCH(BS$10,Benefit_Master!$G$3:$BC$3,0)),0)*Q19</f>
        <v>0</v>
      </c>
      <c r="BT19" s="64">
        <f>IFERROR(INDEX(Benefit_Master!$G$4:$BC$135,MATCH($BN19,Benefit_Master!$BD$4:$BD$135,0),MATCH(BT$10,Benefit_Master!$G$3:$BC$3,0)),0)*R19</f>
        <v>0</v>
      </c>
      <c r="BU19" s="64">
        <f>IFERROR(INDEX(Benefit_Master!$G$4:$BC$135,MATCH($BN19,Benefit_Master!$BD$4:$BD$135,0),MATCH(BU$10,Benefit_Master!$G$3:$BC$3,0)),0)*S19</f>
        <v>0</v>
      </c>
      <c r="BV19" s="64">
        <f>IFERROR(INDEX(Benefit_Master!$G$4:$BC$135,MATCH($BN19,Benefit_Master!$BD$4:$BD$135,0),MATCH(BV$10,Benefit_Master!$G$3:$BC$3,0)),0)*T19</f>
        <v>0</v>
      </c>
      <c r="BW19" s="64">
        <f>IFERROR(INDEX(Benefit_Master!$G$4:$BC$135,MATCH($BN19,Benefit_Master!$BD$4:$BD$135,0),MATCH(BW$10,Benefit_Master!$G$3:$BC$3,0)),0)*U19</f>
        <v>0</v>
      </c>
      <c r="BX19" s="64">
        <f>IFERROR(INDEX(Benefit_Master!$G$4:$BC$135,MATCH($BN19,Benefit_Master!$BD$4:$BD$135,0),MATCH(BX$10,Benefit_Master!$G$3:$BC$3,0)),0)*V19</f>
        <v>0</v>
      </c>
      <c r="BY19" s="64">
        <f>IFERROR(INDEX(Benefit_Master!$G$4:$BC$135,MATCH($BN19,Benefit_Master!$BD$4:$BD$135,0),MATCH(BY$10,Benefit_Master!$G$3:$BC$3,0)),0)*W19</f>
        <v>0</v>
      </c>
      <c r="BZ19" s="64">
        <f>IFERROR(INDEX(Benefit_Master!$G$4:$BC$135,MATCH($BN19,Benefit_Master!$BD$4:$BD$135,0),MATCH(BZ$10,Benefit_Master!$G$3:$BC$3,0)),0)*X19</f>
        <v>0</v>
      </c>
      <c r="CA19" s="66">
        <f t="shared" si="9"/>
        <v>0</v>
      </c>
      <c r="CB19" s="64">
        <f>IFERROR(INDEX(Benefit_Master!$G$4:$BC$135,MATCH($BN19,Benefit_Master!$BD$4:$BD$135,0),MATCH(CB$10,Benefit_Master!$G$3:$BC$3,0)),0)*Z19</f>
        <v>0</v>
      </c>
      <c r="CC19" s="64">
        <f>IFERROR(INDEX(Benefit_Master!$G$4:$BC$135,MATCH($BN19,Benefit_Master!$BD$4:$BD$135,0),MATCH(CC$10,Benefit_Master!$G$3:$BC$3,0)),0)*AA19</f>
        <v>0</v>
      </c>
      <c r="CD19" s="64">
        <f>IFERROR(INDEX(Benefit_Master!$G$4:$BC$135,MATCH($BN19,Benefit_Master!$BD$4:$BD$135,0),MATCH(CD$10,Benefit_Master!$G$3:$BC$3,0)),0)*AB19</f>
        <v>0</v>
      </c>
      <c r="CE19" s="64">
        <f>IFERROR(INDEX(Benefit_Master!$G$4:$BC$135,MATCH($BN19,Benefit_Master!$BD$4:$BD$135,0),MATCH(CE$10,Benefit_Master!$G$3:$BC$3,0)),0)*AC19</f>
        <v>0</v>
      </c>
      <c r="CF19" s="64">
        <f>IFERROR(INDEX(Benefit_Master!$G$4:$BC$135,MATCH($BN19,Benefit_Master!$BD$4:$BD$135,0),MATCH(CF$10,Benefit_Master!$G$3:$BC$3,0)),0)*AD19</f>
        <v>0</v>
      </c>
      <c r="CG19" s="64">
        <f>IFERROR(INDEX(Benefit_Master!$G$4:$BC$135,MATCH($BN19,Benefit_Master!$BD$4:$BD$135,0),MATCH(CG$10,Benefit_Master!$G$3:$BC$3,0)),0)*AE19</f>
        <v>0</v>
      </c>
      <c r="CH19" s="64">
        <f>IFERROR(INDEX(Benefit_Master!$G$4:$BC$135,MATCH($BN19,Benefit_Master!$BD$4:$BD$135,0),MATCH(CH$10,Benefit_Master!$G$3:$BC$3,0)),0)*AF19</f>
        <v>0</v>
      </c>
      <c r="CI19" s="64">
        <f>IFERROR(INDEX(Benefit_Master!$G$4:$BC$135,MATCH($BN19,Benefit_Master!$BD$4:$BD$135,0),MATCH(CI$10,Benefit_Master!$G$3:$BC$3,0)),0)*AG19</f>
        <v>0</v>
      </c>
      <c r="CJ19" s="64">
        <f>IFERROR(INDEX(Benefit_Master!$G$4:$BC$135,MATCH($BN19,Benefit_Master!$BD$4:$BD$135,0),MATCH(CJ$10,Benefit_Master!$G$3:$BC$3,0)),0)*AH19</f>
        <v>0</v>
      </c>
      <c r="CK19" s="64">
        <f>IFERROR(INDEX(Benefit_Master!$G$4:$BC$135,MATCH($BN19,Benefit_Master!$BD$4:$BD$135,0),MATCH(CK$10,Benefit_Master!$G$3:$BC$3,0)),0)*AI19</f>
        <v>0</v>
      </c>
      <c r="CL19" s="64">
        <f>IFERROR(INDEX(Benefit_Master!$G$4:$BC$135,MATCH($BN19,Benefit_Master!$BD$4:$BD$135,0),MATCH(CL$10,Benefit_Master!$G$3:$BC$3,0)),0)*AJ19</f>
        <v>0</v>
      </c>
      <c r="CM19" s="64">
        <f>IFERROR(INDEX(Benefit_Master!$G$4:$BC$135,MATCH($BN19,Benefit_Master!$BD$4:$BD$135,0),MATCH(CM$10,Benefit_Master!$G$3:$BC$3,0)),0)*AK19</f>
        <v>0</v>
      </c>
      <c r="CN19" s="66">
        <f t="shared" si="10"/>
        <v>0</v>
      </c>
      <c r="CO19" s="12" t="str">
        <f t="shared" si="11"/>
        <v/>
      </c>
      <c r="CP19" s="12" t="str">
        <f t="shared" si="12"/>
        <v/>
      </c>
    </row>
    <row r="20" spans="2:94" s="12" customFormat="1" ht="15" customHeight="1">
      <c r="B20" s="93">
        <f t="shared" si="13"/>
        <v>7</v>
      </c>
      <c r="C20" s="99"/>
      <c r="D20" s="99"/>
      <c r="E20" s="429"/>
      <c r="F20" s="426"/>
      <c r="G20" s="100" t="str">
        <f>IFERROR(VLOOKUP($F20,Master!$B$1:$C$7,2,0),"-")</f>
        <v>-</v>
      </c>
      <c r="H20" s="101">
        <f t="shared" si="14"/>
        <v>0</v>
      </c>
      <c r="I20" s="140">
        <f t="shared" si="15"/>
        <v>0</v>
      </c>
      <c r="J20" s="140">
        <f t="shared" si="16"/>
        <v>0</v>
      </c>
      <c r="K20" s="102"/>
      <c r="L20"/>
      <c r="M20" s="61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3">
        <f t="shared" si="17"/>
        <v>0</v>
      </c>
      <c r="Z20" s="61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3">
        <f t="shared" si="18"/>
        <v>0</v>
      </c>
      <c r="AM20"/>
      <c r="AN20" s="634">
        <f>IFERROR(INDEX('Labor Cost_Master'!$G$4:$BO$135,MATCH($BN20,'Labor Cost_Master'!$BD$4:$BD$135,0),MATCH(AN$10,'Labor Cost_Master'!$G$3:$BO$3,0)),0)*M20</f>
        <v>0</v>
      </c>
      <c r="AO20" s="462">
        <f>IFERROR(INDEX('Labor Cost_Master'!$G$4:$BO$135,MATCH($BN20,'Labor Cost_Master'!$BD$4:$BD$135,0),MATCH(AO$10,'Labor Cost_Master'!$G$3:$BO$3,0)),0)*N20</f>
        <v>0</v>
      </c>
      <c r="AP20" s="462">
        <f>IFERROR(INDEX('Labor Cost_Master'!$G$4:$BO$135,MATCH($BN20,'Labor Cost_Master'!$BD$4:$BD$135,0),MATCH(AP$10,'Labor Cost_Master'!$G$3:$BO$3,0)),0)*O20</f>
        <v>0</v>
      </c>
      <c r="AQ20" s="462">
        <f>IFERROR(INDEX('Labor Cost_Master'!$G$4:$BO$135,MATCH($BN20,'Labor Cost_Master'!$BD$4:$BD$135,0),MATCH(AQ$10,'Labor Cost_Master'!$G$3:$BO$3,0)),0)*P20</f>
        <v>0</v>
      </c>
      <c r="AR20" s="462">
        <f>IFERROR(INDEX('Labor Cost_Master'!$G$4:$BO$135,MATCH($BN20,'Labor Cost_Master'!$BD$4:$BD$135,0),MATCH(AR$10,'Labor Cost_Master'!$G$3:$BO$3,0)),0)*Q20</f>
        <v>0</v>
      </c>
      <c r="AS20" s="462">
        <f>IFERROR(INDEX('Labor Cost_Master'!$G$4:$BO$135,MATCH($BN20,'Labor Cost_Master'!$BD$4:$BD$135,0),MATCH(AS$10,'Labor Cost_Master'!$G$3:$BO$3,0)),0)*R20</f>
        <v>0</v>
      </c>
      <c r="AT20" s="462">
        <f>IFERROR(INDEX('Labor Cost_Master'!$G$4:$BO$135,MATCH($BN20,'Labor Cost_Master'!$BD$4:$BD$135,0),MATCH(AT$10,'Labor Cost_Master'!$G$3:$BO$3,0)),0)*S20</f>
        <v>0</v>
      </c>
      <c r="AU20" s="462">
        <f>IFERROR(INDEX('Labor Cost_Master'!$G$4:$BO$135,MATCH($BN20,'Labor Cost_Master'!$BD$4:$BD$135,0),MATCH(AU$10,'Labor Cost_Master'!$G$3:$BO$3,0)),0)*T20</f>
        <v>0</v>
      </c>
      <c r="AV20" s="462">
        <f>IFERROR(INDEX('Labor Cost_Master'!$G$4:$BO$135,MATCH($BN20,'Labor Cost_Master'!$BD$4:$BD$135,0),MATCH(AV$10,'Labor Cost_Master'!$G$3:$BO$3,0)),0)*U20</f>
        <v>0</v>
      </c>
      <c r="AW20" s="462">
        <f>IFERROR(INDEX('Labor Cost_Master'!$G$4:$BO$135,MATCH($BN20,'Labor Cost_Master'!$BD$4:$BD$135,0),MATCH(AW$10,'Labor Cost_Master'!$G$3:$BO$3,0)),0)*V20</f>
        <v>0</v>
      </c>
      <c r="AX20" s="462">
        <f>IFERROR(INDEX('Labor Cost_Master'!$G$4:$BO$135,MATCH($BN20,'Labor Cost_Master'!$BD$4:$BD$135,0),MATCH(AX$10,'Labor Cost_Master'!$G$3:$BO$3,0)),0)*W20</f>
        <v>0</v>
      </c>
      <c r="AY20" s="755">
        <f>IFERROR(INDEX('Labor Cost_Master'!$G$4:$BO$135,MATCH($BN20,'Labor Cost_Master'!$BD$4:$BD$135,0),MATCH(AY$10,'Labor Cost_Master'!$G$3:$BO$3,0)),0)*X20</f>
        <v>0</v>
      </c>
      <c r="AZ20" s="753">
        <f t="shared" si="6"/>
        <v>0</v>
      </c>
      <c r="BA20" s="462">
        <f>IFERROR(INDEX('Labor Cost_Master'!$G$4:$BC$135,MATCH($BN20,'Labor Cost_Master'!$BD$4:$BD$135,0),MATCH(#REF!,'Labor Cost_Master'!$G$3:$BC$3,0)),0)*Z20</f>
        <v>0</v>
      </c>
      <c r="BB20" s="462">
        <f>IFERROR(INDEX('Labor Cost_Master'!$G$4:$BC$135,MATCH($BN20,'Labor Cost_Master'!$BD$4:$BD$135,0),MATCH(#REF!,'Labor Cost_Master'!$G$3:$BC$3,0)),0)*AA20</f>
        <v>0</v>
      </c>
      <c r="BC20" s="462">
        <f>IFERROR(INDEX('Labor Cost_Master'!$G$4:$BC$135,MATCH($BN20,'Labor Cost_Master'!$BD$4:$BD$135,0),MATCH(#REF!,'Labor Cost_Master'!$G$3:$BC$3,0)),0)*AB20</f>
        <v>0</v>
      </c>
      <c r="BD20" s="462">
        <f>IFERROR(INDEX('Labor Cost_Master'!$G$4:$BC$135,MATCH($BN20,'Labor Cost_Master'!$BD$4:$BD$135,0),MATCH(#REF!,'Labor Cost_Master'!$G$3:$BC$3,0)),0)*AC20</f>
        <v>0</v>
      </c>
      <c r="BE20" s="462">
        <f>IFERROR(INDEX('Labor Cost_Master'!$G$4:$BC$135,MATCH($BN20,'Labor Cost_Master'!$BD$4:$BD$135,0),MATCH(#REF!,'Labor Cost_Master'!$G$3:$BC$3,0)),0)*AD20</f>
        <v>0</v>
      </c>
      <c r="BF20" s="462">
        <f>IFERROR(INDEX('Labor Cost_Master'!$G$4:$BC$135,MATCH($BN20,'Labor Cost_Master'!$BD$4:$BD$135,0),MATCH(#REF!,'Labor Cost_Master'!$G$3:$BC$3,0)),0)*AE20</f>
        <v>0</v>
      </c>
      <c r="BG20" s="462">
        <f>IFERROR(INDEX('Labor Cost_Master'!$G$4:$BC$135,MATCH($BN20,'Labor Cost_Master'!$BD$4:$BD$135,0),MATCH(#REF!,'Labor Cost_Master'!$G$3:$BC$3,0)),0)*AF20</f>
        <v>0</v>
      </c>
      <c r="BH20" s="462">
        <f>IFERROR(INDEX('Labor Cost_Master'!$G$4:$BC$135,MATCH($BN20,'Labor Cost_Master'!$BD$4:$BD$135,0),MATCH(#REF!,'Labor Cost_Master'!$G$3:$BC$3,0)),0)*AG20</f>
        <v>0</v>
      </c>
      <c r="BI20" s="462">
        <f>IFERROR(INDEX('Labor Cost_Master'!$G$4:$BC$135,MATCH($BN20,'Labor Cost_Master'!$BD$4:$BD$135,0),MATCH(#REF!,'Labor Cost_Master'!$G$3:$BC$3,0)),0)*AH20</f>
        <v>0</v>
      </c>
      <c r="BJ20" s="462">
        <f>IFERROR(INDEX('Labor Cost_Master'!$G$4:$BC$135,MATCH($BN20,'Labor Cost_Master'!$BD$4:$BD$135,0),MATCH(#REF!,'Labor Cost_Master'!$G$3:$BC$3,0)),0)*AI20</f>
        <v>0</v>
      </c>
      <c r="BK20" s="462">
        <f>IFERROR(INDEX('Labor Cost_Master'!$G$4:$BC$135,MATCH($BN20,'Labor Cost_Master'!$BD$4:$BD$135,0),MATCH(#REF!,'Labor Cost_Master'!$G$3:$BC$3,0)),0)*AJ20</f>
        <v>0</v>
      </c>
      <c r="BL20" s="462">
        <f>IFERROR(INDEX('Labor Cost_Master'!$G$4:$BC$135,MATCH($BN20,'Labor Cost_Master'!$BD$4:$BD$135,0),MATCH(#REF!,'Labor Cost_Master'!$G$3:$BC$3,0)),0)*AK20</f>
        <v>0</v>
      </c>
      <c r="BM20" s="67">
        <f t="shared" si="7"/>
        <v>0</v>
      </c>
      <c r="BN20" s="80" t="str">
        <f t="shared" si="8"/>
        <v/>
      </c>
      <c r="BO20" s="462">
        <f>IFERROR(INDEX(Benefit_Master!$G$4:$BC$135,MATCH($BN20,Benefit_Master!$BD$4:$BD$135,0),MATCH(BO$10,Benefit_Master!$G$3:$BC$3,0)),0)*M20</f>
        <v>0</v>
      </c>
      <c r="BP20" s="462">
        <f>IFERROR(INDEX(Benefit_Master!$G$4:$BC$135,MATCH($BN20,Benefit_Master!$BD$4:$BD$135,0),MATCH(BP$10,Benefit_Master!$G$3:$BC$3,0)),0)*N20</f>
        <v>0</v>
      </c>
      <c r="BQ20" s="462">
        <f>IFERROR(INDEX(Benefit_Master!$G$4:$BC$135,MATCH($BN20,Benefit_Master!$BD$4:$BD$135,0),MATCH(BQ$10,Benefit_Master!$G$3:$BC$3,0)),0)*O20</f>
        <v>0</v>
      </c>
      <c r="BR20" s="462">
        <f>IFERROR(INDEX(Benefit_Master!$G$4:$BC$135,MATCH($BN20,Benefit_Master!$BD$4:$BD$135,0),MATCH(BR$10,Benefit_Master!$G$3:$BC$3,0)),0)*P20</f>
        <v>0</v>
      </c>
      <c r="BS20" s="462">
        <f>IFERROR(INDEX(Benefit_Master!$G$4:$BC$135,MATCH($BN20,Benefit_Master!$BD$4:$BD$135,0),MATCH(BS$10,Benefit_Master!$G$3:$BC$3,0)),0)*Q20</f>
        <v>0</v>
      </c>
      <c r="BT20" s="462">
        <f>IFERROR(INDEX(Benefit_Master!$G$4:$BC$135,MATCH($BN20,Benefit_Master!$BD$4:$BD$135,0),MATCH(BT$10,Benefit_Master!$G$3:$BC$3,0)),0)*R20</f>
        <v>0</v>
      </c>
      <c r="BU20" s="462">
        <f>IFERROR(INDEX(Benefit_Master!$G$4:$BC$135,MATCH($BN20,Benefit_Master!$BD$4:$BD$135,0),MATCH(BU$10,Benefit_Master!$G$3:$BC$3,0)),0)*S20</f>
        <v>0</v>
      </c>
      <c r="BV20" s="462">
        <f>IFERROR(INDEX(Benefit_Master!$G$4:$BC$135,MATCH($BN20,Benefit_Master!$BD$4:$BD$135,0),MATCH(BV$10,Benefit_Master!$G$3:$BC$3,0)),0)*T20</f>
        <v>0</v>
      </c>
      <c r="BW20" s="462">
        <f>IFERROR(INDEX(Benefit_Master!$G$4:$BC$135,MATCH($BN20,Benefit_Master!$BD$4:$BD$135,0),MATCH(BW$10,Benefit_Master!$G$3:$BC$3,0)),0)*U20</f>
        <v>0</v>
      </c>
      <c r="BX20" s="462">
        <f>IFERROR(INDEX(Benefit_Master!$G$4:$BC$135,MATCH($BN20,Benefit_Master!$BD$4:$BD$135,0),MATCH(BX$10,Benefit_Master!$G$3:$BC$3,0)),0)*V20</f>
        <v>0</v>
      </c>
      <c r="BY20" s="462">
        <f>IFERROR(INDEX(Benefit_Master!$G$4:$BC$135,MATCH($BN20,Benefit_Master!$BD$4:$BD$135,0),MATCH(BY$10,Benefit_Master!$G$3:$BC$3,0)),0)*W20</f>
        <v>0</v>
      </c>
      <c r="BZ20" s="462">
        <f>IFERROR(INDEX(Benefit_Master!$G$4:$BC$135,MATCH($BN20,Benefit_Master!$BD$4:$BD$135,0),MATCH(BZ$10,Benefit_Master!$G$3:$BC$3,0)),0)*X20</f>
        <v>0</v>
      </c>
      <c r="CA20" s="67">
        <f t="shared" si="9"/>
        <v>0</v>
      </c>
      <c r="CB20" s="462">
        <f>IFERROR(INDEX(Benefit_Master!$G$4:$BC$135,MATCH($BN20,Benefit_Master!$BD$4:$BD$135,0),MATCH(CB$10,Benefit_Master!$G$3:$BC$3,0)),0)*Z20</f>
        <v>0</v>
      </c>
      <c r="CC20" s="462">
        <f>IFERROR(INDEX(Benefit_Master!$G$4:$BC$135,MATCH($BN20,Benefit_Master!$BD$4:$BD$135,0),MATCH(CC$10,Benefit_Master!$G$3:$BC$3,0)),0)*AA20</f>
        <v>0</v>
      </c>
      <c r="CD20" s="462">
        <f>IFERROR(INDEX(Benefit_Master!$G$4:$BC$135,MATCH($BN20,Benefit_Master!$BD$4:$BD$135,0),MATCH(CD$10,Benefit_Master!$G$3:$BC$3,0)),0)*AB20</f>
        <v>0</v>
      </c>
      <c r="CE20" s="462">
        <f>IFERROR(INDEX(Benefit_Master!$G$4:$BC$135,MATCH($BN20,Benefit_Master!$BD$4:$BD$135,0),MATCH(CE$10,Benefit_Master!$G$3:$BC$3,0)),0)*AC20</f>
        <v>0</v>
      </c>
      <c r="CF20" s="462">
        <f>IFERROR(INDEX(Benefit_Master!$G$4:$BC$135,MATCH($BN20,Benefit_Master!$BD$4:$BD$135,0),MATCH(CF$10,Benefit_Master!$G$3:$BC$3,0)),0)*AD20</f>
        <v>0</v>
      </c>
      <c r="CG20" s="462">
        <f>IFERROR(INDEX(Benefit_Master!$G$4:$BC$135,MATCH($BN20,Benefit_Master!$BD$4:$BD$135,0),MATCH(CG$10,Benefit_Master!$G$3:$BC$3,0)),0)*AE20</f>
        <v>0</v>
      </c>
      <c r="CH20" s="462">
        <f>IFERROR(INDEX(Benefit_Master!$G$4:$BC$135,MATCH($BN20,Benefit_Master!$BD$4:$BD$135,0),MATCH(CH$10,Benefit_Master!$G$3:$BC$3,0)),0)*AF20</f>
        <v>0</v>
      </c>
      <c r="CI20" s="462">
        <f>IFERROR(INDEX(Benefit_Master!$G$4:$BC$135,MATCH($BN20,Benefit_Master!$BD$4:$BD$135,0),MATCH(CI$10,Benefit_Master!$G$3:$BC$3,0)),0)*AG20</f>
        <v>0</v>
      </c>
      <c r="CJ20" s="462">
        <f>IFERROR(INDEX(Benefit_Master!$G$4:$BC$135,MATCH($BN20,Benefit_Master!$BD$4:$BD$135,0),MATCH(CJ$10,Benefit_Master!$G$3:$BC$3,0)),0)*AH20</f>
        <v>0</v>
      </c>
      <c r="CK20" s="462">
        <f>IFERROR(INDEX(Benefit_Master!$G$4:$BC$135,MATCH($BN20,Benefit_Master!$BD$4:$BD$135,0),MATCH(CK$10,Benefit_Master!$G$3:$BC$3,0)),0)*AI20</f>
        <v>0</v>
      </c>
      <c r="CL20" s="462">
        <f>IFERROR(INDEX(Benefit_Master!$G$4:$BC$135,MATCH($BN20,Benefit_Master!$BD$4:$BD$135,0),MATCH(CL$10,Benefit_Master!$G$3:$BC$3,0)),0)*AJ20</f>
        <v>0</v>
      </c>
      <c r="CM20" s="462">
        <f>IFERROR(INDEX(Benefit_Master!$G$4:$BC$135,MATCH($BN20,Benefit_Master!$BD$4:$BD$135,0),MATCH(CM$10,Benefit_Master!$G$3:$BC$3,0)),0)*AK20</f>
        <v>0</v>
      </c>
      <c r="CN20" s="67">
        <f t="shared" si="10"/>
        <v>0</v>
      </c>
      <c r="CO20" s="12" t="str">
        <f t="shared" si="11"/>
        <v/>
      </c>
      <c r="CP20" s="12" t="str">
        <f t="shared" si="12"/>
        <v/>
      </c>
    </row>
    <row r="21" spans="2:94" ht="15" customHeight="1"/>
    <row r="22" spans="2:94" ht="15" customHeight="1">
      <c r="B22" s="7" t="s">
        <v>480</v>
      </c>
    </row>
    <row r="23" spans="2:94" ht="15" customHeight="1">
      <c r="B23" s="1478" t="s">
        <v>118</v>
      </c>
      <c r="C23" s="1479" t="s">
        <v>482</v>
      </c>
      <c r="D23" s="612" t="s">
        <v>487</v>
      </c>
      <c r="E23" s="613" t="s">
        <v>489</v>
      </c>
      <c r="F23" s="10"/>
      <c r="G23" s="10"/>
    </row>
    <row r="24" spans="2:94" ht="15" customHeight="1">
      <c r="B24" s="1482" t="s">
        <v>485</v>
      </c>
      <c r="C24" s="1483" t="s">
        <v>484</v>
      </c>
      <c r="D24" s="298" t="s">
        <v>483</v>
      </c>
      <c r="E24" s="859"/>
      <c r="F24" s="10"/>
      <c r="G24" s="10"/>
    </row>
    <row r="25" spans="2:94" ht="15" customHeight="1">
      <c r="B25" s="1484" t="s">
        <v>486</v>
      </c>
      <c r="C25" s="1485"/>
      <c r="D25" s="299" t="s">
        <v>488</v>
      </c>
      <c r="E25" s="860"/>
      <c r="F25" s="10"/>
      <c r="G25" s="10"/>
    </row>
    <row r="26" spans="2:94" ht="15" customHeight="1">
      <c r="B26" s="1486" t="s">
        <v>296</v>
      </c>
      <c r="C26" s="1487"/>
      <c r="D26" s="300"/>
      <c r="E26" s="310">
        <f>SUM(E24:E25)</f>
        <v>0</v>
      </c>
      <c r="F26" s="10"/>
      <c r="G26" s="10"/>
    </row>
    <row r="27" spans="2:94" ht="15" customHeight="1"/>
    <row r="28" spans="2:94" ht="15" customHeight="1">
      <c r="D28" s="464" t="s">
        <v>492</v>
      </c>
      <c r="E28" s="464" t="b">
        <f>+E26+G8=C2</f>
        <v>1</v>
      </c>
    </row>
    <row r="29" spans="2:94" ht="15" customHeight="1"/>
    <row r="30" spans="2:94" ht="15" customHeight="1"/>
    <row r="31" spans="2:94" ht="15" customHeight="1"/>
    <row r="32" spans="2:9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mergeCells count="22">
    <mergeCell ref="B4:C4"/>
    <mergeCell ref="B5:C5"/>
    <mergeCell ref="B6:C6"/>
    <mergeCell ref="B7:C7"/>
    <mergeCell ref="B8:C8"/>
    <mergeCell ref="Z11:AL11"/>
    <mergeCell ref="B13:D13"/>
    <mergeCell ref="J11:J12"/>
    <mergeCell ref="K11:K12"/>
    <mergeCell ref="D11:D12"/>
    <mergeCell ref="E11:E12"/>
    <mergeCell ref="F11:F12"/>
    <mergeCell ref="G11:G12"/>
    <mergeCell ref="H11:H12"/>
    <mergeCell ref="I11:I12"/>
    <mergeCell ref="B11:B12"/>
    <mergeCell ref="C11:C12"/>
    <mergeCell ref="B23:C23"/>
    <mergeCell ref="B24:C24"/>
    <mergeCell ref="B25:C25"/>
    <mergeCell ref="B26:C26"/>
    <mergeCell ref="M11:Y11"/>
  </mergeCells>
  <phoneticPr fontId="1" type="noConversion"/>
  <conditionalFormatting sqref="B14:B20">
    <cfRule type="expression" dxfId="3" priority="3">
      <formula>$B14=0</formula>
    </cfRule>
  </conditionalFormatting>
  <conditionalFormatting sqref="G14:G20">
    <cfRule type="expression" dxfId="2" priority="1">
      <formula>$G14="-"</formula>
    </cfRule>
  </conditionalFormatting>
  <printOptions horizontalCentered="1"/>
  <pageMargins left="0.23622047244094491" right="0.23622047244094491" top="0.47244094488188981" bottom="0.47244094488188981" header="0.31496062992125984" footer="0.31496062992125984"/>
  <pageSetup paperSize="9" scale="59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Master!$B$9:$B$14</xm:f>
          </x14:formula1>
          <xm:sqref>E14:E20</xm:sqref>
        </x14:dataValidation>
        <x14:dataValidation type="list" allowBlank="1" showInputMessage="1" showErrorMessage="1">
          <x14:formula1>
            <xm:f>Master!$B$2:$B$6</xm:f>
          </x14:formula1>
          <xm:sqref>F14:F20</xm:sqref>
        </x14:dataValidation>
        <x14:dataValidation type="list" allowBlank="1" showInputMessage="1" showErrorMessage="1">
          <x14:formula1>
            <xm:f>Master!$N$2:$N$20</xm:f>
          </x14:formula1>
          <xm:sqref>D14:D20</xm:sqref>
        </x14:dataValidation>
        <x14:dataValidation type="list" allowBlank="1" showInputMessage="1" showErrorMessage="1">
          <x14:formula1>
            <xm:f>Master!$A$2:$A$12</xm:f>
          </x14:formula1>
          <xm:sqref>C14:C20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B1:L37"/>
  <sheetViews>
    <sheetView showGridLines="0" zoomScaleNormal="100" workbookViewId="0">
      <selection activeCell="E6" sqref="E6"/>
    </sheetView>
  </sheetViews>
  <sheetFormatPr defaultColWidth="8.5625" defaultRowHeight="13.15"/>
  <cols>
    <col min="1" max="1" width="0.5625" style="5" customWidth="1"/>
    <col min="2" max="2" width="4.3125" style="5" customWidth="1"/>
    <col min="3" max="3" width="22.8125" style="6" customWidth="1"/>
    <col min="4" max="4" width="12.3125" style="54" customWidth="1"/>
    <col min="5" max="5" width="12.3125" style="1103" customWidth="1"/>
    <col min="6" max="6" width="12.3125" style="54" customWidth="1"/>
    <col min="7" max="7" width="12.3125" style="699" customWidth="1"/>
    <col min="8" max="8" width="13.9375" style="10" customWidth="1"/>
    <col min="9" max="9" width="14.0625" style="5" customWidth="1"/>
    <col min="10" max="11" width="12.0625" style="75" customWidth="1"/>
    <col min="12" max="12" width="34.5" style="9" customWidth="1"/>
    <col min="13" max="16384" width="8.5625" style="5"/>
  </cols>
  <sheetData>
    <row r="1" spans="2:12">
      <c r="D1" s="866"/>
      <c r="F1" s="866"/>
      <c r="G1" s="866"/>
    </row>
    <row r="2" spans="2:12" ht="24" customHeight="1">
      <c r="B2" s="7" t="s">
        <v>148</v>
      </c>
      <c r="H2" s="5"/>
      <c r="J2" s="74"/>
      <c r="K2" s="74"/>
      <c r="L2" s="10"/>
    </row>
    <row r="3" spans="2:12" ht="15" customHeight="1">
      <c r="B3" s="8"/>
      <c r="C3" s="72" t="s">
        <v>119</v>
      </c>
      <c r="H3" s="116">
        <f>SUBTOTAL(9,H6:H17)</f>
        <v>0</v>
      </c>
      <c r="I3" s="117">
        <f>SUBTOTAL(9,I6:I17)</f>
        <v>0</v>
      </c>
      <c r="J3" s="74"/>
      <c r="K3" s="74"/>
      <c r="L3" s="10"/>
    </row>
    <row r="4" spans="2:12" s="76" customFormat="1" ht="17.25" customHeight="1">
      <c r="B4" s="1493" t="s">
        <v>101</v>
      </c>
      <c r="C4" s="1493" t="s">
        <v>100</v>
      </c>
      <c r="D4" s="1493" t="s">
        <v>85</v>
      </c>
      <c r="E4" s="1509" t="s">
        <v>1011</v>
      </c>
      <c r="F4" s="1509" t="s">
        <v>123</v>
      </c>
      <c r="G4" s="1509" t="s">
        <v>614</v>
      </c>
      <c r="H4" s="1491" t="s">
        <v>122</v>
      </c>
      <c r="I4" s="1497" t="s">
        <v>201</v>
      </c>
      <c r="J4" s="1519" t="s">
        <v>124</v>
      </c>
      <c r="K4" s="1517" t="s">
        <v>121</v>
      </c>
      <c r="L4" s="1493" t="s">
        <v>120</v>
      </c>
    </row>
    <row r="5" spans="2:12" s="6" customFormat="1" ht="17.25" customHeight="1">
      <c r="B5" s="1494"/>
      <c r="C5" s="1494"/>
      <c r="D5" s="1494"/>
      <c r="E5" s="1510"/>
      <c r="F5" s="1510"/>
      <c r="G5" s="1510"/>
      <c r="H5" s="1492"/>
      <c r="I5" s="1498"/>
      <c r="J5" s="1520"/>
      <c r="K5" s="1518"/>
      <c r="L5" s="1494"/>
    </row>
    <row r="6" spans="2:12" s="77" customFormat="1" ht="15.7" customHeight="1">
      <c r="B6" s="88">
        <v>1</v>
      </c>
      <c r="C6" s="89"/>
      <c r="D6" s="1180"/>
      <c r="E6" s="103"/>
      <c r="F6" s="103"/>
      <c r="G6" s="103"/>
      <c r="H6" s="104"/>
      <c r="I6" s="105"/>
      <c r="J6" s="106"/>
      <c r="K6" s="106"/>
      <c r="L6" s="92"/>
    </row>
    <row r="7" spans="2:12" s="77" customFormat="1" ht="15.7" customHeight="1">
      <c r="B7" s="93">
        <f t="shared" ref="B7:B17" si="0">IF(I7&gt;0,B6+1,)</f>
        <v>0</v>
      </c>
      <c r="C7" s="89"/>
      <c r="D7" s="1180"/>
      <c r="E7" s="103"/>
      <c r="F7" s="103"/>
      <c r="G7" s="103"/>
      <c r="H7" s="107"/>
      <c r="I7" s="105"/>
      <c r="J7" s="106"/>
      <c r="K7" s="106"/>
      <c r="L7" s="96"/>
    </row>
    <row r="8" spans="2:12" s="77" customFormat="1" ht="15.7" customHeight="1">
      <c r="B8" s="93">
        <f t="shared" si="0"/>
        <v>0</v>
      </c>
      <c r="C8" s="89"/>
      <c r="D8" s="1180"/>
      <c r="E8" s="103"/>
      <c r="F8" s="103"/>
      <c r="G8" s="103"/>
      <c r="H8" s="107"/>
      <c r="I8" s="105"/>
      <c r="J8" s="109"/>
      <c r="K8" s="109"/>
      <c r="L8" s="96"/>
    </row>
    <row r="9" spans="2:12" s="77" customFormat="1" ht="15.7" customHeight="1">
      <c r="B9" s="93">
        <f t="shared" si="0"/>
        <v>0</v>
      </c>
      <c r="C9" s="89"/>
      <c r="D9" s="1180"/>
      <c r="E9" s="103"/>
      <c r="F9" s="103"/>
      <c r="G9" s="103"/>
      <c r="H9" s="107"/>
      <c r="I9" s="105"/>
      <c r="J9" s="109"/>
      <c r="K9" s="109"/>
      <c r="L9" s="96"/>
    </row>
    <row r="10" spans="2:12" s="77" customFormat="1" ht="15.7" customHeight="1">
      <c r="B10" s="93">
        <f t="shared" si="0"/>
        <v>0</v>
      </c>
      <c r="C10" s="89"/>
      <c r="D10" s="1180"/>
      <c r="E10" s="103"/>
      <c r="F10" s="103"/>
      <c r="G10" s="103"/>
      <c r="H10" s="107"/>
      <c r="I10" s="105"/>
      <c r="J10" s="109"/>
      <c r="K10" s="109"/>
      <c r="L10" s="96"/>
    </row>
    <row r="11" spans="2:12" s="77" customFormat="1" ht="15.7" customHeight="1">
      <c r="B11" s="93">
        <f t="shared" si="0"/>
        <v>0</v>
      </c>
      <c r="C11" s="89"/>
      <c r="D11" s="1180"/>
      <c r="E11" s="103"/>
      <c r="F11" s="103"/>
      <c r="G11" s="103"/>
      <c r="H11" s="107"/>
      <c r="I11" s="105"/>
      <c r="J11" s="109"/>
      <c r="K11" s="109"/>
      <c r="L11" s="96"/>
    </row>
    <row r="12" spans="2:12" s="77" customFormat="1" ht="15.7" customHeight="1">
      <c r="B12" s="93">
        <f t="shared" si="0"/>
        <v>0</v>
      </c>
      <c r="C12" s="89"/>
      <c r="D12" s="1180"/>
      <c r="E12" s="103"/>
      <c r="F12" s="110"/>
      <c r="G12" s="103"/>
      <c r="H12" s="107"/>
      <c r="I12" s="105"/>
      <c r="J12" s="109"/>
      <c r="K12" s="109"/>
      <c r="L12" s="96"/>
    </row>
    <row r="13" spans="2:12" s="77" customFormat="1" ht="15.7" customHeight="1">
      <c r="B13" s="93">
        <f t="shared" si="0"/>
        <v>0</v>
      </c>
      <c r="C13" s="89"/>
      <c r="D13" s="1180"/>
      <c r="E13" s="103"/>
      <c r="F13" s="110"/>
      <c r="G13" s="103"/>
      <c r="H13" s="107"/>
      <c r="I13" s="105"/>
      <c r="J13" s="109"/>
      <c r="K13" s="109"/>
      <c r="L13" s="96"/>
    </row>
    <row r="14" spans="2:12" s="77" customFormat="1" ht="15.7" customHeight="1">
      <c r="B14" s="93">
        <f t="shared" si="0"/>
        <v>0</v>
      </c>
      <c r="C14" s="89"/>
      <c r="D14" s="1180"/>
      <c r="E14" s="103"/>
      <c r="F14" s="110"/>
      <c r="G14" s="103"/>
      <c r="H14" s="107"/>
      <c r="I14" s="105"/>
      <c r="J14" s="109"/>
      <c r="K14" s="109"/>
      <c r="L14" s="96"/>
    </row>
    <row r="15" spans="2:12" s="77" customFormat="1" ht="15.7" customHeight="1">
      <c r="B15" s="93">
        <f t="shared" si="0"/>
        <v>0</v>
      </c>
      <c r="C15" s="89"/>
      <c r="D15" s="1180"/>
      <c r="E15" s="103"/>
      <c r="F15" s="110"/>
      <c r="G15" s="103"/>
      <c r="H15" s="107"/>
      <c r="I15" s="105"/>
      <c r="J15" s="109"/>
      <c r="K15" s="109"/>
      <c r="L15" s="96"/>
    </row>
    <row r="16" spans="2:12" s="77" customFormat="1" ht="15.7" customHeight="1">
      <c r="B16" s="93">
        <f t="shared" si="0"/>
        <v>0</v>
      </c>
      <c r="C16" s="89"/>
      <c r="D16" s="1180"/>
      <c r="E16" s="103"/>
      <c r="F16" s="110"/>
      <c r="G16" s="103"/>
      <c r="H16" s="107"/>
      <c r="I16" s="108"/>
      <c r="J16" s="109"/>
      <c r="K16" s="109"/>
      <c r="L16" s="96"/>
    </row>
    <row r="17" spans="2:12" s="77" customFormat="1" ht="15.7" customHeight="1">
      <c r="B17" s="98">
        <f t="shared" si="0"/>
        <v>0</v>
      </c>
      <c r="C17" s="111"/>
      <c r="D17" s="740"/>
      <c r="E17" s="1102"/>
      <c r="F17" s="112"/>
      <c r="G17" s="112"/>
      <c r="H17" s="113"/>
      <c r="I17" s="114"/>
      <c r="J17" s="115"/>
      <c r="K17" s="115"/>
      <c r="L17" s="102"/>
    </row>
    <row r="18" spans="2:12" ht="15.75" customHeight="1"/>
    <row r="19" spans="2:12" ht="24" customHeight="1">
      <c r="B19" s="7" t="s">
        <v>1090</v>
      </c>
      <c r="H19" s="5"/>
      <c r="J19" s="74"/>
      <c r="K19" s="74"/>
      <c r="L19" s="10"/>
    </row>
    <row r="20" spans="2:12" s="76" customFormat="1" ht="17.55" customHeight="1">
      <c r="B20" s="463" t="s">
        <v>1094</v>
      </c>
      <c r="C20" s="6"/>
      <c r="D20" s="6"/>
      <c r="E20" s="6"/>
      <c r="F20" s="6"/>
      <c r="G20" s="6"/>
      <c r="J20" s="75"/>
      <c r="K20" s="75"/>
      <c r="L20" s="9"/>
    </row>
    <row r="21" spans="2:12" ht="15" customHeight="1">
      <c r="B21" s="8"/>
      <c r="C21" s="72" t="s">
        <v>119</v>
      </c>
      <c r="H21" s="116"/>
      <c r="J21" s="117">
        <f>SUBTOTAL(9,J24:J37)</f>
        <v>0</v>
      </c>
      <c r="K21" s="74"/>
      <c r="L21" s="10"/>
    </row>
    <row r="22" spans="2:12" ht="17.25" customHeight="1">
      <c r="B22" s="1493" t="s">
        <v>101</v>
      </c>
      <c r="C22" s="1493" t="s">
        <v>100</v>
      </c>
      <c r="D22" s="1493" t="s">
        <v>85</v>
      </c>
      <c r="E22" s="1509" t="s">
        <v>1011</v>
      </c>
      <c r="F22" s="1509" t="s">
        <v>123</v>
      </c>
      <c r="G22" s="1511" t="s">
        <v>203</v>
      </c>
      <c r="H22" s="1512"/>
      <c r="I22" s="1513"/>
      <c r="J22" s="1497" t="s">
        <v>201</v>
      </c>
      <c r="K22" s="1517" t="s">
        <v>202</v>
      </c>
      <c r="L22" s="1509" t="s">
        <v>99</v>
      </c>
    </row>
    <row r="23" spans="2:12" ht="17.25" customHeight="1">
      <c r="B23" s="1494"/>
      <c r="C23" s="1494"/>
      <c r="D23" s="1494"/>
      <c r="E23" s="1510"/>
      <c r="F23" s="1510"/>
      <c r="G23" s="1514"/>
      <c r="H23" s="1515"/>
      <c r="I23" s="1516"/>
      <c r="J23" s="1498"/>
      <c r="K23" s="1518"/>
      <c r="L23" s="1510"/>
    </row>
    <row r="24" spans="2:12" ht="15.7" customHeight="1">
      <c r="B24" s="88">
        <v>1</v>
      </c>
      <c r="C24" s="89"/>
      <c r="D24" s="1180"/>
      <c r="E24" s="103"/>
      <c r="F24" s="92"/>
      <c r="G24" s="1521"/>
      <c r="H24" s="1522"/>
      <c r="I24" s="1523"/>
      <c r="J24" s="105"/>
      <c r="K24" s="761"/>
      <c r="L24" s="92"/>
    </row>
    <row r="25" spans="2:12" ht="15.7" customHeight="1">
      <c r="B25" s="93">
        <v>2</v>
      </c>
      <c r="C25" s="89"/>
      <c r="D25" s="1180"/>
      <c r="E25" s="89"/>
      <c r="F25" s="96"/>
      <c r="G25" s="1521"/>
      <c r="H25" s="1522"/>
      <c r="I25" s="1523"/>
      <c r="J25" s="108"/>
      <c r="K25" s="761"/>
      <c r="L25" s="96"/>
    </row>
    <row r="26" spans="2:12" ht="15.7" customHeight="1">
      <c r="B26" s="88">
        <v>3</v>
      </c>
      <c r="C26" s="89"/>
      <c r="D26" s="1180"/>
      <c r="E26" s="89"/>
      <c r="F26" s="96"/>
      <c r="G26" s="1521"/>
      <c r="H26" s="1522"/>
      <c r="I26" s="1523"/>
      <c r="J26" s="108"/>
      <c r="K26" s="761"/>
      <c r="L26" s="96"/>
    </row>
    <row r="27" spans="2:12" ht="15.7" customHeight="1">
      <c r="B27" s="93">
        <v>4</v>
      </c>
      <c r="C27" s="89"/>
      <c r="D27" s="1180"/>
      <c r="E27" s="103"/>
      <c r="F27" s="103"/>
      <c r="G27" s="1521"/>
      <c r="H27" s="1522"/>
      <c r="I27" s="1523"/>
      <c r="J27" s="108"/>
      <c r="K27" s="761"/>
      <c r="L27" s="96"/>
    </row>
    <row r="28" spans="2:12" ht="15.7" customHeight="1">
      <c r="B28" s="88">
        <v>5</v>
      </c>
      <c r="C28" s="89"/>
      <c r="D28" s="1180"/>
      <c r="E28" s="103"/>
      <c r="F28" s="780"/>
      <c r="G28" s="1521"/>
      <c r="H28" s="1522"/>
      <c r="I28" s="1523"/>
      <c r="J28" s="108"/>
      <c r="K28" s="109"/>
      <c r="L28" s="96"/>
    </row>
    <row r="29" spans="2:12" ht="15.7" customHeight="1">
      <c r="B29" s="93">
        <v>6</v>
      </c>
      <c r="C29" s="89"/>
      <c r="D29" s="1180"/>
      <c r="E29" s="103"/>
      <c r="F29" s="780"/>
      <c r="G29" s="1521"/>
      <c r="H29" s="1522"/>
      <c r="I29" s="1523"/>
      <c r="J29" s="108"/>
      <c r="K29" s="109"/>
      <c r="L29" s="96"/>
    </row>
    <row r="30" spans="2:12" ht="15.7" customHeight="1">
      <c r="B30" s="88">
        <v>7</v>
      </c>
      <c r="C30" s="89"/>
      <c r="D30" s="1180"/>
      <c r="E30" s="103"/>
      <c r="F30" s="780"/>
      <c r="G30" s="1521"/>
      <c r="H30" s="1522"/>
      <c r="I30" s="1523"/>
      <c r="J30" s="108"/>
      <c r="K30" s="109"/>
      <c r="L30" s="96"/>
    </row>
    <row r="31" spans="2:12" ht="15.7" customHeight="1">
      <c r="B31" s="93">
        <v>8</v>
      </c>
      <c r="C31" s="89"/>
      <c r="D31" s="1180"/>
      <c r="E31" s="103"/>
      <c r="F31" s="780"/>
      <c r="G31" s="1521"/>
      <c r="H31" s="1522"/>
      <c r="I31" s="1523"/>
      <c r="J31" s="108"/>
      <c r="K31" s="109"/>
      <c r="L31" s="96"/>
    </row>
    <row r="32" spans="2:12" ht="15.7" customHeight="1">
      <c r="B32" s="88">
        <v>9</v>
      </c>
      <c r="C32" s="89"/>
      <c r="D32" s="1180"/>
      <c r="E32" s="103"/>
      <c r="F32" s="780"/>
      <c r="G32" s="1521"/>
      <c r="H32" s="1522"/>
      <c r="I32" s="1523"/>
      <c r="J32" s="108"/>
      <c r="K32" s="109"/>
      <c r="L32" s="96"/>
    </row>
    <row r="33" spans="2:12" ht="15.7" customHeight="1">
      <c r="B33" s="93">
        <v>10</v>
      </c>
      <c r="C33" s="89"/>
      <c r="D33" s="1180"/>
      <c r="E33" s="103"/>
      <c r="F33" s="780"/>
      <c r="G33" s="780"/>
      <c r="H33" s="781"/>
      <c r="I33" s="782"/>
      <c r="J33" s="108"/>
      <c r="K33" s="109"/>
      <c r="L33" s="96"/>
    </row>
    <row r="34" spans="2:12" ht="15.7" customHeight="1">
      <c r="B34" s="88">
        <v>11</v>
      </c>
      <c r="C34" s="89"/>
      <c r="D34" s="1180"/>
      <c r="E34" s="103"/>
      <c r="F34" s="780"/>
      <c r="G34" s="1521"/>
      <c r="H34" s="1522"/>
      <c r="I34" s="1523"/>
      <c r="J34" s="108"/>
      <c r="K34" s="109"/>
      <c r="L34" s="96"/>
    </row>
    <row r="35" spans="2:12" ht="15.7" customHeight="1">
      <c r="B35" s="93">
        <v>12</v>
      </c>
      <c r="C35" s="89"/>
      <c r="D35" s="1180"/>
      <c r="E35" s="103"/>
      <c r="F35" s="780"/>
      <c r="G35" s="1521"/>
      <c r="H35" s="1522"/>
      <c r="I35" s="1523"/>
      <c r="J35" s="108"/>
      <c r="K35" s="109"/>
      <c r="L35" s="96"/>
    </row>
    <row r="36" spans="2:12" ht="15.7" customHeight="1">
      <c r="B36" s="88">
        <v>13</v>
      </c>
      <c r="C36" s="89"/>
      <c r="D36" s="1180"/>
      <c r="E36" s="103"/>
      <c r="F36" s="780"/>
      <c r="G36" s="1521"/>
      <c r="H36" s="1522"/>
      <c r="I36" s="1523"/>
      <c r="J36" s="108"/>
      <c r="K36" s="109"/>
      <c r="L36" s="96"/>
    </row>
    <row r="37" spans="2:12" ht="15.7" customHeight="1">
      <c r="B37" s="98">
        <f>IF(J37&gt;0,B34+1,)</f>
        <v>0</v>
      </c>
      <c r="C37" s="111"/>
      <c r="D37" s="740"/>
      <c r="E37" s="1102"/>
      <c r="F37" s="112"/>
      <c r="G37" s="1524"/>
      <c r="H37" s="1525"/>
      <c r="I37" s="1526"/>
      <c r="J37" s="114"/>
      <c r="K37" s="115"/>
      <c r="L37" s="102"/>
    </row>
  </sheetData>
  <dataConsolidate/>
  <mergeCells count="33">
    <mergeCell ref="G34:I34"/>
    <mergeCell ref="G37:I37"/>
    <mergeCell ref="G29:I29"/>
    <mergeCell ref="G30:I30"/>
    <mergeCell ref="G31:I31"/>
    <mergeCell ref="G32:I32"/>
    <mergeCell ref="G35:I35"/>
    <mergeCell ref="G36:I36"/>
    <mergeCell ref="G24:I24"/>
    <mergeCell ref="G25:I25"/>
    <mergeCell ref="G26:I26"/>
    <mergeCell ref="G27:I27"/>
    <mergeCell ref="G28:I28"/>
    <mergeCell ref="B22:B23"/>
    <mergeCell ref="C22:C23"/>
    <mergeCell ref="D22:D23"/>
    <mergeCell ref="F22:F23"/>
    <mergeCell ref="B4:B5"/>
    <mergeCell ref="C4:C5"/>
    <mergeCell ref="D4:D5"/>
    <mergeCell ref="F4:F5"/>
    <mergeCell ref="E4:E5"/>
    <mergeCell ref="E22:E23"/>
    <mergeCell ref="L22:L23"/>
    <mergeCell ref="J22:J23"/>
    <mergeCell ref="G22:I23"/>
    <mergeCell ref="H4:H5"/>
    <mergeCell ref="L4:L5"/>
    <mergeCell ref="I4:I5"/>
    <mergeCell ref="K4:K5"/>
    <mergeCell ref="J4:J5"/>
    <mergeCell ref="G4:G5"/>
    <mergeCell ref="K22:K23"/>
  </mergeCells>
  <phoneticPr fontId="1" type="noConversion"/>
  <conditionalFormatting sqref="B6:B17 B37">
    <cfRule type="expression" dxfId="1" priority="10">
      <formula>$B6=0</formula>
    </cfRule>
  </conditionalFormatting>
  <conditionalFormatting sqref="B24:B36">
    <cfRule type="expression" dxfId="0" priority="3">
      <formula>$B24=0</formula>
    </cfRule>
  </conditionalFormatting>
  <printOptions horizontalCentered="1"/>
  <pageMargins left="0.23622047244094491" right="0.23622047244094491" top="0.39370078740157483" bottom="0.39370078740157483" header="0.31496062992125984" footer="0.31496062992125984"/>
  <pageSetup paperSize="9" scale="93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Master!$N$2:$N$21</xm:f>
          </x14:formula1>
          <xm:sqref>D24:D37</xm:sqref>
        </x14:dataValidation>
        <x14:dataValidation type="list" allowBlank="1" showInputMessage="1" showErrorMessage="1">
          <x14:formula1>
            <xm:f>Master!$N$2:$N$21</xm:f>
          </x14:formula1>
          <xm:sqref>D6:D17</xm:sqref>
        </x14:dataValidation>
        <x14:dataValidation type="list" allowBlank="1" showInputMessage="1" showErrorMessage="1">
          <x14:formula1>
            <xm:f>Master!$Q$1:$Q$3</xm:f>
          </x14:formula1>
          <xm:sqref>G6:G17</xm:sqref>
        </x14:dataValidation>
        <x14:dataValidation type="list" allowBlank="1" showInputMessage="1" showErrorMessage="1">
          <x14:formula1>
            <xm:f>Master!$A$2:$A$12</xm:f>
          </x14:formula1>
          <xm:sqref>C6:C17 C24:C37</xm:sqref>
        </x14:dataValidation>
        <x14:dataValidation type="list" allowBlank="1" showInputMessage="1" showErrorMessage="1">
          <x14:formula1>
            <xm:f>Master!$O$2:$O$3</xm:f>
          </x14:formula1>
          <xm:sqref>E24:E37</xm:sqref>
        </x14:dataValidation>
        <x14:dataValidation type="list" allowBlank="1" showInputMessage="1" showErrorMessage="1">
          <x14:formula1>
            <xm:f>Master!$O$2:$O$4</xm:f>
          </x14:formula1>
          <xm:sqref>E6:E17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CO122"/>
  <sheetViews>
    <sheetView showGridLines="0" zoomScaleNormal="100" workbookViewId="0">
      <pane xSplit="5" ySplit="12" topLeftCell="F13" activePane="bottomRight" state="frozen"/>
      <selection activeCell="G80" sqref="G80"/>
      <selection pane="topRight" activeCell="G80" sqref="G80"/>
      <selection pane="bottomLeft" activeCell="G80" sqref="G80"/>
      <selection pane="bottomRight" activeCell="H26" sqref="H26"/>
    </sheetView>
  </sheetViews>
  <sheetFormatPr defaultColWidth="8.5625" defaultRowHeight="16.899999999999999"/>
  <cols>
    <col min="1" max="1" width="0.5625" style="78" customWidth="1"/>
    <col min="2" max="2" width="8.5" style="78" customWidth="1"/>
    <col min="3" max="3" width="13" style="78" customWidth="1"/>
    <col min="4" max="4" width="14" style="78" customWidth="1"/>
    <col min="5" max="5" width="13.4375" style="81" customWidth="1"/>
    <col min="6" max="11" width="12.5" style="81" customWidth="1"/>
    <col min="12" max="18" width="11.5625" style="81" customWidth="1"/>
    <col min="19" max="19" width="13" style="81" customWidth="1"/>
    <col min="20" max="34" width="11.5625" style="81" customWidth="1"/>
    <col min="35" max="35" width="16.3125" style="81" customWidth="1"/>
    <col min="36" max="36" width="9.5625" style="81" customWidth="1"/>
    <col min="37" max="37" width="8.5625" style="81"/>
    <col min="38" max="38" width="10.8125" style="81" bestFit="1" customWidth="1"/>
    <col min="39" max="16384" width="8.5625" style="81"/>
  </cols>
  <sheetData>
    <row r="1" spans="2:93" s="78" customFormat="1" ht="22.45" customHeight="1">
      <c r="B1" s="79" t="s">
        <v>149</v>
      </c>
      <c r="D1" s="616"/>
      <c r="E1" s="617"/>
      <c r="F1" s="617"/>
      <c r="G1" s="618"/>
      <c r="H1" s="614"/>
      <c r="I1" s="79"/>
      <c r="J1" s="79"/>
      <c r="K1"/>
      <c r="L1"/>
      <c r="M1"/>
      <c r="N1"/>
      <c r="O1"/>
      <c r="P1" s="288"/>
      <c r="Q1" s="288"/>
      <c r="R1" s="288"/>
      <c r="S1" s="288"/>
      <c r="T1" s="288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M1" s="80"/>
      <c r="AN1" s="81"/>
      <c r="CO1" s="81"/>
    </row>
    <row r="2" spans="2:93" s="78" customFormat="1">
      <c r="B2" s="82"/>
      <c r="C2" s="82"/>
      <c r="D2" s="82"/>
      <c r="E2" s="228" t="s">
        <v>904</v>
      </c>
      <c r="F2" s="82"/>
      <c r="G2" s="615"/>
      <c r="H2" s="1533" t="s">
        <v>359</v>
      </c>
      <c r="I2" s="1534"/>
      <c r="J2" s="1534"/>
      <c r="K2" s="1535"/>
      <c r="L2" s="81"/>
      <c r="M2" s="81"/>
      <c r="N2" s="81"/>
      <c r="O2" s="81"/>
      <c r="P2" s="708"/>
      <c r="Q2" s="708"/>
      <c r="R2" s="708"/>
      <c r="S2" s="708"/>
      <c r="T2" s="708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54"/>
    </row>
    <row r="3" spans="2:93" customFormat="1" ht="33" customHeight="1">
      <c r="B3" s="1536" t="s">
        <v>137</v>
      </c>
      <c r="C3" s="1538"/>
      <c r="D3" s="180" t="s">
        <v>539</v>
      </c>
      <c r="E3" s="180" t="s">
        <v>347</v>
      </c>
      <c r="F3" s="180" t="s">
        <v>418</v>
      </c>
      <c r="G3" s="180" t="s">
        <v>343</v>
      </c>
      <c r="H3" s="311" t="s">
        <v>360</v>
      </c>
      <c r="I3" s="312" t="s">
        <v>361</v>
      </c>
      <c r="J3" s="312" t="s">
        <v>362</v>
      </c>
      <c r="K3" s="313" t="s">
        <v>346</v>
      </c>
      <c r="L3" s="81"/>
      <c r="M3" s="1527"/>
      <c r="N3" s="1137"/>
      <c r="O3" s="756"/>
      <c r="P3" s="708"/>
      <c r="Q3" s="708"/>
      <c r="R3" s="708"/>
      <c r="S3" s="708"/>
      <c r="T3" s="1527"/>
      <c r="U3" s="1527"/>
      <c r="V3" s="1527"/>
      <c r="W3" s="1527"/>
      <c r="X3" s="1528"/>
      <c r="Y3" s="1528"/>
      <c r="Z3" s="1528"/>
      <c r="AA3" s="1529"/>
      <c r="AB3" s="1529"/>
      <c r="AC3" s="1529"/>
      <c r="AD3" s="762"/>
      <c r="AE3" s="762"/>
      <c r="AF3" s="762"/>
      <c r="AG3" s="1527"/>
      <c r="AH3" s="1527"/>
      <c r="AI3" s="78"/>
    </row>
    <row r="4" spans="2:93" s="77" customFormat="1" ht="13.45" customHeight="1">
      <c r="B4" s="1558" t="s">
        <v>133</v>
      </c>
      <c r="C4" s="83" t="s">
        <v>136</v>
      </c>
      <c r="D4" s="430"/>
      <c r="E4" s="1544"/>
      <c r="F4" s="1599">
        <v>70</v>
      </c>
      <c r="G4" s="1547" t="s">
        <v>1157</v>
      </c>
      <c r="H4" s="1572">
        <v>3</v>
      </c>
      <c r="I4" s="1550">
        <v>5</v>
      </c>
      <c r="J4" s="1550"/>
      <c r="K4" s="1553">
        <v>1</v>
      </c>
      <c r="L4" s="81"/>
      <c r="M4" s="1527"/>
      <c r="N4" s="1137"/>
      <c r="O4" s="81"/>
      <c r="P4" s="708"/>
      <c r="Q4" s="708"/>
      <c r="R4" s="708"/>
      <c r="S4" s="708"/>
      <c r="T4" s="1527"/>
      <c r="U4" s="1527"/>
      <c r="V4" s="1527"/>
      <c r="W4" s="1527"/>
      <c r="X4" s="1528"/>
      <c r="Y4" s="1528"/>
      <c r="Z4" s="1528"/>
      <c r="AA4" s="1529"/>
      <c r="AB4" s="1529"/>
      <c r="AC4" s="1529"/>
      <c r="AD4" s="762"/>
      <c r="AE4" s="762"/>
      <c r="AF4" s="762"/>
      <c r="AG4" s="1527"/>
      <c r="AH4" s="1527"/>
      <c r="AI4" s="78"/>
    </row>
    <row r="5" spans="2:93" s="77" customFormat="1" ht="13.45" customHeight="1">
      <c r="B5" s="1559"/>
      <c r="C5" s="84" t="s">
        <v>135</v>
      </c>
      <c r="D5" s="430" t="s">
        <v>537</v>
      </c>
      <c r="E5" s="1545"/>
      <c r="F5" s="1600"/>
      <c r="G5" s="1548"/>
      <c r="H5" s="1573"/>
      <c r="I5" s="1551"/>
      <c r="J5" s="1551"/>
      <c r="K5" s="1554"/>
      <c r="L5" s="515"/>
      <c r="M5" s="81"/>
      <c r="N5" s="81"/>
      <c r="O5" s="81"/>
      <c r="P5" s="708"/>
      <c r="Q5" s="708"/>
      <c r="R5" s="708"/>
      <c r="S5" s="708"/>
      <c r="T5" s="708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I5" s="78"/>
    </row>
    <row r="6" spans="2:93" s="77" customFormat="1" ht="13.45" customHeight="1">
      <c r="B6" s="1536" t="s">
        <v>134</v>
      </c>
      <c r="C6" s="1538"/>
      <c r="D6" s="430" t="s">
        <v>536</v>
      </c>
      <c r="E6" s="1546"/>
      <c r="F6" s="431"/>
      <c r="G6" s="1549"/>
      <c r="H6" s="1574"/>
      <c r="I6" s="1552"/>
      <c r="J6" s="1552"/>
      <c r="K6" s="1555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I6" s="78"/>
    </row>
    <row r="7" spans="2:93" customFormat="1" ht="10.45" customHeight="1">
      <c r="E7" s="78"/>
      <c r="F7" s="78"/>
      <c r="G7" s="78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</row>
    <row r="8" spans="2:93" s="77" customFormat="1" ht="14.2" customHeight="1">
      <c r="AJ8" s="6"/>
    </row>
    <row r="9" spans="2:93" s="77" customFormat="1" ht="14.2" customHeight="1">
      <c r="AJ9" s="6"/>
    </row>
    <row r="10" spans="2:93" s="78" customFormat="1" ht="14.55" customHeight="1">
      <c r="B10" s="1586" t="s">
        <v>132</v>
      </c>
      <c r="C10" s="1587"/>
      <c r="D10" s="1588"/>
      <c r="E10" s="1509" t="s">
        <v>389</v>
      </c>
      <c r="F10" s="1096" t="s">
        <v>913</v>
      </c>
      <c r="G10" s="1096" t="s">
        <v>913</v>
      </c>
      <c r="H10" s="1096" t="s">
        <v>913</v>
      </c>
      <c r="I10" s="1165" t="s">
        <v>913</v>
      </c>
      <c r="J10" s="1096" t="s">
        <v>913</v>
      </c>
      <c r="K10" s="1096" t="s">
        <v>913</v>
      </c>
      <c r="L10" s="1569" t="s">
        <v>914</v>
      </c>
      <c r="M10" s="1096" t="s">
        <v>665</v>
      </c>
      <c r="N10" s="1136" t="s">
        <v>665</v>
      </c>
      <c r="O10" s="1136" t="s">
        <v>665</v>
      </c>
      <c r="P10" s="1096" t="s">
        <v>915</v>
      </c>
      <c r="Q10" s="1096" t="s">
        <v>915</v>
      </c>
      <c r="R10" s="1096" t="s">
        <v>915</v>
      </c>
      <c r="S10" s="1096" t="s">
        <v>915</v>
      </c>
      <c r="T10" s="1096" t="s">
        <v>991</v>
      </c>
      <c r="U10" s="1097" t="s">
        <v>663</v>
      </c>
      <c r="V10" s="1601" t="s">
        <v>917</v>
      </c>
      <c r="W10" s="1569" t="s">
        <v>1002</v>
      </c>
      <c r="X10" s="1601" t="s">
        <v>927</v>
      </c>
      <c r="Y10" s="1604" t="s">
        <v>928</v>
      </c>
      <c r="Z10" s="1601" t="s">
        <v>929</v>
      </c>
      <c r="AA10" s="1569" t="s">
        <v>930</v>
      </c>
      <c r="AB10" s="1569" t="s">
        <v>931</v>
      </c>
      <c r="AC10" s="1569" t="s">
        <v>1109</v>
      </c>
      <c r="AD10" s="1601" t="s">
        <v>965</v>
      </c>
      <c r="AE10" s="1601" t="s">
        <v>966</v>
      </c>
      <c r="AF10" s="1601" t="s">
        <v>935</v>
      </c>
      <c r="AG10" s="1601" t="s">
        <v>1122</v>
      </c>
      <c r="AH10" s="1601" t="s">
        <v>1061</v>
      </c>
      <c r="AI10" s="1569" t="s">
        <v>416</v>
      </c>
      <c r="AK10" s="77"/>
      <c r="AL10" s="77"/>
      <c r="CM10" s="77"/>
    </row>
    <row r="11" spans="2:93" s="78" customFormat="1" ht="13.15">
      <c r="B11" s="1589"/>
      <c r="C11" s="1590"/>
      <c r="D11" s="1591"/>
      <c r="E11" s="1542"/>
      <c r="F11" s="710" t="s">
        <v>618</v>
      </c>
      <c r="G11" s="710" t="s">
        <v>618</v>
      </c>
      <c r="H11" s="710" t="s">
        <v>618</v>
      </c>
      <c r="I11" s="710" t="s">
        <v>618</v>
      </c>
      <c r="J11" s="710" t="s">
        <v>618</v>
      </c>
      <c r="K11" s="710" t="s">
        <v>618</v>
      </c>
      <c r="L11" s="1570"/>
      <c r="M11" s="710" t="s">
        <v>618</v>
      </c>
      <c r="N11" s="710" t="s">
        <v>618</v>
      </c>
      <c r="O11" s="710" t="s">
        <v>618</v>
      </c>
      <c r="P11" s="710" t="s">
        <v>618</v>
      </c>
      <c r="Q11" s="710" t="s">
        <v>618</v>
      </c>
      <c r="R11" s="710" t="s">
        <v>618</v>
      </c>
      <c r="S11" s="710" t="s">
        <v>618</v>
      </c>
      <c r="T11" s="710" t="s">
        <v>990</v>
      </c>
      <c r="U11" s="711" t="s">
        <v>618</v>
      </c>
      <c r="V11" s="1602"/>
      <c r="W11" s="1570"/>
      <c r="X11" s="1602"/>
      <c r="Y11" s="1605"/>
      <c r="Z11" s="1602"/>
      <c r="AA11" s="1570"/>
      <c r="AB11" s="1570"/>
      <c r="AC11" s="1570"/>
      <c r="AD11" s="1602"/>
      <c r="AE11" s="1602"/>
      <c r="AF11" s="1602"/>
      <c r="AG11" s="1602"/>
      <c r="AH11" s="1602"/>
      <c r="AI11" s="1570"/>
      <c r="AK11" s="77"/>
      <c r="AL11" s="77"/>
      <c r="CM11" s="77"/>
    </row>
    <row r="12" spans="2:93" s="78" customFormat="1" ht="27.75" customHeight="1">
      <c r="B12" s="1592"/>
      <c r="C12" s="1593"/>
      <c r="D12" s="1594"/>
      <c r="E12" s="1543"/>
      <c r="F12" s="609" t="s">
        <v>531</v>
      </c>
      <c r="G12" s="609" t="s">
        <v>521</v>
      </c>
      <c r="H12" s="610" t="s">
        <v>520</v>
      </c>
      <c r="I12" s="610" t="s">
        <v>523</v>
      </c>
      <c r="J12" s="610" t="s">
        <v>657</v>
      </c>
      <c r="K12" s="1098" t="s">
        <v>108</v>
      </c>
      <c r="L12" s="1571"/>
      <c r="M12" s="610" t="s">
        <v>657</v>
      </c>
      <c r="N12" s="610" t="s">
        <v>1100</v>
      </c>
      <c r="O12" s="1138" t="s">
        <v>108</v>
      </c>
      <c r="P12" s="709" t="s">
        <v>532</v>
      </c>
      <c r="Q12" s="709" t="s">
        <v>619</v>
      </c>
      <c r="R12" s="709" t="s">
        <v>993</v>
      </c>
      <c r="S12" s="1098" t="s">
        <v>617</v>
      </c>
      <c r="T12" s="709" t="s">
        <v>992</v>
      </c>
      <c r="U12" s="709" t="s">
        <v>994</v>
      </c>
      <c r="V12" s="1603"/>
      <c r="W12" s="1571"/>
      <c r="X12" s="1603"/>
      <c r="Y12" s="1606"/>
      <c r="Z12" s="1603"/>
      <c r="AA12" s="1571"/>
      <c r="AB12" s="1571"/>
      <c r="AC12" s="1571"/>
      <c r="AD12" s="1603"/>
      <c r="AE12" s="1603"/>
      <c r="AF12" s="1603"/>
      <c r="AG12" s="1603"/>
      <c r="AH12" s="1603"/>
      <c r="AI12" s="1571"/>
      <c r="AK12" s="77"/>
      <c r="AL12" s="77"/>
      <c r="CM12" s="77"/>
    </row>
    <row r="13" spans="2:93" s="78" customFormat="1" ht="15" customHeight="1">
      <c r="B13" s="432" t="s">
        <v>470</v>
      </c>
      <c r="C13" s="1578" t="s">
        <v>466</v>
      </c>
      <c r="D13" s="1538"/>
      <c r="E13" s="433">
        <f t="shared" ref="E13:E19" si="0">SUM(K13,L13,O13,S13,T13:AH13)</f>
        <v>0</v>
      </c>
      <c r="F13" s="434"/>
      <c r="G13" s="434"/>
      <c r="H13" s="434"/>
      <c r="I13" s="434"/>
      <c r="J13" s="434"/>
      <c r="K13" s="206">
        <f t="shared" ref="K13:K19" si="1">SUM(F13:J13)</f>
        <v>0</v>
      </c>
      <c r="L13" s="434"/>
      <c r="M13" s="434"/>
      <c r="N13" s="434"/>
      <c r="O13" s="206">
        <f>SUM(M13:N13)</f>
        <v>0</v>
      </c>
      <c r="P13" s="434"/>
      <c r="Q13" s="434"/>
      <c r="R13" s="434"/>
      <c r="S13" s="206">
        <f t="shared" ref="S13:S19" si="2">SUM(P13:R13)</f>
        <v>0</v>
      </c>
      <c r="T13" s="434"/>
      <c r="U13" s="434"/>
      <c r="V13" s="434"/>
      <c r="W13" s="434"/>
      <c r="X13" s="434"/>
      <c r="Y13" s="434"/>
      <c r="Z13" s="434"/>
      <c r="AA13" s="434"/>
      <c r="AB13" s="434"/>
      <c r="AC13" s="434"/>
      <c r="AD13" s="434"/>
      <c r="AE13" s="434"/>
      <c r="AF13" s="434"/>
      <c r="AG13" s="434"/>
      <c r="AH13" s="434"/>
      <c r="AI13" s="435"/>
      <c r="AK13" s="77"/>
      <c r="AL13" s="77"/>
      <c r="CM13" s="77"/>
    </row>
    <row r="14" spans="2:93" s="78" customFormat="1" ht="15" customHeight="1">
      <c r="B14" s="1560" t="s">
        <v>471</v>
      </c>
      <c r="C14" s="1579" t="s">
        <v>469</v>
      </c>
      <c r="D14" s="1580"/>
      <c r="E14" s="205">
        <f t="shared" si="0"/>
        <v>1</v>
      </c>
      <c r="F14" s="204"/>
      <c r="G14" s="204"/>
      <c r="H14" s="204">
        <v>1</v>
      </c>
      <c r="I14" s="204"/>
      <c r="J14" s="204"/>
      <c r="K14" s="208">
        <f t="shared" si="1"/>
        <v>1</v>
      </c>
      <c r="L14" s="204"/>
      <c r="M14" s="204"/>
      <c r="N14" s="204"/>
      <c r="O14" s="208">
        <f t="shared" ref="O14:O18" si="3">SUM(M14:N14)</f>
        <v>0</v>
      </c>
      <c r="P14" s="204"/>
      <c r="Q14" s="204"/>
      <c r="R14" s="204"/>
      <c r="S14" s="208">
        <f t="shared" si="2"/>
        <v>0</v>
      </c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361"/>
      <c r="AK14" s="77"/>
      <c r="AL14" s="77"/>
      <c r="CM14" s="77"/>
    </row>
    <row r="15" spans="2:93" s="78" customFormat="1" ht="15" customHeight="1">
      <c r="B15" s="1561"/>
      <c r="C15" s="1556" t="s">
        <v>467</v>
      </c>
      <c r="D15" s="1557"/>
      <c r="E15" s="1124">
        <f t="shared" si="0"/>
        <v>1</v>
      </c>
      <c r="F15" s="1125"/>
      <c r="G15" s="1125"/>
      <c r="H15" s="1125">
        <v>1</v>
      </c>
      <c r="I15" s="1125"/>
      <c r="J15" s="1125"/>
      <c r="K15" s="1126">
        <f t="shared" si="1"/>
        <v>1</v>
      </c>
      <c r="L15" s="1125"/>
      <c r="M15" s="1125"/>
      <c r="N15" s="1125"/>
      <c r="O15" s="1126">
        <f t="shared" si="3"/>
        <v>0</v>
      </c>
      <c r="P15" s="1125"/>
      <c r="Q15" s="1125"/>
      <c r="R15" s="1125"/>
      <c r="S15" s="1126">
        <f t="shared" si="2"/>
        <v>0</v>
      </c>
      <c r="T15" s="1125"/>
      <c r="U15" s="1125"/>
      <c r="V15" s="1125"/>
      <c r="W15" s="1125"/>
      <c r="X15" s="1125"/>
      <c r="Y15" s="1125"/>
      <c r="Z15" s="1125"/>
      <c r="AA15" s="1125"/>
      <c r="AB15" s="1125"/>
      <c r="AC15" s="1125"/>
      <c r="AD15" s="1125"/>
      <c r="AE15" s="1125"/>
      <c r="AF15" s="1125"/>
      <c r="AG15" s="1125"/>
      <c r="AH15" s="1125"/>
      <c r="AI15" s="1127"/>
      <c r="AK15" s="77"/>
      <c r="AL15" s="77"/>
      <c r="CM15" s="77"/>
    </row>
    <row r="16" spans="2:93" s="78" customFormat="1" ht="15" customHeight="1">
      <c r="B16" s="1595" t="s">
        <v>472</v>
      </c>
      <c r="C16" s="1579" t="s">
        <v>465</v>
      </c>
      <c r="D16" s="1580"/>
      <c r="E16" s="205">
        <f t="shared" si="0"/>
        <v>0</v>
      </c>
      <c r="F16" s="204"/>
      <c r="G16" s="204"/>
      <c r="H16" s="204"/>
      <c r="I16" s="204"/>
      <c r="J16" s="204"/>
      <c r="K16" s="208">
        <f t="shared" si="1"/>
        <v>0</v>
      </c>
      <c r="L16" s="204"/>
      <c r="M16" s="204"/>
      <c r="N16" s="204"/>
      <c r="O16" s="208">
        <f t="shared" si="3"/>
        <v>0</v>
      </c>
      <c r="P16" s="204"/>
      <c r="Q16" s="204"/>
      <c r="R16" s="204"/>
      <c r="S16" s="208">
        <f t="shared" si="2"/>
        <v>0</v>
      </c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361"/>
      <c r="AK16" s="77"/>
      <c r="AL16" s="77"/>
      <c r="CM16" s="77"/>
    </row>
    <row r="17" spans="1:91" s="78" customFormat="1" ht="15" customHeight="1">
      <c r="B17" s="1596"/>
      <c r="C17" s="1597" t="s">
        <v>468</v>
      </c>
      <c r="D17" s="1598"/>
      <c r="E17" s="437">
        <f t="shared" si="0"/>
        <v>0</v>
      </c>
      <c r="F17" s="438"/>
      <c r="G17" s="438"/>
      <c r="H17" s="438"/>
      <c r="I17" s="438"/>
      <c r="J17" s="438"/>
      <c r="K17" s="439">
        <f t="shared" si="1"/>
        <v>0</v>
      </c>
      <c r="L17" s="438"/>
      <c r="M17" s="438"/>
      <c r="N17" s="438"/>
      <c r="O17" s="439">
        <f t="shared" si="3"/>
        <v>0</v>
      </c>
      <c r="P17" s="438"/>
      <c r="Q17" s="438"/>
      <c r="R17" s="438"/>
      <c r="S17" s="439">
        <f t="shared" si="2"/>
        <v>0</v>
      </c>
      <c r="T17" s="438"/>
      <c r="U17" s="438"/>
      <c r="V17" s="438"/>
      <c r="W17" s="438"/>
      <c r="X17" s="438"/>
      <c r="Y17" s="438"/>
      <c r="Z17" s="438"/>
      <c r="AA17" s="438"/>
      <c r="AB17" s="438"/>
      <c r="AC17" s="438"/>
      <c r="AD17" s="438"/>
      <c r="AE17" s="438"/>
      <c r="AF17" s="438"/>
      <c r="AG17" s="438"/>
      <c r="AH17" s="438"/>
      <c r="AI17" s="438"/>
      <c r="AK17" s="77"/>
      <c r="AL17" s="77"/>
      <c r="CM17" s="77"/>
    </row>
    <row r="18" spans="1:91" s="78" customFormat="1" ht="15" customHeight="1">
      <c r="B18" s="1536" t="s">
        <v>344</v>
      </c>
      <c r="C18" s="1537"/>
      <c r="D18" s="1538"/>
      <c r="E18" s="207">
        <f t="shared" si="0"/>
        <v>0</v>
      </c>
      <c r="F18" s="207">
        <f>F19-F13-F14-F16</f>
        <v>0</v>
      </c>
      <c r="G18" s="207">
        <f>G19-G13-G14-G16</f>
        <v>0</v>
      </c>
      <c r="H18" s="207">
        <f>H19-H13-H14-H16</f>
        <v>0</v>
      </c>
      <c r="I18" s="207">
        <f>I19-I13-I14-I16</f>
        <v>0</v>
      </c>
      <c r="J18" s="207">
        <f>J19-J13-J14-J16</f>
        <v>0</v>
      </c>
      <c r="K18" s="207">
        <f t="shared" si="1"/>
        <v>0</v>
      </c>
      <c r="L18" s="207">
        <f t="shared" ref="L18:R18" si="4">L19-L13-L14-L16</f>
        <v>0</v>
      </c>
      <c r="M18" s="207">
        <f>M19-M13-M14-M16</f>
        <v>0</v>
      </c>
      <c r="N18" s="207">
        <f>N19-N13-N14-N16</f>
        <v>0</v>
      </c>
      <c r="O18" s="207">
        <f t="shared" si="3"/>
        <v>0</v>
      </c>
      <c r="P18" s="207">
        <f t="shared" si="4"/>
        <v>0</v>
      </c>
      <c r="Q18" s="207">
        <f t="shared" si="4"/>
        <v>0</v>
      </c>
      <c r="R18" s="207">
        <f t="shared" si="4"/>
        <v>0</v>
      </c>
      <c r="S18" s="207">
        <f t="shared" si="2"/>
        <v>0</v>
      </c>
      <c r="T18" s="207">
        <f t="shared" ref="T18:AH18" si="5">T19-T13-T14-T16</f>
        <v>0</v>
      </c>
      <c r="U18" s="207">
        <f t="shared" si="5"/>
        <v>0</v>
      </c>
      <c r="V18" s="207">
        <f t="shared" si="5"/>
        <v>0</v>
      </c>
      <c r="W18" s="207">
        <f t="shared" si="5"/>
        <v>0</v>
      </c>
      <c r="X18" s="207">
        <f t="shared" si="5"/>
        <v>0</v>
      </c>
      <c r="Y18" s="207">
        <f t="shared" si="5"/>
        <v>0</v>
      </c>
      <c r="Z18" s="207">
        <f t="shared" si="5"/>
        <v>0</v>
      </c>
      <c r="AA18" s="207">
        <f t="shared" si="5"/>
        <v>0</v>
      </c>
      <c r="AB18" s="207">
        <f t="shared" si="5"/>
        <v>0</v>
      </c>
      <c r="AC18" s="207">
        <f t="shared" si="5"/>
        <v>0</v>
      </c>
      <c r="AD18" s="207">
        <f t="shared" si="5"/>
        <v>0</v>
      </c>
      <c r="AE18" s="207">
        <f t="shared" si="5"/>
        <v>0</v>
      </c>
      <c r="AF18" s="207">
        <f t="shared" si="5"/>
        <v>0</v>
      </c>
      <c r="AG18" s="207">
        <f t="shared" ref="AG18" si="6">AG19-AG13-AG14-AG16</f>
        <v>0</v>
      </c>
      <c r="AH18" s="207">
        <f t="shared" si="5"/>
        <v>0</v>
      </c>
      <c r="AI18" s="436"/>
      <c r="AK18" s="77"/>
      <c r="AL18" s="77"/>
      <c r="CM18" s="77"/>
    </row>
    <row r="19" spans="1:91" s="78" customFormat="1" ht="15" customHeight="1">
      <c r="B19" s="1536" t="s">
        <v>345</v>
      </c>
      <c r="C19" s="1537"/>
      <c r="D19" s="1538"/>
      <c r="E19" s="206">
        <f t="shared" si="0"/>
        <v>1</v>
      </c>
      <c r="F19" s="206">
        <f>SUMIFS('2. 인건비'!$H$13:$H$52,'2. 인건비'!$C$13:$C$52,'4. 경비(실비정산성경비)'!F$12,'2. 인건비'!$D$13:$D$52,'4. 경비(실비정산성경비)'!F$10)</f>
        <v>0</v>
      </c>
      <c r="G19" s="206">
        <f>SUMIFS('2. 인건비'!$H$13:$H$52,'2. 인건비'!$C$13:$C$52,'4. 경비(실비정산성경비)'!G$12,'2. 인건비'!$D$13:$D$52,'4. 경비(실비정산성경비)'!G$10)</f>
        <v>0</v>
      </c>
      <c r="H19" s="206">
        <f>SUMIFS('2. 인건비'!$H$13:$H$52,'2. 인건비'!$C$13:$C$52,'4. 경비(실비정산성경비)'!H$12,'2. 인건비'!$D$13:$D$52,'4. 경비(실비정산성경비)'!H$10)</f>
        <v>1</v>
      </c>
      <c r="I19" s="206">
        <f>SUMIFS('2. 인건비'!$H$13:$H$52,'2. 인건비'!$C$13:$C$52,'4. 경비(실비정산성경비)'!I$12,'2. 인건비'!$D$13:$D$52,'4. 경비(실비정산성경비)'!I$10)</f>
        <v>0</v>
      </c>
      <c r="J19" s="206">
        <f>SUMIFS('2. 인건비'!$H$13:$H$52,'2. 인건비'!$C$13:$C$52,'4. 경비(실비정산성경비)'!J$12,'2. 인건비'!$D$13:$D$52,'4. 경비(실비정산성경비)'!J$10)</f>
        <v>0</v>
      </c>
      <c r="K19" s="207">
        <f t="shared" si="1"/>
        <v>1</v>
      </c>
      <c r="L19" s="207">
        <f>SUMIF('2. 인건비'!$D$13:$D$52,'4. 경비(실비정산성경비)'!L$10,'2. 인건비'!$H$13:$H$52)</f>
        <v>0</v>
      </c>
      <c r="M19" s="206">
        <f>SUMIFS('2. 인건비'!$H:$H,'2. 인건비'!$E:$E,"서비스",'2. 인건비'!$D:$D,'4. 경비(실비정산성경비)'!M$10,'2. 인건비'!$C:$C,'4. 경비(실비정산성경비)'!$M$12)</f>
        <v>0</v>
      </c>
      <c r="N19" s="207">
        <f>SUMIFS('2. 인건비'!$H$13:$H$52,'2. 인건비'!$D$13:$D$52,'4. 경비(실비정산성경비)'!N$10)-M19</f>
        <v>0</v>
      </c>
      <c r="O19" s="207">
        <f>SUM(M19:N19)</f>
        <v>0</v>
      </c>
      <c r="P19" s="207">
        <f>SUMIFS('2. 인건비'!$H$13:$H$52,'2. 인건비'!$C$13:$C$52,'4. 경비(실비정산성경비)'!P$12,'2. 인건비'!$D$13:$D$52,'4. 경비(실비정산성경비)'!P$10)</f>
        <v>0</v>
      </c>
      <c r="Q19" s="207">
        <f>SUMIFS('2. 인건비'!$H$13:$H$52,'2. 인건비'!$C$13:$C$52,'4. 경비(실비정산성경비)'!Q$12,'2. 인건비'!$D$13:$D$52,'4. 경비(실비정산성경비)'!Q$10)</f>
        <v>0</v>
      </c>
      <c r="R19" s="207">
        <f>SUMIF('2. 인건비'!$D$13:$D$52,'4. 경비(실비정산성경비)'!R$10,'2. 인건비'!$H$13:$H$52)-P19-Q19</f>
        <v>0</v>
      </c>
      <c r="S19" s="207">
        <f t="shared" si="2"/>
        <v>0</v>
      </c>
      <c r="T19" s="207">
        <f>SUMIF('2. 인건비'!$D$13:$D$52,'4. 경비(실비정산성경비)'!T$10,'2. 인건비'!$H$13:$H$52)</f>
        <v>0</v>
      </c>
      <c r="U19" s="207">
        <f>SUMIF('2. 인건비'!$D$13:$D$52,'4. 경비(실비정산성경비)'!U$10,'2. 인건비'!$H$13:$H$52)</f>
        <v>0</v>
      </c>
      <c r="V19" s="207">
        <f>SUMIF('2. 인건비'!$D$13:$D$52,'4. 경비(실비정산성경비)'!V$10,'2. 인건비'!$H$13:$H$52)</f>
        <v>0</v>
      </c>
      <c r="W19" s="207">
        <f>SUMIF('2. 인건비'!$D$13:$D$52,'4. 경비(실비정산성경비)'!W$10,'2. 인건비'!$H$13:$H$52)</f>
        <v>0</v>
      </c>
      <c r="X19" s="207">
        <f>SUMIF('2. 인건비'!$D$13:$D$52,'4. 경비(실비정산성경비)'!X$10,'2. 인건비'!$H$13:$H$52)</f>
        <v>0</v>
      </c>
      <c r="Y19" s="207">
        <f>SUMIF('2. 인건비'!$D$13:$D$52,'4. 경비(실비정산성경비)'!Y$10,'2. 인건비'!$H$13:$H$52)</f>
        <v>0</v>
      </c>
      <c r="Z19" s="207">
        <f>SUMIF('2. 인건비'!$D$13:$D$52,'4. 경비(실비정산성경비)'!Z$10,'2. 인건비'!$H$13:$H$52)</f>
        <v>0</v>
      </c>
      <c r="AA19" s="207">
        <f>SUMIF('2. 인건비'!$D$13:$D$52,'4. 경비(실비정산성경비)'!AA$10,'2. 인건비'!$H$13:$H$52)</f>
        <v>0</v>
      </c>
      <c r="AB19" s="207">
        <f>SUMIF('2. 인건비'!$D$13:$D$52,'4. 경비(실비정산성경비)'!AB$10,'2. 인건비'!$H$13:$H$52)</f>
        <v>0</v>
      </c>
      <c r="AC19" s="207">
        <f>SUMIF('2. 인건비'!$D$13:$D$52,'4. 경비(실비정산성경비)'!AC$10,'2. 인건비'!$H$13:$H$52)</f>
        <v>0</v>
      </c>
      <c r="AD19" s="207">
        <f>SUMIF('2. 인건비'!$D$13:$D$52,'4. 경비(실비정산성경비)'!AD$10,'2. 인건비'!$H$13:$H$52)</f>
        <v>0</v>
      </c>
      <c r="AE19" s="207">
        <f>SUMIF('2. 인건비'!$D$13:$D$52,'4. 경비(실비정산성경비)'!AE$10,'2. 인건비'!$H$13:$H$52)</f>
        <v>0</v>
      </c>
      <c r="AF19" s="207">
        <f>SUMIF('2. 인건비'!$D$13:$D$52,'4. 경비(실비정산성경비)'!AF$10,'2. 인건비'!$H$13:$H$52)</f>
        <v>0</v>
      </c>
      <c r="AG19" s="207">
        <f>SUMIF('2. 인건비'!$D$13:$D$52,'4. 경비(실비정산성경비)'!AG$10,'2. 인건비'!$H$13:$H$52)</f>
        <v>0</v>
      </c>
      <c r="AH19" s="207">
        <f>SUMIF('2. 인건비'!$D$13:$D$52,'4. 경비(실비정산성경비)'!AH$10,'2. 인건비'!$H$13:$H$52)</f>
        <v>0</v>
      </c>
      <c r="AI19" s="362"/>
      <c r="AK19" s="77"/>
      <c r="AL19" s="77"/>
      <c r="CM19" s="77"/>
    </row>
    <row r="20" spans="1:91" s="758" customFormat="1" ht="15" customHeight="1">
      <c r="B20" s="1581" t="s">
        <v>671</v>
      </c>
      <c r="C20" s="1582"/>
      <c r="D20" s="1583"/>
      <c r="E20" s="757">
        <f>IFERROR((E19-E18)/E19,0)</f>
        <v>1</v>
      </c>
      <c r="F20" s="757">
        <f>IFERROR((F19-F18)/F19,0)</f>
        <v>0</v>
      </c>
      <c r="G20" s="757">
        <f t="shared" ref="G20:AH20" si="7">IFERROR((G19-G18)/G19,0)</f>
        <v>0</v>
      </c>
      <c r="H20" s="757">
        <f t="shared" si="7"/>
        <v>1</v>
      </c>
      <c r="I20" s="757">
        <f t="shared" ref="I20" si="8">IFERROR((I19-I18)/I19,0)</f>
        <v>0</v>
      </c>
      <c r="J20" s="757">
        <f t="shared" si="7"/>
        <v>0</v>
      </c>
      <c r="K20" s="759">
        <f t="shared" si="7"/>
        <v>1</v>
      </c>
      <c r="L20" s="759">
        <f t="shared" si="7"/>
        <v>0</v>
      </c>
      <c r="M20" s="757">
        <f>IFERROR((M19-M18)/M19,0)</f>
        <v>0</v>
      </c>
      <c r="N20" s="759">
        <f>IFERROR((N19-N18)/N19,0)</f>
        <v>0</v>
      </c>
      <c r="O20" s="759">
        <f t="shared" ref="O20" si="9">IFERROR((O19-O18)/O19,0)</f>
        <v>0</v>
      </c>
      <c r="P20" s="759">
        <f t="shared" si="7"/>
        <v>0</v>
      </c>
      <c r="Q20" s="759">
        <f t="shared" si="7"/>
        <v>0</v>
      </c>
      <c r="R20" s="759">
        <f>IFERROR((R19-R18)/R19,0)</f>
        <v>0</v>
      </c>
      <c r="S20" s="759">
        <f t="shared" si="7"/>
        <v>0</v>
      </c>
      <c r="T20" s="759">
        <f>IFERROR((T19-T18)/T19,0)</f>
        <v>0</v>
      </c>
      <c r="U20" s="759">
        <f t="shared" si="7"/>
        <v>0</v>
      </c>
      <c r="V20" s="759">
        <f t="shared" si="7"/>
        <v>0</v>
      </c>
      <c r="W20" s="759">
        <f t="shared" si="7"/>
        <v>0</v>
      </c>
      <c r="X20" s="759">
        <f t="shared" si="7"/>
        <v>0</v>
      </c>
      <c r="Y20" s="759">
        <f t="shared" si="7"/>
        <v>0</v>
      </c>
      <c r="Z20" s="759">
        <f t="shared" si="7"/>
        <v>0</v>
      </c>
      <c r="AA20" s="759">
        <f t="shared" si="7"/>
        <v>0</v>
      </c>
      <c r="AB20" s="759">
        <f t="shared" si="7"/>
        <v>0</v>
      </c>
      <c r="AC20" s="759">
        <f t="shared" si="7"/>
        <v>0</v>
      </c>
      <c r="AD20" s="759">
        <f t="shared" si="7"/>
        <v>0</v>
      </c>
      <c r="AE20" s="759">
        <f t="shared" si="7"/>
        <v>0</v>
      </c>
      <c r="AF20" s="759">
        <f t="shared" si="7"/>
        <v>0</v>
      </c>
      <c r="AG20" s="759">
        <f t="shared" ref="AG20" si="10">IFERROR((AG19-AG18)/AG19,0)</f>
        <v>0</v>
      </c>
      <c r="AH20" s="759">
        <f t="shared" si="7"/>
        <v>0</v>
      </c>
      <c r="AI20" s="757"/>
      <c r="AK20" s="760"/>
      <c r="AL20" s="760"/>
      <c r="CM20" s="760"/>
    </row>
    <row r="21" spans="1:91" s="78" customFormat="1" ht="14.55" customHeight="1">
      <c r="B21" s="224" t="s">
        <v>140</v>
      </c>
      <c r="C21" s="225"/>
      <c r="D21" s="226"/>
      <c r="E21" s="1168">
        <f>E22+E23+E24+E25+E26+E38+E43+E44+E45+E52+E64+E62+E63</f>
        <v>3545000</v>
      </c>
      <c r="F21" s="227">
        <f>F22+F23+F24+F25+F26+F38+F43+F44+F45+F52+F64+F62+F63</f>
        <v>0</v>
      </c>
      <c r="G21" s="227">
        <f t="shared" ref="G21:AC21" si="11">G22+G23+G24+G25+G26+G38+G43+G44+G45+G52+G64+G62+G63</f>
        <v>0</v>
      </c>
      <c r="H21" s="227">
        <f t="shared" si="11"/>
        <v>3545000</v>
      </c>
      <c r="I21" s="227">
        <f t="shared" ref="I21" si="12">I22+I23+I24+I25+I26+I38+I43+I44+I45+I52+I64+I62+I63</f>
        <v>0</v>
      </c>
      <c r="J21" s="227">
        <f t="shared" si="11"/>
        <v>0</v>
      </c>
      <c r="K21" s="227">
        <f t="shared" si="11"/>
        <v>3545000</v>
      </c>
      <c r="L21" s="227">
        <f t="shared" si="11"/>
        <v>0</v>
      </c>
      <c r="M21" s="227">
        <f>M22+M23+M24+M25+M26+M38+M43+M44+M45+M52+M64+M62+M63</f>
        <v>0</v>
      </c>
      <c r="N21" s="227">
        <f>N22+N23+N24+N25+N26+N38+N43+N44+N45+N52+N64+N62+N63</f>
        <v>0</v>
      </c>
      <c r="O21" s="1168">
        <f>O22+O23+O24+O25+O26+O38+O43+O44+O45+O52+O64+O62+O63</f>
        <v>0</v>
      </c>
      <c r="P21" s="227">
        <f t="shared" si="11"/>
        <v>0</v>
      </c>
      <c r="Q21" s="227">
        <f>Q22+Q23+Q24+Q25+Q26+Q38+Q43+Q44+Q45+Q52+Q64+Q62+Q63</f>
        <v>0</v>
      </c>
      <c r="R21" s="227">
        <f t="shared" si="11"/>
        <v>0</v>
      </c>
      <c r="S21" s="227">
        <f>S22+S23+S24+S25+S26+S38+S43+S44+S45+S52+S64+S62+S63</f>
        <v>0</v>
      </c>
      <c r="T21" s="227">
        <f>T22+T23+T24+T25+T26+T38+T43+T44+T45+T52+T64+T62+T63</f>
        <v>0</v>
      </c>
      <c r="U21" s="227">
        <f t="shared" si="11"/>
        <v>0</v>
      </c>
      <c r="V21" s="227">
        <f t="shared" si="11"/>
        <v>0</v>
      </c>
      <c r="W21" s="227">
        <f>W22+W23+W24+W25+W26+W38+W43+W44+W45+W52+W64+W62+W63</f>
        <v>0</v>
      </c>
      <c r="X21" s="227">
        <f t="shared" si="11"/>
        <v>0</v>
      </c>
      <c r="Y21" s="227">
        <f t="shared" si="11"/>
        <v>0</v>
      </c>
      <c r="Z21" s="227">
        <f t="shared" si="11"/>
        <v>0</v>
      </c>
      <c r="AA21" s="227">
        <f t="shared" si="11"/>
        <v>0</v>
      </c>
      <c r="AB21" s="227">
        <f t="shared" si="11"/>
        <v>0</v>
      </c>
      <c r="AC21" s="227">
        <f t="shared" si="11"/>
        <v>0</v>
      </c>
      <c r="AD21" s="227">
        <f t="shared" ref="AD21:AH21" si="13">AD22+AD23+AD24+AD25+AD26+AD38+AD43+AD44+AD45+AD52+AD64+AD62+AD63</f>
        <v>0</v>
      </c>
      <c r="AE21" s="227">
        <f t="shared" si="13"/>
        <v>0</v>
      </c>
      <c r="AF21" s="227">
        <f t="shared" si="13"/>
        <v>0</v>
      </c>
      <c r="AG21" s="227">
        <f>AG22+AG23+AG24+AG25+AG26+AG38+AG43+AG44+AG45+AG52+AG64+AG62+AG63</f>
        <v>0</v>
      </c>
      <c r="AH21" s="227">
        <f t="shared" si="13"/>
        <v>0</v>
      </c>
      <c r="AI21" s="363"/>
      <c r="AJ21" s="173"/>
      <c r="AK21" s="77"/>
      <c r="AL21" s="77"/>
      <c r="CM21" s="77"/>
    </row>
    <row r="22" spans="1:91" s="379" customFormat="1" ht="14.55" customHeight="1">
      <c r="B22" s="1584" t="s">
        <v>476</v>
      </c>
      <c r="C22" s="1585"/>
      <c r="D22" s="455" t="s">
        <v>1145</v>
      </c>
      <c r="E22" s="383">
        <f>SUM(K22:N22,S22:AH22)</f>
        <v>0</v>
      </c>
      <c r="F22" s="456">
        <f>ROUND(IF($D22="반영",SUMIFS('2. 인건비'!$I$13:$I$53,'2. 인건비'!$C13:$C$53,'4. 경비(실비정산성경비)'!F$12,'2. 인건비'!$D$13:$D$53,'4. 경비(실비정산성경비)'!F$10)*0.03,0),0)</f>
        <v>0</v>
      </c>
      <c r="G22" s="456">
        <f>ROUND(IF($D22="반영",SUMIFS('2. 인건비'!$I$13:$I$53,'2. 인건비'!$C13:$C$53,'4. 경비(실비정산성경비)'!G$12,'2. 인건비'!$D$13:$D$53,'4. 경비(실비정산성경비)'!G$10)*0.03,0),0)</f>
        <v>0</v>
      </c>
      <c r="H22" s="456">
        <f>ROUND(IF($D22="반영",SUMIFS('2. 인건비'!$I$13:$I$53,'2. 인건비'!$C13:$C$53,'4. 경비(실비정산성경비)'!H$12,'2. 인건비'!$D$13:$D$53,'4. 경비(실비정산성경비)'!H$10)*0.03,0),0)</f>
        <v>0</v>
      </c>
      <c r="I22" s="456">
        <f>ROUND(IF($D22="반영",SUMIFS('2. 인건비'!$I$13:$I$53,'2. 인건비'!$C13:$C$53,'4. 경비(실비정산성경비)'!I$12,'2. 인건비'!$D$13:$D$53,'4. 경비(실비정산성경비)'!I$10)*0.03,0),0)</f>
        <v>0</v>
      </c>
      <c r="J22" s="456">
        <f>ROUND(IF($D22="반영",SUMIFS('2. 인건비'!$I$13:$I$53,'2. 인건비'!$C13:$C$53,'4. 경비(실비정산성경비)'!J$12,'2. 인건비'!$D$13:$D$53,'4. 경비(실비정산성경비)'!J$10)*0.03,0),0)</f>
        <v>0</v>
      </c>
      <c r="K22" s="383">
        <f>SUM(F22:J22)</f>
        <v>0</v>
      </c>
      <c r="L22" s="456">
        <f>ROUND(IF($D$22="반영",SUMIF('2. 인건비'!$D$13:$D$53,'4. 경비(실비정산성경비)'!L$10,'2. 인건비'!$I$13:$I$53)*0.03,0),0)</f>
        <v>0</v>
      </c>
      <c r="M22" s="456">
        <f>ROUND(IF($D22="반영",SUMIFS('2. 인건비'!$I$13:$I$53,'2. 인건비'!$C13:$C$53,'4. 경비(실비정산성경비)'!M$12,'2. 인건비'!$D$13:$D$53,'4. 경비(실비정산성경비)'!M$10)*0.03,0),0)</f>
        <v>0</v>
      </c>
      <c r="N22" s="456">
        <f>ROUND(IF($D$22="반영",SUMIF('2. 인건비'!$D$13:$D$53,'4. 경비(실비정산성경비)'!N$10,'2. 인건비'!$I$13:$I$53)*0.03,0),0)-M22</f>
        <v>0</v>
      </c>
      <c r="O22" s="456">
        <f>SUM(M22:N22)</f>
        <v>0</v>
      </c>
      <c r="P22" s="456">
        <f>ROUND(IF($D22="반영",SUMIFS('2. 인건비'!$I$13:$I$53,'2. 인건비'!$C13:$C$53,'4. 경비(실비정산성경비)'!P$12,'2. 인건비'!$D$13:$D$53,'4. 경비(실비정산성경비)'!P$10)*0.03,0),0)</f>
        <v>0</v>
      </c>
      <c r="Q22" s="456">
        <f>ROUND(IF($D22="반영",SUMIFS('2. 인건비'!$I$13:$I$53,'2. 인건비'!$C13:$C$53,'4. 경비(실비정산성경비)'!Q$12,'2. 인건비'!$D$13:$D$53,'4. 경비(실비정산성경비)'!Q$10)*0.03,0),0)</f>
        <v>0</v>
      </c>
      <c r="R22" s="456">
        <f>ROUND(IF($D$22="반영",SUMIF('2. 인건비'!$D$13:$D$53,'4. 경비(실비정산성경비)'!R$10,'2. 인건비'!$I$13:$I$53)*0.03,0),0)-P22-Q22</f>
        <v>0</v>
      </c>
      <c r="S22" s="383">
        <f t="shared" ref="S22:S48" si="14">SUM(P22:R22)</f>
        <v>0</v>
      </c>
      <c r="T22" s="456">
        <f>ROUND(IF($D$22="반영",SUMIF('2. 인건비'!$D$13:$D$53,'4. 경비(실비정산성경비)'!T$10,'2. 인건비'!$I$13:$I$53)*0.03,0),0)</f>
        <v>0</v>
      </c>
      <c r="U22" s="456">
        <f>ROUND(IF($D$22="반영",SUMIF('2. 인건비'!$D$13:$D$53,'4. 경비(실비정산성경비)'!U$10,'2. 인건비'!$I$13:$I$53)*0.03,0),0)</f>
        <v>0</v>
      </c>
      <c r="V22" s="456">
        <f>ROUND(IF($D$22="반영",SUMIF('2. 인건비'!$D$13:$D$53,'4. 경비(실비정산성경비)'!V$10,'2. 인건비'!$I$13:$I$53)*0.03,0),0)</f>
        <v>0</v>
      </c>
      <c r="W22" s="456">
        <f>ROUND(IF($D$22="반영",SUMIF('2. 인건비'!$D$13:$D$53,'4. 경비(실비정산성경비)'!W$10,'2. 인건비'!$I$13:$I$53)*0.03,0),0)</f>
        <v>0</v>
      </c>
      <c r="X22" s="456">
        <f>ROUND(IF($D$22="반영",SUMIF('2. 인건비'!$D$13:$D$53,'4. 경비(실비정산성경비)'!X$10,'2. 인건비'!$I$13:$I$53)*0.03,0),0)</f>
        <v>0</v>
      </c>
      <c r="Y22" s="456">
        <f>ROUND(IF($D$22="반영",SUMIF('2. 인건비'!$D$13:$D$53,'4. 경비(실비정산성경비)'!Y$10,'2. 인건비'!$I$13:$I$53)*0.03,0),0)</f>
        <v>0</v>
      </c>
      <c r="Z22" s="456">
        <f>ROUND(IF($D$22="반영",SUMIF('2. 인건비'!$D$13:$D$53,'4. 경비(실비정산성경비)'!Z$10,'2. 인건비'!$I$13:$I$53)*0.03,0),0)</f>
        <v>0</v>
      </c>
      <c r="AA22" s="456">
        <f>ROUND(IF($D$22="반영",SUMIF('2. 인건비'!$D$13:$D$53,'4. 경비(실비정산성경비)'!AA$10,'2. 인건비'!$I$13:$I$53)*0.03,0),0)</f>
        <v>0</v>
      </c>
      <c r="AB22" s="456">
        <f>ROUND(IF($D$22="반영",SUMIF('2. 인건비'!$D$13:$D$53,'4. 경비(실비정산성경비)'!AB$10,'2. 인건비'!$I$13:$I$53)*0.03,0),0)</f>
        <v>0</v>
      </c>
      <c r="AC22" s="456">
        <f>ROUND(IF($D$22="반영",SUMIF('2. 인건비'!$D$13:$D$53,'4. 경비(실비정산성경비)'!AC$10,'2. 인건비'!$I$13:$I$53)*0.03,0),0)</f>
        <v>0</v>
      </c>
      <c r="AD22" s="456">
        <f>ROUND(IF($D$22="반영",SUMIF('2. 인건비'!$D$13:$D$53,'4. 경비(실비정산성경비)'!AD$10,'2. 인건비'!$I$13:$I$53)*0.03,0),0)</f>
        <v>0</v>
      </c>
      <c r="AE22" s="456">
        <f>ROUND(IF($D$22="반영",SUMIF('2. 인건비'!$D$13:$D$53,'4. 경비(실비정산성경비)'!AE$10,'2. 인건비'!$I$13:$I$53)*0.03,0),0)</f>
        <v>0</v>
      </c>
      <c r="AF22" s="456">
        <f>ROUND(IF($D$22="반영",SUMIF('2. 인건비'!$D$13:$D$53,'4. 경비(실비정산성경비)'!AF$10,'2. 인건비'!$I$13:$I$53)*0.03,0),0)</f>
        <v>0</v>
      </c>
      <c r="AG22" s="456">
        <f>ROUND(IF($D$22="반영",SUMIF('2. 인건비'!$D$13:$D$53,'4. 경비(실비정산성경비)'!AG$10,'2. 인건비'!$I$13:$I$53)*0.03,0),0)</f>
        <v>0</v>
      </c>
      <c r="AH22" s="456">
        <f>ROUND(IF($D$22="반영",SUMIF('2. 인건비'!$D$13:$D$53,'4. 경비(실비정산성경비)'!AH$10,'2. 인건비'!$I$13:$I$53)*0.03,0),0)</f>
        <v>0</v>
      </c>
      <c r="AI22" s="384"/>
      <c r="AJ22" s="380"/>
      <c r="AK22" s="381"/>
      <c r="AL22" s="381"/>
      <c r="CM22" s="381"/>
    </row>
    <row r="23" spans="1:91" s="77" customFormat="1" ht="14" customHeight="1">
      <c r="A23" s="78"/>
      <c r="B23" s="1575" t="s">
        <v>259</v>
      </c>
      <c r="C23" s="1576"/>
      <c r="D23" s="1577"/>
      <c r="E23" s="209">
        <f>SUM(K23:N23,S23:AH23)</f>
        <v>123000</v>
      </c>
      <c r="F23" s="209">
        <f>IF('5. 수주액 상세'!$D$4="서비스",IF($G$4="대내",('5. 수주액 상세'!E11+'5. 수주액 상세'!E12)*0.3%,('5. 수주액 상세'!E11+'5. 수주액 상세'!E12)*0.5%),0)</f>
        <v>0</v>
      </c>
      <c r="G23" s="209">
        <f>IF('5. 수주액 상세'!$D$4="서비스",IF($G$4="대내",('5. 수주액 상세'!F11+'5. 수주액 상세'!F12)*0.3%,('5. 수주액 상세'!F11+'5. 수주액 상세'!F12)*0.5%),0)</f>
        <v>0</v>
      </c>
      <c r="H23" s="209">
        <f>IF('5. 수주액 상세'!$D$4="서비스",IF($G$4="대내",('5. 수주액 상세'!G11+'5. 수주액 상세'!G12)*0.3%,('5. 수주액 상세'!G11+'5. 수주액 상세'!G12)*0.5%),0)</f>
        <v>123000</v>
      </c>
      <c r="I23" s="209">
        <f>IF('5. 수주액 상세'!$D$4="서비스",IF($G$4="대내",('5. 수주액 상세'!H11+'5. 수주액 상세'!H12)*0.3%,('5. 수주액 상세'!H11+'5. 수주액 상세'!H12)*0.5%),0)</f>
        <v>0</v>
      </c>
      <c r="J23" s="209">
        <f>IF('5. 수주액 상세'!$D$4="서비스",IF($G$4="대내",('5. 수주액 상세'!I11+'5. 수주액 상세'!I12)*0.3%,('5. 수주액 상세'!I11+'5. 수주액 상세'!I12)*0.5%),0)</f>
        <v>0</v>
      </c>
      <c r="K23" s="209">
        <f>IF('5. 수주액 상세'!$D$4="서비스",IF($G$4="대내",('5. 수주액 상세'!J11+'5. 수주액 상세'!J12)*0.3%,('5. 수주액 상세'!J11+'5. 수주액 상세'!J12)*0.5%),0)</f>
        <v>123000</v>
      </c>
      <c r="L23" s="209">
        <f>IF('5. 수주액 상세'!$D$4="서비스",IF($G$4="대내",('5. 수주액 상세'!K11+'5. 수주액 상세'!K12)*0.3%,('5. 수주액 상세'!K11+'5. 수주액 상세'!K12)*0.5%),0)</f>
        <v>0</v>
      </c>
      <c r="M23" s="209">
        <f>IF('5. 수주액 상세'!$D$4="서비스",IF($G$4="대내",('5. 수주액 상세'!L11+'5. 수주액 상세'!L12)*0.3%,('5. 수주액 상세'!L11+'5. 수주액 상세'!L12)*0.5%),0)</f>
        <v>0</v>
      </c>
      <c r="N23" s="1142">
        <v>0</v>
      </c>
      <c r="O23" s="209">
        <f>IF('5. 수주액 상세'!$D$4="서비스",IF($G$4="대내",('5. 수주액 상세'!N11+'5. 수주액 상세'!N12)*0.3%,('5. 수주액 상세'!N11+'5. 수주액 상세'!N12)*0.5%),0)</f>
        <v>0</v>
      </c>
      <c r="P23" s="209">
        <f>IF('5. 수주액 상세'!$D$4="서비스",IF($G$4="대내",('5. 수주액 상세'!O11+'5. 수주액 상세'!O12)*0.3%,('5. 수주액 상세'!O11+'5. 수주액 상세'!O12)*0.5%),0)</f>
        <v>0</v>
      </c>
      <c r="Q23" s="209">
        <f>IF('5. 수주액 상세'!$D$4="서비스",IF($G$4="대내",('5. 수주액 상세'!P11+'5. 수주액 상세'!P12)*0.3%,('5. 수주액 상세'!P11+'5. 수주액 상세'!P12)*0.5%),0)</f>
        <v>0</v>
      </c>
      <c r="R23" s="209">
        <f>IF('5. 수주액 상세'!$D$4="서비스",IF($G$4="대내",('5. 수주액 상세'!Q11+'5. 수주액 상세'!Q12)*0.3%,('5. 수주액 상세'!Q11+'5. 수주액 상세'!Q12)*0.5%),0)</f>
        <v>0</v>
      </c>
      <c r="S23" s="209">
        <f>IF('5. 수주액 상세'!$D$4="서비스",IF($G$4="대내",('5. 수주액 상세'!R11+'5. 수주액 상세'!R12)*0.3%,('5. 수주액 상세'!R11+'5. 수주액 상세'!R12)*0.5%),0)</f>
        <v>0</v>
      </c>
      <c r="T23" s="209">
        <f>IF('5. 수주액 상세'!$D$4="서비스",IF($G$4="대내",('5. 수주액 상세'!S11+'5. 수주액 상세'!S12)*0.3%,('5. 수주액 상세'!S11+'5. 수주액 상세'!S12)*0.5%),0)</f>
        <v>0</v>
      </c>
      <c r="U23" s="209">
        <f>IF('5. 수주액 상세'!$D$4="서비스",IF($G$4="대내",('5. 수주액 상세'!T11+'5. 수주액 상세'!T12)*0.3%,('5. 수주액 상세'!T11+'5. 수주액 상세'!T12)*0.5%),0)</f>
        <v>0</v>
      </c>
      <c r="V23" s="209">
        <f>IF('5. 수주액 상세'!$D$4="서비스",IF($G$4="대내",('5. 수주액 상세'!U11+'5. 수주액 상세'!U12)*0.3%,('5. 수주액 상세'!U11+'5. 수주액 상세'!U12)*0.5%),0)</f>
        <v>0</v>
      </c>
      <c r="W23" s="209">
        <f>IF('5. 수주액 상세'!$D$4="서비스",IF($G$4="대내",('5. 수주액 상세'!V11+'5. 수주액 상세'!V12)*0.3%,('5. 수주액 상세'!V11+'5. 수주액 상세'!V12)*0.5%),0)</f>
        <v>0</v>
      </c>
      <c r="X23" s="209">
        <f>IF('5. 수주액 상세'!$D$4="서비스",IF($G$4="대내",('5. 수주액 상세'!W11+'5. 수주액 상세'!W12)*0.3%,('5. 수주액 상세'!W11+'5. 수주액 상세'!W12)*0.5%),0)</f>
        <v>0</v>
      </c>
      <c r="Y23" s="209">
        <f>IF('5. 수주액 상세'!$D$4="서비스",IF($G$4="대내",('5. 수주액 상세'!X11+'5. 수주액 상세'!X12)*0.3%,('5. 수주액 상세'!X11+'5. 수주액 상세'!X12)*0.5%),0)</f>
        <v>0</v>
      </c>
      <c r="Z23" s="209">
        <f>IF('5. 수주액 상세'!$D$4="서비스",IF($G$4="대내",('5. 수주액 상세'!Y11+'5. 수주액 상세'!Y12)*0.3%,('5. 수주액 상세'!Y11+'5. 수주액 상세'!Y12)*0.5%),0)</f>
        <v>0</v>
      </c>
      <c r="AA23" s="209">
        <f>IF('5. 수주액 상세'!$D$4="서비스",IF($G$4="대내",('5. 수주액 상세'!Z11+'5. 수주액 상세'!Z12)*0.3%,('5. 수주액 상세'!Z11+'5. 수주액 상세'!Z12)*0.5%),0)</f>
        <v>0</v>
      </c>
      <c r="AB23" s="209">
        <f>IF('5. 수주액 상세'!$D$4="서비스",IF($G$4="대내",('5. 수주액 상세'!AA11+'5. 수주액 상세'!AA12)*0.3%,('5. 수주액 상세'!AA11+'5. 수주액 상세'!AA12)*0.5%),0)</f>
        <v>0</v>
      </c>
      <c r="AC23" s="209">
        <f>IF('5. 수주액 상세'!$D$4="서비스",IF($G$4="대내",('5. 수주액 상세'!AB11+'5. 수주액 상세'!AB12)*0.3%,('5. 수주액 상세'!AB11+'5. 수주액 상세'!AB12)*0.5%),0)</f>
        <v>0</v>
      </c>
      <c r="AD23" s="209">
        <f>IF('5. 수주액 상세'!$D$4="서비스",IF($G$4="대내",('5. 수주액 상세'!AC11+'5. 수주액 상세'!AC12)*0.3%,('5. 수주액 상세'!AC11+'5. 수주액 상세'!AC12)*0.5%),0)</f>
        <v>0</v>
      </c>
      <c r="AE23" s="209">
        <f>IF('5. 수주액 상세'!$D$4="서비스",IF($G$4="대내",('5. 수주액 상세'!AD11+'5. 수주액 상세'!AD12)*0.3%,('5. 수주액 상세'!AD11+'5. 수주액 상세'!AD12)*0.5%),0)</f>
        <v>0</v>
      </c>
      <c r="AF23" s="209">
        <f>IF('5. 수주액 상세'!$D$4="서비스",IF($G$4="대내",('5. 수주액 상세'!AE11+'5. 수주액 상세'!AE12)*0.3%,('5. 수주액 상세'!AE11+'5. 수주액 상세'!AE12)*0.5%),0)</f>
        <v>0</v>
      </c>
      <c r="AG23" s="209">
        <f>IF('5. 수주액 상세'!$D$4="서비스",IF($G$4="대내",('5. 수주액 상세'!AF11+'5. 수주액 상세'!AF12)*0.3%,('5. 수주액 상세'!AF11+'5. 수주액 상세'!AF12)*0.5%),0)</f>
        <v>0</v>
      </c>
      <c r="AH23" s="209">
        <f>IF('5. 수주액 상세'!$D$4="서비스",IF($G$4="대내",('5. 수주액 상세'!AG11+'5. 수주액 상세'!AG12)*0.3%,('5. 수주액 상세'!AG11+'5. 수주액 상세'!AG12)*0.5%),0)</f>
        <v>0</v>
      </c>
      <c r="AI23" s="382"/>
    </row>
    <row r="24" spans="1:91" s="77" customFormat="1" ht="14.55" customHeight="1">
      <c r="A24" s="78"/>
      <c r="B24" s="1539" t="s">
        <v>141</v>
      </c>
      <c r="C24" s="1540"/>
      <c r="D24" s="1541"/>
      <c r="E24" s="197">
        <f>SUM(K24:N24,S24:AH24)</f>
        <v>35000</v>
      </c>
      <c r="F24" s="210">
        <f>F19*35000</f>
        <v>0</v>
      </c>
      <c r="G24" s="210">
        <f>G19*35000</f>
        <v>0</v>
      </c>
      <c r="H24" s="210">
        <f t="shared" ref="H24:J24" si="15">H19*35000</f>
        <v>35000</v>
      </c>
      <c r="I24" s="210">
        <f t="shared" ref="I24" si="16">I19*35000</f>
        <v>0</v>
      </c>
      <c r="J24" s="210">
        <f t="shared" si="15"/>
        <v>0</v>
      </c>
      <c r="K24" s="210">
        <f>SUM(F24:J24)</f>
        <v>35000</v>
      </c>
      <c r="L24" s="210">
        <f>L19*35000</f>
        <v>0</v>
      </c>
      <c r="M24" s="210">
        <f>M19*35000</f>
        <v>0</v>
      </c>
      <c r="N24" s="210">
        <f>N19*35000</f>
        <v>0</v>
      </c>
      <c r="O24" s="210">
        <f>SUM(M24:N24)</f>
        <v>0</v>
      </c>
      <c r="P24" s="210">
        <f t="shared" ref="P24:R24" si="17">P19*35000</f>
        <v>0</v>
      </c>
      <c r="Q24" s="210">
        <f t="shared" si="17"/>
        <v>0</v>
      </c>
      <c r="R24" s="210">
        <f t="shared" si="17"/>
        <v>0</v>
      </c>
      <c r="S24" s="210">
        <f t="shared" si="14"/>
        <v>0</v>
      </c>
      <c r="T24" s="210">
        <f>T19*35000</f>
        <v>0</v>
      </c>
      <c r="U24" s="210">
        <f t="shared" ref="U24:AH24" si="18">U19*35000</f>
        <v>0</v>
      </c>
      <c r="V24" s="210">
        <f t="shared" si="18"/>
        <v>0</v>
      </c>
      <c r="W24" s="210">
        <f t="shared" si="18"/>
        <v>0</v>
      </c>
      <c r="X24" s="210">
        <f t="shared" si="18"/>
        <v>0</v>
      </c>
      <c r="Y24" s="210">
        <f t="shared" si="18"/>
        <v>0</v>
      </c>
      <c r="Z24" s="210">
        <f t="shared" si="18"/>
        <v>0</v>
      </c>
      <c r="AA24" s="210">
        <f t="shared" si="18"/>
        <v>0</v>
      </c>
      <c r="AB24" s="210">
        <f t="shared" si="18"/>
        <v>0</v>
      </c>
      <c r="AC24" s="210"/>
      <c r="AD24" s="210">
        <f t="shared" si="18"/>
        <v>0</v>
      </c>
      <c r="AE24" s="210">
        <f t="shared" si="18"/>
        <v>0</v>
      </c>
      <c r="AF24" s="210">
        <f t="shared" si="18"/>
        <v>0</v>
      </c>
      <c r="AG24" s="210">
        <f t="shared" ref="AG24" si="19">AG19*35000</f>
        <v>0</v>
      </c>
      <c r="AH24" s="210">
        <f t="shared" si="18"/>
        <v>0</v>
      </c>
      <c r="AI24" s="364"/>
    </row>
    <row r="25" spans="1:91" s="77" customFormat="1" ht="14.55" customHeight="1">
      <c r="A25" s="78"/>
      <c r="B25" s="1539" t="s">
        <v>142</v>
      </c>
      <c r="C25" s="1540"/>
      <c r="D25" s="1541"/>
      <c r="E25" s="197">
        <f>($H$4*20000+$I$4*30000+$J$4*20000)*$K$4</f>
        <v>210000</v>
      </c>
      <c r="F25" s="210">
        <f>IF('5. 수주액 상세'!$D$4="서비스",IF(F19&gt;0,IFERROR($E$25*(F19/($E$19-$N$19)),0),0))</f>
        <v>0</v>
      </c>
      <c r="G25" s="210">
        <f>IF('5. 수주액 상세'!$D$4="서비스",IF(G19&gt;0,IFERROR($E$25*(G19/($E$19-$N$19)),0),0))</f>
        <v>0</v>
      </c>
      <c r="H25" s="210">
        <f>IF('5. 수주액 상세'!$D$4="서비스",IF(H19&gt;0,IFERROR($E$25*(H19/($E$19-$N$19)),0),0))</f>
        <v>210000</v>
      </c>
      <c r="I25" s="210">
        <f>IF('5. 수주액 상세'!$D$4="서비스",IF(I19&gt;0,IFERROR($E$25*(I19/($E$19-$N$19)),0),0))</f>
        <v>0</v>
      </c>
      <c r="J25" s="210">
        <f>IF('5. 수주액 상세'!$D$4="서비스",IF(J19&gt;0,IFERROR($E$25*(J19/($E$19-$N$19)),0),0))</f>
        <v>0</v>
      </c>
      <c r="K25" s="210">
        <f>SUM(F25:J25)</f>
        <v>210000</v>
      </c>
      <c r="L25" s="210">
        <f>IF('5. 수주액 상세'!$D$4="서비스",IF(L19&gt;0,IFERROR($E$25*(L19/($E$19-$N$19)),0),0))</f>
        <v>0</v>
      </c>
      <c r="M25" s="210">
        <f>IF('5. 수주액 상세'!$D$4="서비스",IF(M19&gt;0,IFERROR($E$25*(M19/($E$19-$N$19)),0),0))</f>
        <v>0</v>
      </c>
      <c r="N25" s="457">
        <v>0</v>
      </c>
      <c r="O25" s="209">
        <f>SUM(M25:N25)</f>
        <v>0</v>
      </c>
      <c r="P25" s="210">
        <f>IF('5. 수주액 상세'!$D$4="서비스",IF(P19&gt;0,IFERROR($E$25*(P19/($E$19-$N$19)),0),0))</f>
        <v>0</v>
      </c>
      <c r="Q25" s="210">
        <f>IF('5. 수주액 상세'!$D$4="서비스",IF(Q19&gt;0,IFERROR($E$25*(Q19/($E$19-$N$19)),0),0))</f>
        <v>0</v>
      </c>
      <c r="R25" s="210">
        <f>IF('5. 수주액 상세'!$D$4="서비스",IF(R19&gt;0,IFERROR($E$25*(R19/($E$19-$N$19)),0),0))</f>
        <v>0</v>
      </c>
      <c r="S25" s="210">
        <f>SUM(P25:R25)</f>
        <v>0</v>
      </c>
      <c r="T25" s="210">
        <f>IF('5. 수주액 상세'!$D$4="서비스",IF(T19&gt;0,IFERROR($E$25*(T19/($E$19-$N$19)),0),0))</f>
        <v>0</v>
      </c>
      <c r="U25" s="210">
        <f>IF('5. 수주액 상세'!$D$4="서비스",IF(U19&gt;0,IFERROR($E$25*(U19/($E$19-$N$19)),0),0))</f>
        <v>0</v>
      </c>
      <c r="V25" s="210">
        <f>IF('5. 수주액 상세'!$D$4="서비스",IF(V19&gt;0,IFERROR($E$25*(V19/($E$19-$N$19)),0),0))</f>
        <v>0</v>
      </c>
      <c r="W25" s="210">
        <f>IF('5. 수주액 상세'!$D$4="서비스",IF(W19&gt;0,IFERROR($E$25*(W19/($E$19-$N$19)),0),0))</f>
        <v>0</v>
      </c>
      <c r="X25" s="210">
        <f>IF('5. 수주액 상세'!$D$4="서비스",IF(X19&gt;0,IFERROR($E$25*(X19/($E$19-$N$19)),0),0))</f>
        <v>0</v>
      </c>
      <c r="Y25" s="210">
        <f>IF('5. 수주액 상세'!$D$4="서비스",IF(Y19&gt;0,IFERROR($E$25*(Y19/($E$19-$N$19)),0),0))</f>
        <v>0</v>
      </c>
      <c r="Z25" s="210">
        <f>IF('5. 수주액 상세'!$D$4="서비스",IF(Z19&gt;0,IFERROR($E$25*(Z19/($E$19-$N$19)),0),0))</f>
        <v>0</v>
      </c>
      <c r="AA25" s="210">
        <f>IF('5. 수주액 상세'!$D$4="서비스",IF(AA19&gt;0,IFERROR($E$25*(AA19/($E$19-$N$19)),0),0))</f>
        <v>0</v>
      </c>
      <c r="AB25" s="210">
        <f>IF('5. 수주액 상세'!$D$4="서비스",IF(AB19&gt;0,IFERROR($E$25*(AB19/($E$19-$N$19)),0),0))</f>
        <v>0</v>
      </c>
      <c r="AC25" s="210">
        <f>IF('5. 수주액 상세'!$D$4="서비스",IF(AC19&gt;0,IFERROR($E$25*(AC19/($E$19-$N$19)),0),0))</f>
        <v>0</v>
      </c>
      <c r="AD25" s="210">
        <f>IF('5. 수주액 상세'!$D$4="서비스",IF(AD19&gt;0,IFERROR($E$25*(AD19/($E$19-$N$19)),0),0))</f>
        <v>0</v>
      </c>
      <c r="AE25" s="210">
        <f>IF('5. 수주액 상세'!$D$4="서비스",IF(AE19&gt;0,IFERROR($E$25*(AE19/($E$19-$N$19)),0),0))</f>
        <v>0</v>
      </c>
      <c r="AF25" s="210">
        <f>IF('5. 수주액 상세'!$D$4="서비스",IF(AF19&gt;0,IFERROR($E$25*(AF19/($E$19-$N$19)),0),0))</f>
        <v>0</v>
      </c>
      <c r="AG25" s="210">
        <f>IF('5. 수주액 상세'!$D$4="서비스",IF(AG19&gt;0,IFERROR($E$25*(AG19/($E$19-$N$19)),0),0))</f>
        <v>0</v>
      </c>
      <c r="AH25" s="210">
        <f>IF('5. 수주액 상세'!$D$4="서비스",IF(AH19&gt;0,IFERROR($E$25*(AH19/($E$19-$N$19)),0),0))</f>
        <v>0</v>
      </c>
      <c r="AI25" s="364"/>
    </row>
    <row r="26" spans="1:91" s="77" customFormat="1" ht="14.55" customHeight="1">
      <c r="B26" s="118" t="s">
        <v>143</v>
      </c>
      <c r="C26" s="119"/>
      <c r="D26" s="120"/>
      <c r="E26" s="135">
        <f>SUM(K26:$N$26,S26:AH26)</f>
        <v>2677000</v>
      </c>
      <c r="F26" s="135">
        <f>SUM(F27,F32)</f>
        <v>0</v>
      </c>
      <c r="G26" s="135">
        <f>SUM(G27,G32)</f>
        <v>0</v>
      </c>
      <c r="H26" s="135">
        <f>SUM(H27,H32)</f>
        <v>2677000</v>
      </c>
      <c r="I26" s="135">
        <f>SUM(I27,I32)</f>
        <v>0</v>
      </c>
      <c r="J26" s="135">
        <f>SUM(J27,J32)</f>
        <v>0</v>
      </c>
      <c r="K26" s="211">
        <f t="shared" ref="K26:K36" si="20">SUM(F26:J26)</f>
        <v>2677000</v>
      </c>
      <c r="L26" s="135">
        <f>SUM(L27,L32)</f>
        <v>0</v>
      </c>
      <c r="M26" s="135">
        <f>SUM(M27,M32)</f>
        <v>0</v>
      </c>
      <c r="N26" s="135">
        <f>SUM(N27,N32)</f>
        <v>0</v>
      </c>
      <c r="O26" s="211">
        <f t="shared" ref="O26:O64" si="21">SUM(M26:N26)</f>
        <v>0</v>
      </c>
      <c r="P26" s="135">
        <f>SUM(P27,P32)</f>
        <v>0</v>
      </c>
      <c r="Q26" s="135">
        <f t="shared" ref="Q26:AC26" si="22">SUM(Q27,Q32)</f>
        <v>0</v>
      </c>
      <c r="R26" s="135">
        <f>SUM(R27,R32)</f>
        <v>0</v>
      </c>
      <c r="S26" s="211">
        <f t="shared" si="14"/>
        <v>0</v>
      </c>
      <c r="T26" s="135">
        <f>SUM(T27,T32)</f>
        <v>0</v>
      </c>
      <c r="U26" s="135">
        <f>SUM(U27,U32)</f>
        <v>0</v>
      </c>
      <c r="V26" s="135">
        <f>SUM(V27,V32)</f>
        <v>0</v>
      </c>
      <c r="W26" s="135">
        <f>SUM(W27,W32)</f>
        <v>0</v>
      </c>
      <c r="X26" s="135">
        <f t="shared" si="22"/>
        <v>0</v>
      </c>
      <c r="Y26" s="135">
        <f t="shared" si="22"/>
        <v>0</v>
      </c>
      <c r="Z26" s="135">
        <f t="shared" si="22"/>
        <v>0</v>
      </c>
      <c r="AA26" s="135">
        <f t="shared" si="22"/>
        <v>0</v>
      </c>
      <c r="AB26" s="135">
        <f>SUM(AB27,AB32)</f>
        <v>0</v>
      </c>
      <c r="AC26" s="135">
        <f t="shared" si="22"/>
        <v>0</v>
      </c>
      <c r="AD26" s="135">
        <f t="shared" ref="AD26:AF26" si="23">SUM(AD27,AD32)</f>
        <v>0</v>
      </c>
      <c r="AE26" s="135">
        <f t="shared" si="23"/>
        <v>0</v>
      </c>
      <c r="AF26" s="135">
        <f t="shared" si="23"/>
        <v>0</v>
      </c>
      <c r="AG26" s="135">
        <f t="shared" ref="AG26" si="24">SUM(AG27,AG32)</f>
        <v>0</v>
      </c>
      <c r="AH26" s="135">
        <f>SUM(AH27,AH32)</f>
        <v>0</v>
      </c>
      <c r="AI26" s="365"/>
    </row>
    <row r="27" spans="1:91" s="77" customFormat="1" ht="14.55" customHeight="1">
      <c r="B27" s="121" t="s">
        <v>138</v>
      </c>
      <c r="C27" s="122"/>
      <c r="D27" s="123"/>
      <c r="E27" s="198">
        <f>SUM(E28:E31)</f>
        <v>2677000</v>
      </c>
      <c r="F27" s="136">
        <f t="shared" ref="F27:J27" si="25">SUM(F28:F31)</f>
        <v>0</v>
      </c>
      <c r="G27" s="136">
        <f t="shared" si="25"/>
        <v>0</v>
      </c>
      <c r="H27" s="136">
        <f t="shared" si="25"/>
        <v>2677000</v>
      </c>
      <c r="I27" s="136">
        <f t="shared" ref="I27" si="26">SUM(I28:I31)</f>
        <v>0</v>
      </c>
      <c r="J27" s="136">
        <f t="shared" si="25"/>
        <v>0</v>
      </c>
      <c r="K27" s="212">
        <f t="shared" si="20"/>
        <v>2677000</v>
      </c>
      <c r="L27" s="136">
        <f>SUM(L28:L31)</f>
        <v>0</v>
      </c>
      <c r="M27" s="136">
        <f>SUM(M28:M31)</f>
        <v>0</v>
      </c>
      <c r="N27" s="136">
        <f>SUM(N28:N31)</f>
        <v>0</v>
      </c>
      <c r="O27" s="212">
        <f t="shared" si="21"/>
        <v>0</v>
      </c>
      <c r="P27" s="136">
        <f>SUM(P28:P31)</f>
        <v>0</v>
      </c>
      <c r="Q27" s="136">
        <f t="shared" ref="Q27:AC27" si="27">SUM(Q28:Q31)</f>
        <v>0</v>
      </c>
      <c r="R27" s="136">
        <f>SUM(R28:R31)</f>
        <v>0</v>
      </c>
      <c r="S27" s="212">
        <f t="shared" si="14"/>
        <v>0</v>
      </c>
      <c r="T27" s="136">
        <f>SUM(T28:T31)</f>
        <v>0</v>
      </c>
      <c r="U27" s="136">
        <f>SUM(U28:U31)</f>
        <v>0</v>
      </c>
      <c r="V27" s="136">
        <f>SUM(V28:V31)</f>
        <v>0</v>
      </c>
      <c r="W27" s="136">
        <f>SUM(W28:W31)</f>
        <v>0</v>
      </c>
      <c r="X27" s="136">
        <f t="shared" si="27"/>
        <v>0</v>
      </c>
      <c r="Y27" s="136">
        <f t="shared" si="27"/>
        <v>0</v>
      </c>
      <c r="Z27" s="136">
        <f t="shared" si="27"/>
        <v>0</v>
      </c>
      <c r="AA27" s="136">
        <f t="shared" si="27"/>
        <v>0</v>
      </c>
      <c r="AB27" s="136">
        <f>SUM(AB28:AB31)</f>
        <v>0</v>
      </c>
      <c r="AC27" s="136">
        <f t="shared" si="27"/>
        <v>0</v>
      </c>
      <c r="AD27" s="136">
        <f t="shared" ref="AD27:AH27" si="28">SUM(AD28:AD31)</f>
        <v>0</v>
      </c>
      <c r="AE27" s="136">
        <f t="shared" si="28"/>
        <v>0</v>
      </c>
      <c r="AF27" s="136">
        <f t="shared" si="28"/>
        <v>0</v>
      </c>
      <c r="AG27" s="136">
        <f t="shared" ref="AG27" si="29">SUM(AG28:AG31)</f>
        <v>0</v>
      </c>
      <c r="AH27" s="136">
        <f t="shared" si="28"/>
        <v>0</v>
      </c>
      <c r="AI27" s="366"/>
    </row>
    <row r="28" spans="1:91" s="77" customFormat="1" ht="14.55" customHeight="1">
      <c r="B28" s="124" t="s">
        <v>350</v>
      </c>
      <c r="C28" s="125"/>
      <c r="D28" s="623" t="s">
        <v>541</v>
      </c>
      <c r="E28" s="199">
        <f>SUM(K28:N28,S28:AH28)</f>
        <v>1100000</v>
      </c>
      <c r="F28" s="165">
        <f>22*F14*50000</f>
        <v>0</v>
      </c>
      <c r="G28" s="165">
        <f>22*G14*50000</f>
        <v>0</v>
      </c>
      <c r="H28" s="165">
        <f>22*H14*50000</f>
        <v>1100000</v>
      </c>
      <c r="I28" s="165">
        <f>22*I14*50000</f>
        <v>0</v>
      </c>
      <c r="J28" s="165">
        <f>22*J14*50000</f>
        <v>0</v>
      </c>
      <c r="K28" s="165">
        <f t="shared" si="20"/>
        <v>1100000</v>
      </c>
      <c r="L28" s="165">
        <f>22*L14*50000</f>
        <v>0</v>
      </c>
      <c r="M28" s="165">
        <f t="shared" ref="M28:R28" si="30">22*M14*50000</f>
        <v>0</v>
      </c>
      <c r="N28" s="165">
        <f>22*N14*50000</f>
        <v>0</v>
      </c>
      <c r="O28" s="165">
        <f t="shared" si="21"/>
        <v>0</v>
      </c>
      <c r="P28" s="165">
        <f t="shared" si="30"/>
        <v>0</v>
      </c>
      <c r="Q28" s="165">
        <f t="shared" si="30"/>
        <v>0</v>
      </c>
      <c r="R28" s="165">
        <f t="shared" si="30"/>
        <v>0</v>
      </c>
      <c r="S28" s="165">
        <f t="shared" si="14"/>
        <v>0</v>
      </c>
      <c r="T28" s="165">
        <f t="shared" ref="T28:AF28" si="31">22*T14*50000</f>
        <v>0</v>
      </c>
      <c r="U28" s="165">
        <f t="shared" si="31"/>
        <v>0</v>
      </c>
      <c r="V28" s="165">
        <f t="shared" si="31"/>
        <v>0</v>
      </c>
      <c r="W28" s="165">
        <f t="shared" si="31"/>
        <v>0</v>
      </c>
      <c r="X28" s="165">
        <f t="shared" si="31"/>
        <v>0</v>
      </c>
      <c r="Y28" s="165">
        <f t="shared" si="31"/>
        <v>0</v>
      </c>
      <c r="Z28" s="165">
        <f t="shared" si="31"/>
        <v>0</v>
      </c>
      <c r="AA28" s="165">
        <f t="shared" si="31"/>
        <v>0</v>
      </c>
      <c r="AB28" s="165">
        <f t="shared" si="31"/>
        <v>0</v>
      </c>
      <c r="AC28" s="165">
        <f t="shared" si="31"/>
        <v>0</v>
      </c>
      <c r="AD28" s="165">
        <f t="shared" si="31"/>
        <v>0</v>
      </c>
      <c r="AE28" s="165">
        <f t="shared" si="31"/>
        <v>0</v>
      </c>
      <c r="AF28" s="165">
        <f t="shared" si="31"/>
        <v>0</v>
      </c>
      <c r="AG28" s="165">
        <f t="shared" ref="AG28" si="32">22*AG14*50000</f>
        <v>0</v>
      </c>
      <c r="AH28" s="165">
        <f>22*AH14*50000</f>
        <v>0</v>
      </c>
      <c r="AI28" s="367"/>
    </row>
    <row r="29" spans="1:91" s="77" customFormat="1" ht="14.55" customHeight="1">
      <c r="B29" s="124" t="s">
        <v>244</v>
      </c>
      <c r="C29" s="125"/>
      <c r="D29" s="385">
        <v>9</v>
      </c>
      <c r="E29" s="199">
        <f>SUM(K29:N29,S29:AH29)</f>
        <v>189000</v>
      </c>
      <c r="F29" s="165">
        <f>$D$29*300*$F$4*F14</f>
        <v>0</v>
      </c>
      <c r="G29" s="165">
        <f>$D$29*300*$F$4*G14</f>
        <v>0</v>
      </c>
      <c r="H29" s="165">
        <f>$D$29*300*$F$4*H14</f>
        <v>189000</v>
      </c>
      <c r="I29" s="165">
        <f>$D$29*300*$F$4*I14</f>
        <v>0</v>
      </c>
      <c r="J29" s="165">
        <f>$D$29*300*$F$4*J14</f>
        <v>0</v>
      </c>
      <c r="K29" s="165">
        <f t="shared" si="20"/>
        <v>189000</v>
      </c>
      <c r="L29" s="165">
        <f>$D$29*300*$F$4*L14</f>
        <v>0</v>
      </c>
      <c r="M29" s="165">
        <f>$D$29*300*$F$4*M14</f>
        <v>0</v>
      </c>
      <c r="N29" s="165">
        <f>$D$29*300*$F$4*N14</f>
        <v>0</v>
      </c>
      <c r="O29" s="165">
        <f t="shared" si="21"/>
        <v>0</v>
      </c>
      <c r="P29" s="165">
        <f t="shared" ref="P29:R29" si="33">$D$29*300*$F$4*P14</f>
        <v>0</v>
      </c>
      <c r="Q29" s="165">
        <f t="shared" si="33"/>
        <v>0</v>
      </c>
      <c r="R29" s="165">
        <f t="shared" si="33"/>
        <v>0</v>
      </c>
      <c r="S29" s="165">
        <f t="shared" si="14"/>
        <v>0</v>
      </c>
      <c r="T29" s="165">
        <f t="shared" ref="T29:AF29" si="34">$D$29*300*$F$4*T14</f>
        <v>0</v>
      </c>
      <c r="U29" s="165">
        <f t="shared" si="34"/>
        <v>0</v>
      </c>
      <c r="V29" s="165">
        <f t="shared" si="34"/>
        <v>0</v>
      </c>
      <c r="W29" s="165">
        <f t="shared" si="34"/>
        <v>0</v>
      </c>
      <c r="X29" s="165">
        <f t="shared" si="34"/>
        <v>0</v>
      </c>
      <c r="Y29" s="165">
        <f t="shared" si="34"/>
        <v>0</v>
      </c>
      <c r="Z29" s="165">
        <f t="shared" si="34"/>
        <v>0</v>
      </c>
      <c r="AA29" s="165">
        <f t="shared" si="34"/>
        <v>0</v>
      </c>
      <c r="AB29" s="165">
        <f t="shared" si="34"/>
        <v>0</v>
      </c>
      <c r="AC29" s="165">
        <f t="shared" si="34"/>
        <v>0</v>
      </c>
      <c r="AD29" s="165">
        <f t="shared" si="34"/>
        <v>0</v>
      </c>
      <c r="AE29" s="165">
        <f t="shared" si="34"/>
        <v>0</v>
      </c>
      <c r="AF29" s="165">
        <f t="shared" si="34"/>
        <v>0</v>
      </c>
      <c r="AG29" s="165">
        <f t="shared" ref="AG29" si="35">$D$29*300*$F$4*AG14</f>
        <v>0</v>
      </c>
      <c r="AH29" s="165">
        <f>$D$29*300*$F$4*AH14</f>
        <v>0</v>
      </c>
      <c r="AI29" s="367"/>
    </row>
    <row r="30" spans="1:91" s="77" customFormat="1" ht="14.55" customHeight="1">
      <c r="B30" s="124" t="s">
        <v>128</v>
      </c>
      <c r="C30" s="125"/>
      <c r="D30" s="644">
        <v>12000</v>
      </c>
      <c r="E30" s="199">
        <f>SUM(K30:N30,S30:AH30)</f>
        <v>108000</v>
      </c>
      <c r="F30" s="165">
        <f>$D$29*$D$30*F$14</f>
        <v>0</v>
      </c>
      <c r="G30" s="165">
        <f>$D$29*$D$30*G$14</f>
        <v>0</v>
      </c>
      <c r="H30" s="165">
        <f>$D$29*$D$30*H$14</f>
        <v>108000</v>
      </c>
      <c r="I30" s="165">
        <f>$D$29*$D$30*I$14</f>
        <v>0</v>
      </c>
      <c r="J30" s="165">
        <f>$D$29*$D$30*J$14</f>
        <v>0</v>
      </c>
      <c r="K30" s="165">
        <f t="shared" si="20"/>
        <v>108000</v>
      </c>
      <c r="L30" s="165">
        <f>$D$29*$D$30*L$14</f>
        <v>0</v>
      </c>
      <c r="M30" s="165">
        <f>$D$29*$D$30*M$14</f>
        <v>0</v>
      </c>
      <c r="N30" s="165">
        <f>$D$29*$D$30*N$14</f>
        <v>0</v>
      </c>
      <c r="O30" s="165">
        <f t="shared" si="21"/>
        <v>0</v>
      </c>
      <c r="P30" s="165">
        <f t="shared" ref="P30:R30" si="36">$D$29*$D$30*P$14</f>
        <v>0</v>
      </c>
      <c r="Q30" s="165">
        <f t="shared" si="36"/>
        <v>0</v>
      </c>
      <c r="R30" s="165">
        <f t="shared" si="36"/>
        <v>0</v>
      </c>
      <c r="S30" s="165">
        <f t="shared" si="14"/>
        <v>0</v>
      </c>
      <c r="T30" s="165">
        <f t="shared" ref="T30:AG30" si="37">$D$29*$D$30*T$14</f>
        <v>0</v>
      </c>
      <c r="U30" s="165">
        <f t="shared" si="37"/>
        <v>0</v>
      </c>
      <c r="V30" s="165">
        <f t="shared" si="37"/>
        <v>0</v>
      </c>
      <c r="W30" s="165">
        <f t="shared" si="37"/>
        <v>0</v>
      </c>
      <c r="X30" s="165">
        <f t="shared" si="37"/>
        <v>0</v>
      </c>
      <c r="Y30" s="165">
        <f t="shared" si="37"/>
        <v>0</v>
      </c>
      <c r="Z30" s="165">
        <f t="shared" si="37"/>
        <v>0</v>
      </c>
      <c r="AA30" s="165">
        <f t="shared" si="37"/>
        <v>0</v>
      </c>
      <c r="AB30" s="165">
        <f t="shared" si="37"/>
        <v>0</v>
      </c>
      <c r="AC30" s="165">
        <f t="shared" si="37"/>
        <v>0</v>
      </c>
      <c r="AD30" s="165">
        <f t="shared" si="37"/>
        <v>0</v>
      </c>
      <c r="AE30" s="165">
        <f t="shared" si="37"/>
        <v>0</v>
      </c>
      <c r="AF30" s="165">
        <f t="shared" si="37"/>
        <v>0</v>
      </c>
      <c r="AG30" s="165">
        <f t="shared" si="37"/>
        <v>0</v>
      </c>
      <c r="AH30" s="165">
        <f>$D$29*$D$30*AH$14</f>
        <v>0</v>
      </c>
      <c r="AI30" s="367"/>
    </row>
    <row r="31" spans="1:91" s="77" customFormat="1" ht="14.55" customHeight="1">
      <c r="B31" s="621" t="s">
        <v>129</v>
      </c>
      <c r="C31" s="622"/>
      <c r="D31" s="624" t="s">
        <v>540</v>
      </c>
      <c r="E31" s="200">
        <f>SUM(K31:N31,S31:AH31)</f>
        <v>1280000</v>
      </c>
      <c r="F31" s="213">
        <f>80000*16*F$14</f>
        <v>0</v>
      </c>
      <c r="G31" s="213">
        <f>80000*16*G$14</f>
        <v>0</v>
      </c>
      <c r="H31" s="213">
        <f>80000*16*H$14</f>
        <v>1280000</v>
      </c>
      <c r="I31" s="213">
        <f>80000*16*I$14</f>
        <v>0</v>
      </c>
      <c r="J31" s="213">
        <f>80000*16*J$14</f>
        <v>0</v>
      </c>
      <c r="K31" s="213">
        <f t="shared" si="20"/>
        <v>1280000</v>
      </c>
      <c r="L31" s="213">
        <f>80000*16*L$14</f>
        <v>0</v>
      </c>
      <c r="M31" s="213">
        <f>80000*16*M$14</f>
        <v>0</v>
      </c>
      <c r="N31" s="213">
        <f>80000*16*N$14</f>
        <v>0</v>
      </c>
      <c r="O31" s="213">
        <f t="shared" si="21"/>
        <v>0</v>
      </c>
      <c r="P31" s="213">
        <f>80000*16*P$14</f>
        <v>0</v>
      </c>
      <c r="Q31" s="213">
        <f>80000*16*Q$14</f>
        <v>0</v>
      </c>
      <c r="R31" s="213">
        <f>80000*16*R$14</f>
        <v>0</v>
      </c>
      <c r="S31" s="213">
        <f t="shared" si="14"/>
        <v>0</v>
      </c>
      <c r="T31" s="213">
        <f t="shared" ref="T31:AH31" si="38">80000*16*T$14</f>
        <v>0</v>
      </c>
      <c r="U31" s="213">
        <f t="shared" si="38"/>
        <v>0</v>
      </c>
      <c r="V31" s="213">
        <f t="shared" si="38"/>
        <v>0</v>
      </c>
      <c r="W31" s="213">
        <f t="shared" si="38"/>
        <v>0</v>
      </c>
      <c r="X31" s="213">
        <f t="shared" si="38"/>
        <v>0</v>
      </c>
      <c r="Y31" s="213">
        <f t="shared" si="38"/>
        <v>0</v>
      </c>
      <c r="Z31" s="213">
        <f t="shared" si="38"/>
        <v>0</v>
      </c>
      <c r="AA31" s="213">
        <f t="shared" si="38"/>
        <v>0</v>
      </c>
      <c r="AB31" s="213">
        <f t="shared" si="38"/>
        <v>0</v>
      </c>
      <c r="AC31" s="213">
        <f t="shared" si="38"/>
        <v>0</v>
      </c>
      <c r="AD31" s="213">
        <f t="shared" si="38"/>
        <v>0</v>
      </c>
      <c r="AE31" s="213">
        <f t="shared" si="38"/>
        <v>0</v>
      </c>
      <c r="AF31" s="213">
        <f t="shared" si="38"/>
        <v>0</v>
      </c>
      <c r="AG31" s="213">
        <f t="shared" si="38"/>
        <v>0</v>
      </c>
      <c r="AH31" s="213">
        <f t="shared" si="38"/>
        <v>0</v>
      </c>
      <c r="AI31" s="368"/>
    </row>
    <row r="32" spans="1:91" s="77" customFormat="1" ht="14.55" customHeight="1">
      <c r="B32" s="121" t="s">
        <v>139</v>
      </c>
      <c r="C32" s="122"/>
      <c r="D32" s="123"/>
      <c r="E32" s="198">
        <f>SUM(E33:E37)</f>
        <v>0</v>
      </c>
      <c r="F32" s="212">
        <f t="shared" ref="F32:J32" si="39">SUM(F33:F37)</f>
        <v>0</v>
      </c>
      <c r="G32" s="212">
        <f t="shared" si="39"/>
        <v>0</v>
      </c>
      <c r="H32" s="136">
        <f t="shared" si="39"/>
        <v>0</v>
      </c>
      <c r="I32" s="136">
        <f t="shared" ref="I32" si="40">SUM(I33:I37)</f>
        <v>0</v>
      </c>
      <c r="J32" s="136">
        <f t="shared" si="39"/>
        <v>0</v>
      </c>
      <c r="K32" s="212">
        <f t="shared" si="20"/>
        <v>0</v>
      </c>
      <c r="L32" s="136">
        <f>SUM(L33:L37)</f>
        <v>0</v>
      </c>
      <c r="M32" s="136">
        <f>SUM(M33:M37)</f>
        <v>0</v>
      </c>
      <c r="N32" s="136">
        <f>SUM(N33:N37)</f>
        <v>0</v>
      </c>
      <c r="O32" s="212">
        <f t="shared" si="21"/>
        <v>0</v>
      </c>
      <c r="P32" s="136">
        <f>SUM(P33:P37)</f>
        <v>0</v>
      </c>
      <c r="Q32" s="136">
        <f t="shared" ref="Q32:AC32" si="41">SUM(Q33:Q37)</f>
        <v>0</v>
      </c>
      <c r="R32" s="136">
        <f>SUM(R33:R37)</f>
        <v>0</v>
      </c>
      <c r="S32" s="212">
        <f t="shared" si="14"/>
        <v>0</v>
      </c>
      <c r="T32" s="136">
        <f>SUM(T33:T37)</f>
        <v>0</v>
      </c>
      <c r="U32" s="136">
        <f>SUM(U33:U37)</f>
        <v>0</v>
      </c>
      <c r="V32" s="136">
        <f>SUM(V33:V37)</f>
        <v>0</v>
      </c>
      <c r="W32" s="136">
        <f>SUM(W33:W37)</f>
        <v>0</v>
      </c>
      <c r="X32" s="136">
        <f t="shared" si="41"/>
        <v>0</v>
      </c>
      <c r="Y32" s="136">
        <f t="shared" si="41"/>
        <v>0</v>
      </c>
      <c r="Z32" s="136">
        <f t="shared" si="41"/>
        <v>0</v>
      </c>
      <c r="AA32" s="136">
        <f t="shared" si="41"/>
        <v>0</v>
      </c>
      <c r="AB32" s="136">
        <f>SUM(AB33:AB37)</f>
        <v>0</v>
      </c>
      <c r="AC32" s="136">
        <f t="shared" si="41"/>
        <v>0</v>
      </c>
      <c r="AD32" s="136">
        <f t="shared" ref="AD32:AF32" si="42">SUM(AD33:AD37)</f>
        <v>0</v>
      </c>
      <c r="AE32" s="136">
        <f t="shared" si="42"/>
        <v>0</v>
      </c>
      <c r="AF32" s="136">
        <f t="shared" si="42"/>
        <v>0</v>
      </c>
      <c r="AG32" s="136">
        <f t="shared" ref="AG32" si="43">SUM(AG33:AG37)</f>
        <v>0</v>
      </c>
      <c r="AH32" s="136">
        <f>SUM(AH33:AH37)</f>
        <v>0</v>
      </c>
      <c r="AI32" s="366"/>
    </row>
    <row r="33" spans="2:35" s="77" customFormat="1" ht="14.55" customHeight="1">
      <c r="B33" s="124" t="s">
        <v>127</v>
      </c>
      <c r="C33" s="125"/>
      <c r="D33" s="216"/>
      <c r="E33" s="199">
        <f>SUM(K33:N33,S33:AH33)</f>
        <v>0</v>
      </c>
      <c r="F33" s="165">
        <f>31*$D$33*F$16*$E$4</f>
        <v>0</v>
      </c>
      <c r="G33" s="165">
        <f>31*$D$33*G$16*$E$4</f>
        <v>0</v>
      </c>
      <c r="H33" s="165">
        <f>31*$D$33*H$16*$E$4</f>
        <v>0</v>
      </c>
      <c r="I33" s="165">
        <f>31*$D$33*I$16*$E$4</f>
        <v>0</v>
      </c>
      <c r="J33" s="165">
        <f>31*$D$33*J$16*$E$4</f>
        <v>0</v>
      </c>
      <c r="K33" s="165">
        <f t="shared" si="20"/>
        <v>0</v>
      </c>
      <c r="L33" s="165">
        <f>31*$D$33*L$16*$E$4</f>
        <v>0</v>
      </c>
      <c r="M33" s="165">
        <f>31*$D$33*M$16*$E$4</f>
        <v>0</v>
      </c>
      <c r="N33" s="165">
        <f>31*$D$33*N$16*$E$4</f>
        <v>0</v>
      </c>
      <c r="O33" s="165">
        <f t="shared" si="21"/>
        <v>0</v>
      </c>
      <c r="P33" s="165">
        <f t="shared" ref="P33:R33" si="44">31*$D$33*P$16*$E$4</f>
        <v>0</v>
      </c>
      <c r="Q33" s="165">
        <f t="shared" si="44"/>
        <v>0</v>
      </c>
      <c r="R33" s="165">
        <f t="shared" si="44"/>
        <v>0</v>
      </c>
      <c r="S33" s="165">
        <f t="shared" si="14"/>
        <v>0</v>
      </c>
      <c r="T33" s="165">
        <f t="shared" ref="T33:AG33" si="45">31*$D$33*T$16*$E$4</f>
        <v>0</v>
      </c>
      <c r="U33" s="165">
        <f t="shared" si="45"/>
        <v>0</v>
      </c>
      <c r="V33" s="165">
        <f t="shared" si="45"/>
        <v>0</v>
      </c>
      <c r="W33" s="165">
        <f t="shared" si="45"/>
        <v>0</v>
      </c>
      <c r="X33" s="165">
        <f t="shared" si="45"/>
        <v>0</v>
      </c>
      <c r="Y33" s="165">
        <f t="shared" si="45"/>
        <v>0</v>
      </c>
      <c r="Z33" s="165">
        <f t="shared" si="45"/>
        <v>0</v>
      </c>
      <c r="AA33" s="165">
        <f t="shared" si="45"/>
        <v>0</v>
      </c>
      <c r="AB33" s="165">
        <f t="shared" si="45"/>
        <v>0</v>
      </c>
      <c r="AC33" s="165">
        <f t="shared" si="45"/>
        <v>0</v>
      </c>
      <c r="AD33" s="165">
        <f t="shared" si="45"/>
        <v>0</v>
      </c>
      <c r="AE33" s="165">
        <f t="shared" si="45"/>
        <v>0</v>
      </c>
      <c r="AF33" s="165">
        <f t="shared" si="45"/>
        <v>0</v>
      </c>
      <c r="AG33" s="165">
        <f t="shared" si="45"/>
        <v>0</v>
      </c>
      <c r="AH33" s="165">
        <f>31*$D$33*AH$16*$E$4</f>
        <v>0</v>
      </c>
      <c r="AI33" s="367"/>
    </row>
    <row r="34" spans="2:35" s="77" customFormat="1" ht="14.55" customHeight="1">
      <c r="B34" s="124" t="s">
        <v>130</v>
      </c>
      <c r="C34" s="125"/>
      <c r="D34" s="1189"/>
      <c r="E34" s="199">
        <f>SUM(K34:N34,S34:AH34)</f>
        <v>0</v>
      </c>
      <c r="F34" s="165">
        <f>$D$34*F$16</f>
        <v>0</v>
      </c>
      <c r="G34" s="165">
        <f>$D$34*G$16</f>
        <v>0</v>
      </c>
      <c r="H34" s="165">
        <f>$D$34*H$16</f>
        <v>0</v>
      </c>
      <c r="I34" s="165">
        <f>$D$34*I$16</f>
        <v>0</v>
      </c>
      <c r="J34" s="165">
        <f>$D$34*J$16</f>
        <v>0</v>
      </c>
      <c r="K34" s="165">
        <f t="shared" si="20"/>
        <v>0</v>
      </c>
      <c r="L34" s="165">
        <f>$D$34*L$16</f>
        <v>0</v>
      </c>
      <c r="M34" s="165">
        <f>$D$34*M$16</f>
        <v>0</v>
      </c>
      <c r="N34" s="165">
        <f>$D$34*N$16</f>
        <v>0</v>
      </c>
      <c r="O34" s="165">
        <f t="shared" si="21"/>
        <v>0</v>
      </c>
      <c r="P34" s="165">
        <f t="shared" ref="P34:R34" si="46">$D$34*P$16</f>
        <v>0</v>
      </c>
      <c r="Q34" s="165">
        <f t="shared" si="46"/>
        <v>0</v>
      </c>
      <c r="R34" s="165">
        <f t="shared" si="46"/>
        <v>0</v>
      </c>
      <c r="S34" s="165">
        <f t="shared" si="14"/>
        <v>0</v>
      </c>
      <c r="T34" s="165">
        <f>$D$34*T$16</f>
        <v>0</v>
      </c>
      <c r="U34" s="165">
        <f t="shared" ref="U34:AG34" si="47">$D$34*U$16</f>
        <v>0</v>
      </c>
      <c r="V34" s="165">
        <f t="shared" si="47"/>
        <v>0</v>
      </c>
      <c r="W34" s="165">
        <f t="shared" si="47"/>
        <v>0</v>
      </c>
      <c r="X34" s="165">
        <f t="shared" si="47"/>
        <v>0</v>
      </c>
      <c r="Y34" s="165">
        <f t="shared" si="47"/>
        <v>0</v>
      </c>
      <c r="Z34" s="165">
        <f t="shared" si="47"/>
        <v>0</v>
      </c>
      <c r="AA34" s="165">
        <f t="shared" si="47"/>
        <v>0</v>
      </c>
      <c r="AB34" s="165">
        <f t="shared" si="47"/>
        <v>0</v>
      </c>
      <c r="AC34" s="165">
        <f t="shared" si="47"/>
        <v>0</v>
      </c>
      <c r="AD34" s="165">
        <f t="shared" si="47"/>
        <v>0</v>
      </c>
      <c r="AE34" s="165">
        <f t="shared" si="47"/>
        <v>0</v>
      </c>
      <c r="AF34" s="165">
        <f t="shared" si="47"/>
        <v>0</v>
      </c>
      <c r="AG34" s="165">
        <f t="shared" si="47"/>
        <v>0</v>
      </c>
      <c r="AH34" s="165">
        <f>$D$34*AH$16</f>
        <v>0</v>
      </c>
      <c r="AI34" s="367"/>
    </row>
    <row r="35" spans="2:35" s="381" customFormat="1" ht="14.55" customHeight="1">
      <c r="B35" s="619" t="s">
        <v>131</v>
      </c>
      <c r="C35" s="620"/>
      <c r="D35" s="1189"/>
      <c r="E35" s="199">
        <f>SUM(K35:N35,S35:AH35)</f>
        <v>0</v>
      </c>
      <c r="F35" s="165">
        <f>$D$35*F$17</f>
        <v>0</v>
      </c>
      <c r="G35" s="165">
        <f>$D$35*G$17</f>
        <v>0</v>
      </c>
      <c r="H35" s="165">
        <f>$D$35*H$17</f>
        <v>0</v>
      </c>
      <c r="I35" s="165">
        <f>$D$35*I$17</f>
        <v>0</v>
      </c>
      <c r="J35" s="165">
        <f>$D$35*J$17</f>
        <v>0</v>
      </c>
      <c r="K35" s="165">
        <f t="shared" si="20"/>
        <v>0</v>
      </c>
      <c r="L35" s="165">
        <f>$D$35*L$17</f>
        <v>0</v>
      </c>
      <c r="M35" s="165">
        <f>$D$35*M$17</f>
        <v>0</v>
      </c>
      <c r="N35" s="165">
        <f>$D$35*N$17</f>
        <v>0</v>
      </c>
      <c r="O35" s="165">
        <f t="shared" si="21"/>
        <v>0</v>
      </c>
      <c r="P35" s="165">
        <f t="shared" ref="P35:R35" si="48">$D$35*P$17</f>
        <v>0</v>
      </c>
      <c r="Q35" s="165">
        <f t="shared" si="48"/>
        <v>0</v>
      </c>
      <c r="R35" s="165">
        <f t="shared" si="48"/>
        <v>0</v>
      </c>
      <c r="S35" s="165">
        <f t="shared" si="14"/>
        <v>0</v>
      </c>
      <c r="T35" s="165">
        <f>$D$35*T$17</f>
        <v>0</v>
      </c>
      <c r="U35" s="165">
        <f t="shared" ref="U35:AH35" si="49">$D$35*U$17</f>
        <v>0</v>
      </c>
      <c r="V35" s="165">
        <f t="shared" si="49"/>
        <v>0</v>
      </c>
      <c r="W35" s="165">
        <f t="shared" si="49"/>
        <v>0</v>
      </c>
      <c r="X35" s="165">
        <f t="shared" si="49"/>
        <v>0</v>
      </c>
      <c r="Y35" s="165">
        <f t="shared" si="49"/>
        <v>0</v>
      </c>
      <c r="Z35" s="165">
        <f t="shared" si="49"/>
        <v>0</v>
      </c>
      <c r="AA35" s="165">
        <f t="shared" si="49"/>
        <v>0</v>
      </c>
      <c r="AB35" s="165">
        <f t="shared" si="49"/>
        <v>0</v>
      </c>
      <c r="AC35" s="165">
        <f t="shared" si="49"/>
        <v>0</v>
      </c>
      <c r="AD35" s="165">
        <f t="shared" si="49"/>
        <v>0</v>
      </c>
      <c r="AE35" s="165">
        <f t="shared" si="49"/>
        <v>0</v>
      </c>
      <c r="AF35" s="165">
        <f t="shared" si="49"/>
        <v>0</v>
      </c>
      <c r="AG35" s="165">
        <f t="shared" si="49"/>
        <v>0</v>
      </c>
      <c r="AH35" s="165">
        <f t="shared" si="49"/>
        <v>0</v>
      </c>
      <c r="AI35" s="504"/>
    </row>
    <row r="36" spans="2:35" s="381" customFormat="1" ht="14.55" customHeight="1">
      <c r="B36" s="619" t="s">
        <v>129</v>
      </c>
      <c r="C36" s="620"/>
      <c r="D36" s="216"/>
      <c r="E36" s="199">
        <f>SUM(K36:N36,S36:AH36)</f>
        <v>0</v>
      </c>
      <c r="F36" s="165">
        <f>$D$36*F$16*$E$4*30</f>
        <v>0</v>
      </c>
      <c r="G36" s="165">
        <f>$D$36*G$16*$E$4*30</f>
        <v>0</v>
      </c>
      <c r="H36" s="165">
        <f>$D$36*H$16*$E$4*30</f>
        <v>0</v>
      </c>
      <c r="I36" s="165">
        <f>$D$36*I$16*$E$4*30</f>
        <v>0</v>
      </c>
      <c r="J36" s="165">
        <f>$D$36*J$16*$E$4*30</f>
        <v>0</v>
      </c>
      <c r="K36" s="165">
        <f t="shared" si="20"/>
        <v>0</v>
      </c>
      <c r="L36" s="165">
        <f>$D$36*L$16*$E$4*30</f>
        <v>0</v>
      </c>
      <c r="M36" s="165">
        <f>$D$36*M$16*$E$4*30</f>
        <v>0</v>
      </c>
      <c r="N36" s="165">
        <f>$D$36*N$16*$E$4*30</f>
        <v>0</v>
      </c>
      <c r="O36" s="165">
        <f t="shared" si="21"/>
        <v>0</v>
      </c>
      <c r="P36" s="165">
        <f t="shared" ref="P36:R36" si="50">$D$36*P$16*$E$4*30</f>
        <v>0</v>
      </c>
      <c r="Q36" s="165">
        <f t="shared" si="50"/>
        <v>0</v>
      </c>
      <c r="R36" s="165">
        <f t="shared" si="50"/>
        <v>0</v>
      </c>
      <c r="S36" s="165">
        <f t="shared" si="14"/>
        <v>0</v>
      </c>
      <c r="T36" s="165">
        <f t="shared" ref="T36:AH36" si="51">$D$36*T$16*$E$4*30</f>
        <v>0</v>
      </c>
      <c r="U36" s="165">
        <f t="shared" si="51"/>
        <v>0</v>
      </c>
      <c r="V36" s="165">
        <f t="shared" si="51"/>
        <v>0</v>
      </c>
      <c r="W36" s="165">
        <f t="shared" si="51"/>
        <v>0</v>
      </c>
      <c r="X36" s="165">
        <f t="shared" si="51"/>
        <v>0</v>
      </c>
      <c r="Y36" s="165">
        <f t="shared" si="51"/>
        <v>0</v>
      </c>
      <c r="Z36" s="165">
        <f t="shared" si="51"/>
        <v>0</v>
      </c>
      <c r="AA36" s="165">
        <f t="shared" si="51"/>
        <v>0</v>
      </c>
      <c r="AB36" s="165">
        <f t="shared" si="51"/>
        <v>0</v>
      </c>
      <c r="AC36" s="165">
        <f t="shared" si="51"/>
        <v>0</v>
      </c>
      <c r="AD36" s="165">
        <f t="shared" si="51"/>
        <v>0</v>
      </c>
      <c r="AE36" s="165">
        <f t="shared" si="51"/>
        <v>0</v>
      </c>
      <c r="AF36" s="165">
        <f t="shared" si="51"/>
        <v>0</v>
      </c>
      <c r="AG36" s="165">
        <f t="shared" si="51"/>
        <v>0</v>
      </c>
      <c r="AH36" s="165">
        <f t="shared" si="51"/>
        <v>0</v>
      </c>
      <c r="AI36" s="504"/>
    </row>
    <row r="37" spans="2:35" s="77" customFormat="1" ht="14.55" customHeight="1">
      <c r="B37" s="127" t="s">
        <v>1155</v>
      </c>
      <c r="C37" s="128"/>
      <c r="D37" s="129"/>
      <c r="E37" s="201">
        <f>SUM(K37:N37,S37:AH37)</f>
        <v>0</v>
      </c>
      <c r="F37" s="137"/>
      <c r="G37" s="137"/>
      <c r="H37" s="137"/>
      <c r="I37" s="137"/>
      <c r="J37" s="137"/>
      <c r="K37" s="214" t="s">
        <v>1063</v>
      </c>
      <c r="L37" s="137"/>
      <c r="M37" s="137"/>
      <c r="N37" s="252"/>
      <c r="O37" s="214">
        <f t="shared" si="21"/>
        <v>0</v>
      </c>
      <c r="P37" s="137"/>
      <c r="Q37" s="137"/>
      <c r="R37" s="137"/>
      <c r="S37" s="214">
        <f t="shared" si="14"/>
        <v>0</v>
      </c>
      <c r="T37" s="137"/>
      <c r="U37" s="137"/>
      <c r="V37" s="137"/>
      <c r="W37" s="252"/>
      <c r="X37" s="252"/>
      <c r="Y37" s="252"/>
      <c r="Z37" s="252"/>
      <c r="AA37" s="252"/>
      <c r="AB37" s="252"/>
      <c r="AC37" s="252"/>
      <c r="AD37" s="252"/>
      <c r="AE37" s="252"/>
      <c r="AF37" s="252"/>
      <c r="AG37" s="252"/>
      <c r="AH37" s="252"/>
      <c r="AI37" s="369"/>
    </row>
    <row r="38" spans="2:35" s="77" customFormat="1" ht="14.55" customHeight="1">
      <c r="B38" s="133" t="s">
        <v>147</v>
      </c>
      <c r="C38" s="130"/>
      <c r="D38" s="131"/>
      <c r="E38" s="202">
        <f>SUM(E39:E42)</f>
        <v>0</v>
      </c>
      <c r="F38" s="170">
        <f>SUM(F39:F42)</f>
        <v>0</v>
      </c>
      <c r="G38" s="170">
        <f t="shared" ref="G38:AC38" si="52">SUM(G39:G42)</f>
        <v>0</v>
      </c>
      <c r="H38" s="170">
        <f t="shared" si="52"/>
        <v>0</v>
      </c>
      <c r="I38" s="170">
        <f t="shared" ref="I38" si="53">SUM(I39:I42)</f>
        <v>0</v>
      </c>
      <c r="J38" s="170">
        <f t="shared" si="52"/>
        <v>0</v>
      </c>
      <c r="K38" s="215">
        <f t="shared" ref="K38:K64" si="54">SUM(F38:J38)</f>
        <v>0</v>
      </c>
      <c r="L38" s="170">
        <f>SUM(L39:L42)</f>
        <v>0</v>
      </c>
      <c r="M38" s="170">
        <f>SUM(M39:M42)</f>
        <v>0</v>
      </c>
      <c r="N38" s="170">
        <f>SUM(N39:N42)</f>
        <v>0</v>
      </c>
      <c r="O38" s="215">
        <f t="shared" si="21"/>
        <v>0</v>
      </c>
      <c r="P38" s="170">
        <f>SUM(P39:P42)</f>
        <v>0</v>
      </c>
      <c r="Q38" s="170">
        <f t="shared" si="52"/>
        <v>0</v>
      </c>
      <c r="R38" s="170">
        <f>SUM(R39:R42)</f>
        <v>0</v>
      </c>
      <c r="S38" s="215">
        <f t="shared" si="14"/>
        <v>0</v>
      </c>
      <c r="T38" s="170">
        <f>SUM(T39:T42)</f>
        <v>0</v>
      </c>
      <c r="U38" s="170">
        <f>SUM(U39:U42)</f>
        <v>0</v>
      </c>
      <c r="V38" s="170">
        <f>SUM(V39:V42)</f>
        <v>0</v>
      </c>
      <c r="W38" s="170">
        <f>SUM(W39:W42)</f>
        <v>0</v>
      </c>
      <c r="X38" s="170">
        <f t="shared" si="52"/>
        <v>0</v>
      </c>
      <c r="Y38" s="170">
        <f t="shared" si="52"/>
        <v>0</v>
      </c>
      <c r="Z38" s="170">
        <f t="shared" si="52"/>
        <v>0</v>
      </c>
      <c r="AA38" s="170">
        <f t="shared" si="52"/>
        <v>0</v>
      </c>
      <c r="AB38" s="170">
        <f>SUM(AB39:AB42)</f>
        <v>0</v>
      </c>
      <c r="AC38" s="170">
        <f t="shared" si="52"/>
        <v>0</v>
      </c>
      <c r="AD38" s="170">
        <f t="shared" ref="AD38:AH38" si="55">SUM(AD39:AD42)</f>
        <v>0</v>
      </c>
      <c r="AE38" s="170">
        <f t="shared" si="55"/>
        <v>0</v>
      </c>
      <c r="AF38" s="170">
        <f t="shared" si="55"/>
        <v>0</v>
      </c>
      <c r="AG38" s="170">
        <f t="shared" ref="AG38" si="56">SUM(AG39:AG42)</f>
        <v>0</v>
      </c>
      <c r="AH38" s="170">
        <f t="shared" si="55"/>
        <v>0</v>
      </c>
      <c r="AI38" s="370"/>
    </row>
    <row r="39" spans="2:35" s="77" customFormat="1" ht="14.55" customHeight="1">
      <c r="B39" s="124" t="s">
        <v>348</v>
      </c>
      <c r="C39" s="125"/>
      <c r="D39" s="126"/>
      <c r="E39" s="199">
        <f t="shared" ref="E39:E44" si="57">SUM(K39:N39,S39:AH39)</f>
        <v>0</v>
      </c>
      <c r="F39" s="165">
        <f>F$13*1100000</f>
        <v>0</v>
      </c>
      <c r="G39" s="165">
        <f>G$13*1100000</f>
        <v>0</v>
      </c>
      <c r="H39" s="165">
        <f>H$13*1100000</f>
        <v>0</v>
      </c>
      <c r="I39" s="165">
        <f>I$13*1100000</f>
        <v>0</v>
      </c>
      <c r="J39" s="165">
        <f>J$13*1100000</f>
        <v>0</v>
      </c>
      <c r="K39" s="165">
        <f t="shared" si="54"/>
        <v>0</v>
      </c>
      <c r="L39" s="165">
        <f>L$13*1100000</f>
        <v>0</v>
      </c>
      <c r="M39" s="165">
        <f>M$13*1100000</f>
        <v>0</v>
      </c>
      <c r="N39" s="165">
        <f>N$13*1100000</f>
        <v>0</v>
      </c>
      <c r="O39" s="165">
        <f t="shared" si="21"/>
        <v>0</v>
      </c>
      <c r="P39" s="165">
        <f t="shared" ref="P39:AH39" si="58">P$13*1100000</f>
        <v>0</v>
      </c>
      <c r="Q39" s="165">
        <f t="shared" si="58"/>
        <v>0</v>
      </c>
      <c r="R39" s="165">
        <f t="shared" si="58"/>
        <v>0</v>
      </c>
      <c r="S39" s="165">
        <f t="shared" si="14"/>
        <v>0</v>
      </c>
      <c r="T39" s="165">
        <f>T$13*1100000</f>
        <v>0</v>
      </c>
      <c r="U39" s="165">
        <f t="shared" si="58"/>
        <v>0</v>
      </c>
      <c r="V39" s="165">
        <f t="shared" si="58"/>
        <v>0</v>
      </c>
      <c r="W39" s="165">
        <f t="shared" si="58"/>
        <v>0</v>
      </c>
      <c r="X39" s="165">
        <f t="shared" si="58"/>
        <v>0</v>
      </c>
      <c r="Y39" s="165">
        <f t="shared" si="58"/>
        <v>0</v>
      </c>
      <c r="Z39" s="165">
        <f t="shared" si="58"/>
        <v>0</v>
      </c>
      <c r="AA39" s="165">
        <f t="shared" si="58"/>
        <v>0</v>
      </c>
      <c r="AB39" s="165">
        <f t="shared" si="58"/>
        <v>0</v>
      </c>
      <c r="AC39" s="165">
        <f t="shared" si="58"/>
        <v>0</v>
      </c>
      <c r="AD39" s="165">
        <f t="shared" si="58"/>
        <v>0</v>
      </c>
      <c r="AE39" s="165">
        <f t="shared" si="58"/>
        <v>0</v>
      </c>
      <c r="AF39" s="165">
        <f t="shared" si="58"/>
        <v>0</v>
      </c>
      <c r="AG39" s="165">
        <f t="shared" si="58"/>
        <v>0</v>
      </c>
      <c r="AH39" s="165">
        <f t="shared" si="58"/>
        <v>0</v>
      </c>
      <c r="AI39" s="367"/>
    </row>
    <row r="40" spans="2:35" s="77" customFormat="1" ht="14.55" customHeight="1">
      <c r="B40" s="124" t="s">
        <v>349</v>
      </c>
      <c r="C40" s="167"/>
      <c r="D40" s="168"/>
      <c r="E40" s="203">
        <f t="shared" si="57"/>
        <v>0</v>
      </c>
      <c r="F40" s="169">
        <f>F$13*1000000</f>
        <v>0</v>
      </c>
      <c r="G40" s="169">
        <f>G$13*1000000</f>
        <v>0</v>
      </c>
      <c r="H40" s="169">
        <f>H$13*1000000</f>
        <v>0</v>
      </c>
      <c r="I40" s="169">
        <f>I$13*1000000</f>
        <v>0</v>
      </c>
      <c r="J40" s="169">
        <f>J$13*1000000</f>
        <v>0</v>
      </c>
      <c r="K40" s="169">
        <f t="shared" si="54"/>
        <v>0</v>
      </c>
      <c r="L40" s="169">
        <f>L$13*1000000</f>
        <v>0</v>
      </c>
      <c r="M40" s="169">
        <f>M$13*1000000</f>
        <v>0</v>
      </c>
      <c r="N40" s="169">
        <f>N$13*1000000</f>
        <v>0</v>
      </c>
      <c r="O40" s="169">
        <f t="shared" si="21"/>
        <v>0</v>
      </c>
      <c r="P40" s="169">
        <f t="shared" ref="P40:AG40" si="59">P$13*1000000</f>
        <v>0</v>
      </c>
      <c r="Q40" s="169">
        <f t="shared" si="59"/>
        <v>0</v>
      </c>
      <c r="R40" s="169">
        <f t="shared" si="59"/>
        <v>0</v>
      </c>
      <c r="S40" s="169">
        <f t="shared" si="14"/>
        <v>0</v>
      </c>
      <c r="T40" s="169">
        <f>T$13*1000000</f>
        <v>0</v>
      </c>
      <c r="U40" s="169">
        <f t="shared" si="59"/>
        <v>0</v>
      </c>
      <c r="V40" s="169">
        <f t="shared" si="59"/>
        <v>0</v>
      </c>
      <c r="W40" s="169">
        <f t="shared" si="59"/>
        <v>0</v>
      </c>
      <c r="X40" s="169">
        <f t="shared" si="59"/>
        <v>0</v>
      </c>
      <c r="Y40" s="169">
        <f t="shared" si="59"/>
        <v>0</v>
      </c>
      <c r="Z40" s="169">
        <f t="shared" si="59"/>
        <v>0</v>
      </c>
      <c r="AA40" s="169">
        <f t="shared" si="59"/>
        <v>0</v>
      </c>
      <c r="AB40" s="169">
        <f t="shared" si="59"/>
        <v>0</v>
      </c>
      <c r="AC40" s="169">
        <f t="shared" si="59"/>
        <v>0</v>
      </c>
      <c r="AD40" s="169">
        <f t="shared" si="59"/>
        <v>0</v>
      </c>
      <c r="AE40" s="169">
        <f t="shared" si="59"/>
        <v>0</v>
      </c>
      <c r="AF40" s="169">
        <f t="shared" si="59"/>
        <v>0</v>
      </c>
      <c r="AG40" s="169">
        <f t="shared" si="59"/>
        <v>0</v>
      </c>
      <c r="AH40" s="169">
        <f>AH$13*1000000</f>
        <v>0</v>
      </c>
      <c r="AI40" s="367"/>
    </row>
    <row r="41" spans="2:35" s="77" customFormat="1" ht="14.55" customHeight="1">
      <c r="B41" s="124" t="s">
        <v>351</v>
      </c>
      <c r="C41" s="167"/>
      <c r="D41" s="168"/>
      <c r="E41" s="203">
        <f t="shared" si="57"/>
        <v>0</v>
      </c>
      <c r="F41" s="169">
        <f>9*300*F$13*$F$4</f>
        <v>0</v>
      </c>
      <c r="G41" s="169">
        <f>9*300*G$13*$F$4</f>
        <v>0</v>
      </c>
      <c r="H41" s="169">
        <f>9*300*H$13*$F$4</f>
        <v>0</v>
      </c>
      <c r="I41" s="169">
        <f>9*300*I$13*$F$4</f>
        <v>0</v>
      </c>
      <c r="J41" s="169">
        <f>9*300*J$13*$F$4</f>
        <v>0</v>
      </c>
      <c r="K41" s="169">
        <f t="shared" si="54"/>
        <v>0</v>
      </c>
      <c r="L41" s="169">
        <f>9*300*L$13*$F$4</f>
        <v>0</v>
      </c>
      <c r="M41" s="169">
        <f>9*300*M$13*$F$4</f>
        <v>0</v>
      </c>
      <c r="N41" s="169">
        <f>9*300*N$13*$F$4</f>
        <v>0</v>
      </c>
      <c r="O41" s="169">
        <f t="shared" si="21"/>
        <v>0</v>
      </c>
      <c r="P41" s="169">
        <f t="shared" ref="P41:AH41" si="60">9*300*P$13*$F$4</f>
        <v>0</v>
      </c>
      <c r="Q41" s="169">
        <f t="shared" si="60"/>
        <v>0</v>
      </c>
      <c r="R41" s="169">
        <f t="shared" si="60"/>
        <v>0</v>
      </c>
      <c r="S41" s="169">
        <f t="shared" si="14"/>
        <v>0</v>
      </c>
      <c r="T41" s="169">
        <f>9*300*T$13*$F$4</f>
        <v>0</v>
      </c>
      <c r="U41" s="169">
        <f t="shared" si="60"/>
        <v>0</v>
      </c>
      <c r="V41" s="169">
        <f t="shared" si="60"/>
        <v>0</v>
      </c>
      <c r="W41" s="169">
        <f t="shared" si="60"/>
        <v>0</v>
      </c>
      <c r="X41" s="169">
        <f t="shared" si="60"/>
        <v>0</v>
      </c>
      <c r="Y41" s="169">
        <f t="shared" si="60"/>
        <v>0</v>
      </c>
      <c r="Z41" s="169">
        <f t="shared" si="60"/>
        <v>0</v>
      </c>
      <c r="AA41" s="169">
        <f t="shared" si="60"/>
        <v>0</v>
      </c>
      <c r="AB41" s="169">
        <f t="shared" si="60"/>
        <v>0</v>
      </c>
      <c r="AC41" s="169">
        <f t="shared" si="60"/>
        <v>0</v>
      </c>
      <c r="AD41" s="169">
        <f t="shared" si="60"/>
        <v>0</v>
      </c>
      <c r="AE41" s="169">
        <f t="shared" si="60"/>
        <v>0</v>
      </c>
      <c r="AF41" s="169">
        <f t="shared" si="60"/>
        <v>0</v>
      </c>
      <c r="AG41" s="169">
        <f t="shared" si="60"/>
        <v>0</v>
      </c>
      <c r="AH41" s="169">
        <f t="shared" si="60"/>
        <v>0</v>
      </c>
      <c r="AI41" s="371"/>
    </row>
    <row r="42" spans="2:35" s="77" customFormat="1" ht="13.8" customHeight="1">
      <c r="B42" s="229" t="s">
        <v>352</v>
      </c>
      <c r="C42" s="167"/>
      <c r="D42" s="644">
        <v>0</v>
      </c>
      <c r="E42" s="199">
        <f t="shared" si="57"/>
        <v>0</v>
      </c>
      <c r="F42" s="165">
        <f>9*$D$42*F$13</f>
        <v>0</v>
      </c>
      <c r="G42" s="165">
        <f>9*$D$42*G$13</f>
        <v>0</v>
      </c>
      <c r="H42" s="165">
        <f>9*$D$42*H$13</f>
        <v>0</v>
      </c>
      <c r="I42" s="165">
        <f>9*$D$42*I$13</f>
        <v>0</v>
      </c>
      <c r="J42" s="165">
        <f>9*$D$42*J$13</f>
        <v>0</v>
      </c>
      <c r="K42" s="165">
        <f t="shared" si="54"/>
        <v>0</v>
      </c>
      <c r="L42" s="165">
        <f>9*$D$42*L$13</f>
        <v>0</v>
      </c>
      <c r="M42" s="165">
        <f>9*$D$42*M$13</f>
        <v>0</v>
      </c>
      <c r="N42" s="169">
        <f>9*$D$42*N$13</f>
        <v>0</v>
      </c>
      <c r="O42" s="165">
        <f t="shared" si="21"/>
        <v>0</v>
      </c>
      <c r="P42" s="165">
        <f t="shared" ref="P42:R42" si="61">9*$D$42*P$13</f>
        <v>0</v>
      </c>
      <c r="Q42" s="165">
        <f t="shared" si="61"/>
        <v>0</v>
      </c>
      <c r="R42" s="165">
        <f t="shared" si="61"/>
        <v>0</v>
      </c>
      <c r="S42" s="165">
        <f t="shared" si="14"/>
        <v>0</v>
      </c>
      <c r="T42" s="165">
        <f t="shared" ref="T42:AH42" si="62">9*$D$42*T$13</f>
        <v>0</v>
      </c>
      <c r="U42" s="165">
        <f t="shared" si="62"/>
        <v>0</v>
      </c>
      <c r="V42" s="165">
        <f t="shared" si="62"/>
        <v>0</v>
      </c>
      <c r="W42" s="169">
        <f t="shared" si="62"/>
        <v>0</v>
      </c>
      <c r="X42" s="169">
        <f t="shared" si="62"/>
        <v>0</v>
      </c>
      <c r="Y42" s="169">
        <f t="shared" si="62"/>
        <v>0</v>
      </c>
      <c r="Z42" s="169">
        <f t="shared" si="62"/>
        <v>0</v>
      </c>
      <c r="AA42" s="169">
        <f t="shared" si="62"/>
        <v>0</v>
      </c>
      <c r="AB42" s="169">
        <f t="shared" si="62"/>
        <v>0</v>
      </c>
      <c r="AC42" s="169">
        <f t="shared" si="62"/>
        <v>0</v>
      </c>
      <c r="AD42" s="169">
        <f t="shared" si="62"/>
        <v>0</v>
      </c>
      <c r="AE42" s="169">
        <f t="shared" si="62"/>
        <v>0</v>
      </c>
      <c r="AF42" s="169">
        <f t="shared" si="62"/>
        <v>0</v>
      </c>
      <c r="AG42" s="169">
        <f t="shared" si="62"/>
        <v>0</v>
      </c>
      <c r="AH42" s="169">
        <f t="shared" si="62"/>
        <v>0</v>
      </c>
      <c r="AI42" s="367"/>
    </row>
    <row r="43" spans="2:35" s="77" customFormat="1" ht="14.55" customHeight="1">
      <c r="B43" s="1539" t="s">
        <v>144</v>
      </c>
      <c r="C43" s="1540"/>
      <c r="D43" s="1541"/>
      <c r="E43" s="197">
        <f t="shared" si="57"/>
        <v>500000</v>
      </c>
      <c r="F43" s="134"/>
      <c r="G43" s="134"/>
      <c r="H43" s="134">
        <v>500000</v>
      </c>
      <c r="I43" s="134"/>
      <c r="J43" s="134"/>
      <c r="K43" s="210">
        <f t="shared" si="54"/>
        <v>500000</v>
      </c>
      <c r="L43" s="134"/>
      <c r="M43" s="134"/>
      <c r="N43" s="134"/>
      <c r="O43" s="210">
        <f t="shared" si="21"/>
        <v>0</v>
      </c>
      <c r="P43" s="134"/>
      <c r="Q43" s="134"/>
      <c r="R43" s="134"/>
      <c r="S43" s="210">
        <f t="shared" si="14"/>
        <v>0</v>
      </c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371"/>
    </row>
    <row r="44" spans="2:35" s="77" customFormat="1" ht="14.55" customHeight="1">
      <c r="B44" s="723" t="s">
        <v>627</v>
      </c>
      <c r="C44" s="724"/>
      <c r="D44" s="725"/>
      <c r="E44" s="240">
        <f t="shared" si="57"/>
        <v>0</v>
      </c>
      <c r="F44" s="726"/>
      <c r="G44" s="726"/>
      <c r="H44" s="726"/>
      <c r="I44" s="726"/>
      <c r="J44" s="726"/>
      <c r="K44" s="242">
        <f t="shared" si="54"/>
        <v>0</v>
      </c>
      <c r="L44" s="726"/>
      <c r="M44" s="726"/>
      <c r="N44" s="222"/>
      <c r="O44" s="242">
        <f t="shared" si="21"/>
        <v>0</v>
      </c>
      <c r="P44" s="726"/>
      <c r="Q44" s="726"/>
      <c r="R44" s="726"/>
      <c r="S44" s="242">
        <f t="shared" si="14"/>
        <v>0</v>
      </c>
      <c r="T44" s="726"/>
      <c r="U44" s="726"/>
      <c r="V44" s="726"/>
      <c r="W44" s="222"/>
      <c r="X44" s="222"/>
      <c r="Y44" s="222"/>
      <c r="Z44" s="222"/>
      <c r="AA44" s="222"/>
      <c r="AB44" s="222"/>
      <c r="AC44" s="222"/>
      <c r="AD44" s="222"/>
      <c r="AE44" s="134"/>
      <c r="AF44" s="134"/>
      <c r="AG44" s="134"/>
      <c r="AH44" s="134"/>
      <c r="AI44" s="372"/>
    </row>
    <row r="45" spans="2:35" s="77" customFormat="1" ht="14.55" customHeight="1">
      <c r="B45" s="220" t="s">
        <v>145</v>
      </c>
      <c r="C45" s="130"/>
      <c r="D45" s="218"/>
      <c r="E45" s="202">
        <f>SUM(E47,E48,E49)</f>
        <v>0</v>
      </c>
      <c r="F45" s="170">
        <f>SUM(F47,F48,F49)</f>
        <v>0</v>
      </c>
      <c r="G45" s="170">
        <f t="shared" ref="G45:J45" si="63">SUM(G47,G48,G49)</f>
        <v>0</v>
      </c>
      <c r="H45" s="170">
        <f t="shared" si="63"/>
        <v>0</v>
      </c>
      <c r="I45" s="170">
        <f t="shared" ref="I45" si="64">SUM(I47,I48,I49)</f>
        <v>0</v>
      </c>
      <c r="J45" s="170">
        <f t="shared" si="63"/>
        <v>0</v>
      </c>
      <c r="K45" s="215">
        <f t="shared" si="54"/>
        <v>0</v>
      </c>
      <c r="L45" s="170">
        <f>SUM(L47,L48,L49)</f>
        <v>0</v>
      </c>
      <c r="M45" s="170">
        <f t="shared" ref="M45:N45" si="65">SUM(M47,M48,M49)</f>
        <v>0</v>
      </c>
      <c r="N45" s="170">
        <f t="shared" si="65"/>
        <v>0</v>
      </c>
      <c r="O45" s="215">
        <f>SUM(M45:N45)</f>
        <v>0</v>
      </c>
      <c r="P45" s="170">
        <f t="shared" ref="P45:R45" si="66">SUM(P47,P48,P49)</f>
        <v>0</v>
      </c>
      <c r="Q45" s="170">
        <f t="shared" si="66"/>
        <v>0</v>
      </c>
      <c r="R45" s="170">
        <f t="shared" si="66"/>
        <v>0</v>
      </c>
      <c r="S45" s="215">
        <f t="shared" si="14"/>
        <v>0</v>
      </c>
      <c r="T45" s="170">
        <f t="shared" ref="T45:AH45" si="67">SUM(T47,T48,T49)</f>
        <v>0</v>
      </c>
      <c r="U45" s="170">
        <f t="shared" si="67"/>
        <v>0</v>
      </c>
      <c r="V45" s="170">
        <f t="shared" si="67"/>
        <v>0</v>
      </c>
      <c r="W45" s="170">
        <f t="shared" si="67"/>
        <v>0</v>
      </c>
      <c r="X45" s="170">
        <f t="shared" si="67"/>
        <v>0</v>
      </c>
      <c r="Y45" s="170">
        <f t="shared" si="67"/>
        <v>0</v>
      </c>
      <c r="Z45" s="170">
        <f t="shared" si="67"/>
        <v>0</v>
      </c>
      <c r="AA45" s="170">
        <f t="shared" si="67"/>
        <v>0</v>
      </c>
      <c r="AB45" s="170">
        <f t="shared" si="67"/>
        <v>0</v>
      </c>
      <c r="AC45" s="170">
        <f t="shared" si="67"/>
        <v>0</v>
      </c>
      <c r="AD45" s="170">
        <f t="shared" si="67"/>
        <v>0</v>
      </c>
      <c r="AE45" s="170">
        <f t="shared" si="67"/>
        <v>0</v>
      </c>
      <c r="AF45" s="170">
        <f t="shared" si="67"/>
        <v>0</v>
      </c>
      <c r="AG45" s="170">
        <f t="shared" ref="AG45" si="68">SUM(AG47,AG48,AG49)</f>
        <v>0</v>
      </c>
      <c r="AH45" s="170">
        <f t="shared" si="67"/>
        <v>0</v>
      </c>
      <c r="AI45" s="370"/>
    </row>
    <row r="46" spans="2:35" s="77" customFormat="1" ht="14.55" customHeight="1">
      <c r="B46" s="502" t="s">
        <v>356</v>
      </c>
      <c r="C46" s="172"/>
      <c r="D46" s="235">
        <v>0</v>
      </c>
      <c r="E46" s="232">
        <f>SUM(K46:N46,S46:AH46)</f>
        <v>0</v>
      </c>
      <c r="F46" s="233">
        <v>0</v>
      </c>
      <c r="G46" s="233">
        <v>0</v>
      </c>
      <c r="H46" s="233">
        <v>0</v>
      </c>
      <c r="I46" s="233">
        <v>0</v>
      </c>
      <c r="J46" s="233">
        <v>0</v>
      </c>
      <c r="K46" s="234">
        <f t="shared" si="54"/>
        <v>0</v>
      </c>
      <c r="L46" s="233">
        <v>0</v>
      </c>
      <c r="M46" s="233">
        <v>0</v>
      </c>
      <c r="N46" s="233">
        <v>0</v>
      </c>
      <c r="O46" s="234">
        <f t="shared" si="21"/>
        <v>0</v>
      </c>
      <c r="P46" s="233">
        <v>0</v>
      </c>
      <c r="Q46" s="233">
        <v>0</v>
      </c>
      <c r="R46" s="233">
        <v>0</v>
      </c>
      <c r="S46" s="234">
        <f t="shared" si="14"/>
        <v>0</v>
      </c>
      <c r="T46" s="233">
        <v>0</v>
      </c>
      <c r="U46" s="233">
        <v>0</v>
      </c>
      <c r="V46" s="233">
        <v>0</v>
      </c>
      <c r="W46" s="233">
        <v>0</v>
      </c>
      <c r="X46" s="233">
        <v>0</v>
      </c>
      <c r="Y46" s="233">
        <v>0</v>
      </c>
      <c r="Z46" s="233">
        <v>0</v>
      </c>
      <c r="AA46" s="233">
        <v>0</v>
      </c>
      <c r="AB46" s="233">
        <v>0</v>
      </c>
      <c r="AC46" s="233">
        <v>0</v>
      </c>
      <c r="AD46" s="233">
        <v>0</v>
      </c>
      <c r="AE46" s="233">
        <v>0</v>
      </c>
      <c r="AF46" s="233">
        <v>0</v>
      </c>
      <c r="AG46" s="233">
        <v>0</v>
      </c>
      <c r="AH46" s="233">
        <v>0</v>
      </c>
      <c r="AI46" s="372"/>
    </row>
    <row r="47" spans="2:35" s="77" customFormat="1" ht="14.55" customHeight="1">
      <c r="B47" s="221" t="s">
        <v>355</v>
      </c>
      <c r="C47" s="172"/>
      <c r="D47" s="217"/>
      <c r="E47" s="230">
        <f>SUM(K47:N47,S47:AH47)</f>
        <v>0</v>
      </c>
      <c r="F47" s="219">
        <f>F$46*$D$46*32300</f>
        <v>0</v>
      </c>
      <c r="G47" s="219">
        <f>G$46*$D$46*32300</f>
        <v>0</v>
      </c>
      <c r="H47" s="219">
        <f>H$46*$D$46*32300</f>
        <v>0</v>
      </c>
      <c r="I47" s="219">
        <f>I$46*$D$46*32300</f>
        <v>0</v>
      </c>
      <c r="J47" s="219">
        <f>J$46*$D$46*32300</f>
        <v>0</v>
      </c>
      <c r="K47" s="231">
        <f t="shared" si="54"/>
        <v>0</v>
      </c>
      <c r="L47" s="219">
        <f>L$46*$D$46*32300</f>
        <v>0</v>
      </c>
      <c r="M47" s="219">
        <f>M$46*$D$46*32300</f>
        <v>0</v>
      </c>
      <c r="N47" s="219">
        <f>N$46*$D$46*32300</f>
        <v>0</v>
      </c>
      <c r="O47" s="231">
        <f t="shared" si="21"/>
        <v>0</v>
      </c>
      <c r="P47" s="219">
        <f t="shared" ref="P47:R47" si="69">P$46*$D$46*32300</f>
        <v>0</v>
      </c>
      <c r="Q47" s="219">
        <f t="shared" si="69"/>
        <v>0</v>
      </c>
      <c r="R47" s="219">
        <f t="shared" si="69"/>
        <v>0</v>
      </c>
      <c r="S47" s="231">
        <f t="shared" si="14"/>
        <v>0</v>
      </c>
      <c r="T47" s="219">
        <f>T$46*$D$46*32300</f>
        <v>0</v>
      </c>
      <c r="U47" s="219">
        <f t="shared" ref="U47:AH47" si="70">U$46*$D$46*32300</f>
        <v>0</v>
      </c>
      <c r="V47" s="219">
        <f t="shared" si="70"/>
        <v>0</v>
      </c>
      <c r="W47" s="219">
        <f t="shared" si="70"/>
        <v>0</v>
      </c>
      <c r="X47" s="219">
        <f t="shared" si="70"/>
        <v>0</v>
      </c>
      <c r="Y47" s="219">
        <f t="shared" si="70"/>
        <v>0</v>
      </c>
      <c r="Z47" s="219">
        <f t="shared" si="70"/>
        <v>0</v>
      </c>
      <c r="AA47" s="219">
        <f t="shared" si="70"/>
        <v>0</v>
      </c>
      <c r="AB47" s="219">
        <f t="shared" si="70"/>
        <v>0</v>
      </c>
      <c r="AC47" s="219">
        <f t="shared" si="70"/>
        <v>0</v>
      </c>
      <c r="AD47" s="219">
        <f t="shared" si="70"/>
        <v>0</v>
      </c>
      <c r="AE47" s="219">
        <f t="shared" si="70"/>
        <v>0</v>
      </c>
      <c r="AF47" s="219">
        <f t="shared" si="70"/>
        <v>0</v>
      </c>
      <c r="AG47" s="219">
        <f t="shared" si="70"/>
        <v>0</v>
      </c>
      <c r="AH47" s="219">
        <f t="shared" si="70"/>
        <v>0</v>
      </c>
      <c r="AI47" s="372"/>
    </row>
    <row r="48" spans="2:35" s="77" customFormat="1" ht="14.55" customHeight="1">
      <c r="B48" s="728" t="s">
        <v>628</v>
      </c>
      <c r="C48" s="125"/>
      <c r="D48" s="126"/>
      <c r="E48" s="199">
        <f>SUM(K48:N48,S48:AH48)</f>
        <v>0</v>
      </c>
      <c r="F48" s="727"/>
      <c r="G48" s="727"/>
      <c r="H48" s="727"/>
      <c r="I48" s="727"/>
      <c r="J48" s="727"/>
      <c r="K48" s="165">
        <f t="shared" si="54"/>
        <v>0</v>
      </c>
      <c r="L48" s="727"/>
      <c r="M48" s="727"/>
      <c r="N48" s="727"/>
      <c r="O48" s="165">
        <f t="shared" si="21"/>
        <v>0</v>
      </c>
      <c r="P48" s="727"/>
      <c r="Q48" s="727"/>
      <c r="R48" s="727"/>
      <c r="S48" s="165">
        <f t="shared" si="14"/>
        <v>0</v>
      </c>
      <c r="T48" s="727"/>
      <c r="U48" s="727"/>
      <c r="V48" s="727"/>
      <c r="W48" s="727"/>
      <c r="X48" s="727"/>
      <c r="Y48" s="727"/>
      <c r="Z48" s="727"/>
      <c r="AA48" s="727"/>
      <c r="AB48" s="727"/>
      <c r="AC48" s="727"/>
      <c r="AD48" s="727"/>
      <c r="AE48" s="766"/>
      <c r="AF48" s="766"/>
      <c r="AG48" s="766"/>
      <c r="AH48" s="766"/>
      <c r="AI48" s="372"/>
    </row>
    <row r="49" spans="2:35" s="77" customFormat="1" ht="14.55" customHeight="1">
      <c r="B49" s="864" t="s">
        <v>629</v>
      </c>
      <c r="C49" s="167"/>
      <c r="D49" s="168"/>
      <c r="E49" s="199">
        <f>SUM(E50:E51)</f>
        <v>0</v>
      </c>
      <c r="F49" s="1026">
        <f>SUM(F50:F51)</f>
        <v>0</v>
      </c>
      <c r="G49" s="1026">
        <f t="shared" ref="G49:J49" si="71">SUM(G50:G51)</f>
        <v>0</v>
      </c>
      <c r="H49" s="1026">
        <f t="shared" si="71"/>
        <v>0</v>
      </c>
      <c r="I49" s="1026">
        <f t="shared" ref="I49" si="72">SUM(I50:I51)</f>
        <v>0</v>
      </c>
      <c r="J49" s="1026">
        <f t="shared" si="71"/>
        <v>0</v>
      </c>
      <c r="K49" s="165">
        <f t="shared" si="54"/>
        <v>0</v>
      </c>
      <c r="L49" s="1026">
        <f>SUM(L50:L51)</f>
        <v>0</v>
      </c>
      <c r="M49" s="1026">
        <f>SUM(M50:M51)</f>
        <v>0</v>
      </c>
      <c r="N49" s="1026">
        <f>SUM(N50:N51)</f>
        <v>0</v>
      </c>
      <c r="O49" s="165">
        <f t="shared" si="21"/>
        <v>0</v>
      </c>
      <c r="P49" s="1026">
        <f t="shared" ref="P49:R49" si="73">SUM(P50:P51)</f>
        <v>0</v>
      </c>
      <c r="Q49" s="1026">
        <f t="shared" si="73"/>
        <v>0</v>
      </c>
      <c r="R49" s="1026">
        <f t="shared" si="73"/>
        <v>0</v>
      </c>
      <c r="S49" s="165"/>
      <c r="T49" s="1026">
        <f>SUM(T50:T51)</f>
        <v>0</v>
      </c>
      <c r="U49" s="1026">
        <f t="shared" ref="U49:AH49" si="74">SUM(U50:U51)</f>
        <v>0</v>
      </c>
      <c r="V49" s="1026">
        <f t="shared" si="74"/>
        <v>0</v>
      </c>
      <c r="W49" s="1026">
        <f t="shared" si="74"/>
        <v>0</v>
      </c>
      <c r="X49" s="1026">
        <f t="shared" si="74"/>
        <v>0</v>
      </c>
      <c r="Y49" s="1026">
        <f t="shared" si="74"/>
        <v>0</v>
      </c>
      <c r="Z49" s="1026">
        <f t="shared" si="74"/>
        <v>0</v>
      </c>
      <c r="AA49" s="1026">
        <f t="shared" si="74"/>
        <v>0</v>
      </c>
      <c r="AB49" s="1026">
        <f t="shared" si="74"/>
        <v>0</v>
      </c>
      <c r="AC49" s="1026">
        <f t="shared" si="74"/>
        <v>0</v>
      </c>
      <c r="AD49" s="1026">
        <f t="shared" si="74"/>
        <v>0</v>
      </c>
      <c r="AE49" s="1027">
        <f t="shared" si="74"/>
        <v>0</v>
      </c>
      <c r="AF49" s="1027">
        <f t="shared" si="74"/>
        <v>0</v>
      </c>
      <c r="AG49" s="1027">
        <f t="shared" ref="AG49" si="75">SUM(AG50:AG51)</f>
        <v>0</v>
      </c>
      <c r="AH49" s="1027">
        <f t="shared" si="74"/>
        <v>0</v>
      </c>
      <c r="AI49" s="1028"/>
    </row>
    <row r="50" spans="2:35" s="77" customFormat="1" ht="14.55" customHeight="1">
      <c r="B50" s="1023" t="s">
        <v>873</v>
      </c>
      <c r="C50" s="1024"/>
      <c r="D50" s="168"/>
      <c r="E50" s="199">
        <f>SUM(K50:N50,S50:AH50)</f>
        <v>0</v>
      </c>
      <c r="F50" s="865"/>
      <c r="G50" s="865"/>
      <c r="H50" s="865"/>
      <c r="I50" s="865"/>
      <c r="J50" s="865"/>
      <c r="K50" s="165">
        <f t="shared" si="54"/>
        <v>0</v>
      </c>
      <c r="L50" s="865"/>
      <c r="M50" s="865"/>
      <c r="N50" s="865"/>
      <c r="O50" s="165">
        <f t="shared" si="21"/>
        <v>0</v>
      </c>
      <c r="P50" s="865"/>
      <c r="Q50" s="865"/>
      <c r="R50" s="865"/>
      <c r="S50" s="165">
        <f t="shared" ref="S50:S64" si="76">SUM(P50:R50)</f>
        <v>0</v>
      </c>
      <c r="T50" s="865"/>
      <c r="U50" s="865"/>
      <c r="V50" s="865"/>
      <c r="W50" s="865"/>
      <c r="X50" s="865"/>
      <c r="Y50" s="865"/>
      <c r="Z50" s="865"/>
      <c r="AA50" s="865"/>
      <c r="AB50" s="865"/>
      <c r="AC50" s="865"/>
      <c r="AD50" s="865"/>
      <c r="AE50" s="766"/>
      <c r="AF50" s="766"/>
      <c r="AG50" s="766"/>
      <c r="AH50" s="766"/>
      <c r="AI50" s="372"/>
    </row>
    <row r="51" spans="2:35" s="77" customFormat="1" ht="14.55" customHeight="1">
      <c r="B51" s="132" t="s">
        <v>907</v>
      </c>
      <c r="C51" s="128"/>
      <c r="D51" s="1025" t="s">
        <v>1145</v>
      </c>
      <c r="E51" s="201">
        <f>SUM(K51:N51,S51:AH51)</f>
        <v>0</v>
      </c>
      <c r="F51" s="137">
        <f>ROUND(IF($D51="반영",'5. 수주액 상세'!E$13*0.05),0)</f>
        <v>0</v>
      </c>
      <c r="G51" s="137">
        <f>ROUND(IF($D51="반영",'5. 수주액 상세'!F$13*0.05),0)</f>
        <v>0</v>
      </c>
      <c r="H51" s="137">
        <f>ROUND(IF($D51="반영",'5. 수주액 상세'!G$13*0.05),0)</f>
        <v>0</v>
      </c>
      <c r="I51" s="137">
        <f>ROUND(IF($D51="반영",'5. 수주액 상세'!H$13*0.05),0)</f>
        <v>0</v>
      </c>
      <c r="J51" s="137">
        <f>ROUND(IF($D51="반영",'5. 수주액 상세'!I$13*0.05),0)</f>
        <v>0</v>
      </c>
      <c r="K51" s="214">
        <f t="shared" si="54"/>
        <v>0</v>
      </c>
      <c r="L51" s="137"/>
      <c r="M51" s="137">
        <f>ROUND(IF($D51="반영",'5. 수주액 상세'!L$13*0.05),0)</f>
        <v>0</v>
      </c>
      <c r="N51" s="137">
        <f>ROUND(IF($D51="반영",'5. 수주액 상세'!L$14*0.05),0)</f>
        <v>0</v>
      </c>
      <c r="O51" s="214">
        <f t="shared" si="21"/>
        <v>0</v>
      </c>
      <c r="P51" s="137"/>
      <c r="Q51" s="137"/>
      <c r="R51" s="137"/>
      <c r="S51" s="214">
        <f t="shared" si="76"/>
        <v>0</v>
      </c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369"/>
    </row>
    <row r="52" spans="2:35" s="77" customFormat="1" ht="14.55" customHeight="1">
      <c r="B52" s="220" t="s">
        <v>146</v>
      </c>
      <c r="C52" s="239"/>
      <c r="D52" s="217"/>
      <c r="E52" s="240">
        <f>SUM(E54,E56:E61)</f>
        <v>0</v>
      </c>
      <c r="F52" s="241">
        <f>SUM(F54,F56:F61)</f>
        <v>0</v>
      </c>
      <c r="G52" s="241">
        <f>SUM(G54,G56:G61)</f>
        <v>0</v>
      </c>
      <c r="H52" s="241">
        <f t="shared" ref="H52:AC52" si="77">SUM(H54,H56:H61)</f>
        <v>0</v>
      </c>
      <c r="I52" s="241">
        <f t="shared" ref="I52" si="78">SUM(I54,I56:I61)</f>
        <v>0</v>
      </c>
      <c r="J52" s="241">
        <f t="shared" si="77"/>
        <v>0</v>
      </c>
      <c r="K52" s="242">
        <f t="shared" si="54"/>
        <v>0</v>
      </c>
      <c r="L52" s="241">
        <f>SUM(L54,L56:L61)</f>
        <v>0</v>
      </c>
      <c r="M52" s="241">
        <f>SUM(M54,M56:M61)</f>
        <v>0</v>
      </c>
      <c r="N52" s="241">
        <f>SUM(N54,N56:N61)</f>
        <v>0</v>
      </c>
      <c r="O52" s="242">
        <f t="shared" si="21"/>
        <v>0</v>
      </c>
      <c r="P52" s="241">
        <f t="shared" si="77"/>
        <v>0</v>
      </c>
      <c r="Q52" s="241">
        <f t="shared" si="77"/>
        <v>0</v>
      </c>
      <c r="R52" s="241">
        <f t="shared" si="77"/>
        <v>0</v>
      </c>
      <c r="S52" s="242">
        <f t="shared" si="76"/>
        <v>0</v>
      </c>
      <c r="T52" s="241">
        <f>SUM(T54,T56:T61)</f>
        <v>0</v>
      </c>
      <c r="U52" s="241">
        <f t="shared" si="77"/>
        <v>0</v>
      </c>
      <c r="V52" s="241">
        <f t="shared" si="77"/>
        <v>0</v>
      </c>
      <c r="W52" s="241">
        <f t="shared" si="77"/>
        <v>0</v>
      </c>
      <c r="X52" s="241">
        <f t="shared" si="77"/>
        <v>0</v>
      </c>
      <c r="Y52" s="241">
        <f t="shared" si="77"/>
        <v>0</v>
      </c>
      <c r="Z52" s="241">
        <f t="shared" si="77"/>
        <v>0</v>
      </c>
      <c r="AA52" s="241">
        <f t="shared" si="77"/>
        <v>0</v>
      </c>
      <c r="AB52" s="241">
        <f t="shared" si="77"/>
        <v>0</v>
      </c>
      <c r="AC52" s="241">
        <f t="shared" si="77"/>
        <v>0</v>
      </c>
      <c r="AD52" s="241">
        <f t="shared" ref="AD52:AH52" si="79">SUM(AD54,AD56:AD61)</f>
        <v>0</v>
      </c>
      <c r="AE52" s="241">
        <f t="shared" si="79"/>
        <v>0</v>
      </c>
      <c r="AF52" s="241">
        <f t="shared" si="79"/>
        <v>0</v>
      </c>
      <c r="AG52" s="241">
        <f t="shared" ref="AG52" si="80">SUM(AG54,AG56:AG61)</f>
        <v>0</v>
      </c>
      <c r="AH52" s="241">
        <f t="shared" si="79"/>
        <v>0</v>
      </c>
      <c r="AI52" s="370"/>
    </row>
    <row r="53" spans="2:35" s="77" customFormat="1" ht="14.55" customHeight="1">
      <c r="B53" s="1562" t="s">
        <v>357</v>
      </c>
      <c r="C53" s="1563"/>
      <c r="D53" s="246">
        <v>0</v>
      </c>
      <c r="E53" s="247">
        <f t="shared" ref="E53:E64" si="81">SUM(K53:N53,S53:AH53)</f>
        <v>0</v>
      </c>
      <c r="F53" s="248">
        <v>0</v>
      </c>
      <c r="G53" s="249">
        <v>0</v>
      </c>
      <c r="H53" s="249">
        <v>0</v>
      </c>
      <c r="I53" s="249">
        <v>0</v>
      </c>
      <c r="J53" s="249">
        <v>0</v>
      </c>
      <c r="K53" s="250">
        <f t="shared" si="54"/>
        <v>0</v>
      </c>
      <c r="L53" s="249">
        <v>0</v>
      </c>
      <c r="M53" s="249">
        <v>0</v>
      </c>
      <c r="N53" s="249">
        <v>0</v>
      </c>
      <c r="O53" s="250">
        <f t="shared" si="21"/>
        <v>0</v>
      </c>
      <c r="P53" s="249">
        <v>0</v>
      </c>
      <c r="Q53" s="249">
        <v>0</v>
      </c>
      <c r="R53" s="249">
        <v>0</v>
      </c>
      <c r="S53" s="250">
        <f t="shared" si="76"/>
        <v>0</v>
      </c>
      <c r="T53" s="249">
        <v>0</v>
      </c>
      <c r="U53" s="249">
        <v>0</v>
      </c>
      <c r="V53" s="249">
        <v>0</v>
      </c>
      <c r="W53" s="249">
        <v>0</v>
      </c>
      <c r="X53" s="249">
        <v>0</v>
      </c>
      <c r="Y53" s="249">
        <v>0</v>
      </c>
      <c r="Z53" s="249">
        <v>0</v>
      </c>
      <c r="AA53" s="249">
        <v>0</v>
      </c>
      <c r="AB53" s="249">
        <v>0</v>
      </c>
      <c r="AC53" s="249">
        <v>0</v>
      </c>
      <c r="AD53" s="249">
        <v>0</v>
      </c>
      <c r="AE53" s="249">
        <v>0</v>
      </c>
      <c r="AF53" s="249">
        <v>0</v>
      </c>
      <c r="AG53" s="249">
        <v>0</v>
      </c>
      <c r="AH53" s="249">
        <v>0</v>
      </c>
      <c r="AI53" s="372"/>
    </row>
    <row r="54" spans="2:35" s="77" customFormat="1" ht="14.55" customHeight="1">
      <c r="B54" s="1564"/>
      <c r="C54" s="1565"/>
      <c r="D54" s="251">
        <v>0</v>
      </c>
      <c r="E54" s="243">
        <f t="shared" si="81"/>
        <v>0</v>
      </c>
      <c r="F54" s="244">
        <f>$D$54*$D$53*F$53</f>
        <v>0</v>
      </c>
      <c r="G54" s="244">
        <f t="shared" ref="G54:AG54" si="82">$D$54*$D$53*G$53</f>
        <v>0</v>
      </c>
      <c r="H54" s="244">
        <f t="shared" si="82"/>
        <v>0</v>
      </c>
      <c r="I54" s="244">
        <f t="shared" si="82"/>
        <v>0</v>
      </c>
      <c r="J54" s="244">
        <f t="shared" si="82"/>
        <v>0</v>
      </c>
      <c r="K54" s="245">
        <f t="shared" si="54"/>
        <v>0</v>
      </c>
      <c r="L54" s="244">
        <f>$D$54*$D$53*L$53</f>
        <v>0</v>
      </c>
      <c r="M54" s="244">
        <f>$D$54*$D$53*M$53</f>
        <v>0</v>
      </c>
      <c r="N54" s="244">
        <f>$D$54*$D$53*N$53</f>
        <v>0</v>
      </c>
      <c r="O54" s="245">
        <f t="shared" si="21"/>
        <v>0</v>
      </c>
      <c r="P54" s="244">
        <f t="shared" si="82"/>
        <v>0</v>
      </c>
      <c r="Q54" s="244">
        <f t="shared" si="82"/>
        <v>0</v>
      </c>
      <c r="R54" s="244">
        <f t="shared" si="82"/>
        <v>0</v>
      </c>
      <c r="S54" s="245">
        <f t="shared" si="76"/>
        <v>0</v>
      </c>
      <c r="T54" s="244">
        <f>$D$54*$D$53*T$53</f>
        <v>0</v>
      </c>
      <c r="U54" s="244">
        <f t="shared" si="82"/>
        <v>0</v>
      </c>
      <c r="V54" s="244">
        <f t="shared" si="82"/>
        <v>0</v>
      </c>
      <c r="W54" s="244">
        <f t="shared" si="82"/>
        <v>0</v>
      </c>
      <c r="X54" s="244">
        <f t="shared" si="82"/>
        <v>0</v>
      </c>
      <c r="Y54" s="244">
        <f t="shared" si="82"/>
        <v>0</v>
      </c>
      <c r="Z54" s="244">
        <f t="shared" si="82"/>
        <v>0</v>
      </c>
      <c r="AA54" s="244">
        <f t="shared" si="82"/>
        <v>0</v>
      </c>
      <c r="AB54" s="244">
        <f t="shared" si="82"/>
        <v>0</v>
      </c>
      <c r="AC54" s="244">
        <f t="shared" si="82"/>
        <v>0</v>
      </c>
      <c r="AD54" s="244">
        <f t="shared" si="82"/>
        <v>0</v>
      </c>
      <c r="AE54" s="244">
        <f t="shared" si="82"/>
        <v>0</v>
      </c>
      <c r="AF54" s="244">
        <f t="shared" si="82"/>
        <v>0</v>
      </c>
      <c r="AG54" s="244">
        <f t="shared" si="82"/>
        <v>0</v>
      </c>
      <c r="AH54" s="244">
        <f>$D$54*$D$53*AH$53</f>
        <v>0</v>
      </c>
      <c r="AI54" s="372"/>
    </row>
    <row r="55" spans="2:35" s="77" customFormat="1" ht="14.55" customHeight="1">
      <c r="B55" s="1562" t="s">
        <v>358</v>
      </c>
      <c r="C55" s="1566"/>
      <c r="D55" s="223"/>
      <c r="E55" s="238">
        <f t="shared" si="81"/>
        <v>0</v>
      </c>
      <c r="F55" s="236"/>
      <c r="G55" s="236"/>
      <c r="H55" s="236">
        <v>0</v>
      </c>
      <c r="I55" s="236">
        <v>0</v>
      </c>
      <c r="J55" s="236"/>
      <c r="K55" s="237">
        <f t="shared" si="54"/>
        <v>0</v>
      </c>
      <c r="L55" s="236">
        <v>0</v>
      </c>
      <c r="M55" s="236">
        <v>0</v>
      </c>
      <c r="N55" s="236">
        <v>0</v>
      </c>
      <c r="O55" s="237">
        <f t="shared" si="21"/>
        <v>0</v>
      </c>
      <c r="P55" s="236">
        <v>0</v>
      </c>
      <c r="Q55" s="236">
        <v>0</v>
      </c>
      <c r="R55" s="236">
        <v>0</v>
      </c>
      <c r="S55" s="237">
        <f t="shared" si="76"/>
        <v>0</v>
      </c>
      <c r="T55" s="236">
        <v>0</v>
      </c>
      <c r="U55" s="236">
        <v>0</v>
      </c>
      <c r="V55" s="236">
        <v>0</v>
      </c>
      <c r="W55" s="236">
        <v>0</v>
      </c>
      <c r="X55" s="236">
        <v>0</v>
      </c>
      <c r="Y55" s="236">
        <v>0</v>
      </c>
      <c r="Z55" s="236">
        <v>0</v>
      </c>
      <c r="AA55" s="236">
        <v>0</v>
      </c>
      <c r="AB55" s="236">
        <v>0</v>
      </c>
      <c r="AC55" s="236">
        <v>0</v>
      </c>
      <c r="AD55" s="236">
        <v>0</v>
      </c>
      <c r="AE55" s="236">
        <v>0</v>
      </c>
      <c r="AF55" s="236">
        <v>0</v>
      </c>
      <c r="AG55" s="236">
        <v>0</v>
      </c>
      <c r="AH55" s="236">
        <v>0</v>
      </c>
      <c r="AI55" s="372"/>
    </row>
    <row r="56" spans="2:35" s="77" customFormat="1" ht="14.55" customHeight="1">
      <c r="B56" s="1567"/>
      <c r="C56" s="1568"/>
      <c r="D56" s="223"/>
      <c r="E56" s="230">
        <f t="shared" si="81"/>
        <v>0</v>
      </c>
      <c r="F56" s="219">
        <f>F55*50000</f>
        <v>0</v>
      </c>
      <c r="G56" s="219">
        <f>G55*50000</f>
        <v>0</v>
      </c>
      <c r="H56" s="219">
        <f t="shared" ref="H56:U56" si="83">H55*50000</f>
        <v>0</v>
      </c>
      <c r="I56" s="219">
        <f t="shared" ref="I56:J56" si="84">I55*50000</f>
        <v>0</v>
      </c>
      <c r="J56" s="219">
        <f t="shared" si="84"/>
        <v>0</v>
      </c>
      <c r="K56" s="231">
        <f t="shared" si="54"/>
        <v>0</v>
      </c>
      <c r="L56" s="219">
        <f>L55*50000</f>
        <v>0</v>
      </c>
      <c r="M56" s="219">
        <f>M55*50000</f>
        <v>0</v>
      </c>
      <c r="N56" s="219">
        <f>N55*50000</f>
        <v>0</v>
      </c>
      <c r="O56" s="231">
        <f t="shared" si="21"/>
        <v>0</v>
      </c>
      <c r="P56" s="219">
        <f>P55*50000</f>
        <v>0</v>
      </c>
      <c r="Q56" s="219">
        <f t="shared" si="83"/>
        <v>0</v>
      </c>
      <c r="R56" s="219">
        <f>R55*50000</f>
        <v>0</v>
      </c>
      <c r="S56" s="231">
        <f t="shared" si="76"/>
        <v>0</v>
      </c>
      <c r="T56" s="219">
        <f>T55*50000</f>
        <v>0</v>
      </c>
      <c r="U56" s="219">
        <f t="shared" si="83"/>
        <v>0</v>
      </c>
      <c r="V56" s="219">
        <f t="shared" ref="V56:AF56" si="85">V55*50000</f>
        <v>0</v>
      </c>
      <c r="W56" s="219">
        <f t="shared" si="85"/>
        <v>0</v>
      </c>
      <c r="X56" s="219">
        <f t="shared" si="85"/>
        <v>0</v>
      </c>
      <c r="Y56" s="219">
        <f t="shared" si="85"/>
        <v>0</v>
      </c>
      <c r="Z56" s="219">
        <f t="shared" si="85"/>
        <v>0</v>
      </c>
      <c r="AA56" s="219">
        <f t="shared" si="85"/>
        <v>0</v>
      </c>
      <c r="AB56" s="219">
        <f t="shared" si="85"/>
        <v>0</v>
      </c>
      <c r="AC56" s="219">
        <f t="shared" si="85"/>
        <v>0</v>
      </c>
      <c r="AD56" s="219">
        <f t="shared" si="85"/>
        <v>0</v>
      </c>
      <c r="AE56" s="219">
        <f t="shared" si="85"/>
        <v>0</v>
      </c>
      <c r="AF56" s="219">
        <f t="shared" si="85"/>
        <v>0</v>
      </c>
      <c r="AG56" s="219">
        <f t="shared" ref="AG56" si="86">AG55*50000</f>
        <v>0</v>
      </c>
      <c r="AH56" s="219">
        <f>AH55*50000</f>
        <v>0</v>
      </c>
      <c r="AI56" s="372"/>
    </row>
    <row r="57" spans="2:35" s="77" customFormat="1" ht="14.55" customHeight="1">
      <c r="B57" s="728" t="s">
        <v>630</v>
      </c>
      <c r="C57" s="125"/>
      <c r="D57" s="126"/>
      <c r="E57" s="199">
        <f t="shared" si="81"/>
        <v>0</v>
      </c>
      <c r="F57" s="727"/>
      <c r="G57" s="727"/>
      <c r="H57" s="727"/>
      <c r="I57" s="727"/>
      <c r="J57" s="727"/>
      <c r="K57" s="165">
        <f t="shared" si="54"/>
        <v>0</v>
      </c>
      <c r="L57" s="729"/>
      <c r="M57" s="727"/>
      <c r="N57" s="729"/>
      <c r="O57" s="165">
        <f t="shared" si="21"/>
        <v>0</v>
      </c>
      <c r="P57" s="729"/>
      <c r="Q57" s="729"/>
      <c r="R57" s="729"/>
      <c r="S57" s="165">
        <f t="shared" si="76"/>
        <v>0</v>
      </c>
      <c r="T57" s="729"/>
      <c r="U57" s="729"/>
      <c r="V57" s="729"/>
      <c r="W57" s="729"/>
      <c r="X57" s="729"/>
      <c r="Y57" s="729"/>
      <c r="Z57" s="729"/>
      <c r="AA57" s="729"/>
      <c r="AB57" s="729"/>
      <c r="AC57" s="729"/>
      <c r="AD57" s="729"/>
      <c r="AE57" s="729"/>
      <c r="AF57" s="729"/>
      <c r="AG57" s="729"/>
      <c r="AH57" s="729"/>
      <c r="AI57" s="367"/>
    </row>
    <row r="58" spans="2:35" s="77" customFormat="1" ht="14.55" customHeight="1">
      <c r="B58" s="728" t="s">
        <v>354</v>
      </c>
      <c r="C58" s="125"/>
      <c r="D58" s="126"/>
      <c r="E58" s="199">
        <f t="shared" si="81"/>
        <v>0</v>
      </c>
      <c r="F58" s="727"/>
      <c r="G58" s="727"/>
      <c r="H58" s="727"/>
      <c r="I58" s="727"/>
      <c r="J58" s="727"/>
      <c r="K58" s="165">
        <f t="shared" si="54"/>
        <v>0</v>
      </c>
      <c r="L58" s="729"/>
      <c r="M58" s="727"/>
      <c r="N58" s="729"/>
      <c r="O58" s="165">
        <f t="shared" si="21"/>
        <v>0</v>
      </c>
      <c r="P58" s="729"/>
      <c r="Q58" s="729"/>
      <c r="R58" s="729"/>
      <c r="S58" s="165">
        <f t="shared" si="76"/>
        <v>0</v>
      </c>
      <c r="T58" s="729"/>
      <c r="U58" s="729"/>
      <c r="V58" s="729"/>
      <c r="W58" s="729"/>
      <c r="X58" s="729"/>
      <c r="Y58" s="729"/>
      <c r="Z58" s="729"/>
      <c r="AA58" s="729"/>
      <c r="AB58" s="729"/>
      <c r="AC58" s="729"/>
      <c r="AD58" s="729"/>
      <c r="AE58" s="729"/>
      <c r="AF58" s="729"/>
      <c r="AG58" s="729"/>
      <c r="AH58" s="729"/>
      <c r="AI58" s="367"/>
    </row>
    <row r="59" spans="2:35" s="77" customFormat="1" ht="14.55" customHeight="1">
      <c r="B59" s="728" t="s">
        <v>353</v>
      </c>
      <c r="C59" s="125"/>
      <c r="D59" s="126"/>
      <c r="E59" s="199">
        <f t="shared" si="81"/>
        <v>0</v>
      </c>
      <c r="F59" s="727"/>
      <c r="G59" s="727"/>
      <c r="H59" s="727"/>
      <c r="I59" s="727"/>
      <c r="J59" s="727"/>
      <c r="K59" s="165">
        <f t="shared" si="54"/>
        <v>0</v>
      </c>
      <c r="L59" s="727"/>
      <c r="M59" s="727"/>
      <c r="N59" s="727"/>
      <c r="O59" s="165">
        <f t="shared" si="21"/>
        <v>0</v>
      </c>
      <c r="P59" s="727"/>
      <c r="Q59" s="727"/>
      <c r="R59" s="727"/>
      <c r="S59" s="165">
        <f t="shared" si="76"/>
        <v>0</v>
      </c>
      <c r="T59" s="727"/>
      <c r="U59" s="727"/>
      <c r="V59" s="727"/>
      <c r="W59" s="727"/>
      <c r="X59" s="727"/>
      <c r="Y59" s="727"/>
      <c r="Z59" s="727"/>
      <c r="AA59" s="727"/>
      <c r="AB59" s="727"/>
      <c r="AC59" s="727"/>
      <c r="AD59" s="727"/>
      <c r="AE59" s="727"/>
      <c r="AF59" s="727"/>
      <c r="AG59" s="727"/>
      <c r="AH59" s="727"/>
      <c r="AI59" s="367"/>
    </row>
    <row r="60" spans="2:35" s="77" customFormat="1" ht="14.55" customHeight="1">
      <c r="B60" s="728" t="s">
        <v>631</v>
      </c>
      <c r="C60" s="125"/>
      <c r="D60" s="126"/>
      <c r="E60" s="199">
        <f t="shared" si="81"/>
        <v>0</v>
      </c>
      <c r="F60" s="727"/>
      <c r="G60" s="727"/>
      <c r="H60" s="727"/>
      <c r="I60" s="727"/>
      <c r="J60" s="727"/>
      <c r="K60" s="165">
        <f t="shared" si="54"/>
        <v>0</v>
      </c>
      <c r="L60" s="729"/>
      <c r="M60" s="727"/>
      <c r="N60" s="729"/>
      <c r="O60" s="165">
        <f t="shared" si="21"/>
        <v>0</v>
      </c>
      <c r="P60" s="729"/>
      <c r="Q60" s="729"/>
      <c r="R60" s="729"/>
      <c r="S60" s="165">
        <f t="shared" si="76"/>
        <v>0</v>
      </c>
      <c r="T60" s="729"/>
      <c r="U60" s="729"/>
      <c r="V60" s="729"/>
      <c r="W60" s="729"/>
      <c r="X60" s="729"/>
      <c r="Y60" s="729"/>
      <c r="Z60" s="729"/>
      <c r="AA60" s="729"/>
      <c r="AB60" s="729"/>
      <c r="AC60" s="729"/>
      <c r="AD60" s="729"/>
      <c r="AE60" s="729"/>
      <c r="AF60" s="729"/>
      <c r="AG60" s="729"/>
      <c r="AH60" s="729"/>
      <c r="AI60" s="367"/>
    </row>
    <row r="61" spans="2:35" s="77" customFormat="1" ht="14.55" customHeight="1">
      <c r="B61" s="132" t="s">
        <v>632</v>
      </c>
      <c r="C61" s="128"/>
      <c r="D61" s="129"/>
      <c r="E61" s="201">
        <f t="shared" si="81"/>
        <v>0</v>
      </c>
      <c r="F61" s="137"/>
      <c r="G61" s="137"/>
      <c r="H61" s="137"/>
      <c r="I61" s="137"/>
      <c r="J61" s="137"/>
      <c r="K61" s="214">
        <f t="shared" si="54"/>
        <v>0</v>
      </c>
      <c r="L61" s="137"/>
      <c r="M61" s="137"/>
      <c r="N61" s="137"/>
      <c r="O61" s="214">
        <f t="shared" si="21"/>
        <v>0</v>
      </c>
      <c r="P61" s="137"/>
      <c r="Q61" s="137"/>
      <c r="R61" s="137"/>
      <c r="S61" s="214">
        <f t="shared" si="76"/>
        <v>0</v>
      </c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369"/>
    </row>
    <row r="62" spans="2:35" s="77" customFormat="1" ht="14.55" customHeight="1">
      <c r="B62" s="645" t="s">
        <v>575</v>
      </c>
      <c r="C62" s="172"/>
      <c r="D62" s="217"/>
      <c r="E62" s="230">
        <f t="shared" si="81"/>
        <v>0</v>
      </c>
      <c r="F62" s="222"/>
      <c r="G62" s="222"/>
      <c r="H62" s="222"/>
      <c r="I62" s="222"/>
      <c r="J62" s="222"/>
      <c r="K62" s="231">
        <f t="shared" si="54"/>
        <v>0</v>
      </c>
      <c r="L62" s="222"/>
      <c r="M62" s="222"/>
      <c r="N62" s="222"/>
      <c r="O62" s="231">
        <f t="shared" si="21"/>
        <v>0</v>
      </c>
      <c r="P62" s="222"/>
      <c r="Q62" s="222"/>
      <c r="R62" s="222"/>
      <c r="S62" s="231">
        <f t="shared" si="76"/>
        <v>0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372"/>
    </row>
    <row r="63" spans="2:35" s="77" customFormat="1" ht="14.55" customHeight="1">
      <c r="B63" s="717" t="s">
        <v>626</v>
      </c>
      <c r="C63" s="718"/>
      <c r="D63" s="719"/>
      <c r="E63" s="720">
        <f t="shared" si="81"/>
        <v>0</v>
      </c>
      <c r="F63" s="134"/>
      <c r="G63" s="134"/>
      <c r="H63" s="134"/>
      <c r="I63" s="134"/>
      <c r="J63" s="134"/>
      <c r="K63" s="721">
        <f t="shared" si="54"/>
        <v>0</v>
      </c>
      <c r="L63" s="134"/>
      <c r="M63" s="134"/>
      <c r="N63" s="134"/>
      <c r="O63" s="721">
        <f t="shared" si="21"/>
        <v>0</v>
      </c>
      <c r="P63" s="134"/>
      <c r="Q63" s="134"/>
      <c r="R63" s="134"/>
      <c r="S63" s="721">
        <f t="shared" si="76"/>
        <v>0</v>
      </c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722"/>
    </row>
    <row r="64" spans="2:35" s="77" customFormat="1" ht="14.55" customHeight="1">
      <c r="B64" s="646" t="s">
        <v>263</v>
      </c>
      <c r="C64" s="647"/>
      <c r="D64" s="648"/>
      <c r="E64" s="649">
        <f t="shared" si="81"/>
        <v>0</v>
      </c>
      <c r="F64" s="650"/>
      <c r="G64" s="650"/>
      <c r="H64" s="650"/>
      <c r="I64" s="650"/>
      <c r="J64" s="650"/>
      <c r="K64" s="651">
        <f t="shared" si="54"/>
        <v>0</v>
      </c>
      <c r="L64" s="650"/>
      <c r="M64" s="650"/>
      <c r="N64" s="650"/>
      <c r="O64" s="651">
        <f t="shared" si="21"/>
        <v>0</v>
      </c>
      <c r="P64" s="650"/>
      <c r="Q64" s="650"/>
      <c r="R64" s="650"/>
      <c r="S64" s="651">
        <f t="shared" si="76"/>
        <v>0</v>
      </c>
      <c r="T64" s="650"/>
      <c r="U64" s="650"/>
      <c r="V64" s="650"/>
      <c r="W64" s="650"/>
      <c r="X64" s="650"/>
      <c r="Y64" s="650"/>
      <c r="Z64" s="650"/>
      <c r="AA64" s="650"/>
      <c r="AB64" s="650"/>
      <c r="AC64" s="650"/>
      <c r="AD64" s="650"/>
      <c r="AE64" s="650"/>
      <c r="AF64" s="650"/>
      <c r="AG64" s="650"/>
      <c r="AH64" s="650"/>
      <c r="AI64" s="652"/>
    </row>
    <row r="65" spans="1:21" s="277" customFormat="1" ht="14.55" customHeight="1">
      <c r="B65" s="171" t="s">
        <v>260</v>
      </c>
      <c r="C65" s="278"/>
      <c r="D65" s="278"/>
    </row>
    <row r="66" spans="1:21" s="77" customFormat="1" ht="13.15">
      <c r="B66" s="171" t="s">
        <v>261</v>
      </c>
    </row>
    <row r="67" spans="1:21" s="77" customFormat="1" ht="13.15"/>
    <row r="68" spans="1:21" s="77" customFormat="1" ht="13.5" thickBot="1"/>
    <row r="69" spans="1:21" s="77" customFormat="1" ht="28.5" customHeight="1" thickBot="1">
      <c r="B69" s="1530" t="s">
        <v>519</v>
      </c>
      <c r="C69" s="1531"/>
      <c r="D69" s="1532"/>
      <c r="E69" s="1192"/>
      <c r="J69" s="277"/>
      <c r="U69" s="275"/>
    </row>
    <row r="70" spans="1:21" s="77" customFormat="1" ht="18" customHeight="1">
      <c r="B70" s="515" t="s">
        <v>1095</v>
      </c>
      <c r="J70" s="277"/>
      <c r="U70" s="275"/>
    </row>
    <row r="71" spans="1:21" s="77" customFormat="1" ht="18" customHeight="1">
      <c r="B71" s="515" t="s">
        <v>1098</v>
      </c>
    </row>
    <row r="72" spans="1:21" ht="18" customHeight="1">
      <c r="A72" s="12"/>
      <c r="B72" s="515" t="s">
        <v>1096</v>
      </c>
      <c r="C72" s="12"/>
      <c r="D72" s="12"/>
    </row>
    <row r="73" spans="1:21" ht="18" customHeight="1">
      <c r="A73" s="12"/>
      <c r="B73" s="515" t="s">
        <v>1097</v>
      </c>
      <c r="C73" s="12"/>
      <c r="D73" s="12"/>
    </row>
    <row r="74" spans="1:21">
      <c r="A74" s="12"/>
      <c r="B74" s="12"/>
      <c r="C74" s="12"/>
      <c r="D74" s="12"/>
    </row>
    <row r="75" spans="1:21">
      <c r="A75" s="12"/>
      <c r="B75" s="12"/>
      <c r="C75" s="12"/>
      <c r="D75" s="12"/>
    </row>
    <row r="76" spans="1:21">
      <c r="A76" s="12"/>
      <c r="B76" s="12"/>
      <c r="C76" s="12"/>
      <c r="D76" s="12"/>
    </row>
    <row r="77" spans="1:21">
      <c r="A77" s="12"/>
      <c r="B77" s="12"/>
      <c r="C77" s="12"/>
      <c r="D77" s="12"/>
    </row>
    <row r="78" spans="1:21">
      <c r="A78" s="12"/>
      <c r="B78" s="12"/>
      <c r="C78" s="12"/>
      <c r="D78" s="12"/>
    </row>
    <row r="79" spans="1:21">
      <c r="A79" s="12"/>
      <c r="B79" s="12"/>
      <c r="C79" s="12"/>
      <c r="D79" s="12"/>
    </row>
    <row r="80" spans="1:21">
      <c r="A80" s="12"/>
      <c r="B80" s="12"/>
      <c r="C80" s="12"/>
      <c r="D80" s="12"/>
    </row>
    <row r="81" spans="1:4">
      <c r="A81" s="12"/>
      <c r="B81" s="12"/>
      <c r="C81" s="12"/>
      <c r="D81" s="12"/>
    </row>
    <row r="82" spans="1:4">
      <c r="A82" s="12"/>
      <c r="B82" s="12"/>
      <c r="C82" s="12"/>
      <c r="D82" s="12"/>
    </row>
    <row r="83" spans="1:4">
      <c r="A83" s="12"/>
      <c r="B83" s="12"/>
      <c r="C83" s="12"/>
      <c r="D83" s="12"/>
    </row>
    <row r="84" spans="1:4">
      <c r="A84" s="12"/>
      <c r="B84" s="12"/>
      <c r="C84" s="12"/>
      <c r="D84" s="12"/>
    </row>
    <row r="85" spans="1:4">
      <c r="A85" s="12"/>
      <c r="B85" s="12"/>
      <c r="C85" s="12"/>
      <c r="D85" s="12"/>
    </row>
    <row r="86" spans="1:4">
      <c r="A86" s="12"/>
      <c r="B86" s="12"/>
      <c r="C86" s="12"/>
      <c r="D86" s="12"/>
    </row>
    <row r="87" spans="1:4">
      <c r="A87" s="12"/>
      <c r="B87" s="12"/>
      <c r="C87" s="12"/>
      <c r="D87" s="12"/>
    </row>
    <row r="88" spans="1:4">
      <c r="A88" s="12"/>
      <c r="B88" s="12"/>
      <c r="C88" s="12"/>
      <c r="D88" s="12"/>
    </row>
    <row r="89" spans="1:4">
      <c r="A89" s="12"/>
      <c r="B89" s="12"/>
      <c r="C89" s="12"/>
      <c r="D89" s="12"/>
    </row>
    <row r="90" spans="1:4">
      <c r="A90" s="12"/>
      <c r="B90" s="12"/>
      <c r="C90" s="12"/>
      <c r="D90" s="12"/>
    </row>
    <row r="91" spans="1:4">
      <c r="A91" s="12"/>
      <c r="B91" s="12"/>
      <c r="C91" s="12"/>
      <c r="D91" s="12"/>
    </row>
    <row r="92" spans="1:4">
      <c r="A92" s="12"/>
      <c r="B92" s="12"/>
      <c r="C92" s="12"/>
      <c r="D92" s="12"/>
    </row>
    <row r="93" spans="1:4">
      <c r="A93" s="12"/>
      <c r="B93" s="12"/>
      <c r="C93" s="12"/>
      <c r="D93" s="12"/>
    </row>
    <row r="94" spans="1:4">
      <c r="A94" s="12"/>
      <c r="B94" s="12"/>
      <c r="C94" s="12"/>
      <c r="D94" s="12"/>
    </row>
    <row r="95" spans="1:4">
      <c r="A95" s="12"/>
      <c r="B95" s="12"/>
      <c r="C95" s="12"/>
      <c r="D95" s="12"/>
    </row>
    <row r="96" spans="1:4">
      <c r="A96" s="12"/>
      <c r="B96" s="12"/>
      <c r="C96" s="12"/>
      <c r="D96" s="12"/>
    </row>
    <row r="97" spans="1:4">
      <c r="A97" s="12"/>
      <c r="B97" s="12"/>
      <c r="C97" s="12"/>
      <c r="D97" s="12"/>
    </row>
    <row r="98" spans="1:4">
      <c r="A98" s="12"/>
      <c r="B98" s="12"/>
      <c r="C98" s="12"/>
      <c r="D98" s="12"/>
    </row>
    <row r="99" spans="1:4">
      <c r="A99" s="12"/>
      <c r="B99" s="12"/>
      <c r="C99" s="12"/>
      <c r="D99" s="12"/>
    </row>
    <row r="100" spans="1:4">
      <c r="A100" s="12"/>
      <c r="B100" s="12"/>
      <c r="C100" s="12"/>
      <c r="D100" s="12"/>
    </row>
    <row r="101" spans="1:4">
      <c r="A101" s="12"/>
      <c r="B101" s="12"/>
      <c r="C101" s="12"/>
      <c r="D101" s="12"/>
    </row>
    <row r="102" spans="1:4">
      <c r="A102" s="12"/>
      <c r="B102" s="12"/>
      <c r="C102" s="12"/>
      <c r="D102" s="12"/>
    </row>
    <row r="103" spans="1:4">
      <c r="A103" s="12"/>
      <c r="B103" s="12"/>
      <c r="C103" s="12"/>
      <c r="D103" s="12"/>
    </row>
    <row r="104" spans="1:4">
      <c r="A104" s="12"/>
      <c r="B104" s="12"/>
      <c r="C104" s="12"/>
      <c r="D104" s="12"/>
    </row>
    <row r="105" spans="1:4">
      <c r="A105" s="12"/>
      <c r="B105" s="12"/>
      <c r="C105" s="12"/>
      <c r="D105" s="12"/>
    </row>
    <row r="106" spans="1:4">
      <c r="A106" s="12"/>
      <c r="B106" s="12"/>
      <c r="C106" s="12"/>
      <c r="D106" s="12"/>
    </row>
    <row r="107" spans="1:4">
      <c r="A107" s="12"/>
      <c r="B107" s="12"/>
      <c r="C107" s="12"/>
      <c r="D107" s="12"/>
    </row>
    <row r="108" spans="1:4">
      <c r="A108" s="12"/>
      <c r="B108" s="12"/>
      <c r="C108" s="12"/>
      <c r="D108" s="12"/>
    </row>
    <row r="109" spans="1:4">
      <c r="A109" s="12"/>
      <c r="B109" s="12"/>
      <c r="C109" s="12"/>
      <c r="D109" s="12"/>
    </row>
    <row r="110" spans="1:4">
      <c r="A110" s="12"/>
      <c r="B110" s="12"/>
      <c r="C110" s="12"/>
      <c r="D110" s="12"/>
    </row>
    <row r="111" spans="1:4">
      <c r="A111" s="12"/>
      <c r="B111" s="12"/>
      <c r="C111" s="12"/>
      <c r="D111" s="12"/>
    </row>
    <row r="112" spans="1:4">
      <c r="A112" s="12"/>
      <c r="B112" s="12"/>
      <c r="C112" s="12"/>
      <c r="D112" s="12"/>
    </row>
    <row r="113" spans="1:4">
      <c r="A113" s="12"/>
      <c r="B113" s="12"/>
      <c r="C113" s="12"/>
      <c r="D113" s="12"/>
    </row>
    <row r="114" spans="1:4">
      <c r="A114" s="12"/>
      <c r="B114" s="12"/>
      <c r="C114" s="12"/>
      <c r="D114" s="12"/>
    </row>
    <row r="115" spans="1:4">
      <c r="A115" s="12"/>
      <c r="B115" s="12"/>
      <c r="C115" s="12"/>
      <c r="D115" s="12"/>
    </row>
    <row r="116" spans="1:4">
      <c r="A116" s="12"/>
      <c r="B116" s="12"/>
      <c r="C116" s="12"/>
      <c r="D116" s="12"/>
    </row>
    <row r="117" spans="1:4">
      <c r="A117" s="12"/>
      <c r="B117" s="12"/>
      <c r="C117" s="12"/>
      <c r="D117" s="12"/>
    </row>
    <row r="118" spans="1:4">
      <c r="A118" s="12"/>
      <c r="B118" s="12"/>
      <c r="C118" s="12"/>
      <c r="D118" s="12"/>
    </row>
    <row r="119" spans="1:4">
      <c r="A119" s="12"/>
      <c r="B119" s="12"/>
      <c r="C119" s="12"/>
      <c r="D119" s="12"/>
    </row>
    <row r="120" spans="1:4">
      <c r="A120" s="12"/>
      <c r="B120" s="12"/>
      <c r="C120" s="12"/>
      <c r="D120" s="12"/>
    </row>
    <row r="121" spans="1:4">
      <c r="A121" s="12"/>
      <c r="B121" s="12"/>
      <c r="C121" s="12"/>
      <c r="D121" s="12"/>
    </row>
    <row r="122" spans="1:4">
      <c r="A122" s="12"/>
      <c r="B122" s="12"/>
      <c r="C122" s="12"/>
      <c r="D122" s="12"/>
    </row>
  </sheetData>
  <dataConsolidate/>
  <mergeCells count="59">
    <mergeCell ref="AI10:AI12"/>
    <mergeCell ref="X10:X12"/>
    <mergeCell ref="AC10:AC12"/>
    <mergeCell ref="AA10:AA12"/>
    <mergeCell ref="Z10:Z12"/>
    <mergeCell ref="Y10:Y12"/>
    <mergeCell ref="AD10:AD12"/>
    <mergeCell ref="AE10:AE12"/>
    <mergeCell ref="AF10:AF12"/>
    <mergeCell ref="AH10:AH12"/>
    <mergeCell ref="AG10:AG12"/>
    <mergeCell ref="M3:M4"/>
    <mergeCell ref="W10:W12"/>
    <mergeCell ref="AB10:AB12"/>
    <mergeCell ref="F4:F5"/>
    <mergeCell ref="U3:U4"/>
    <mergeCell ref="V10:V12"/>
    <mergeCell ref="T3:T4"/>
    <mergeCell ref="Y3:Y4"/>
    <mergeCell ref="Z3:Z4"/>
    <mergeCell ref="B14:B15"/>
    <mergeCell ref="B53:C54"/>
    <mergeCell ref="B55:C56"/>
    <mergeCell ref="L10:L12"/>
    <mergeCell ref="H4:H6"/>
    <mergeCell ref="B43:D43"/>
    <mergeCell ref="B23:D23"/>
    <mergeCell ref="C13:D13"/>
    <mergeCell ref="C14:D14"/>
    <mergeCell ref="B20:D20"/>
    <mergeCell ref="B22:C22"/>
    <mergeCell ref="B10:D12"/>
    <mergeCell ref="B16:B17"/>
    <mergeCell ref="C16:D16"/>
    <mergeCell ref="C17:D17"/>
    <mergeCell ref="B69:D69"/>
    <mergeCell ref="H2:K2"/>
    <mergeCell ref="B19:D19"/>
    <mergeCell ref="B24:D24"/>
    <mergeCell ref="B25:D25"/>
    <mergeCell ref="E10:E12"/>
    <mergeCell ref="E4:E6"/>
    <mergeCell ref="B18:D18"/>
    <mergeCell ref="G4:G6"/>
    <mergeCell ref="I4:I6"/>
    <mergeCell ref="J4:J6"/>
    <mergeCell ref="K4:K6"/>
    <mergeCell ref="B3:C3"/>
    <mergeCell ref="C15:D15"/>
    <mergeCell ref="B4:B5"/>
    <mergeCell ref="B6:C6"/>
    <mergeCell ref="AH3:AH4"/>
    <mergeCell ref="V3:V4"/>
    <mergeCell ref="X3:X4"/>
    <mergeCell ref="W3:W4"/>
    <mergeCell ref="AB3:AB4"/>
    <mergeCell ref="AC3:AC4"/>
    <mergeCell ref="AA3:AA4"/>
    <mergeCell ref="AG3:AG4"/>
  </mergeCells>
  <phoneticPr fontId="1" type="noConversion"/>
  <printOptions horizontalCentered="1"/>
  <pageMargins left="0.23622047244094491" right="0.23622047244094491" top="0.47244094488188981" bottom="0.47244094488188981" header="0.31496062992125984" footer="0.31496062992125984"/>
  <pageSetup paperSize="9" scale="46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Master!$P$1:$P$2</xm:f>
          </x14:formula1>
          <xm:sqref>D51 D22</xm:sqref>
        </x14:dataValidation>
        <x14:dataValidation type="list" allowBlank="1" showInputMessage="1" showErrorMessage="1">
          <x14:formula1>
            <xm:f>Master!$E$1:$E$2</xm:f>
          </x14:formula1>
          <xm:sqref>G4:G6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L14"/>
  <sheetViews>
    <sheetView showGridLines="0" zoomScaleNormal="100" workbookViewId="0">
      <selection activeCell="K6" sqref="K6"/>
    </sheetView>
  </sheetViews>
  <sheetFormatPr defaultRowHeight="16.899999999999999"/>
  <cols>
    <col min="1" max="1" width="1.8125" customWidth="1"/>
    <col min="2" max="2" width="2.5" customWidth="1"/>
    <col min="3" max="3" width="14.3125" bestFit="1" customWidth="1"/>
    <col min="4" max="5" width="10.3125" bestFit="1" customWidth="1"/>
    <col min="6" max="6" width="13.5625" bestFit="1" customWidth="1"/>
    <col min="7" max="7" width="10.3125" customWidth="1"/>
    <col min="8" max="9" width="18.3125" style="658" customWidth="1"/>
    <col min="11" max="11" width="22.3125" customWidth="1"/>
    <col min="12" max="12" width="17.0625" bestFit="1" customWidth="1"/>
  </cols>
  <sheetData>
    <row r="2" spans="2:12" ht="19.149999999999999">
      <c r="C2" s="7" t="s">
        <v>606</v>
      </c>
    </row>
    <row r="3" spans="2:12">
      <c r="C3" s="667" t="s">
        <v>602</v>
      </c>
    </row>
    <row r="4" spans="2:12">
      <c r="C4" s="653" t="s">
        <v>576</v>
      </c>
      <c r="D4" s="653" t="s">
        <v>577</v>
      </c>
      <c r="E4" s="653" t="s">
        <v>578</v>
      </c>
      <c r="F4" s="653" t="s">
        <v>579</v>
      </c>
      <c r="G4" s="653" t="s">
        <v>580</v>
      </c>
      <c r="H4" s="654" t="s">
        <v>201</v>
      </c>
      <c r="I4" s="654" t="s">
        <v>581</v>
      </c>
      <c r="J4" s="653" t="s">
        <v>582</v>
      </c>
      <c r="K4" s="653" t="s">
        <v>583</v>
      </c>
      <c r="L4" s="653" t="s">
        <v>584</v>
      </c>
    </row>
    <row r="5" spans="2:12">
      <c r="C5" t="s">
        <v>585</v>
      </c>
      <c r="D5" s="668"/>
      <c r="E5" s="669"/>
      <c r="F5" s="670"/>
      <c r="G5" s="655">
        <f t="shared" ref="G5:G10" si="0">E5-D5+1</f>
        <v>1</v>
      </c>
      <c r="H5" s="672"/>
      <c r="I5" s="672"/>
      <c r="J5" s="516">
        <f t="shared" ref="J5:J10" si="1">IF(OR(I5=0,I5="",H5=0,H5=""),0,ROUND(I5/H5,2))</f>
        <v>0</v>
      </c>
      <c r="K5" s="656">
        <f>MAX((IF(L5="셀프보증",(IF(VLOOKUP(C5,보증보험요율!$C$3:$E$8,3,0)="N",ROUNDDOWN(VLOOKUP(C5,보증보험요율!$C$3:$E$8,2,0)*I5*(1-10%),-1),ROUNDDOWN((VLOOKUP(C5,보증보험요율!$C$3:$E$8,2,0)*(G5/365))*I5*(1-10%),-1))),(IF(VLOOKUP(C5,보증보험요율!$C$3:$E$8,3,0)="N",ROUNDDOWN(VLOOKUP(C5,보증보험요율!$C$3:$E$8,2,0)*I5,-1),ROUNDDOWN((VLOOKUP(C5,보증보험요율!$C$3:$E$8,2,0)*(G5/365))*I5,-1))))),3000)</f>
        <v>3000</v>
      </c>
      <c r="L5" s="657" t="str">
        <f t="shared" ref="L5:L10" si="2">IF(AND(OR(C5="입찰보증",C5="계약보증",C5="하자보증",C5="선급금보증"),50000001&gt;I5),"셀프보증","일반보증")</f>
        <v>셀프보증</v>
      </c>
    </row>
    <row r="6" spans="2:12">
      <c r="C6" t="s">
        <v>586</v>
      </c>
      <c r="D6" s="668"/>
      <c r="E6" s="669"/>
      <c r="F6" s="670"/>
      <c r="G6" s="655">
        <f t="shared" si="0"/>
        <v>1</v>
      </c>
      <c r="H6" s="672"/>
      <c r="I6" s="672"/>
      <c r="J6" s="516">
        <f t="shared" si="1"/>
        <v>0</v>
      </c>
      <c r="K6" s="658">
        <f>MAX((IF(L6="셀프보증",(IF(VLOOKUP(C6,보증보험요율!$C$3:$E$8,3,0)="N",ROUNDDOWN(VLOOKUP(C6,보증보험요율!$C$3:$E$8,2,0)*I6*(1-10%),-1),ROUNDDOWN((VLOOKUP(C6,보증보험요율!$C$3:$E$8,2,0)*(G6/365))*I6*(1-10%),-1))),(IF(VLOOKUP(C6,보증보험요율!$C$3:$E$8,3,0)="N",ROUNDDOWN(VLOOKUP(C6,보증보험요율!$C$3:$E$8,2,0)*I6,-1),ROUNDDOWN((VLOOKUP(C6,보증보험요율!$C$3:$E$8,2,0)*(G6/365))*I6,-1))))),3000)</f>
        <v>3000</v>
      </c>
      <c r="L6" s="657" t="str">
        <f t="shared" si="2"/>
        <v>셀프보증</v>
      </c>
    </row>
    <row r="7" spans="2:12">
      <c r="C7" t="s">
        <v>587</v>
      </c>
      <c r="D7" s="668"/>
      <c r="E7" s="669"/>
      <c r="F7" s="671"/>
      <c r="G7" s="655">
        <f t="shared" si="0"/>
        <v>1</v>
      </c>
      <c r="H7" s="672"/>
      <c r="I7" s="672"/>
      <c r="J7" s="516">
        <f t="shared" si="1"/>
        <v>0</v>
      </c>
      <c r="K7" s="658">
        <f>MAX((IF(L7="셀프보증",(IF(VLOOKUP(C7,보증보험요율!$C$3:$E$8,3,0)="N",ROUNDDOWN(VLOOKUP(C7,보증보험요율!$C$3:$E$8,2,0)*I7*(1-10%),-1),ROUNDDOWN((VLOOKUP(C7,보증보험요율!$C$3:$E$8,2,0)*(G7/365))*I7*(1-10%),-1))),(IF(VLOOKUP(C7,보증보험요율!$C$3:$E$8,3,0)="N",ROUNDDOWN(VLOOKUP(C7,보증보험요율!$C$3:$E$8,2,0)*I7,-1),ROUNDDOWN((VLOOKUP(C7,보증보험요율!$C$3:$E$8,2,0)*(G7/365))*I7,-1))))),3000)</f>
        <v>3000</v>
      </c>
      <c r="L7" s="657" t="str">
        <f t="shared" si="2"/>
        <v>셀프보증</v>
      </c>
    </row>
    <row r="8" spans="2:12">
      <c r="C8" t="s">
        <v>588</v>
      </c>
      <c r="D8" s="668"/>
      <c r="E8" s="669"/>
      <c r="F8" s="671"/>
      <c r="G8" s="655">
        <f t="shared" si="0"/>
        <v>1</v>
      </c>
      <c r="H8" s="672"/>
      <c r="I8" s="672"/>
      <c r="J8" s="516">
        <f t="shared" si="1"/>
        <v>0</v>
      </c>
      <c r="K8" s="658">
        <f>MAX((IF(L8="셀프보증",(IF(VLOOKUP(C8,보증보험요율!$C$3:$E$8,3,0)="N",ROUNDDOWN(VLOOKUP(C8,보증보험요율!$C$3:$E$8,2,0)*I8*(1-10%),-1),ROUNDDOWN((VLOOKUP(C8,보증보험요율!$C$3:$E$8,2,0)*(G8/365))*I8*(1-10%),-1))),(IF(VLOOKUP(C8,보증보험요율!$C$3:$E$8,3,0)="N",ROUNDDOWN(VLOOKUP(C8,보증보험요율!$C$3:$E$8,2,0)*I8,-1),ROUNDDOWN((VLOOKUP(C8,보증보험요율!$C$3:$E$8,2,0)*(G8/365))*I8,-1))))),3000)</f>
        <v>3000</v>
      </c>
      <c r="L8" s="657" t="str">
        <f t="shared" si="2"/>
        <v>셀프보증</v>
      </c>
    </row>
    <row r="9" spans="2:12">
      <c r="C9" t="s">
        <v>589</v>
      </c>
      <c r="D9" s="668"/>
      <c r="E9" s="669"/>
      <c r="F9" s="670"/>
      <c r="G9" s="655">
        <f t="shared" si="0"/>
        <v>1</v>
      </c>
      <c r="H9" s="672"/>
      <c r="I9" s="672"/>
      <c r="J9" s="516">
        <f t="shared" si="1"/>
        <v>0</v>
      </c>
      <c r="K9" s="658">
        <f>MAX((IF(L9="셀프보증",(IF(VLOOKUP(C9,보증보험요율!$C$3:$E$8,3,0)="N",ROUNDDOWN(VLOOKUP(C9,보증보험요율!$C$3:$E$8,2,0)*I9*(1-10%),-1),ROUNDDOWN((VLOOKUP(C9,보증보험요율!$C$3:$E$8,2,0)*(G9/365))*I9*(1-10%),-1))),(IF(VLOOKUP(C9,보증보험요율!$C$3:$E$8,3,0)="N",ROUNDDOWN(VLOOKUP(C9,보증보험요율!$C$3:$E$8,2,0)*I9,-1),ROUNDDOWN((VLOOKUP(C9,보증보험요율!$C$3:$E$8,2,0)*(G9/365))*I9,-1))))),3000)</f>
        <v>3000</v>
      </c>
      <c r="L9" s="657" t="str">
        <f t="shared" si="2"/>
        <v>일반보증</v>
      </c>
    </row>
    <row r="10" spans="2:12" ht="17.25" thickBot="1">
      <c r="C10" t="s">
        <v>590</v>
      </c>
      <c r="D10" s="668"/>
      <c r="E10" s="669"/>
      <c r="F10" s="670"/>
      <c r="G10" s="655">
        <f t="shared" si="0"/>
        <v>1</v>
      </c>
      <c r="H10" s="672"/>
      <c r="I10" s="672"/>
      <c r="J10" s="516">
        <f t="shared" si="1"/>
        <v>0</v>
      </c>
      <c r="K10" s="658">
        <f>MAX((IF(L10="셀프보증",(IF(VLOOKUP(C10,보증보험요율!$C$3:$E$8,3,0)="N",ROUNDDOWN(VLOOKUP(C10,보증보험요율!$C$3:$E$8,2,0)*I10*(1-10%),-1),ROUNDDOWN((VLOOKUP(C10,보증보험요율!$C$3:$E$8,2,0)*(G10/365))*I10*(1-10%),-1))),(IF(VLOOKUP(C10,보증보험요율!$C$3:$E$8,3,0)="N",ROUNDDOWN(VLOOKUP(C10,보증보험요율!$C$3:$E$8,2,0)*I10,-1),ROUNDDOWN((VLOOKUP(C10,보증보험요율!$C$3:$E$8,2,0)*(G10/365))*I10,-1))))),3000)</f>
        <v>3000</v>
      </c>
      <c r="L10" s="657" t="str">
        <f t="shared" si="2"/>
        <v>일반보증</v>
      </c>
    </row>
    <row r="11" spans="2:12" ht="17.25" thickBot="1">
      <c r="K11" s="664">
        <f>+SUM(K5:K10)</f>
        <v>18000</v>
      </c>
      <c r="L11" s="666" t="s">
        <v>603</v>
      </c>
    </row>
    <row r="12" spans="2:12">
      <c r="K12" s="663"/>
    </row>
    <row r="13" spans="2:12">
      <c r="B13" t="s">
        <v>591</v>
      </c>
      <c r="K13" s="658"/>
    </row>
    <row r="14" spans="2:12">
      <c r="B14" s="665" t="s">
        <v>604</v>
      </c>
      <c r="K14" s="658"/>
    </row>
  </sheetData>
  <phoneticPr fontId="1" type="noConversion"/>
  <dataValidations count="1">
    <dataValidation type="list" allowBlank="1" showInputMessage="1" showErrorMessage="1" errorTitle="분류오류" error="셀프보증과 일반보증 중 선택하십시오." sqref="L5:L10">
      <formula1>"셀프보증,일반보증"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보증불가" error="구분되지 않은 종류의 보험은 소프트웨어공제조합에 문의바랍니다.">
          <x14:formula1>
            <xm:f>보증보험요율!$C$3:$C$8</xm:f>
          </x14:formula1>
          <xm:sqref>C5:C12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N31"/>
  <sheetViews>
    <sheetView showGridLines="0" zoomScaleNormal="100" workbookViewId="0">
      <selection activeCell="B17" sqref="B17"/>
    </sheetView>
  </sheetViews>
  <sheetFormatPr defaultRowHeight="16.899999999999999"/>
  <cols>
    <col min="1" max="1" width="1.9375" customWidth="1"/>
    <col min="2" max="2" width="12.0625" customWidth="1"/>
    <col min="3" max="3" width="14.5625" style="657" customWidth="1"/>
    <col min="4" max="4" width="14.9375" customWidth="1"/>
    <col min="5" max="5" width="15.25" customWidth="1"/>
    <col min="6" max="7" width="17.9375" bestFit="1" customWidth="1"/>
    <col min="8" max="8" width="30.1875" bestFit="1" customWidth="1"/>
    <col min="9" max="16" width="12.1875" customWidth="1"/>
    <col min="17" max="29" width="11.0625" customWidth="1"/>
  </cols>
  <sheetData>
    <row r="2" spans="2:8">
      <c r="B2" s="665" t="s">
        <v>1060</v>
      </c>
      <c r="C2"/>
    </row>
    <row r="3" spans="2:8">
      <c r="C3"/>
      <c r="F3" s="1195" t="s">
        <v>1103</v>
      </c>
      <c r="G3" s="1228"/>
    </row>
    <row r="4" spans="2:8">
      <c r="B4" s="1607" t="s">
        <v>214</v>
      </c>
      <c r="C4" s="1607"/>
      <c r="D4" s="1607" t="s">
        <v>708</v>
      </c>
      <c r="E4" s="1031" t="s">
        <v>709</v>
      </c>
      <c r="F4" s="1607" t="s">
        <v>711</v>
      </c>
      <c r="G4" s="1607"/>
    </row>
    <row r="5" spans="2:8">
      <c r="B5" s="1607"/>
      <c r="C5" s="1607"/>
      <c r="D5" s="1607"/>
      <c r="E5" s="1032" t="s">
        <v>710</v>
      </c>
      <c r="F5" s="1032" t="s">
        <v>712</v>
      </c>
      <c r="G5" s="1032" t="s">
        <v>1125</v>
      </c>
    </row>
    <row r="6" spans="2:8" ht="17.25" thickBot="1">
      <c r="B6" s="1608"/>
      <c r="C6" s="1608"/>
      <c r="D6" s="1608"/>
      <c r="E6" s="1049"/>
      <c r="F6" s="1050" t="s">
        <v>713</v>
      </c>
      <c r="G6" s="1050" t="s">
        <v>713</v>
      </c>
    </row>
    <row r="7" spans="2:8">
      <c r="B7" s="1610" t="s">
        <v>714</v>
      </c>
      <c r="C7" s="1045" t="s">
        <v>715</v>
      </c>
      <c r="D7" s="1046">
        <v>2500</v>
      </c>
      <c r="E7" s="1047"/>
      <c r="F7" s="1048">
        <f>D7*$G$3</f>
        <v>0</v>
      </c>
      <c r="G7" s="1047"/>
      <c r="H7" s="1194"/>
    </row>
    <row r="8" spans="2:8">
      <c r="B8" s="1610"/>
      <c r="C8" s="1033" t="s">
        <v>716</v>
      </c>
      <c r="D8" s="1034">
        <v>205</v>
      </c>
      <c r="E8" s="1035"/>
      <c r="F8" s="1036">
        <f t="shared" ref="F8:F9" si="0">D8*$G$3</f>
        <v>0</v>
      </c>
      <c r="G8" s="1035"/>
    </row>
    <row r="9" spans="2:8" ht="17.25" thickBot="1">
      <c r="B9" s="1611"/>
      <c r="C9" s="1037" t="s">
        <v>717</v>
      </c>
      <c r="D9" s="1038">
        <v>500</v>
      </c>
      <c r="E9" s="1039"/>
      <c r="F9" s="1040">
        <f t="shared" si="0"/>
        <v>0</v>
      </c>
      <c r="G9" s="1039"/>
    </row>
    <row r="10" spans="2:8">
      <c r="B10" s="1612" t="s">
        <v>1107</v>
      </c>
      <c r="C10" s="1041" t="s">
        <v>1101</v>
      </c>
      <c r="D10" s="1041" t="s">
        <v>718</v>
      </c>
      <c r="E10" s="1042">
        <f>80*30*$G$3</f>
        <v>0</v>
      </c>
      <c r="F10" s="1043"/>
      <c r="G10" s="1043"/>
      <c r="H10" t="s">
        <v>1102</v>
      </c>
    </row>
    <row r="11" spans="2:8" ht="31.5">
      <c r="B11" s="1610"/>
      <c r="C11" s="1033" t="s">
        <v>1126</v>
      </c>
      <c r="D11" s="1033" t="s">
        <v>1139</v>
      </c>
      <c r="E11" s="1035"/>
      <c r="F11" s="1035"/>
      <c r="G11" s="1036">
        <f>E10*0.083</f>
        <v>0</v>
      </c>
    </row>
    <row r="12" spans="2:8" ht="25.05" customHeight="1" thickBot="1">
      <c r="B12" s="1611"/>
      <c r="C12" s="1037" t="s">
        <v>719</v>
      </c>
      <c r="D12" s="1037" t="s">
        <v>720</v>
      </c>
      <c r="E12" s="1039"/>
      <c r="F12" s="1039"/>
      <c r="G12" s="1040">
        <f>(E10+G11)*0.05</f>
        <v>0</v>
      </c>
    </row>
    <row r="13" spans="2:8">
      <c r="B13" s="1609" t="s">
        <v>509</v>
      </c>
      <c r="C13" s="1609"/>
      <c r="D13" s="1609"/>
      <c r="E13" s="1044">
        <f>SUM(E7:E12)</f>
        <v>0</v>
      </c>
      <c r="F13" s="1044">
        <f>SUM(F7:F12)</f>
        <v>0</v>
      </c>
      <c r="G13" s="1044">
        <f>SUM(G7:G12)</f>
        <v>0</v>
      </c>
    </row>
    <row r="14" spans="2:8">
      <c r="H14" s="862"/>
    </row>
    <row r="16" spans="2:8">
      <c r="B16" s="665" t="s">
        <v>1148</v>
      </c>
      <c r="D16" s="665"/>
    </row>
    <row r="17" spans="2:14">
      <c r="F17" s="1232">
        <f>'4. 경비(실비정산성경비)'!$E$33</f>
        <v>0</v>
      </c>
    </row>
    <row r="18" spans="2:14" ht="22.5" customHeight="1">
      <c r="B18" s="1614" t="s">
        <v>1128</v>
      </c>
      <c r="C18" s="1614"/>
      <c r="D18" s="1219" t="s">
        <v>1129</v>
      </c>
      <c r="E18" s="1219" t="s">
        <v>1133</v>
      </c>
    </row>
    <row r="19" spans="2:14" ht="22.5" customHeight="1">
      <c r="B19" s="1613" t="s">
        <v>1135</v>
      </c>
      <c r="C19" s="1613"/>
      <c r="D19" s="1224"/>
      <c r="E19" s="1222"/>
    </row>
    <row r="20" spans="2:14" ht="22.5" customHeight="1">
      <c r="B20" s="1613" t="s">
        <v>1130</v>
      </c>
      <c r="C20" s="1613"/>
      <c r="D20" s="387">
        <f>F13</f>
        <v>0</v>
      </c>
      <c r="E20" s="1222">
        <f>$D$20*$D$19</f>
        <v>0</v>
      </c>
    </row>
    <row r="21" spans="2:14" ht="22.5" customHeight="1">
      <c r="B21" s="1613" t="s">
        <v>1141</v>
      </c>
      <c r="C21" s="1613"/>
      <c r="D21" s="1221">
        <v>9.5000000000000001E-2</v>
      </c>
      <c r="E21" s="1222">
        <f>'4. 경비(실비정산성경비)'!$E$33*'4-2. 미국 L1비자 발급비용'!$D$21</f>
        <v>0</v>
      </c>
      <c r="F21" s="166" t="s">
        <v>1140</v>
      </c>
    </row>
    <row r="22" spans="2:14" ht="22.5" customHeight="1">
      <c r="B22" s="1613" t="s">
        <v>1142</v>
      </c>
      <c r="C22" s="1613"/>
      <c r="D22" s="1221">
        <v>0.51</v>
      </c>
      <c r="E22" s="1222">
        <f>SUM(F17,E21)*D22</f>
        <v>0</v>
      </c>
      <c r="F22" s="1231" t="s">
        <v>1143</v>
      </c>
    </row>
    <row r="23" spans="2:14" ht="22.5" customHeight="1" thickBot="1">
      <c r="B23" s="1613" t="s">
        <v>1131</v>
      </c>
      <c r="C23" s="1613"/>
      <c r="D23" s="1220">
        <v>0.05</v>
      </c>
      <c r="E23" s="1235">
        <f>SUM($F$17,$E$21,$E$22)*$D$23</f>
        <v>0</v>
      </c>
      <c r="F23" s="1227" t="s">
        <v>1138</v>
      </c>
    </row>
    <row r="24" spans="2:14" ht="22.5" customHeight="1" thickBot="1">
      <c r="B24" s="1614" t="s">
        <v>1132</v>
      </c>
      <c r="C24" s="1614"/>
      <c r="D24" s="1234"/>
      <c r="E24" s="1236">
        <f>SUM(E19:E23)</f>
        <v>0</v>
      </c>
      <c r="F24" s="1223" t="s">
        <v>1134</v>
      </c>
    </row>
    <row r="31" spans="2:14">
      <c r="N31" s="611"/>
    </row>
  </sheetData>
  <mergeCells count="13">
    <mergeCell ref="B23:C23"/>
    <mergeCell ref="B24:C24"/>
    <mergeCell ref="B18:C18"/>
    <mergeCell ref="B19:C19"/>
    <mergeCell ref="B20:C20"/>
    <mergeCell ref="B21:C21"/>
    <mergeCell ref="B22:C22"/>
    <mergeCell ref="D4:D6"/>
    <mergeCell ref="F4:G4"/>
    <mergeCell ref="B13:D13"/>
    <mergeCell ref="B7:B9"/>
    <mergeCell ref="B10:B12"/>
    <mergeCell ref="B4:C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3:N98"/>
  <sheetViews>
    <sheetView view="pageBreakPreview" zoomScale="85" zoomScaleNormal="100" zoomScaleSheetLayoutView="85" workbookViewId="0">
      <selection activeCell="N62" sqref="N62"/>
    </sheetView>
  </sheetViews>
  <sheetFormatPr defaultColWidth="9" defaultRowHeight="15.75"/>
  <cols>
    <col min="1" max="1" width="1.25" style="867" customWidth="1"/>
    <col min="2" max="2" width="3.25" style="867" customWidth="1"/>
    <col min="3" max="3" width="57.5625" style="867" customWidth="1"/>
    <col min="4" max="8" width="17.0625" style="867" customWidth="1"/>
    <col min="9" max="10" width="19.25" style="867" customWidth="1"/>
    <col min="11" max="11" width="1.75" style="867" customWidth="1"/>
    <col min="12" max="12" width="10" style="867" customWidth="1"/>
    <col min="13" max="13" width="10.75" style="867" bestFit="1" customWidth="1"/>
    <col min="14" max="14" width="12.25" style="867" bestFit="1" customWidth="1"/>
    <col min="15" max="15" width="9" style="867"/>
    <col min="16" max="16" width="13.25" style="867" customWidth="1"/>
    <col min="17" max="17" width="12.3125" style="867" customWidth="1"/>
    <col min="18" max="22" width="11" style="867" customWidth="1"/>
    <col min="23" max="16384" width="9" style="867"/>
  </cols>
  <sheetData>
    <row r="3" spans="2:12">
      <c r="C3" s="868" t="s">
        <v>721</v>
      </c>
      <c r="D3" s="869"/>
      <c r="E3" s="869"/>
      <c r="I3" s="870" t="s">
        <v>722</v>
      </c>
      <c r="J3" s="871">
        <v>45689</v>
      </c>
    </row>
    <row r="4" spans="2:12">
      <c r="I4" s="870" t="s">
        <v>637</v>
      </c>
      <c r="J4" s="872">
        <v>7.2</v>
      </c>
    </row>
    <row r="5" spans="2:12" ht="26.25" customHeight="1">
      <c r="B5" s="873" t="s">
        <v>723</v>
      </c>
      <c r="C5" s="873"/>
    </row>
    <row r="6" spans="2:12" ht="6" customHeight="1" thickBot="1">
      <c r="B6" s="874"/>
      <c r="C6" s="874"/>
      <c r="D6" s="875"/>
      <c r="E6" s="875"/>
      <c r="F6" s="876"/>
      <c r="G6" s="877"/>
      <c r="H6" s="878"/>
      <c r="I6" s="879"/>
      <c r="J6" s="879"/>
    </row>
    <row r="7" spans="2:12" ht="19.149999999999999" customHeight="1" thickBot="1">
      <c r="B7" s="1617" t="s">
        <v>118</v>
      </c>
      <c r="C7" s="1618"/>
      <c r="D7" s="880" t="s">
        <v>724</v>
      </c>
      <c r="E7" s="880" t="s">
        <v>725</v>
      </c>
      <c r="F7" s="880" t="s">
        <v>726</v>
      </c>
      <c r="G7" s="880" t="s">
        <v>727</v>
      </c>
      <c r="H7" s="1619" t="s">
        <v>99</v>
      </c>
      <c r="I7" s="1617"/>
      <c r="J7" s="1617"/>
    </row>
    <row r="8" spans="2:12" ht="18.75" customHeight="1">
      <c r="B8" s="881" t="s">
        <v>728</v>
      </c>
      <c r="C8" s="881"/>
      <c r="D8" s="882"/>
      <c r="E8" s="883"/>
      <c r="F8" s="884"/>
      <c r="G8" s="883"/>
      <c r="H8" s="883"/>
      <c r="I8" s="885"/>
      <c r="J8" s="885"/>
    </row>
    <row r="9" spans="2:12" ht="33" customHeight="1">
      <c r="B9" s="886" t="s">
        <v>729</v>
      </c>
      <c r="C9" s="874"/>
      <c r="D9" s="887" t="s">
        <v>730</v>
      </c>
      <c r="E9" s="876" t="s">
        <v>731</v>
      </c>
      <c r="F9" s="887" t="s">
        <v>732</v>
      </c>
      <c r="G9" s="888" t="s">
        <v>733</v>
      </c>
      <c r="H9" s="1620" t="s">
        <v>734</v>
      </c>
      <c r="I9" s="1621"/>
      <c r="J9" s="1621"/>
    </row>
    <row r="10" spans="2:12" ht="18.75" customHeight="1">
      <c r="C10" s="889" t="s">
        <v>735</v>
      </c>
      <c r="D10" s="890"/>
      <c r="E10" s="890"/>
      <c r="F10" s="891"/>
      <c r="G10" s="890"/>
      <c r="H10" s="890"/>
      <c r="I10" s="1622"/>
      <c r="J10" s="1622"/>
    </row>
    <row r="11" spans="2:12" ht="18.75" customHeight="1">
      <c r="C11" s="1623" t="s">
        <v>736</v>
      </c>
      <c r="D11" s="1624" t="s">
        <v>737</v>
      </c>
      <c r="E11" s="1625" t="s">
        <v>731</v>
      </c>
      <c r="F11" s="1624" t="s">
        <v>732</v>
      </c>
      <c r="G11" s="1626" t="s">
        <v>738</v>
      </c>
      <c r="H11" s="1615" t="s">
        <v>739</v>
      </c>
      <c r="I11" s="1616"/>
      <c r="J11" s="1616"/>
      <c r="L11" s="892"/>
    </row>
    <row r="12" spans="2:12" ht="18.75" customHeight="1">
      <c r="C12" s="1623"/>
      <c r="D12" s="1624"/>
      <c r="E12" s="1625"/>
      <c r="F12" s="1624"/>
      <c r="G12" s="1626"/>
      <c r="H12" s="1627" t="s">
        <v>740</v>
      </c>
      <c r="I12" s="1628"/>
      <c r="J12" s="1628"/>
      <c r="L12" s="892"/>
    </row>
    <row r="13" spans="2:12" ht="18.75" customHeight="1">
      <c r="C13" s="893" t="s">
        <v>741</v>
      </c>
      <c r="D13" s="887" t="s">
        <v>742</v>
      </c>
      <c r="E13" s="894" t="s">
        <v>743</v>
      </c>
      <c r="F13" s="887" t="s">
        <v>744</v>
      </c>
      <c r="G13" s="894" t="s">
        <v>738</v>
      </c>
      <c r="H13" s="1629"/>
      <c r="I13" s="1630"/>
      <c r="J13" s="1630"/>
    </row>
    <row r="14" spans="2:12" ht="18.75" customHeight="1">
      <c r="C14" s="893" t="s">
        <v>745</v>
      </c>
      <c r="D14" s="887" t="s">
        <v>746</v>
      </c>
      <c r="E14" s="894" t="s">
        <v>743</v>
      </c>
      <c r="F14" s="887" t="s">
        <v>744</v>
      </c>
      <c r="G14" s="894" t="s">
        <v>738</v>
      </c>
      <c r="H14" s="1629"/>
      <c r="I14" s="1630"/>
      <c r="J14" s="1630"/>
    </row>
    <row r="15" spans="2:12" ht="18.75" hidden="1" customHeight="1">
      <c r="C15" s="895" t="s">
        <v>747</v>
      </c>
      <c r="D15" s="887" t="s">
        <v>746</v>
      </c>
      <c r="E15" s="894" t="s">
        <v>743</v>
      </c>
      <c r="F15" s="887" t="s">
        <v>744</v>
      </c>
      <c r="G15" s="894" t="s">
        <v>748</v>
      </c>
      <c r="H15" s="1631"/>
      <c r="I15" s="1632"/>
      <c r="J15" s="1632"/>
    </row>
    <row r="16" spans="2:12" ht="18.75" customHeight="1">
      <c r="C16" s="889" t="s">
        <v>749</v>
      </c>
      <c r="D16" s="890"/>
      <c r="E16" s="890"/>
      <c r="F16" s="891"/>
      <c r="G16" s="890"/>
      <c r="H16" s="890"/>
      <c r="I16" s="1622"/>
      <c r="J16" s="1622"/>
    </row>
    <row r="17" spans="3:10" ht="18.75" customHeight="1">
      <c r="C17" s="896" t="s">
        <v>750</v>
      </c>
      <c r="D17" s="887" t="s">
        <v>746</v>
      </c>
      <c r="E17" s="894" t="s">
        <v>743</v>
      </c>
      <c r="F17" s="887" t="s">
        <v>744</v>
      </c>
      <c r="G17" s="894" t="s">
        <v>738</v>
      </c>
      <c r="H17" s="1615" t="s">
        <v>751</v>
      </c>
      <c r="I17" s="1616"/>
      <c r="J17" s="1616"/>
    </row>
    <row r="18" spans="3:10">
      <c r="C18" s="897" t="s">
        <v>752</v>
      </c>
      <c r="D18" s="887" t="s">
        <v>742</v>
      </c>
      <c r="E18" s="894" t="s">
        <v>753</v>
      </c>
      <c r="F18" s="887" t="s">
        <v>732</v>
      </c>
      <c r="G18" s="898" t="s">
        <v>738</v>
      </c>
      <c r="H18" s="1615" t="s">
        <v>751</v>
      </c>
      <c r="I18" s="1616"/>
      <c r="J18" s="1616"/>
    </row>
    <row r="19" spans="3:10" hidden="1">
      <c r="C19" s="897" t="s">
        <v>754</v>
      </c>
      <c r="D19" s="887" t="s">
        <v>746</v>
      </c>
      <c r="E19" s="894" t="s">
        <v>743</v>
      </c>
      <c r="F19" s="887" t="s">
        <v>744</v>
      </c>
      <c r="G19" s="898" t="s">
        <v>748</v>
      </c>
      <c r="H19" s="1633"/>
      <c r="I19" s="1634"/>
      <c r="J19" s="1634"/>
    </row>
    <row r="20" spans="3:10" ht="18.75" customHeight="1">
      <c r="C20" s="889" t="s">
        <v>755</v>
      </c>
      <c r="D20" s="890"/>
      <c r="E20" s="890"/>
      <c r="F20" s="891"/>
      <c r="G20" s="890"/>
      <c r="H20" s="890"/>
      <c r="I20" s="1622"/>
      <c r="J20" s="1622"/>
    </row>
    <row r="21" spans="3:10" ht="18.75" customHeight="1">
      <c r="C21" s="897" t="s">
        <v>756</v>
      </c>
      <c r="D21" s="887" t="s">
        <v>746</v>
      </c>
      <c r="E21" s="898" t="s">
        <v>753</v>
      </c>
      <c r="F21" s="899" t="s">
        <v>732</v>
      </c>
      <c r="G21" s="898" t="s">
        <v>738</v>
      </c>
      <c r="H21" s="1615"/>
      <c r="I21" s="1616"/>
      <c r="J21" s="1616"/>
    </row>
    <row r="22" spans="3:10" ht="18.75" customHeight="1">
      <c r="C22" s="897" t="s">
        <v>757</v>
      </c>
      <c r="D22" s="887" t="s">
        <v>746</v>
      </c>
      <c r="E22" s="898" t="s">
        <v>753</v>
      </c>
      <c r="F22" s="899" t="s">
        <v>732</v>
      </c>
      <c r="G22" s="898" t="s">
        <v>738</v>
      </c>
      <c r="H22" s="1620"/>
      <c r="I22" s="1621"/>
      <c r="J22" s="1621"/>
    </row>
    <row r="23" spans="3:10" ht="18.75" customHeight="1">
      <c r="C23" s="889" t="s">
        <v>758</v>
      </c>
      <c r="D23" s="890"/>
      <c r="E23" s="890"/>
      <c r="F23" s="891"/>
      <c r="G23" s="890"/>
      <c r="H23" s="890"/>
      <c r="I23" s="1622"/>
      <c r="J23" s="1622"/>
    </row>
    <row r="24" spans="3:10" ht="18.75" customHeight="1">
      <c r="C24" s="893" t="s">
        <v>759</v>
      </c>
      <c r="D24" s="887" t="s">
        <v>737</v>
      </c>
      <c r="E24" s="894" t="s">
        <v>731</v>
      </c>
      <c r="F24" s="899" t="s">
        <v>732</v>
      </c>
      <c r="G24" s="898" t="s">
        <v>738</v>
      </c>
      <c r="H24" s="1627" t="s">
        <v>760</v>
      </c>
      <c r="I24" s="1628"/>
      <c r="J24" s="1628"/>
    </row>
    <row r="25" spans="3:10" ht="18.75" customHeight="1">
      <c r="C25" s="893" t="s">
        <v>761</v>
      </c>
      <c r="D25" s="887" t="s">
        <v>746</v>
      </c>
      <c r="E25" s="894" t="s">
        <v>731</v>
      </c>
      <c r="F25" s="899" t="s">
        <v>732</v>
      </c>
      <c r="G25" s="898" t="s">
        <v>738</v>
      </c>
      <c r="H25" s="1615"/>
      <c r="I25" s="1616"/>
      <c r="J25" s="1616"/>
    </row>
    <row r="26" spans="3:10" ht="18.75" customHeight="1">
      <c r="C26" s="893" t="s">
        <v>762</v>
      </c>
      <c r="D26" s="887" t="s">
        <v>763</v>
      </c>
      <c r="E26" s="894" t="s">
        <v>764</v>
      </c>
      <c r="F26" s="899" t="s">
        <v>744</v>
      </c>
      <c r="G26" s="898" t="s">
        <v>748</v>
      </c>
      <c r="H26" s="1627" t="s">
        <v>765</v>
      </c>
      <c r="I26" s="1628"/>
      <c r="J26" s="1628"/>
    </row>
    <row r="27" spans="3:10" ht="18.75" customHeight="1">
      <c r="C27" s="893" t="s">
        <v>766</v>
      </c>
      <c r="D27" s="887" t="s">
        <v>763</v>
      </c>
      <c r="E27" s="894" t="s">
        <v>764</v>
      </c>
      <c r="F27" s="899" t="s">
        <v>744</v>
      </c>
      <c r="G27" s="898" t="s">
        <v>748</v>
      </c>
      <c r="H27" s="1627"/>
      <c r="I27" s="1628"/>
      <c r="J27" s="1628"/>
    </row>
    <row r="28" spans="3:10" ht="18.75" customHeight="1">
      <c r="C28" s="889" t="s">
        <v>767</v>
      </c>
      <c r="D28" s="890"/>
      <c r="E28" s="890"/>
      <c r="F28" s="891"/>
      <c r="G28" s="890"/>
      <c r="H28" s="890"/>
      <c r="I28" s="1622"/>
      <c r="J28" s="1622"/>
    </row>
    <row r="29" spans="3:10" ht="18.75" customHeight="1">
      <c r="C29" s="893" t="s">
        <v>768</v>
      </c>
      <c r="D29" s="887" t="s">
        <v>746</v>
      </c>
      <c r="E29" s="898" t="s">
        <v>753</v>
      </c>
      <c r="F29" s="899" t="s">
        <v>732</v>
      </c>
      <c r="G29" s="900" t="s">
        <v>738</v>
      </c>
      <c r="H29" s="1615"/>
      <c r="I29" s="1616"/>
      <c r="J29" s="1616"/>
    </row>
    <row r="30" spans="3:10" ht="18.75" customHeight="1">
      <c r="C30" s="901" t="s">
        <v>769</v>
      </c>
      <c r="D30" s="902" t="s">
        <v>746</v>
      </c>
      <c r="E30" s="903" t="s">
        <v>753</v>
      </c>
      <c r="F30" s="902" t="s">
        <v>732</v>
      </c>
      <c r="G30" s="904" t="s">
        <v>738</v>
      </c>
      <c r="H30" s="1620"/>
      <c r="I30" s="1621"/>
      <c r="J30" s="1621"/>
    </row>
    <row r="31" spans="3:10" ht="18.75" hidden="1" customHeight="1">
      <c r="C31" s="889" t="s">
        <v>770</v>
      </c>
      <c r="D31" s="890"/>
      <c r="E31" s="890"/>
      <c r="F31" s="891"/>
      <c r="G31" s="890"/>
      <c r="H31" s="890"/>
      <c r="I31" s="1622"/>
      <c r="J31" s="1622"/>
    </row>
    <row r="32" spans="3:10" ht="18.75" hidden="1" customHeight="1">
      <c r="C32" s="893" t="s">
        <v>771</v>
      </c>
      <c r="D32" s="887" t="s">
        <v>772</v>
      </c>
      <c r="E32" s="898" t="s">
        <v>753</v>
      </c>
      <c r="F32" s="899" t="s">
        <v>732</v>
      </c>
      <c r="G32" s="900" t="s">
        <v>738</v>
      </c>
      <c r="H32" s="1615"/>
      <c r="I32" s="1616"/>
      <c r="J32" s="1616"/>
    </row>
    <row r="33" spans="2:14" ht="18.75" hidden="1" customHeight="1">
      <c r="B33" s="905"/>
      <c r="C33" s="901" t="s">
        <v>773</v>
      </c>
      <c r="D33" s="902" t="s">
        <v>746</v>
      </c>
      <c r="E33" s="903" t="s">
        <v>753</v>
      </c>
      <c r="F33" s="902" t="s">
        <v>732</v>
      </c>
      <c r="G33" s="904" t="s">
        <v>738</v>
      </c>
      <c r="H33" s="1620"/>
      <c r="I33" s="1621"/>
      <c r="J33" s="1621"/>
    </row>
    <row r="36" spans="2:14" ht="26.25" customHeight="1">
      <c r="B36" s="873" t="s">
        <v>774</v>
      </c>
      <c r="C36" s="873"/>
      <c r="D36" s="874"/>
      <c r="E36" s="874"/>
    </row>
    <row r="37" spans="2:14" ht="11.55" customHeight="1" thickBot="1"/>
    <row r="38" spans="2:14" ht="18" customHeight="1">
      <c r="B38" s="1635" t="s">
        <v>118</v>
      </c>
      <c r="C38" s="1635"/>
      <c r="D38" s="906" t="s">
        <v>775</v>
      </c>
      <c r="E38" s="907"/>
      <c r="F38" s="1635" t="s">
        <v>776</v>
      </c>
      <c r="G38" s="1635"/>
      <c r="H38" s="1635"/>
      <c r="I38" s="1635"/>
      <c r="J38" s="1635"/>
    </row>
    <row r="39" spans="2:14" ht="18" customHeight="1" thickBot="1">
      <c r="B39" s="1636"/>
      <c r="C39" s="1636"/>
      <c r="D39" s="908" t="s">
        <v>777</v>
      </c>
      <c r="E39" s="908" t="s">
        <v>778</v>
      </c>
      <c r="F39" s="908" t="s">
        <v>779</v>
      </c>
      <c r="G39" s="909" t="s">
        <v>780</v>
      </c>
      <c r="H39" s="909" t="s">
        <v>781</v>
      </c>
      <c r="I39" s="909" t="s">
        <v>782</v>
      </c>
      <c r="J39" s="909" t="s">
        <v>783</v>
      </c>
    </row>
    <row r="40" spans="2:14">
      <c r="B40" s="881" t="s">
        <v>728</v>
      </c>
      <c r="C40" s="881"/>
      <c r="D40" s="910"/>
      <c r="E40" s="911" t="s">
        <v>730</v>
      </c>
      <c r="F40" s="911"/>
      <c r="G40" s="912"/>
      <c r="H40" s="911"/>
      <c r="I40" s="911"/>
      <c r="J40" s="911"/>
    </row>
    <row r="41" spans="2:14" ht="18" customHeight="1">
      <c r="B41" s="886" t="s">
        <v>729</v>
      </c>
      <c r="C41" s="913"/>
      <c r="D41" s="914">
        <v>28000000</v>
      </c>
      <c r="E41" s="915">
        <v>62400000</v>
      </c>
      <c r="F41" s="916">
        <v>2400000</v>
      </c>
      <c r="G41" s="916">
        <v>2240000</v>
      </c>
      <c r="H41" s="916">
        <v>2080000</v>
      </c>
      <c r="I41" s="916">
        <v>1840000</v>
      </c>
      <c r="J41" s="916">
        <v>1680000</v>
      </c>
    </row>
    <row r="42" spans="2:14">
      <c r="C42" s="889" t="s">
        <v>735</v>
      </c>
      <c r="D42" s="917" t="s">
        <v>742</v>
      </c>
      <c r="E42" s="918" t="s">
        <v>784</v>
      </c>
      <c r="F42" s="918"/>
      <c r="G42" s="918"/>
      <c r="H42" s="918"/>
      <c r="I42" s="918"/>
      <c r="J42" s="918"/>
    </row>
    <row r="43" spans="2:14">
      <c r="C43" s="919" t="s">
        <v>736</v>
      </c>
      <c r="D43" s="920">
        <v>100000000</v>
      </c>
      <c r="E43" s="921">
        <v>40000000</v>
      </c>
      <c r="F43" s="921">
        <v>1500000</v>
      </c>
      <c r="G43" s="921">
        <v>1300000</v>
      </c>
      <c r="H43" s="921">
        <v>1150000</v>
      </c>
      <c r="I43" s="921">
        <v>1000000</v>
      </c>
      <c r="J43" s="921">
        <v>800000</v>
      </c>
      <c r="K43" s="922"/>
      <c r="N43" s="922"/>
    </row>
    <row r="44" spans="2:14">
      <c r="C44" s="919" t="s">
        <v>741</v>
      </c>
      <c r="D44" s="923">
        <v>20000000</v>
      </c>
      <c r="E44" s="924"/>
      <c r="F44" s="924"/>
      <c r="G44" s="924"/>
      <c r="H44" s="924"/>
      <c r="I44" s="924"/>
      <c r="J44" s="924"/>
    </row>
    <row r="45" spans="2:14">
      <c r="C45" s="925" t="s">
        <v>745</v>
      </c>
      <c r="D45" s="923">
        <v>35000000</v>
      </c>
      <c r="E45" s="924"/>
      <c r="F45" s="924"/>
      <c r="G45" s="924"/>
      <c r="H45" s="924"/>
      <c r="I45" s="924"/>
      <c r="J45" s="924"/>
    </row>
    <row r="46" spans="2:14" hidden="1">
      <c r="C46" s="926" t="s">
        <v>747</v>
      </c>
      <c r="D46" s="927"/>
      <c r="E46" s="924"/>
      <c r="F46" s="924"/>
      <c r="G46" s="928"/>
      <c r="H46" s="924"/>
      <c r="I46" s="924"/>
      <c r="J46" s="924"/>
    </row>
    <row r="47" spans="2:14">
      <c r="C47" s="889" t="s">
        <v>749</v>
      </c>
      <c r="D47" s="917"/>
      <c r="E47" s="918"/>
      <c r="F47" s="918"/>
      <c r="G47" s="918"/>
      <c r="H47" s="918"/>
      <c r="I47" s="918"/>
      <c r="J47" s="918"/>
    </row>
    <row r="48" spans="2:14">
      <c r="C48" s="896" t="s">
        <v>750</v>
      </c>
      <c r="D48" s="929">
        <v>20000000</v>
      </c>
      <c r="E48" s="930"/>
      <c r="F48" s="930"/>
      <c r="G48" s="930"/>
      <c r="H48" s="930"/>
      <c r="I48" s="930"/>
      <c r="J48" s="930"/>
    </row>
    <row r="49" spans="3:10">
      <c r="C49" s="897" t="s">
        <v>752</v>
      </c>
      <c r="D49" s="929">
        <v>50000000</v>
      </c>
      <c r="E49" s="930"/>
      <c r="F49" s="930"/>
      <c r="G49" s="930"/>
      <c r="H49" s="930"/>
      <c r="I49" s="930"/>
      <c r="J49" s="930"/>
    </row>
    <row r="50" spans="3:10" hidden="1">
      <c r="C50" s="897" t="s">
        <v>754</v>
      </c>
      <c r="D50" s="929">
        <v>50000000</v>
      </c>
      <c r="E50" s="930"/>
      <c r="F50" s="930"/>
      <c r="G50" s="930"/>
      <c r="H50" s="930"/>
      <c r="I50" s="930"/>
      <c r="J50" s="930"/>
    </row>
    <row r="51" spans="3:10">
      <c r="C51" s="889" t="s">
        <v>755</v>
      </c>
      <c r="D51" s="917"/>
      <c r="E51" s="918"/>
      <c r="F51" s="918"/>
      <c r="G51" s="918"/>
      <c r="H51" s="918"/>
      <c r="I51" s="918"/>
      <c r="J51" s="918"/>
    </row>
    <row r="52" spans="3:10">
      <c r="C52" s="931" t="s">
        <v>756</v>
      </c>
      <c r="D52" s="923">
        <v>50000000</v>
      </c>
      <c r="E52" s="924"/>
      <c r="F52" s="924"/>
      <c r="G52" s="924"/>
      <c r="H52" s="924"/>
      <c r="I52" s="924"/>
      <c r="J52" s="924"/>
    </row>
    <row r="53" spans="3:10">
      <c r="C53" s="932" t="s">
        <v>785</v>
      </c>
      <c r="D53" s="923">
        <v>50000000</v>
      </c>
      <c r="E53" s="924"/>
      <c r="F53" s="924"/>
      <c r="G53" s="924"/>
      <c r="H53" s="924"/>
      <c r="I53" s="924"/>
      <c r="J53" s="924"/>
    </row>
    <row r="54" spans="3:10">
      <c r="C54" s="933" t="s">
        <v>758</v>
      </c>
      <c r="D54" s="917" t="s">
        <v>742</v>
      </c>
      <c r="E54" s="918" t="s">
        <v>784</v>
      </c>
      <c r="F54" s="918"/>
      <c r="G54" s="918"/>
      <c r="H54" s="918"/>
      <c r="I54" s="918"/>
      <c r="J54" s="918"/>
    </row>
    <row r="55" spans="3:10">
      <c r="C55" s="934"/>
      <c r="D55" s="935"/>
      <c r="E55" s="1637" t="s">
        <v>786</v>
      </c>
      <c r="F55" s="1638"/>
      <c r="G55" s="1639" t="s">
        <v>787</v>
      </c>
      <c r="H55" s="1640"/>
      <c r="I55" s="1639" t="s">
        <v>788</v>
      </c>
      <c r="J55" s="1640"/>
    </row>
    <row r="56" spans="3:10" ht="18" customHeight="1">
      <c r="C56" s="919" t="s">
        <v>759</v>
      </c>
      <c r="D56" s="936">
        <v>70000000</v>
      </c>
      <c r="E56" s="1641">
        <v>1500000</v>
      </c>
      <c r="F56" s="1641"/>
      <c r="G56" s="1641">
        <v>1200000</v>
      </c>
      <c r="H56" s="1641"/>
      <c r="I56" s="1641">
        <v>1000000</v>
      </c>
      <c r="J56" s="1641"/>
    </row>
    <row r="57" spans="3:10" ht="18" customHeight="1">
      <c r="C57" s="937" t="s">
        <v>761</v>
      </c>
      <c r="D57" s="938">
        <v>50000000</v>
      </c>
      <c r="E57" s="1642">
        <v>1500000</v>
      </c>
      <c r="F57" s="1643"/>
      <c r="G57" s="1643">
        <v>1200000</v>
      </c>
      <c r="H57" s="1643"/>
      <c r="I57" s="1643">
        <v>1000000</v>
      </c>
      <c r="J57" s="1649"/>
    </row>
    <row r="58" spans="3:10">
      <c r="C58" s="939" t="s">
        <v>789</v>
      </c>
      <c r="D58" s="940">
        <v>100000000</v>
      </c>
      <c r="E58" s="1642">
        <v>3000000</v>
      </c>
      <c r="F58" s="1643"/>
      <c r="G58" s="1643">
        <v>2400000</v>
      </c>
      <c r="H58" s="1643"/>
      <c r="I58" s="1643">
        <v>2000000</v>
      </c>
      <c r="J58" s="1643"/>
    </row>
    <row r="59" spans="3:10">
      <c r="C59" s="939" t="s">
        <v>790</v>
      </c>
      <c r="D59" s="941">
        <v>50000000</v>
      </c>
      <c r="E59" s="1642">
        <v>1000000</v>
      </c>
      <c r="F59" s="1643"/>
      <c r="G59" s="1643">
        <v>800000</v>
      </c>
      <c r="H59" s="1643"/>
      <c r="I59" s="1644">
        <v>600000</v>
      </c>
      <c r="J59" s="1644"/>
    </row>
    <row r="60" spans="3:10">
      <c r="C60" s="889" t="s">
        <v>767</v>
      </c>
      <c r="D60" s="917"/>
      <c r="E60" s="918"/>
      <c r="F60" s="918"/>
      <c r="G60" s="918"/>
      <c r="H60" s="918"/>
      <c r="I60" s="918"/>
      <c r="J60" s="918"/>
    </row>
    <row r="61" spans="3:10">
      <c r="C61" s="931" t="s">
        <v>768</v>
      </c>
      <c r="D61" s="923">
        <v>50000000</v>
      </c>
      <c r="E61" s="924"/>
      <c r="F61" s="924"/>
      <c r="G61" s="924"/>
      <c r="H61" s="924"/>
      <c r="I61" s="924"/>
      <c r="J61" s="924"/>
    </row>
    <row r="62" spans="3:10">
      <c r="C62" s="942" t="s">
        <v>791</v>
      </c>
      <c r="D62" s="943">
        <v>50000000</v>
      </c>
      <c r="E62" s="944"/>
      <c r="F62" s="944"/>
      <c r="G62" s="944"/>
      <c r="H62" s="944"/>
      <c r="I62" s="944"/>
      <c r="J62" s="944"/>
    </row>
    <row r="63" spans="3:10" hidden="1">
      <c r="C63" s="889" t="s">
        <v>770</v>
      </c>
      <c r="D63" s="929"/>
      <c r="E63" s="930"/>
      <c r="F63" s="930"/>
      <c r="G63" s="930"/>
      <c r="H63" s="930"/>
      <c r="I63" s="930"/>
      <c r="J63" s="930"/>
    </row>
    <row r="64" spans="3:10" hidden="1">
      <c r="C64" s="893" t="s">
        <v>771</v>
      </c>
      <c r="D64" s="929"/>
      <c r="E64" s="930"/>
      <c r="F64" s="930"/>
      <c r="G64" s="930"/>
      <c r="H64" s="930"/>
      <c r="I64" s="930"/>
      <c r="J64" s="930"/>
    </row>
    <row r="65" spans="2:10" hidden="1">
      <c r="B65" s="905"/>
      <c r="C65" s="901" t="s">
        <v>773</v>
      </c>
      <c r="D65" s="943">
        <v>50000000</v>
      </c>
      <c r="E65" s="944"/>
      <c r="F65" s="944"/>
      <c r="G65" s="944"/>
      <c r="H65" s="944"/>
      <c r="I65" s="944"/>
      <c r="J65" s="944"/>
    </row>
    <row r="67" spans="2:10">
      <c r="C67" s="945"/>
      <c r="D67" s="945"/>
      <c r="E67" s="945"/>
      <c r="F67" s="946"/>
    </row>
    <row r="68" spans="2:10" ht="19.149999999999999">
      <c r="B68" s="873" t="s">
        <v>792</v>
      </c>
      <c r="C68" s="873"/>
    </row>
    <row r="69" spans="2:10" ht="4.9000000000000004" customHeight="1">
      <c r="B69" s="874"/>
      <c r="C69" s="874"/>
      <c r="D69" s="877"/>
      <c r="E69" s="877"/>
      <c r="F69" s="876"/>
      <c r="G69" s="877"/>
      <c r="H69" s="878"/>
      <c r="I69" s="879"/>
      <c r="J69" s="879"/>
    </row>
    <row r="70" spans="2:10">
      <c r="B70" s="1645" t="s">
        <v>118</v>
      </c>
      <c r="C70" s="1646"/>
      <c r="D70" s="947" t="s">
        <v>793</v>
      </c>
      <c r="E70" s="948"/>
      <c r="F70" s="948"/>
      <c r="G70" s="948"/>
      <c r="H70" s="948"/>
      <c r="I70" s="949" t="s">
        <v>99</v>
      </c>
      <c r="J70" s="950"/>
    </row>
    <row r="71" spans="2:10">
      <c r="B71" s="1647"/>
      <c r="C71" s="1648"/>
      <c r="D71" s="951"/>
      <c r="E71" s="952"/>
      <c r="F71" s="952"/>
      <c r="G71" s="952"/>
      <c r="H71" s="952"/>
      <c r="I71" s="953"/>
      <c r="J71" s="954"/>
    </row>
    <row r="72" spans="2:10">
      <c r="B72" s="955" t="s">
        <v>728</v>
      </c>
      <c r="C72" s="955"/>
      <c r="D72" s="956"/>
      <c r="E72" s="957"/>
      <c r="F72" s="957"/>
      <c r="G72" s="957"/>
      <c r="H72" s="957"/>
      <c r="I72" s="958"/>
      <c r="J72" s="957"/>
    </row>
    <row r="73" spans="2:10">
      <c r="B73" s="959" t="s">
        <v>729</v>
      </c>
      <c r="C73" s="874"/>
      <c r="D73" s="960"/>
      <c r="E73" s="961"/>
      <c r="F73" s="961"/>
      <c r="G73" s="961"/>
      <c r="H73" s="961"/>
      <c r="I73" s="962" t="s">
        <v>794</v>
      </c>
      <c r="J73" s="963"/>
    </row>
    <row r="74" spans="2:10">
      <c r="C74" s="889" t="s">
        <v>735</v>
      </c>
      <c r="D74" s="890"/>
      <c r="E74" s="890"/>
      <c r="F74" s="890"/>
      <c r="G74" s="891"/>
      <c r="H74" s="890"/>
      <c r="I74" s="964"/>
      <c r="J74" s="965"/>
    </row>
    <row r="75" spans="2:10">
      <c r="C75" s="966" t="s">
        <v>795</v>
      </c>
      <c r="D75" s="967">
        <v>50000000</v>
      </c>
      <c r="E75" s="968"/>
      <c r="F75" s="968"/>
      <c r="G75" s="968"/>
      <c r="H75" s="968"/>
      <c r="I75" s="969" t="s">
        <v>796</v>
      </c>
      <c r="J75" s="968"/>
    </row>
    <row r="76" spans="2:10">
      <c r="C76" s="893" t="s">
        <v>797</v>
      </c>
      <c r="D76" s="967">
        <v>10000000</v>
      </c>
      <c r="E76" s="968"/>
      <c r="F76" s="968"/>
      <c r="G76" s="968"/>
      <c r="H76" s="968"/>
      <c r="I76" s="970"/>
      <c r="J76" s="971"/>
    </row>
    <row r="77" spans="2:10">
      <c r="C77" s="893" t="s">
        <v>798</v>
      </c>
      <c r="D77" s="967">
        <v>17500000</v>
      </c>
      <c r="E77" s="968"/>
      <c r="F77" s="968"/>
      <c r="G77" s="968"/>
      <c r="H77" s="968"/>
      <c r="I77" s="970"/>
      <c r="J77" s="971"/>
    </row>
    <row r="78" spans="2:10" hidden="1">
      <c r="C78" s="893" t="s">
        <v>799</v>
      </c>
      <c r="D78" s="968">
        <v>20000000</v>
      </c>
      <c r="E78" s="968"/>
      <c r="F78" s="968"/>
      <c r="G78" s="968"/>
      <c r="H78" s="968"/>
      <c r="I78" s="970"/>
      <c r="J78" s="971"/>
    </row>
    <row r="79" spans="2:10">
      <c r="C79" s="889" t="s">
        <v>749</v>
      </c>
      <c r="D79" s="890"/>
      <c r="E79" s="890"/>
      <c r="F79" s="890"/>
      <c r="G79" s="891"/>
      <c r="H79" s="890"/>
      <c r="I79" s="964"/>
      <c r="J79" s="965"/>
    </row>
    <row r="80" spans="2:10">
      <c r="C80" s="972" t="s">
        <v>800</v>
      </c>
      <c r="D80" s="967">
        <v>10000000</v>
      </c>
      <c r="E80" s="968"/>
      <c r="F80" s="968"/>
      <c r="G80" s="968"/>
      <c r="H80" s="968"/>
      <c r="I80" s="970"/>
      <c r="J80" s="971"/>
    </row>
    <row r="81" spans="1:10">
      <c r="C81" s="893" t="s">
        <v>801</v>
      </c>
      <c r="D81" s="967">
        <v>25000000</v>
      </c>
      <c r="E81" s="968"/>
      <c r="F81" s="968"/>
      <c r="G81" s="968"/>
      <c r="H81" s="968"/>
      <c r="I81" s="973"/>
      <c r="J81" s="961"/>
    </row>
    <row r="82" spans="1:10">
      <c r="C82" s="889" t="s">
        <v>802</v>
      </c>
      <c r="D82" s="890"/>
      <c r="E82" s="890"/>
      <c r="F82" s="890"/>
      <c r="G82" s="891"/>
      <c r="H82" s="890"/>
      <c r="I82" s="964"/>
      <c r="J82" s="965"/>
    </row>
    <row r="83" spans="1:10">
      <c r="C83" s="893" t="s">
        <v>803</v>
      </c>
      <c r="D83" s="967">
        <v>25000000</v>
      </c>
      <c r="E83" s="968"/>
      <c r="F83" s="968"/>
      <c r="G83" s="968"/>
      <c r="H83" s="968"/>
      <c r="I83" s="970"/>
      <c r="J83" s="971"/>
    </row>
    <row r="84" spans="1:10">
      <c r="C84" s="893" t="s">
        <v>804</v>
      </c>
      <c r="D84" s="967">
        <v>25000000</v>
      </c>
      <c r="E84" s="968"/>
      <c r="F84" s="968"/>
      <c r="G84" s="968"/>
      <c r="H84" s="968"/>
      <c r="I84" s="973"/>
      <c r="J84" s="961"/>
    </row>
    <row r="85" spans="1:10">
      <c r="C85" s="889" t="s">
        <v>758</v>
      </c>
      <c r="D85" s="890"/>
      <c r="E85" s="890"/>
      <c r="F85" s="890"/>
      <c r="G85" s="891"/>
      <c r="H85" s="890"/>
      <c r="I85" s="964"/>
      <c r="J85" s="965"/>
    </row>
    <row r="86" spans="1:10">
      <c r="C86" s="893" t="s">
        <v>805</v>
      </c>
      <c r="D86" s="967">
        <v>35000000</v>
      </c>
      <c r="E86" s="968"/>
      <c r="F86" s="968"/>
      <c r="G86" s="968"/>
      <c r="H86" s="968"/>
      <c r="I86" s="969" t="s">
        <v>806</v>
      </c>
      <c r="J86" s="968"/>
    </row>
    <row r="87" spans="1:10">
      <c r="C87" s="893" t="s">
        <v>807</v>
      </c>
      <c r="D87" s="967">
        <v>25000000</v>
      </c>
      <c r="E87" s="968"/>
      <c r="F87" s="968"/>
      <c r="G87" s="968"/>
      <c r="H87" s="968"/>
      <c r="I87" s="969" t="s">
        <v>808</v>
      </c>
      <c r="J87" s="968"/>
    </row>
    <row r="88" spans="1:10">
      <c r="C88" s="893" t="s">
        <v>809</v>
      </c>
      <c r="D88" s="967">
        <v>50000000</v>
      </c>
      <c r="E88" s="968"/>
      <c r="F88" s="968"/>
      <c r="G88" s="968"/>
      <c r="H88" s="968"/>
      <c r="I88" s="969" t="s">
        <v>688</v>
      </c>
      <c r="J88" s="968"/>
    </row>
    <row r="89" spans="1:10">
      <c r="C89" s="893" t="s">
        <v>810</v>
      </c>
      <c r="D89" s="967">
        <v>25000000</v>
      </c>
      <c r="E89" s="968"/>
      <c r="F89" s="968"/>
      <c r="G89" s="968"/>
      <c r="H89" s="968"/>
      <c r="I89" s="969" t="s">
        <v>688</v>
      </c>
      <c r="J89" s="968"/>
    </row>
    <row r="90" spans="1:10">
      <c r="C90" s="889" t="s">
        <v>811</v>
      </c>
      <c r="D90" s="890"/>
      <c r="E90" s="890"/>
      <c r="F90" s="890"/>
      <c r="G90" s="891"/>
      <c r="H90" s="890"/>
      <c r="I90" s="964"/>
      <c r="J90" s="965"/>
    </row>
    <row r="91" spans="1:10">
      <c r="C91" s="893" t="s">
        <v>812</v>
      </c>
      <c r="D91" s="967">
        <v>25000000</v>
      </c>
      <c r="E91" s="968"/>
      <c r="F91" s="968"/>
      <c r="G91" s="968"/>
      <c r="H91" s="968"/>
      <c r="I91" s="970"/>
      <c r="J91" s="971"/>
    </row>
    <row r="92" spans="1:10">
      <c r="B92" s="905"/>
      <c r="C92" s="974" t="s">
        <v>813</v>
      </c>
      <c r="D92" s="975">
        <v>25000000</v>
      </c>
      <c r="E92" s="963"/>
      <c r="F92" s="963"/>
      <c r="G92" s="963"/>
      <c r="H92" s="963"/>
      <c r="I92" s="973"/>
      <c r="J92" s="961"/>
    </row>
    <row r="93" spans="1:10" ht="9.6999999999999993" customHeight="1">
      <c r="C93" s="976"/>
      <c r="D93" s="976"/>
      <c r="E93" s="976"/>
      <c r="G93" s="922"/>
    </row>
    <row r="94" spans="1:10">
      <c r="C94" s="945" t="s">
        <v>814</v>
      </c>
      <c r="D94" s="945"/>
      <c r="E94" s="945"/>
      <c r="F94" s="946"/>
    </row>
    <row r="95" spans="1:10">
      <c r="C95" s="977" t="s">
        <v>815</v>
      </c>
      <c r="D95" s="978" t="s">
        <v>816</v>
      </c>
      <c r="E95" s="978" t="s">
        <v>816</v>
      </c>
      <c r="F95" s="979"/>
      <c r="G95" s="980"/>
      <c r="H95" s="980"/>
    </row>
    <row r="96" spans="1:10">
      <c r="A96" s="867" t="s">
        <v>817</v>
      </c>
      <c r="C96" s="976" t="s">
        <v>818</v>
      </c>
      <c r="D96" s="945"/>
      <c r="E96" s="945"/>
    </row>
    <row r="97" spans="3:7">
      <c r="C97" s="976" t="s">
        <v>819</v>
      </c>
      <c r="D97" s="976"/>
      <c r="E97" s="976"/>
      <c r="G97" s="922"/>
    </row>
    <row r="98" spans="3:7">
      <c r="C98" s="976" t="s">
        <v>820</v>
      </c>
      <c r="D98" s="976"/>
      <c r="E98" s="976"/>
      <c r="G98" s="922"/>
    </row>
  </sheetData>
  <mergeCells count="50">
    <mergeCell ref="E59:F59"/>
    <mergeCell ref="G59:H59"/>
    <mergeCell ref="I59:J59"/>
    <mergeCell ref="B70:C71"/>
    <mergeCell ref="E57:F57"/>
    <mergeCell ref="G57:H57"/>
    <mergeCell ref="I57:J57"/>
    <mergeCell ref="E58:F58"/>
    <mergeCell ref="G58:H58"/>
    <mergeCell ref="I58:J58"/>
    <mergeCell ref="E55:F55"/>
    <mergeCell ref="G55:H55"/>
    <mergeCell ref="I55:J55"/>
    <mergeCell ref="E56:F56"/>
    <mergeCell ref="G56:H56"/>
    <mergeCell ref="I56:J56"/>
    <mergeCell ref="H30:J30"/>
    <mergeCell ref="I31:J31"/>
    <mergeCell ref="H32:J32"/>
    <mergeCell ref="H33:J33"/>
    <mergeCell ref="B38:C39"/>
    <mergeCell ref="F38:J38"/>
    <mergeCell ref="H29:J29"/>
    <mergeCell ref="H18:J18"/>
    <mergeCell ref="H19:J19"/>
    <mergeCell ref="I20:J20"/>
    <mergeCell ref="H21:J21"/>
    <mergeCell ref="H22:J22"/>
    <mergeCell ref="I23:J23"/>
    <mergeCell ref="H24:J24"/>
    <mergeCell ref="H25:J25"/>
    <mergeCell ref="H26:J26"/>
    <mergeCell ref="H27:J27"/>
    <mergeCell ref="I28:J28"/>
    <mergeCell ref="H17:J17"/>
    <mergeCell ref="B7:C7"/>
    <mergeCell ref="H7:J7"/>
    <mergeCell ref="H9:J9"/>
    <mergeCell ref="I10:J10"/>
    <mergeCell ref="C11:C12"/>
    <mergeCell ref="D11:D12"/>
    <mergeCell ref="E11:E12"/>
    <mergeCell ref="F11:F12"/>
    <mergeCell ref="G11:G12"/>
    <mergeCell ref="H11:J11"/>
    <mergeCell ref="H12:J12"/>
    <mergeCell ref="H13:J13"/>
    <mergeCell ref="H14:J14"/>
    <mergeCell ref="H15:J15"/>
    <mergeCell ref="I16:J16"/>
  </mergeCells>
  <phoneticPr fontId="1" type="noConversion"/>
  <printOptions horizontalCentered="1"/>
  <pageMargins left="0" right="0" top="0" bottom="0" header="0" footer="0"/>
  <pageSetup paperSize="8" scale="7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82"/>
  <sheetViews>
    <sheetView view="pageBreakPreview" topLeftCell="A19" zoomScale="90" zoomScaleNormal="100" zoomScaleSheetLayoutView="90" workbookViewId="0">
      <selection activeCell="N62" sqref="N62"/>
    </sheetView>
  </sheetViews>
  <sheetFormatPr defaultColWidth="9" defaultRowHeight="15.75"/>
  <cols>
    <col min="1" max="1" width="1.25" style="867" customWidth="1"/>
    <col min="2" max="2" width="3.25" style="867" customWidth="1"/>
    <col min="3" max="3" width="57.5625" style="867" customWidth="1"/>
    <col min="4" max="4" width="17.5625" style="867" customWidth="1"/>
    <col min="5" max="5" width="17.75" style="867" customWidth="1"/>
    <col min="6" max="8" width="17.0625" style="867" customWidth="1"/>
    <col min="9" max="10" width="19.25" style="867" customWidth="1"/>
    <col min="11" max="11" width="1.75" style="867" customWidth="1"/>
    <col min="12" max="12" width="10" style="867" customWidth="1"/>
    <col min="13" max="13" width="10.75" style="867" bestFit="1" customWidth="1"/>
    <col min="14" max="14" width="12.25" style="867" bestFit="1" customWidth="1"/>
    <col min="15" max="15" width="9" style="867"/>
    <col min="16" max="16" width="13.25" style="867" customWidth="1"/>
    <col min="17" max="17" width="12.3125" style="867" customWidth="1"/>
    <col min="18" max="22" width="11" style="867" customWidth="1"/>
    <col min="23" max="16384" width="9" style="867"/>
  </cols>
  <sheetData>
    <row r="3" spans="2:12">
      <c r="C3" s="868" t="s">
        <v>721</v>
      </c>
      <c r="D3" s="869"/>
      <c r="E3" s="869"/>
      <c r="I3" s="870" t="s">
        <v>722</v>
      </c>
      <c r="J3" s="871">
        <v>45306</v>
      </c>
    </row>
    <row r="4" spans="2:12">
      <c r="I4" s="870" t="s">
        <v>637</v>
      </c>
      <c r="J4" s="872">
        <v>7.1</v>
      </c>
    </row>
    <row r="5" spans="2:12" ht="26.25" customHeight="1">
      <c r="B5" s="873" t="s">
        <v>723</v>
      </c>
      <c r="C5" s="981"/>
      <c r="D5" s="874"/>
      <c r="E5" s="874"/>
      <c r="F5" s="874"/>
      <c r="G5" s="874"/>
      <c r="H5" s="874"/>
      <c r="I5" s="874"/>
      <c r="J5" s="874"/>
    </row>
    <row r="6" spans="2:12" ht="6" customHeight="1">
      <c r="B6" s="874"/>
      <c r="C6" s="874"/>
      <c r="D6" s="877"/>
      <c r="E6" s="877"/>
      <c r="F6" s="876"/>
      <c r="G6" s="877"/>
      <c r="H6" s="878"/>
      <c r="I6" s="879"/>
      <c r="J6" s="879"/>
    </row>
    <row r="7" spans="2:12" ht="19.149999999999999" customHeight="1">
      <c r="B7" s="1650" t="s">
        <v>118</v>
      </c>
      <c r="C7" s="1651"/>
      <c r="D7" s="982" t="s">
        <v>724</v>
      </c>
      <c r="E7" s="982" t="s">
        <v>821</v>
      </c>
      <c r="F7" s="982" t="s">
        <v>726</v>
      </c>
      <c r="G7" s="982" t="s">
        <v>727</v>
      </c>
      <c r="H7" s="1652" t="s">
        <v>99</v>
      </c>
      <c r="I7" s="1650"/>
      <c r="J7" s="1650"/>
    </row>
    <row r="8" spans="2:12" ht="15.7" customHeight="1">
      <c r="B8" s="955" t="s">
        <v>822</v>
      </c>
      <c r="C8" s="983"/>
      <c r="D8" s="984"/>
      <c r="E8" s="984"/>
      <c r="F8" s="985"/>
      <c r="G8" s="984"/>
      <c r="H8" s="984"/>
      <c r="I8" s="986"/>
      <c r="J8" s="986"/>
    </row>
    <row r="9" spans="2:12" ht="15.7" customHeight="1">
      <c r="B9" s="886" t="s">
        <v>729</v>
      </c>
      <c r="C9" s="874"/>
      <c r="D9" s="887" t="s">
        <v>730</v>
      </c>
      <c r="E9" s="876" t="s">
        <v>823</v>
      </c>
      <c r="F9" s="887" t="s">
        <v>732</v>
      </c>
      <c r="G9" s="888" t="s">
        <v>733</v>
      </c>
      <c r="H9" s="1620" t="s">
        <v>734</v>
      </c>
      <c r="I9" s="1621"/>
      <c r="J9" s="1621"/>
    </row>
    <row r="10" spans="2:12" ht="15.7" customHeight="1">
      <c r="C10" s="987" t="s">
        <v>735</v>
      </c>
      <c r="D10" s="890"/>
      <c r="E10" s="890"/>
      <c r="F10" s="891"/>
      <c r="G10" s="890"/>
      <c r="H10" s="890"/>
      <c r="I10" s="1622"/>
      <c r="J10" s="1622"/>
    </row>
    <row r="11" spans="2:12" ht="15.7" customHeight="1">
      <c r="C11" s="1623" t="s">
        <v>736</v>
      </c>
      <c r="D11" s="1624" t="s">
        <v>737</v>
      </c>
      <c r="E11" s="1625" t="s">
        <v>824</v>
      </c>
      <c r="F11" s="1624" t="s">
        <v>732</v>
      </c>
      <c r="G11" s="1626" t="s">
        <v>738</v>
      </c>
      <c r="H11" s="1615" t="s">
        <v>739</v>
      </c>
      <c r="I11" s="1616"/>
      <c r="J11" s="1616"/>
      <c r="L11" s="892"/>
    </row>
    <row r="12" spans="2:12" ht="15.7" customHeight="1">
      <c r="C12" s="1623"/>
      <c r="D12" s="1624"/>
      <c r="E12" s="1625"/>
      <c r="F12" s="1624"/>
      <c r="G12" s="1626"/>
      <c r="H12" s="1627" t="s">
        <v>740</v>
      </c>
      <c r="I12" s="1628"/>
      <c r="J12" s="1628"/>
      <c r="L12" s="892"/>
    </row>
    <row r="13" spans="2:12" ht="15.7" customHeight="1">
      <c r="C13" s="893" t="s">
        <v>741</v>
      </c>
      <c r="D13" s="887" t="s">
        <v>742</v>
      </c>
      <c r="E13" s="894" t="s">
        <v>743</v>
      </c>
      <c r="F13" s="887" t="s">
        <v>744</v>
      </c>
      <c r="G13" s="894" t="s">
        <v>738</v>
      </c>
      <c r="H13" s="1629"/>
      <c r="I13" s="1630"/>
      <c r="J13" s="1630"/>
    </row>
    <row r="14" spans="2:12" ht="15.7" customHeight="1">
      <c r="C14" s="893" t="s">
        <v>825</v>
      </c>
      <c r="D14" s="887" t="s">
        <v>746</v>
      </c>
      <c r="E14" s="894" t="s">
        <v>743</v>
      </c>
      <c r="F14" s="887" t="s">
        <v>744</v>
      </c>
      <c r="G14" s="894" t="s">
        <v>738</v>
      </c>
      <c r="H14" s="1631"/>
      <c r="I14" s="1632"/>
      <c r="J14" s="1632"/>
    </row>
    <row r="15" spans="2:12" ht="15.7" customHeight="1">
      <c r="C15" s="987" t="s">
        <v>749</v>
      </c>
      <c r="D15" s="890"/>
      <c r="E15" s="890"/>
      <c r="F15" s="891"/>
      <c r="G15" s="890"/>
      <c r="H15" s="890"/>
      <c r="I15" s="1622"/>
      <c r="J15" s="1622"/>
    </row>
    <row r="16" spans="2:12" ht="15.7" customHeight="1">
      <c r="C16" s="896" t="s">
        <v>750</v>
      </c>
      <c r="D16" s="887" t="s">
        <v>746</v>
      </c>
      <c r="E16" s="894" t="s">
        <v>743</v>
      </c>
      <c r="F16" s="887" t="s">
        <v>744</v>
      </c>
      <c r="G16" s="894" t="s">
        <v>738</v>
      </c>
      <c r="H16" s="1615" t="s">
        <v>751</v>
      </c>
      <c r="I16" s="1616"/>
      <c r="J16" s="1616"/>
    </row>
    <row r="17" spans="2:10" ht="15.7" customHeight="1">
      <c r="C17" s="897" t="s">
        <v>752</v>
      </c>
      <c r="D17" s="887" t="s">
        <v>742</v>
      </c>
      <c r="E17" s="894" t="s">
        <v>753</v>
      </c>
      <c r="F17" s="887" t="s">
        <v>732</v>
      </c>
      <c r="G17" s="898" t="s">
        <v>738</v>
      </c>
      <c r="H17" s="1615" t="s">
        <v>751</v>
      </c>
      <c r="I17" s="1616"/>
      <c r="J17" s="1616"/>
    </row>
    <row r="18" spans="2:10" ht="15.7" customHeight="1">
      <c r="C18" s="987" t="s">
        <v>755</v>
      </c>
      <c r="D18" s="890"/>
      <c r="E18" s="890"/>
      <c r="F18" s="891"/>
      <c r="G18" s="890"/>
      <c r="H18" s="890"/>
      <c r="I18" s="1622"/>
      <c r="J18" s="1622"/>
    </row>
    <row r="19" spans="2:10" ht="15.7" customHeight="1">
      <c r="C19" s="897" t="s">
        <v>756</v>
      </c>
      <c r="D19" s="887" t="s">
        <v>746</v>
      </c>
      <c r="E19" s="898" t="s">
        <v>753</v>
      </c>
      <c r="F19" s="899" t="s">
        <v>732</v>
      </c>
      <c r="G19" s="898" t="s">
        <v>738</v>
      </c>
      <c r="H19" s="1615"/>
      <c r="I19" s="1616"/>
      <c r="J19" s="1616"/>
    </row>
    <row r="20" spans="2:10" ht="15.7" customHeight="1">
      <c r="C20" s="897" t="s">
        <v>785</v>
      </c>
      <c r="D20" s="887" t="s">
        <v>746</v>
      </c>
      <c r="E20" s="898" t="s">
        <v>753</v>
      </c>
      <c r="F20" s="899" t="s">
        <v>732</v>
      </c>
      <c r="G20" s="898" t="s">
        <v>738</v>
      </c>
      <c r="H20" s="1620"/>
      <c r="I20" s="1621"/>
      <c r="J20" s="1621"/>
    </row>
    <row r="21" spans="2:10" ht="15.7" customHeight="1">
      <c r="C21" s="987" t="s">
        <v>758</v>
      </c>
      <c r="D21" s="890"/>
      <c r="E21" s="890"/>
      <c r="F21" s="891"/>
      <c r="G21" s="890"/>
      <c r="H21" s="890"/>
      <c r="I21" s="1622"/>
      <c r="J21" s="1622"/>
    </row>
    <row r="22" spans="2:10" ht="15.7" customHeight="1">
      <c r="C22" s="893" t="s">
        <v>826</v>
      </c>
      <c r="D22" s="887" t="s">
        <v>737</v>
      </c>
      <c r="E22" s="894" t="s">
        <v>827</v>
      </c>
      <c r="F22" s="899" t="s">
        <v>732</v>
      </c>
      <c r="G22" s="898" t="s">
        <v>738</v>
      </c>
      <c r="H22" s="1627" t="s">
        <v>760</v>
      </c>
      <c r="I22" s="1628"/>
      <c r="J22" s="1628"/>
    </row>
    <row r="23" spans="2:10" ht="15.7" customHeight="1">
      <c r="C23" s="893" t="s">
        <v>761</v>
      </c>
      <c r="D23" s="887" t="s">
        <v>737</v>
      </c>
      <c r="E23" s="894" t="s">
        <v>827</v>
      </c>
      <c r="F23" s="899" t="s">
        <v>732</v>
      </c>
      <c r="G23" s="898" t="s">
        <v>738</v>
      </c>
      <c r="H23" s="1620"/>
      <c r="I23" s="1621"/>
      <c r="J23" s="1621"/>
    </row>
    <row r="24" spans="2:10" ht="15.7" customHeight="1">
      <c r="C24" s="987" t="s">
        <v>767</v>
      </c>
      <c r="D24" s="890"/>
      <c r="E24" s="890"/>
      <c r="F24" s="891"/>
      <c r="G24" s="890"/>
      <c r="H24" s="890"/>
      <c r="I24" s="1622"/>
      <c r="J24" s="1622"/>
    </row>
    <row r="25" spans="2:10" ht="15.7" customHeight="1">
      <c r="C25" s="893" t="s">
        <v>768</v>
      </c>
      <c r="D25" s="887" t="s">
        <v>746</v>
      </c>
      <c r="E25" s="898" t="s">
        <v>753</v>
      </c>
      <c r="F25" s="899" t="s">
        <v>732</v>
      </c>
      <c r="G25" s="900" t="s">
        <v>738</v>
      </c>
      <c r="H25" s="1615"/>
      <c r="I25" s="1616"/>
      <c r="J25" s="1616"/>
    </row>
    <row r="26" spans="2:10" ht="15.7" customHeight="1">
      <c r="B26" s="905"/>
      <c r="C26" s="901" t="s">
        <v>769</v>
      </c>
      <c r="D26" s="902" t="s">
        <v>746</v>
      </c>
      <c r="E26" s="903" t="s">
        <v>753</v>
      </c>
      <c r="F26" s="902" t="s">
        <v>732</v>
      </c>
      <c r="G26" s="904" t="s">
        <v>738</v>
      </c>
      <c r="H26" s="1620"/>
      <c r="I26" s="1621"/>
      <c r="J26" s="1621"/>
    </row>
    <row r="29" spans="2:10" ht="26.25" customHeight="1">
      <c r="B29" s="873" t="s">
        <v>774</v>
      </c>
      <c r="C29" s="873"/>
      <c r="D29" s="874"/>
      <c r="E29" s="874"/>
    </row>
    <row r="30" spans="2:10" ht="11.55" customHeight="1"/>
    <row r="31" spans="2:10" ht="18" customHeight="1">
      <c r="B31" s="1666" t="s">
        <v>118</v>
      </c>
      <c r="C31" s="1666"/>
      <c r="D31" s="988" t="s">
        <v>775</v>
      </c>
      <c r="E31" s="989"/>
      <c r="F31" s="1666" t="s">
        <v>776</v>
      </c>
      <c r="G31" s="1666"/>
      <c r="H31" s="1666"/>
      <c r="I31" s="1666"/>
      <c r="J31" s="1666"/>
    </row>
    <row r="32" spans="2:10" ht="18" customHeight="1">
      <c r="B32" s="1667"/>
      <c r="C32" s="1667"/>
      <c r="D32" s="990" t="s">
        <v>777</v>
      </c>
      <c r="E32" s="990" t="s">
        <v>778</v>
      </c>
      <c r="F32" s="990" t="s">
        <v>779</v>
      </c>
      <c r="G32" s="991" t="s">
        <v>780</v>
      </c>
      <c r="H32" s="991" t="s">
        <v>781</v>
      </c>
      <c r="I32" s="991" t="s">
        <v>782</v>
      </c>
      <c r="J32" s="991" t="s">
        <v>783</v>
      </c>
    </row>
    <row r="33" spans="2:14">
      <c r="B33" s="955" t="s">
        <v>728</v>
      </c>
      <c r="C33" s="955"/>
      <c r="D33" s="992"/>
      <c r="E33" s="993" t="s">
        <v>730</v>
      </c>
      <c r="F33" s="993"/>
      <c r="G33" s="994"/>
      <c r="H33" s="993"/>
      <c r="I33" s="993"/>
      <c r="J33" s="993"/>
    </row>
    <row r="34" spans="2:14" ht="18" customHeight="1">
      <c r="B34" s="886" t="s">
        <v>729</v>
      </c>
      <c r="C34" s="913"/>
      <c r="D34" s="914">
        <v>28000000</v>
      </c>
      <c r="E34" s="914">
        <v>62400000</v>
      </c>
      <c r="F34" s="916">
        <v>2400000</v>
      </c>
      <c r="G34" s="916">
        <v>2240000</v>
      </c>
      <c r="H34" s="916">
        <v>2080000</v>
      </c>
      <c r="I34" s="916">
        <v>1840000</v>
      </c>
      <c r="J34" s="916">
        <v>1680000</v>
      </c>
    </row>
    <row r="35" spans="2:14" ht="15.7" customHeight="1">
      <c r="C35" s="987" t="s">
        <v>735</v>
      </c>
      <c r="D35" s="918" t="s">
        <v>742</v>
      </c>
      <c r="E35" s="917" t="s">
        <v>784</v>
      </c>
      <c r="F35" s="918"/>
      <c r="G35" s="918"/>
      <c r="H35" s="918"/>
      <c r="I35" s="918"/>
      <c r="J35" s="918"/>
    </row>
    <row r="36" spans="2:14" ht="15.7" customHeight="1">
      <c r="C36" s="919" t="s">
        <v>736</v>
      </c>
      <c r="D36" s="920">
        <v>100000000</v>
      </c>
      <c r="E36" s="995">
        <v>40000000</v>
      </c>
      <c r="F36" s="921">
        <v>1500000</v>
      </c>
      <c r="G36" s="921">
        <v>1300000</v>
      </c>
      <c r="H36" s="921">
        <v>1150000</v>
      </c>
      <c r="I36" s="921">
        <v>1000000</v>
      </c>
      <c r="J36" s="921">
        <v>800000</v>
      </c>
      <c r="K36" s="922"/>
      <c r="N36" s="922"/>
    </row>
    <row r="37" spans="2:14" ht="15.7" customHeight="1">
      <c r="C37" s="919" t="s">
        <v>741</v>
      </c>
      <c r="D37" s="923">
        <v>20000000</v>
      </c>
      <c r="E37" s="924"/>
      <c r="F37" s="924"/>
      <c r="G37" s="924"/>
      <c r="H37" s="924"/>
      <c r="I37" s="924"/>
      <c r="J37" s="924"/>
    </row>
    <row r="38" spans="2:14" ht="15.7" customHeight="1">
      <c r="C38" s="919" t="s">
        <v>825</v>
      </c>
      <c r="D38" s="923">
        <v>35000000</v>
      </c>
      <c r="E38" s="924"/>
      <c r="F38" s="924"/>
      <c r="G38" s="924"/>
      <c r="H38" s="924"/>
      <c r="I38" s="924"/>
      <c r="J38" s="924"/>
    </row>
    <row r="39" spans="2:14" ht="15.7" customHeight="1">
      <c r="C39" s="987" t="s">
        <v>749</v>
      </c>
      <c r="D39" s="918"/>
      <c r="E39" s="918"/>
      <c r="F39" s="918"/>
      <c r="G39" s="918"/>
      <c r="H39" s="918"/>
      <c r="I39" s="918"/>
      <c r="J39" s="918"/>
    </row>
    <row r="40" spans="2:14" ht="15.7" customHeight="1">
      <c r="C40" s="896" t="s">
        <v>750</v>
      </c>
      <c r="D40" s="929">
        <v>20000000</v>
      </c>
      <c r="E40" s="930"/>
      <c r="F40" s="930"/>
      <c r="G40" s="930"/>
      <c r="H40" s="930"/>
      <c r="I40" s="930"/>
      <c r="J40" s="930"/>
    </row>
    <row r="41" spans="2:14" ht="15.7" customHeight="1">
      <c r="C41" s="897" t="s">
        <v>752</v>
      </c>
      <c r="D41" s="929">
        <v>50000000</v>
      </c>
      <c r="E41" s="930"/>
      <c r="F41" s="930"/>
      <c r="G41" s="930"/>
      <c r="H41" s="930"/>
      <c r="I41" s="930"/>
      <c r="J41" s="930"/>
    </row>
    <row r="42" spans="2:14" ht="15.7" customHeight="1">
      <c r="C42" s="987" t="s">
        <v>755</v>
      </c>
      <c r="D42" s="918"/>
      <c r="E42" s="918"/>
      <c r="F42" s="918"/>
      <c r="G42" s="918"/>
      <c r="H42" s="918"/>
      <c r="I42" s="918"/>
      <c r="J42" s="918"/>
    </row>
    <row r="43" spans="2:14" ht="15.7" customHeight="1">
      <c r="C43" s="931" t="s">
        <v>756</v>
      </c>
      <c r="D43" s="923">
        <v>50000000</v>
      </c>
      <c r="E43" s="924"/>
      <c r="F43" s="924"/>
      <c r="G43" s="924"/>
      <c r="H43" s="924"/>
      <c r="I43" s="924"/>
      <c r="J43" s="924"/>
    </row>
    <row r="44" spans="2:14" ht="15.7" customHeight="1">
      <c r="C44" s="932" t="s">
        <v>785</v>
      </c>
      <c r="D44" s="923">
        <v>50000000</v>
      </c>
      <c r="E44" s="924"/>
      <c r="F44" s="924"/>
      <c r="G44" s="924"/>
      <c r="H44" s="924"/>
      <c r="I44" s="924"/>
      <c r="J44" s="924"/>
    </row>
    <row r="45" spans="2:14" ht="15.7" customHeight="1">
      <c r="C45" s="996" t="s">
        <v>758</v>
      </c>
      <c r="D45" s="997" t="s">
        <v>742</v>
      </c>
      <c r="E45" s="918" t="s">
        <v>784</v>
      </c>
      <c r="F45" s="918"/>
      <c r="G45" s="918"/>
      <c r="H45" s="918"/>
      <c r="I45" s="918"/>
      <c r="J45" s="918"/>
    </row>
    <row r="46" spans="2:14" ht="15.7" customHeight="1" thickBot="1">
      <c r="C46" s="1663" t="s">
        <v>826</v>
      </c>
      <c r="D46" s="1664">
        <v>70000000</v>
      </c>
      <c r="E46" s="1668" t="s">
        <v>786</v>
      </c>
      <c r="F46" s="1668"/>
      <c r="G46" s="1669" t="s">
        <v>787</v>
      </c>
      <c r="H46" s="1669"/>
      <c r="I46" s="1669" t="s">
        <v>788</v>
      </c>
      <c r="J46" s="1669"/>
    </row>
    <row r="47" spans="2:14" ht="15.7" customHeight="1">
      <c r="C47" s="1663"/>
      <c r="D47" s="1665"/>
      <c r="E47" s="1657">
        <v>1500000</v>
      </c>
      <c r="F47" s="1657"/>
      <c r="G47" s="1657">
        <v>1200000</v>
      </c>
      <c r="H47" s="1657"/>
      <c r="I47" s="1657">
        <v>1000000</v>
      </c>
      <c r="J47" s="1657"/>
    </row>
    <row r="48" spans="2:14" ht="15.7" customHeight="1" thickBot="1">
      <c r="C48" s="1623" t="s">
        <v>761</v>
      </c>
      <c r="D48" s="1658">
        <v>50000000</v>
      </c>
      <c r="E48" s="1660" t="s">
        <v>786</v>
      </c>
      <c r="F48" s="1660"/>
      <c r="G48" s="1661" t="s">
        <v>787</v>
      </c>
      <c r="H48" s="1661"/>
      <c r="I48" s="1661" t="s">
        <v>788</v>
      </c>
      <c r="J48" s="1661"/>
    </row>
    <row r="49" spans="2:10" ht="15.7" customHeight="1">
      <c r="C49" s="1623"/>
      <c r="D49" s="1659"/>
      <c r="E49" s="1662">
        <v>1500000</v>
      </c>
      <c r="F49" s="1662"/>
      <c r="G49" s="1662">
        <v>1200000</v>
      </c>
      <c r="H49" s="1662"/>
      <c r="I49" s="1662">
        <v>1000000</v>
      </c>
      <c r="J49" s="1662"/>
    </row>
    <row r="50" spans="2:10" ht="15.7" customHeight="1">
      <c r="C50" s="987" t="s">
        <v>767</v>
      </c>
      <c r="D50" s="918"/>
      <c r="E50" s="918"/>
      <c r="F50" s="918"/>
      <c r="G50" s="918"/>
      <c r="H50" s="918"/>
      <c r="I50" s="918"/>
      <c r="J50" s="918"/>
    </row>
    <row r="51" spans="2:10" ht="15.7" customHeight="1">
      <c r="C51" s="931" t="s">
        <v>768</v>
      </c>
      <c r="D51" s="923">
        <v>50000000</v>
      </c>
      <c r="E51" s="924"/>
      <c r="F51" s="924"/>
      <c r="G51" s="924"/>
      <c r="H51" s="924"/>
      <c r="I51" s="924"/>
      <c r="J51" s="924"/>
    </row>
    <row r="52" spans="2:10" ht="15.7" customHeight="1">
      <c r="B52" s="905"/>
      <c r="C52" s="942" t="s">
        <v>791</v>
      </c>
      <c r="D52" s="943">
        <v>50000000</v>
      </c>
      <c r="E52" s="944"/>
      <c r="F52" s="944"/>
      <c r="G52" s="944"/>
      <c r="H52" s="944"/>
      <c r="I52" s="944"/>
      <c r="J52" s="944"/>
    </row>
    <row r="54" spans="2:10">
      <c r="C54" s="945"/>
      <c r="D54" s="945"/>
      <c r="E54" s="945"/>
      <c r="F54" s="946"/>
    </row>
    <row r="55" spans="2:10" ht="19.149999999999999">
      <c r="B55" s="873" t="s">
        <v>792</v>
      </c>
      <c r="C55" s="873"/>
    </row>
    <row r="56" spans="2:10" ht="4.9000000000000004" customHeight="1">
      <c r="B56" s="874"/>
      <c r="C56" s="874"/>
      <c r="D56" s="877"/>
      <c r="E56" s="877"/>
      <c r="F56" s="876"/>
      <c r="G56" s="877"/>
      <c r="H56" s="878"/>
      <c r="I56" s="879"/>
      <c r="J56" s="879"/>
    </row>
    <row r="57" spans="2:10">
      <c r="B57" s="1640" t="s">
        <v>118</v>
      </c>
      <c r="C57" s="1653"/>
      <c r="D57" s="1653" t="s">
        <v>793</v>
      </c>
      <c r="E57" s="1653"/>
      <c r="F57" s="1653"/>
      <c r="G57" s="1653"/>
      <c r="H57" s="1653"/>
      <c r="I57" s="1653" t="s">
        <v>99</v>
      </c>
      <c r="J57" s="1639"/>
    </row>
    <row r="58" spans="2:10">
      <c r="B58" s="1654"/>
      <c r="C58" s="1655"/>
      <c r="D58" s="1655"/>
      <c r="E58" s="1655"/>
      <c r="F58" s="1655"/>
      <c r="G58" s="1655"/>
      <c r="H58" s="1655"/>
      <c r="I58" s="1655"/>
      <c r="J58" s="1656"/>
    </row>
    <row r="59" spans="2:10" ht="15.7" customHeight="1">
      <c r="B59" s="955" t="s">
        <v>728</v>
      </c>
      <c r="C59" s="983"/>
      <c r="D59" s="986"/>
      <c r="E59" s="986"/>
      <c r="F59" s="986"/>
      <c r="G59" s="986"/>
      <c r="H59" s="965"/>
      <c r="I59" s="986"/>
      <c r="J59" s="986"/>
    </row>
    <row r="60" spans="2:10" ht="15.7" customHeight="1">
      <c r="B60" s="959" t="s">
        <v>729</v>
      </c>
      <c r="C60" s="874"/>
      <c r="D60" s="960"/>
      <c r="E60" s="961"/>
      <c r="F60" s="961"/>
      <c r="G60" s="961"/>
      <c r="H60" s="961"/>
      <c r="I60" s="962" t="s">
        <v>794</v>
      </c>
      <c r="J60" s="963"/>
    </row>
    <row r="61" spans="2:10" ht="15.7" customHeight="1">
      <c r="C61" s="987" t="s">
        <v>735</v>
      </c>
      <c r="D61" s="890"/>
      <c r="E61" s="890"/>
      <c r="F61" s="890"/>
      <c r="G61" s="891"/>
      <c r="H61" s="890"/>
      <c r="I61" s="965"/>
      <c r="J61" s="965"/>
    </row>
    <row r="62" spans="2:10" ht="15.7" customHeight="1">
      <c r="C62" s="966" t="s">
        <v>795</v>
      </c>
      <c r="D62" s="967">
        <v>50000000</v>
      </c>
      <c r="E62" s="968"/>
      <c r="F62" s="968"/>
      <c r="G62" s="968"/>
      <c r="H62" s="968"/>
      <c r="I62" s="969" t="s">
        <v>796</v>
      </c>
      <c r="J62" s="968"/>
    </row>
    <row r="63" spans="2:10" ht="15.7" customHeight="1">
      <c r="C63" s="893" t="s">
        <v>797</v>
      </c>
      <c r="D63" s="967">
        <v>10000000</v>
      </c>
      <c r="E63" s="968"/>
      <c r="F63" s="968"/>
      <c r="G63" s="968"/>
      <c r="H63" s="968"/>
      <c r="I63" s="970"/>
      <c r="J63" s="971"/>
    </row>
    <row r="64" spans="2:10" ht="15.7" customHeight="1">
      <c r="C64" s="893" t="s">
        <v>798</v>
      </c>
      <c r="D64" s="967">
        <v>17500000</v>
      </c>
      <c r="E64" s="968"/>
      <c r="F64" s="968"/>
      <c r="G64" s="968"/>
      <c r="H64" s="968"/>
      <c r="I64" s="973"/>
      <c r="J64" s="961"/>
    </row>
    <row r="65" spans="2:10" ht="15.7" customHeight="1">
      <c r="C65" s="987" t="s">
        <v>749</v>
      </c>
      <c r="D65" s="890"/>
      <c r="E65" s="890"/>
      <c r="F65" s="890"/>
      <c r="G65" s="891"/>
      <c r="H65" s="890"/>
      <c r="I65" s="965"/>
      <c r="J65" s="965"/>
    </row>
    <row r="66" spans="2:10" ht="15.7" customHeight="1">
      <c r="C66" s="972" t="s">
        <v>800</v>
      </c>
      <c r="D66" s="967">
        <v>10000000</v>
      </c>
      <c r="E66" s="968"/>
      <c r="F66" s="968"/>
      <c r="G66" s="968"/>
      <c r="H66" s="968"/>
      <c r="I66" s="970"/>
      <c r="J66" s="971"/>
    </row>
    <row r="67" spans="2:10" ht="15.7" customHeight="1">
      <c r="C67" s="893" t="s">
        <v>801</v>
      </c>
      <c r="D67" s="967">
        <v>25000000</v>
      </c>
      <c r="E67" s="968"/>
      <c r="F67" s="968"/>
      <c r="G67" s="968"/>
      <c r="H67" s="968"/>
      <c r="I67" s="973"/>
      <c r="J67" s="961"/>
    </row>
    <row r="68" spans="2:10" ht="15.7" customHeight="1">
      <c r="C68" s="987" t="s">
        <v>755</v>
      </c>
      <c r="D68" s="890"/>
      <c r="E68" s="890"/>
      <c r="F68" s="890"/>
      <c r="G68" s="891"/>
      <c r="H68" s="890"/>
      <c r="I68" s="965"/>
      <c r="J68" s="965"/>
    </row>
    <row r="69" spans="2:10" ht="15.7" customHeight="1">
      <c r="C69" s="893" t="s">
        <v>803</v>
      </c>
      <c r="D69" s="967">
        <v>25000000</v>
      </c>
      <c r="E69" s="968"/>
      <c r="F69" s="968"/>
      <c r="G69" s="968"/>
      <c r="H69" s="968"/>
      <c r="I69" s="970"/>
      <c r="J69" s="971"/>
    </row>
    <row r="70" spans="2:10" ht="15.7" customHeight="1">
      <c r="C70" s="893" t="s">
        <v>804</v>
      </c>
      <c r="D70" s="967">
        <v>25000000</v>
      </c>
      <c r="E70" s="968"/>
      <c r="F70" s="968"/>
      <c r="G70" s="968"/>
      <c r="H70" s="968"/>
      <c r="I70" s="973"/>
      <c r="J70" s="961"/>
    </row>
    <row r="71" spans="2:10" ht="15.7" customHeight="1">
      <c r="C71" s="987" t="s">
        <v>758</v>
      </c>
      <c r="D71" s="890"/>
      <c r="E71" s="890"/>
      <c r="F71" s="890"/>
      <c r="G71" s="891"/>
      <c r="H71" s="890"/>
      <c r="I71" s="965"/>
      <c r="J71" s="965"/>
    </row>
    <row r="72" spans="2:10" ht="15.7" customHeight="1">
      <c r="C72" s="893" t="s">
        <v>805</v>
      </c>
      <c r="D72" s="967">
        <v>35000000</v>
      </c>
      <c r="E72" s="968"/>
      <c r="F72" s="968"/>
      <c r="G72" s="968"/>
      <c r="H72" s="968"/>
      <c r="I72" s="969" t="s">
        <v>806</v>
      </c>
      <c r="J72" s="968"/>
    </row>
    <row r="73" spans="2:10" ht="15.7" customHeight="1">
      <c r="C73" s="893" t="s">
        <v>807</v>
      </c>
      <c r="D73" s="967">
        <v>25000000</v>
      </c>
      <c r="E73" s="968"/>
      <c r="F73" s="968"/>
      <c r="G73" s="968"/>
      <c r="H73" s="968"/>
      <c r="I73" s="969" t="s">
        <v>808</v>
      </c>
      <c r="J73" s="968"/>
    </row>
    <row r="74" spans="2:10" ht="15.7" customHeight="1">
      <c r="C74" s="987" t="s">
        <v>767</v>
      </c>
      <c r="D74" s="890"/>
      <c r="E74" s="890"/>
      <c r="F74" s="890"/>
      <c r="G74" s="891"/>
      <c r="H74" s="890"/>
      <c r="I74" s="965"/>
      <c r="J74" s="965"/>
    </row>
    <row r="75" spans="2:10" ht="15.7" customHeight="1">
      <c r="C75" s="893" t="s">
        <v>812</v>
      </c>
      <c r="D75" s="967">
        <v>25000000</v>
      </c>
      <c r="E75" s="968"/>
      <c r="F75" s="968"/>
      <c r="G75" s="968"/>
      <c r="H75" s="968"/>
      <c r="I75" s="970"/>
      <c r="J75" s="971"/>
    </row>
    <row r="76" spans="2:10" ht="15.7" customHeight="1">
      <c r="B76" s="905"/>
      <c r="C76" s="974" t="s">
        <v>813</v>
      </c>
      <c r="D76" s="975">
        <v>25000000</v>
      </c>
      <c r="E76" s="963"/>
      <c r="F76" s="963"/>
      <c r="G76" s="963"/>
      <c r="H76" s="963"/>
      <c r="I76" s="973"/>
      <c r="J76" s="961"/>
    </row>
    <row r="77" spans="2:10" ht="9.6999999999999993" customHeight="1">
      <c r="C77" s="976"/>
      <c r="D77" s="976"/>
      <c r="E77" s="976"/>
      <c r="G77" s="922"/>
    </row>
    <row r="78" spans="2:10">
      <c r="C78" s="945" t="s">
        <v>814</v>
      </c>
      <c r="D78" s="945"/>
      <c r="E78" s="945"/>
      <c r="F78" s="946"/>
    </row>
    <row r="79" spans="2:10">
      <c r="C79" s="977" t="s">
        <v>815</v>
      </c>
      <c r="D79" s="978" t="s">
        <v>816</v>
      </c>
      <c r="E79" s="978" t="s">
        <v>816</v>
      </c>
      <c r="F79" s="979"/>
      <c r="G79" s="980"/>
      <c r="H79" s="980"/>
    </row>
    <row r="80" spans="2:10">
      <c r="C80" s="976" t="s">
        <v>818</v>
      </c>
      <c r="D80" s="945"/>
      <c r="E80" s="945"/>
    </row>
    <row r="81" spans="3:7">
      <c r="C81" s="976" t="s">
        <v>819</v>
      </c>
      <c r="D81" s="976"/>
      <c r="E81" s="976"/>
      <c r="G81" s="922"/>
    </row>
    <row r="82" spans="3:7">
      <c r="C82" s="976" t="s">
        <v>820</v>
      </c>
      <c r="D82" s="976"/>
      <c r="E82" s="976"/>
      <c r="G82" s="922"/>
    </row>
  </sheetData>
  <mergeCells count="46">
    <mergeCell ref="B31:C32"/>
    <mergeCell ref="F31:J31"/>
    <mergeCell ref="I49:J49"/>
    <mergeCell ref="E46:F46"/>
    <mergeCell ref="G46:H46"/>
    <mergeCell ref="I46:J46"/>
    <mergeCell ref="B57:C58"/>
    <mergeCell ref="D57:H58"/>
    <mergeCell ref="I57:J58"/>
    <mergeCell ref="E47:F47"/>
    <mergeCell ref="G47:H47"/>
    <mergeCell ref="I47:J47"/>
    <mergeCell ref="C48:C49"/>
    <mergeCell ref="D48:D49"/>
    <mergeCell ref="E48:F48"/>
    <mergeCell ref="G48:H48"/>
    <mergeCell ref="I48:J48"/>
    <mergeCell ref="E49:F49"/>
    <mergeCell ref="G49:H49"/>
    <mergeCell ref="C46:C47"/>
    <mergeCell ref="D46:D47"/>
    <mergeCell ref="H23:J23"/>
    <mergeCell ref="I24:J24"/>
    <mergeCell ref="H25:J25"/>
    <mergeCell ref="H26:J26"/>
    <mergeCell ref="H17:J17"/>
    <mergeCell ref="I18:J18"/>
    <mergeCell ref="H19:J19"/>
    <mergeCell ref="H20:J20"/>
    <mergeCell ref="I21:J21"/>
    <mergeCell ref="H22:J22"/>
    <mergeCell ref="H13:J13"/>
    <mergeCell ref="H14:J14"/>
    <mergeCell ref="I15:J15"/>
    <mergeCell ref="H16:J16"/>
    <mergeCell ref="B7:C7"/>
    <mergeCell ref="H7:J7"/>
    <mergeCell ref="H9:J9"/>
    <mergeCell ref="I10:J10"/>
    <mergeCell ref="C11:C12"/>
    <mergeCell ref="D11:D12"/>
    <mergeCell ref="E11:E12"/>
    <mergeCell ref="F11:F12"/>
    <mergeCell ref="G11:G12"/>
    <mergeCell ref="H11:J11"/>
    <mergeCell ref="H12:J12"/>
  </mergeCells>
  <phoneticPr fontId="1" type="noConversion"/>
  <printOptions horizontalCentered="1"/>
  <pageMargins left="0" right="0" top="0" bottom="0" header="0" footer="0"/>
  <pageSetup paperSize="9" scale="70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49"/>
  <sheetViews>
    <sheetView view="pageBreakPreview" topLeftCell="A10" zoomScale="90" zoomScaleNormal="100" zoomScaleSheetLayoutView="90" workbookViewId="0">
      <selection activeCell="N62" sqref="N62"/>
    </sheetView>
  </sheetViews>
  <sheetFormatPr defaultColWidth="9" defaultRowHeight="15.75"/>
  <cols>
    <col min="1" max="1" width="1.25" style="867" customWidth="1"/>
    <col min="2" max="2" width="3.25" style="867" customWidth="1"/>
    <col min="3" max="3" width="54.25" style="867" customWidth="1"/>
    <col min="4" max="7" width="17.0625" style="867" customWidth="1"/>
    <col min="8" max="9" width="19.25" style="867" customWidth="1"/>
    <col min="10" max="10" width="1.75" style="867" customWidth="1"/>
    <col min="11" max="11" width="10" style="867" customWidth="1"/>
    <col min="12" max="12" width="10.75" style="867" bestFit="1" customWidth="1"/>
    <col min="13" max="13" width="12.25" style="867" bestFit="1" customWidth="1"/>
    <col min="14" max="14" width="9" style="867"/>
    <col min="15" max="15" width="13.25" style="867" customWidth="1"/>
    <col min="16" max="16" width="12.3125" style="867" customWidth="1"/>
    <col min="17" max="21" width="11" style="867" customWidth="1"/>
    <col min="22" max="16384" width="9" style="867"/>
  </cols>
  <sheetData>
    <row r="3" spans="2:11">
      <c r="C3" s="868" t="s">
        <v>721</v>
      </c>
      <c r="D3" s="869"/>
      <c r="H3" s="870" t="s">
        <v>722</v>
      </c>
      <c r="I3" s="871">
        <v>44769</v>
      </c>
    </row>
    <row r="4" spans="2:11">
      <c r="H4" s="870" t="s">
        <v>637</v>
      </c>
      <c r="I4" s="872" t="s">
        <v>828</v>
      </c>
    </row>
    <row r="5" spans="2:11" ht="26.25" customHeight="1">
      <c r="B5" s="873" t="s">
        <v>723</v>
      </c>
      <c r="C5" s="873"/>
    </row>
    <row r="6" spans="2:11" ht="6" customHeight="1">
      <c r="B6" s="874"/>
      <c r="C6" s="905"/>
      <c r="D6" s="998"/>
      <c r="E6" s="999"/>
      <c r="F6" s="998"/>
      <c r="G6" s="1000"/>
      <c r="H6" s="1001"/>
      <c r="I6" s="1001"/>
    </row>
    <row r="7" spans="2:11" ht="19.149999999999999" customHeight="1">
      <c r="B7" s="1650" t="s">
        <v>118</v>
      </c>
      <c r="C7" s="1651"/>
      <c r="D7" s="982" t="s">
        <v>724</v>
      </c>
      <c r="E7" s="982" t="s">
        <v>821</v>
      </c>
      <c r="F7" s="982" t="s">
        <v>726</v>
      </c>
      <c r="G7" s="982" t="s">
        <v>727</v>
      </c>
      <c r="H7" s="1652" t="s">
        <v>99</v>
      </c>
      <c r="I7" s="1650"/>
    </row>
    <row r="8" spans="2:11" ht="18.75" customHeight="1">
      <c r="B8" s="955" t="s">
        <v>728</v>
      </c>
      <c r="C8" s="955"/>
      <c r="D8" s="1002"/>
      <c r="E8" s="984"/>
      <c r="F8" s="985"/>
      <c r="G8" s="984"/>
      <c r="H8" s="986"/>
      <c r="I8" s="986"/>
    </row>
    <row r="9" spans="2:11" ht="33" customHeight="1">
      <c r="B9" s="959" t="s">
        <v>829</v>
      </c>
      <c r="C9" s="874"/>
      <c r="D9" s="887" t="s">
        <v>772</v>
      </c>
      <c r="E9" s="876" t="s">
        <v>753</v>
      </c>
      <c r="F9" s="887" t="s">
        <v>732</v>
      </c>
      <c r="G9" s="888" t="s">
        <v>733</v>
      </c>
      <c r="H9" s="1670" t="s">
        <v>734</v>
      </c>
      <c r="I9" s="1670"/>
    </row>
    <row r="10" spans="2:11" ht="18.75" customHeight="1">
      <c r="C10" s="987" t="s">
        <v>830</v>
      </c>
      <c r="D10" s="890"/>
      <c r="E10" s="890"/>
      <c r="F10" s="891"/>
      <c r="G10" s="890"/>
      <c r="H10" s="1622"/>
      <c r="I10" s="1622"/>
    </row>
    <row r="11" spans="2:11" ht="15.7" customHeight="1">
      <c r="C11" s="1671" t="s">
        <v>831</v>
      </c>
      <c r="D11" s="887" t="s">
        <v>730</v>
      </c>
      <c r="E11" s="894" t="s">
        <v>823</v>
      </c>
      <c r="F11" s="887" t="s">
        <v>732</v>
      </c>
      <c r="G11" s="1003" t="s">
        <v>832</v>
      </c>
      <c r="H11" s="1670" t="s">
        <v>833</v>
      </c>
      <c r="I11" s="1670"/>
      <c r="K11" s="892"/>
    </row>
    <row r="12" spans="2:11" ht="15.7" customHeight="1">
      <c r="C12" s="1671"/>
      <c r="D12" s="887" t="s">
        <v>784</v>
      </c>
      <c r="E12" s="894" t="s">
        <v>823</v>
      </c>
      <c r="F12" s="887" t="s">
        <v>732</v>
      </c>
      <c r="G12" s="894" t="s">
        <v>834</v>
      </c>
      <c r="H12" s="1672" t="s">
        <v>835</v>
      </c>
      <c r="I12" s="1672"/>
      <c r="K12" s="892"/>
    </row>
    <row r="13" spans="2:11" ht="15.7" customHeight="1">
      <c r="C13" s="893" t="s">
        <v>756</v>
      </c>
      <c r="D13" s="887" t="s">
        <v>742</v>
      </c>
      <c r="E13" s="894" t="s">
        <v>743</v>
      </c>
      <c r="F13" s="887" t="s">
        <v>744</v>
      </c>
      <c r="G13" s="894" t="s">
        <v>834</v>
      </c>
      <c r="H13" s="1670"/>
      <c r="I13" s="1670"/>
    </row>
    <row r="14" spans="2:11" ht="15.7" customHeight="1">
      <c r="C14" s="893" t="s">
        <v>826</v>
      </c>
      <c r="D14" s="887" t="s">
        <v>737</v>
      </c>
      <c r="E14" s="894" t="s">
        <v>836</v>
      </c>
      <c r="F14" s="887" t="s">
        <v>744</v>
      </c>
      <c r="G14" s="894" t="s">
        <v>834</v>
      </c>
      <c r="H14" s="1670"/>
      <c r="I14" s="1670"/>
    </row>
    <row r="15" spans="2:11" ht="15.7" customHeight="1">
      <c r="C15" s="893" t="s">
        <v>741</v>
      </c>
      <c r="D15" s="887" t="s">
        <v>742</v>
      </c>
      <c r="E15" s="894" t="s">
        <v>743</v>
      </c>
      <c r="F15" s="887" t="s">
        <v>744</v>
      </c>
      <c r="G15" s="894" t="s">
        <v>834</v>
      </c>
      <c r="H15" s="1670"/>
      <c r="I15" s="1670"/>
    </row>
    <row r="16" spans="2:11" ht="15.7" customHeight="1">
      <c r="C16" s="893" t="s">
        <v>825</v>
      </c>
      <c r="D16" s="887" t="s">
        <v>746</v>
      </c>
      <c r="E16" s="894" t="s">
        <v>743</v>
      </c>
      <c r="F16" s="887" t="s">
        <v>744</v>
      </c>
      <c r="G16" s="894" t="s">
        <v>834</v>
      </c>
      <c r="H16" s="1670"/>
      <c r="I16" s="1670"/>
    </row>
    <row r="17" spans="2:13" ht="15.7" hidden="1" customHeight="1">
      <c r="C17" s="889" t="s">
        <v>837</v>
      </c>
      <c r="D17" s="1004"/>
      <c r="E17" s="1004"/>
      <c r="F17" s="1005"/>
      <c r="G17" s="1004"/>
      <c r="H17" s="1622"/>
      <c r="I17" s="1622"/>
    </row>
    <row r="18" spans="2:13" ht="31.15" customHeight="1">
      <c r="C18" s="1006" t="s">
        <v>838</v>
      </c>
      <c r="D18" s="887" t="s">
        <v>772</v>
      </c>
      <c r="E18" s="894" t="s">
        <v>753</v>
      </c>
      <c r="F18" s="887" t="s">
        <v>732</v>
      </c>
      <c r="G18" s="1003" t="s">
        <v>839</v>
      </c>
      <c r="H18" s="1675" t="s">
        <v>840</v>
      </c>
      <c r="I18" s="1670"/>
    </row>
    <row r="19" spans="2:13" ht="15.7" hidden="1" customHeight="1">
      <c r="C19" s="889" t="s">
        <v>841</v>
      </c>
      <c r="D19" s="1004"/>
      <c r="E19" s="1004"/>
      <c r="F19" s="1005"/>
      <c r="G19" s="1004"/>
      <c r="H19" s="1622"/>
      <c r="I19" s="1622"/>
    </row>
    <row r="20" spans="2:13" ht="15.7" customHeight="1">
      <c r="C20" s="1007" t="s">
        <v>842</v>
      </c>
      <c r="D20" s="887" t="s">
        <v>772</v>
      </c>
      <c r="E20" s="894" t="s">
        <v>753</v>
      </c>
      <c r="F20" s="887" t="s">
        <v>732</v>
      </c>
      <c r="G20" s="1003" t="s">
        <v>843</v>
      </c>
      <c r="H20" s="1670" t="s">
        <v>844</v>
      </c>
      <c r="I20" s="1670"/>
    </row>
    <row r="21" spans="2:13" ht="15.7" customHeight="1">
      <c r="B21" s="905"/>
      <c r="C21" s="1008" t="s">
        <v>845</v>
      </c>
      <c r="D21" s="902" t="s">
        <v>742</v>
      </c>
      <c r="E21" s="1009" t="s">
        <v>753</v>
      </c>
      <c r="F21" s="902" t="s">
        <v>732</v>
      </c>
      <c r="G21" s="1009" t="s">
        <v>846</v>
      </c>
      <c r="H21" s="1676"/>
      <c r="I21" s="1676"/>
    </row>
    <row r="24" spans="2:13" ht="26.25" customHeight="1">
      <c r="B24" s="873" t="s">
        <v>774</v>
      </c>
      <c r="C24" s="873"/>
      <c r="D24" s="874"/>
    </row>
    <row r="25" spans="2:13" ht="11.55" customHeight="1"/>
    <row r="26" spans="2:13" ht="18" customHeight="1">
      <c r="B26" s="1666" t="s">
        <v>118</v>
      </c>
      <c r="C26" s="1666"/>
      <c r="D26" s="1010" t="s">
        <v>775</v>
      </c>
      <c r="E26" s="1677" t="s">
        <v>776</v>
      </c>
      <c r="F26" s="1677"/>
      <c r="G26" s="1677"/>
      <c r="H26" s="1677"/>
      <c r="I26" s="1677"/>
    </row>
    <row r="27" spans="2:13" ht="18" customHeight="1">
      <c r="B27" s="1667"/>
      <c r="C27" s="1667"/>
      <c r="D27" s="990" t="s">
        <v>778</v>
      </c>
      <c r="E27" s="990" t="s">
        <v>779</v>
      </c>
      <c r="F27" s="991" t="s">
        <v>780</v>
      </c>
      <c r="G27" s="991" t="s">
        <v>781</v>
      </c>
      <c r="H27" s="991" t="s">
        <v>782</v>
      </c>
      <c r="I27" s="991" t="s">
        <v>783</v>
      </c>
    </row>
    <row r="28" spans="2:13">
      <c r="B28" s="955" t="s">
        <v>728</v>
      </c>
      <c r="C28" s="955"/>
      <c r="D28" s="1002"/>
      <c r="E28" s="984"/>
      <c r="F28" s="985"/>
      <c r="G28" s="984"/>
      <c r="H28" s="986"/>
      <c r="I28" s="986"/>
    </row>
    <row r="29" spans="2:13" ht="18" customHeight="1">
      <c r="B29" s="1011" t="s">
        <v>829</v>
      </c>
      <c r="C29" s="1012"/>
      <c r="D29" s="1013">
        <v>50000000</v>
      </c>
      <c r="E29" s="1014"/>
      <c r="F29" s="1014"/>
      <c r="G29" s="1014"/>
      <c r="H29" s="1014"/>
      <c r="I29" s="1014"/>
    </row>
    <row r="30" spans="2:13">
      <c r="C30" s="987" t="s">
        <v>830</v>
      </c>
      <c r="D30" s="918" t="s">
        <v>730</v>
      </c>
      <c r="E30" s="918"/>
      <c r="F30" s="918"/>
      <c r="G30" s="918"/>
      <c r="H30" s="918"/>
      <c r="I30" s="918"/>
    </row>
    <row r="31" spans="2:13">
      <c r="C31" s="1673" t="s">
        <v>831</v>
      </c>
      <c r="D31" s="979">
        <v>78000000</v>
      </c>
      <c r="E31" s="979">
        <v>3000000</v>
      </c>
      <c r="F31" s="979">
        <v>2800000</v>
      </c>
      <c r="G31" s="979">
        <v>2600000</v>
      </c>
      <c r="H31" s="979">
        <v>2300000</v>
      </c>
      <c r="I31" s="979">
        <v>2100000</v>
      </c>
      <c r="J31" s="922"/>
      <c r="M31" s="922"/>
    </row>
    <row r="32" spans="2:13">
      <c r="C32" s="1673"/>
      <c r="D32" s="918" t="s">
        <v>784</v>
      </c>
      <c r="E32" s="918"/>
      <c r="F32" s="918"/>
      <c r="G32" s="918"/>
      <c r="H32" s="918"/>
      <c r="I32" s="918"/>
    </row>
    <row r="33" spans="2:10">
      <c r="C33" s="1674"/>
      <c r="D33" s="1015">
        <v>40000000</v>
      </c>
      <c r="E33" s="1015">
        <v>1500000</v>
      </c>
      <c r="F33" s="1015">
        <v>1300000</v>
      </c>
      <c r="G33" s="1015">
        <v>1150000</v>
      </c>
      <c r="H33" s="1015">
        <v>1000000</v>
      </c>
      <c r="I33" s="1015">
        <v>800000</v>
      </c>
    </row>
    <row r="34" spans="2:10">
      <c r="C34" s="931" t="s">
        <v>756</v>
      </c>
      <c r="D34" s="1016">
        <v>50000000</v>
      </c>
      <c r="E34" s="1016"/>
      <c r="F34" s="1016"/>
      <c r="G34" s="1016"/>
      <c r="H34" s="1016"/>
      <c r="I34" s="1016"/>
    </row>
    <row r="35" spans="2:10">
      <c r="C35" s="931" t="s">
        <v>826</v>
      </c>
      <c r="D35" s="1016" t="s">
        <v>847</v>
      </c>
      <c r="E35" s="1016"/>
      <c r="F35" s="1016"/>
      <c r="G35" s="1017"/>
      <c r="H35" s="1017"/>
      <c r="I35" s="1017"/>
    </row>
    <row r="36" spans="2:10">
      <c r="C36" s="931" t="s">
        <v>741</v>
      </c>
      <c r="D36" s="1016">
        <v>20000000</v>
      </c>
      <c r="E36" s="1016"/>
      <c r="F36" s="1016"/>
      <c r="G36" s="1016"/>
      <c r="H36" s="1016"/>
      <c r="I36" s="1016"/>
    </row>
    <row r="37" spans="2:10">
      <c r="C37" s="931" t="s">
        <v>825</v>
      </c>
      <c r="D37" s="1016">
        <v>35000000</v>
      </c>
      <c r="E37" s="1016"/>
      <c r="F37" s="1016"/>
      <c r="G37" s="1016"/>
      <c r="H37" s="1016"/>
      <c r="I37" s="1016"/>
    </row>
    <row r="38" spans="2:10" hidden="1">
      <c r="C38" s="1018" t="s">
        <v>848</v>
      </c>
      <c r="D38" s="1019"/>
      <c r="E38" s="1020"/>
      <c r="F38" s="1020"/>
      <c r="G38" s="1020"/>
      <c r="H38" s="1020"/>
      <c r="I38" s="1020"/>
    </row>
    <row r="39" spans="2:10">
      <c r="C39" s="1007" t="s">
        <v>838</v>
      </c>
      <c r="D39" s="1017">
        <v>20000000</v>
      </c>
      <c r="E39" s="1017"/>
      <c r="F39" s="1017"/>
      <c r="G39" s="1017"/>
      <c r="H39" s="1017"/>
      <c r="I39" s="1017"/>
      <c r="J39" s="1021"/>
    </row>
    <row r="40" spans="2:10" hidden="1">
      <c r="C40" s="1018" t="s">
        <v>841</v>
      </c>
      <c r="D40" s="1019"/>
      <c r="E40" s="1020"/>
      <c r="F40" s="1020"/>
      <c r="G40" s="1020"/>
      <c r="H40" s="1020"/>
      <c r="I40" s="1020"/>
    </row>
    <row r="41" spans="2:10">
      <c r="C41" s="1007" t="s">
        <v>842</v>
      </c>
      <c r="D41" s="1017">
        <v>35000000</v>
      </c>
      <c r="E41" s="1017"/>
      <c r="F41" s="1017"/>
      <c r="G41" s="1017"/>
      <c r="H41" s="1017"/>
      <c r="I41" s="1017"/>
    </row>
    <row r="42" spans="2:10">
      <c r="B42" s="905"/>
      <c r="C42" s="1022" t="s">
        <v>845</v>
      </c>
      <c r="D42" s="944">
        <v>15000000</v>
      </c>
      <c r="E42" s="944"/>
      <c r="F42" s="944"/>
      <c r="G42" s="944"/>
      <c r="H42" s="944"/>
      <c r="I42" s="944"/>
    </row>
    <row r="44" spans="2:10">
      <c r="C44" s="945" t="s">
        <v>814</v>
      </c>
      <c r="D44" s="945"/>
      <c r="E44" s="946"/>
    </row>
    <row r="45" spans="2:10" ht="13.15" customHeight="1">
      <c r="C45" s="977" t="s">
        <v>815</v>
      </c>
      <c r="D45" s="978" t="s">
        <v>816</v>
      </c>
      <c r="E45" s="979"/>
      <c r="F45" s="980"/>
      <c r="G45" s="980"/>
    </row>
    <row r="46" spans="2:10">
      <c r="C46" s="976" t="s">
        <v>818</v>
      </c>
      <c r="D46" s="945"/>
    </row>
    <row r="47" spans="2:10">
      <c r="C47" s="976" t="s">
        <v>819</v>
      </c>
      <c r="D47" s="976"/>
      <c r="F47" s="922"/>
    </row>
    <row r="48" spans="2:10">
      <c r="C48" s="976" t="s">
        <v>820</v>
      </c>
      <c r="D48" s="976"/>
      <c r="F48" s="922"/>
    </row>
    <row r="49" spans="3:6">
      <c r="C49" s="976" t="s">
        <v>849</v>
      </c>
      <c r="F49" s="922"/>
    </row>
  </sheetData>
  <mergeCells count="19">
    <mergeCell ref="C31:C33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B26:C27"/>
    <mergeCell ref="E26:I26"/>
    <mergeCell ref="B7:C7"/>
    <mergeCell ref="H7:I7"/>
    <mergeCell ref="H9:I9"/>
    <mergeCell ref="H10:I10"/>
    <mergeCell ref="C11:C12"/>
    <mergeCell ref="H11:I11"/>
    <mergeCell ref="H12:I12"/>
  </mergeCells>
  <phoneticPr fontId="1" type="noConversion"/>
  <printOptions horizontalCentered="1"/>
  <pageMargins left="0" right="0" top="0" bottom="0" header="0" footer="0"/>
  <pageSetup paperSize="9" scale="79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X31"/>
  <sheetViews>
    <sheetView showGridLines="0" workbookViewId="0">
      <selection activeCell="AD9" sqref="AD9"/>
    </sheetView>
  </sheetViews>
  <sheetFormatPr defaultRowHeight="18" customHeight="1"/>
  <cols>
    <col min="1" max="1" width="1.8125" style="191" customWidth="1"/>
    <col min="2" max="2" width="5.0625" style="191" customWidth="1"/>
    <col min="3" max="5" width="4.0625" style="191" customWidth="1"/>
    <col min="6" max="9" width="3.5625" style="191" customWidth="1"/>
    <col min="10" max="12" width="4.3125" style="191" customWidth="1"/>
    <col min="13" max="16" width="3.5625" style="191" customWidth="1"/>
    <col min="17" max="20" width="5" style="191" customWidth="1"/>
    <col min="21" max="23" width="5.3125" style="191" customWidth="1"/>
    <col min="24" max="24" width="4.0625" style="191"/>
  </cols>
  <sheetData>
    <row r="2" spans="1:24" ht="26.25" customHeight="1">
      <c r="B2" s="1710" t="s">
        <v>318</v>
      </c>
      <c r="C2" s="1710"/>
      <c r="D2" s="1710"/>
      <c r="E2" s="1710"/>
      <c r="F2" s="1710"/>
      <c r="G2" s="1710"/>
      <c r="H2" s="1710"/>
      <c r="I2" s="1710"/>
      <c r="J2" s="1710"/>
      <c r="K2" s="1710"/>
      <c r="L2" s="1710"/>
      <c r="M2" s="1710"/>
      <c r="N2" s="1710"/>
      <c r="O2" s="1710"/>
      <c r="P2" s="1710"/>
      <c r="Q2" s="1710"/>
      <c r="R2" s="1710"/>
      <c r="S2" s="1710"/>
      <c r="T2" s="1710"/>
      <c r="U2" s="1710"/>
      <c r="V2" s="1710"/>
      <c r="W2" s="1710"/>
      <c r="X2" s="192"/>
    </row>
    <row r="3" spans="1:24" s="317" customFormat="1" ht="18" customHeight="1">
      <c r="A3" s="314"/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6"/>
    </row>
    <row r="4" spans="1:24" ht="18" customHeight="1">
      <c r="X4" s="193"/>
    </row>
    <row r="5" spans="1:24" ht="18" customHeight="1">
      <c r="B5" s="1711" t="s">
        <v>309</v>
      </c>
      <c r="C5" s="1712"/>
      <c r="D5" s="1713"/>
      <c r="E5" s="1714" t="s">
        <v>1168</v>
      </c>
      <c r="F5" s="1715"/>
      <c r="G5" s="1715"/>
      <c r="H5" s="1715"/>
      <c r="I5" s="1715"/>
      <c r="J5" s="1715"/>
      <c r="K5" s="1715"/>
      <c r="L5" s="1715"/>
      <c r="M5" s="1716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3"/>
    </row>
    <row r="6" spans="1:24" ht="18" customHeight="1">
      <c r="B6" s="1703" t="s">
        <v>310</v>
      </c>
      <c r="C6" s="1703" t="s">
        <v>311</v>
      </c>
      <c r="D6" s="1704"/>
      <c r="E6" s="1705"/>
      <c r="F6" s="1703" t="s">
        <v>312</v>
      </c>
      <c r="G6" s="1704"/>
      <c r="H6" s="1704"/>
      <c r="I6" s="1705"/>
      <c r="J6" s="1703" t="s">
        <v>313</v>
      </c>
      <c r="K6" s="1704"/>
      <c r="L6" s="1705"/>
      <c r="M6" s="1703" t="s">
        <v>314</v>
      </c>
      <c r="N6" s="1704"/>
      <c r="O6" s="1704"/>
      <c r="P6" s="1705"/>
      <c r="Q6" s="1717" t="s">
        <v>1144</v>
      </c>
      <c r="R6" s="1718"/>
      <c r="S6" s="1717" t="s">
        <v>315</v>
      </c>
      <c r="T6" s="1718"/>
      <c r="U6" s="1703" t="s">
        <v>316</v>
      </c>
      <c r="V6" s="1704"/>
      <c r="W6" s="1705"/>
      <c r="X6" s="193"/>
    </row>
    <row r="7" spans="1:24" ht="18" customHeight="1">
      <c r="B7" s="1706"/>
      <c r="C7" s="1706"/>
      <c r="D7" s="1707"/>
      <c r="E7" s="1708"/>
      <c r="F7" s="1706"/>
      <c r="G7" s="1707"/>
      <c r="H7" s="1707"/>
      <c r="I7" s="1708"/>
      <c r="J7" s="1706"/>
      <c r="K7" s="1707"/>
      <c r="L7" s="1708"/>
      <c r="M7" s="1706"/>
      <c r="N7" s="1707"/>
      <c r="O7" s="1707"/>
      <c r="P7" s="1708"/>
      <c r="Q7" s="1719"/>
      <c r="R7" s="1720"/>
      <c r="S7" s="1719"/>
      <c r="T7" s="1720"/>
      <c r="U7" s="1706"/>
      <c r="V7" s="1707"/>
      <c r="W7" s="1708"/>
      <c r="X7" s="193"/>
    </row>
    <row r="8" spans="1:24" ht="18" customHeight="1">
      <c r="B8" s="195">
        <v>1</v>
      </c>
      <c r="C8" s="1696" t="s">
        <v>317</v>
      </c>
      <c r="D8" s="1697"/>
      <c r="E8" s="1698"/>
      <c r="F8" s="1699">
        <v>24600000</v>
      </c>
      <c r="G8" s="1700"/>
      <c r="H8" s="1700"/>
      <c r="I8" s="1701"/>
      <c r="J8" s="1699">
        <f>F8*10%</f>
        <v>2460000</v>
      </c>
      <c r="K8" s="1700"/>
      <c r="L8" s="1701"/>
      <c r="M8" s="1699">
        <f>F8+J8</f>
        <v>27060000</v>
      </c>
      <c r="N8" s="1700"/>
      <c r="O8" s="1700"/>
      <c r="P8" s="1701"/>
      <c r="Q8" s="1709">
        <v>46351</v>
      </c>
      <c r="R8" s="1698"/>
      <c r="S8" s="1709">
        <f>Q8+60</f>
        <v>46411</v>
      </c>
      <c r="T8" s="1698"/>
      <c r="U8" s="1702"/>
      <c r="V8" s="1697"/>
      <c r="W8" s="1698"/>
      <c r="X8" s="193"/>
    </row>
    <row r="9" spans="1:24" ht="18" customHeight="1">
      <c r="B9" s="195">
        <v>2</v>
      </c>
      <c r="C9" s="1696"/>
      <c r="D9" s="1697"/>
      <c r="E9" s="1698"/>
      <c r="F9" s="1699"/>
      <c r="G9" s="1700"/>
      <c r="H9" s="1700"/>
      <c r="I9" s="1701"/>
      <c r="J9" s="1699">
        <f>F9*10%</f>
        <v>0</v>
      </c>
      <c r="K9" s="1700"/>
      <c r="L9" s="1701"/>
      <c r="M9" s="1699">
        <f t="shared" ref="M9:M29" si="0">F9+J9</f>
        <v>0</v>
      </c>
      <c r="N9" s="1700"/>
      <c r="O9" s="1700"/>
      <c r="P9" s="1701"/>
      <c r="Q9" s="1696"/>
      <c r="R9" s="1698"/>
      <c r="S9" s="1696"/>
      <c r="T9" s="1698"/>
      <c r="U9" s="1702"/>
      <c r="V9" s="1697"/>
      <c r="W9" s="1698"/>
      <c r="X9" s="193"/>
    </row>
    <row r="10" spans="1:24" ht="18" customHeight="1">
      <c r="B10" s="195">
        <v>3</v>
      </c>
      <c r="C10" s="1696"/>
      <c r="D10" s="1697"/>
      <c r="E10" s="1698"/>
      <c r="F10" s="1699"/>
      <c r="G10" s="1700"/>
      <c r="H10" s="1700"/>
      <c r="I10" s="1701"/>
      <c r="J10" s="1699">
        <f>F10*10%</f>
        <v>0</v>
      </c>
      <c r="K10" s="1700"/>
      <c r="L10" s="1701"/>
      <c r="M10" s="1699">
        <f>F10+J10</f>
        <v>0</v>
      </c>
      <c r="N10" s="1700"/>
      <c r="O10" s="1700"/>
      <c r="P10" s="1701"/>
      <c r="Q10" s="1696"/>
      <c r="R10" s="1698"/>
      <c r="S10" s="1696"/>
      <c r="T10" s="1698"/>
      <c r="U10" s="1702"/>
      <c r="V10" s="1697"/>
      <c r="W10" s="1698"/>
      <c r="X10" s="193"/>
    </row>
    <row r="11" spans="1:24" ht="18" customHeight="1">
      <c r="B11" s="195">
        <v>4</v>
      </c>
      <c r="C11" s="1696"/>
      <c r="D11" s="1697"/>
      <c r="E11" s="1698"/>
      <c r="F11" s="1699"/>
      <c r="G11" s="1700"/>
      <c r="H11" s="1700"/>
      <c r="I11" s="1701"/>
      <c r="J11" s="1699">
        <f>F11*10%</f>
        <v>0</v>
      </c>
      <c r="K11" s="1700"/>
      <c r="L11" s="1701"/>
      <c r="M11" s="1699">
        <f>F11+J11</f>
        <v>0</v>
      </c>
      <c r="N11" s="1700"/>
      <c r="O11" s="1700"/>
      <c r="P11" s="1701"/>
      <c r="Q11" s="1696"/>
      <c r="R11" s="1698"/>
      <c r="S11" s="1696"/>
      <c r="T11" s="1698"/>
      <c r="U11" s="1702"/>
      <c r="V11" s="1697"/>
      <c r="W11" s="1698"/>
      <c r="X11" s="193"/>
    </row>
    <row r="12" spans="1:24" ht="18" customHeight="1">
      <c r="B12" s="195">
        <v>5</v>
      </c>
      <c r="C12" s="1696"/>
      <c r="D12" s="1697"/>
      <c r="E12" s="1698"/>
      <c r="F12" s="1699"/>
      <c r="G12" s="1700"/>
      <c r="H12" s="1700"/>
      <c r="I12" s="1701"/>
      <c r="J12" s="1699">
        <f t="shared" ref="J12:J29" si="1">F12*10%</f>
        <v>0</v>
      </c>
      <c r="K12" s="1700"/>
      <c r="L12" s="1701"/>
      <c r="M12" s="1699">
        <f>F12+J12</f>
        <v>0</v>
      </c>
      <c r="N12" s="1700"/>
      <c r="O12" s="1700"/>
      <c r="P12" s="1701"/>
      <c r="Q12" s="1696"/>
      <c r="R12" s="1698"/>
      <c r="S12" s="1696"/>
      <c r="T12" s="1698"/>
      <c r="U12" s="1702"/>
      <c r="V12" s="1697"/>
      <c r="W12" s="1698"/>
      <c r="X12" s="193"/>
    </row>
    <row r="13" spans="1:24" ht="18" customHeight="1">
      <c r="B13" s="195">
        <v>6</v>
      </c>
      <c r="C13" s="1696"/>
      <c r="D13" s="1697"/>
      <c r="E13" s="1698"/>
      <c r="F13" s="1699"/>
      <c r="G13" s="1700"/>
      <c r="H13" s="1700"/>
      <c r="I13" s="1701"/>
      <c r="J13" s="1699">
        <f t="shared" si="1"/>
        <v>0</v>
      </c>
      <c r="K13" s="1700"/>
      <c r="L13" s="1701"/>
      <c r="M13" s="1699">
        <f t="shared" si="0"/>
        <v>0</v>
      </c>
      <c r="N13" s="1700"/>
      <c r="O13" s="1700"/>
      <c r="P13" s="1701"/>
      <c r="Q13" s="1696"/>
      <c r="R13" s="1698"/>
      <c r="S13" s="1696"/>
      <c r="T13" s="1698"/>
      <c r="U13" s="1696"/>
      <c r="V13" s="1697"/>
      <c r="W13" s="1698"/>
      <c r="X13" s="193"/>
    </row>
    <row r="14" spans="1:24" ht="18" customHeight="1">
      <c r="B14" s="195">
        <v>7</v>
      </c>
      <c r="C14" s="1696"/>
      <c r="D14" s="1697"/>
      <c r="E14" s="1698"/>
      <c r="F14" s="1699"/>
      <c r="G14" s="1700"/>
      <c r="H14" s="1700"/>
      <c r="I14" s="1701"/>
      <c r="J14" s="1699">
        <f t="shared" si="1"/>
        <v>0</v>
      </c>
      <c r="K14" s="1700"/>
      <c r="L14" s="1701"/>
      <c r="M14" s="1699">
        <f t="shared" si="0"/>
        <v>0</v>
      </c>
      <c r="N14" s="1700"/>
      <c r="O14" s="1700"/>
      <c r="P14" s="1701"/>
      <c r="Q14" s="1696"/>
      <c r="R14" s="1698"/>
      <c r="S14" s="1696"/>
      <c r="T14" s="1698"/>
      <c r="U14" s="1696"/>
      <c r="V14" s="1697"/>
      <c r="W14" s="1698"/>
      <c r="X14" s="193"/>
    </row>
    <row r="15" spans="1:24" ht="18" customHeight="1">
      <c r="B15" s="195">
        <v>8</v>
      </c>
      <c r="C15" s="1696"/>
      <c r="D15" s="1697"/>
      <c r="E15" s="1698"/>
      <c r="F15" s="1699"/>
      <c r="G15" s="1700"/>
      <c r="H15" s="1700"/>
      <c r="I15" s="1701"/>
      <c r="J15" s="1699">
        <f t="shared" si="1"/>
        <v>0</v>
      </c>
      <c r="K15" s="1700"/>
      <c r="L15" s="1701"/>
      <c r="M15" s="1699">
        <f t="shared" si="0"/>
        <v>0</v>
      </c>
      <c r="N15" s="1700"/>
      <c r="O15" s="1700"/>
      <c r="P15" s="1701"/>
      <c r="Q15" s="1696"/>
      <c r="R15" s="1698"/>
      <c r="S15" s="1696"/>
      <c r="T15" s="1698"/>
      <c r="U15" s="1696"/>
      <c r="V15" s="1697"/>
      <c r="W15" s="1698"/>
      <c r="X15" s="193"/>
    </row>
    <row r="16" spans="1:24" ht="18" customHeight="1">
      <c r="B16" s="195">
        <v>9</v>
      </c>
      <c r="C16" s="1696"/>
      <c r="D16" s="1697"/>
      <c r="E16" s="1698"/>
      <c r="F16" s="1699"/>
      <c r="G16" s="1700"/>
      <c r="H16" s="1700"/>
      <c r="I16" s="1701"/>
      <c r="J16" s="1699">
        <f t="shared" si="1"/>
        <v>0</v>
      </c>
      <c r="K16" s="1700"/>
      <c r="L16" s="1701"/>
      <c r="M16" s="1699">
        <f t="shared" si="0"/>
        <v>0</v>
      </c>
      <c r="N16" s="1700"/>
      <c r="O16" s="1700"/>
      <c r="P16" s="1701"/>
      <c r="Q16" s="1696"/>
      <c r="R16" s="1698"/>
      <c r="S16" s="1696"/>
      <c r="T16" s="1698"/>
      <c r="U16" s="1696"/>
      <c r="V16" s="1697"/>
      <c r="W16" s="1698"/>
      <c r="X16" s="193"/>
    </row>
    <row r="17" spans="2:24" ht="18" customHeight="1">
      <c r="B17" s="195">
        <v>10</v>
      </c>
      <c r="C17" s="1696"/>
      <c r="D17" s="1697"/>
      <c r="E17" s="1698"/>
      <c r="F17" s="1699"/>
      <c r="G17" s="1700"/>
      <c r="H17" s="1700"/>
      <c r="I17" s="1701"/>
      <c r="J17" s="1699">
        <f t="shared" si="1"/>
        <v>0</v>
      </c>
      <c r="K17" s="1700"/>
      <c r="L17" s="1701"/>
      <c r="M17" s="1699">
        <f t="shared" si="0"/>
        <v>0</v>
      </c>
      <c r="N17" s="1700"/>
      <c r="O17" s="1700"/>
      <c r="P17" s="1701"/>
      <c r="Q17" s="1696"/>
      <c r="R17" s="1698"/>
      <c r="S17" s="1696"/>
      <c r="T17" s="1698"/>
      <c r="U17" s="1696"/>
      <c r="V17" s="1697"/>
      <c r="W17" s="1698"/>
      <c r="X17" s="193"/>
    </row>
    <row r="18" spans="2:24" ht="18" customHeight="1">
      <c r="B18" s="195">
        <v>11</v>
      </c>
      <c r="C18" s="1696"/>
      <c r="D18" s="1697"/>
      <c r="E18" s="1698"/>
      <c r="F18" s="1699"/>
      <c r="G18" s="1700"/>
      <c r="H18" s="1700"/>
      <c r="I18" s="1701"/>
      <c r="J18" s="1699">
        <f t="shared" si="1"/>
        <v>0</v>
      </c>
      <c r="K18" s="1700"/>
      <c r="L18" s="1701"/>
      <c r="M18" s="1699">
        <f t="shared" si="0"/>
        <v>0</v>
      </c>
      <c r="N18" s="1700"/>
      <c r="O18" s="1700"/>
      <c r="P18" s="1701"/>
      <c r="Q18" s="1696"/>
      <c r="R18" s="1698"/>
      <c r="S18" s="1696"/>
      <c r="T18" s="1698"/>
      <c r="U18" s="1696"/>
      <c r="V18" s="1697"/>
      <c r="W18" s="1698"/>
      <c r="X18" s="193"/>
    </row>
    <row r="19" spans="2:24" ht="18" customHeight="1">
      <c r="B19" s="195">
        <v>12</v>
      </c>
      <c r="C19" s="1696"/>
      <c r="D19" s="1697"/>
      <c r="E19" s="1698"/>
      <c r="F19" s="1699"/>
      <c r="G19" s="1700"/>
      <c r="H19" s="1700"/>
      <c r="I19" s="1701"/>
      <c r="J19" s="1699">
        <f t="shared" si="1"/>
        <v>0</v>
      </c>
      <c r="K19" s="1700"/>
      <c r="L19" s="1701"/>
      <c r="M19" s="1699">
        <f t="shared" si="0"/>
        <v>0</v>
      </c>
      <c r="N19" s="1700"/>
      <c r="O19" s="1700"/>
      <c r="P19" s="1701"/>
      <c r="Q19" s="1696"/>
      <c r="R19" s="1698"/>
      <c r="S19" s="1696"/>
      <c r="T19" s="1698"/>
      <c r="U19" s="1696"/>
      <c r="V19" s="1697"/>
      <c r="W19" s="1698"/>
      <c r="X19" s="193"/>
    </row>
    <row r="20" spans="2:24" ht="18" customHeight="1">
      <c r="B20" s="195">
        <v>13</v>
      </c>
      <c r="C20" s="1696"/>
      <c r="D20" s="1697"/>
      <c r="E20" s="1698"/>
      <c r="F20" s="1699"/>
      <c r="G20" s="1700"/>
      <c r="H20" s="1700"/>
      <c r="I20" s="1701"/>
      <c r="J20" s="1699">
        <f t="shared" si="1"/>
        <v>0</v>
      </c>
      <c r="K20" s="1700"/>
      <c r="L20" s="1701"/>
      <c r="M20" s="1699">
        <f t="shared" si="0"/>
        <v>0</v>
      </c>
      <c r="N20" s="1700"/>
      <c r="O20" s="1700"/>
      <c r="P20" s="1701"/>
      <c r="Q20" s="1696"/>
      <c r="R20" s="1698"/>
      <c r="S20" s="1696"/>
      <c r="T20" s="1698"/>
      <c r="U20" s="1696"/>
      <c r="V20" s="1697"/>
      <c r="W20" s="1698"/>
      <c r="X20" s="193"/>
    </row>
    <row r="21" spans="2:24" ht="18" customHeight="1">
      <c r="B21" s="195">
        <v>14</v>
      </c>
      <c r="C21" s="1696"/>
      <c r="D21" s="1697"/>
      <c r="E21" s="1698"/>
      <c r="F21" s="1699"/>
      <c r="G21" s="1700"/>
      <c r="H21" s="1700"/>
      <c r="I21" s="1701"/>
      <c r="J21" s="1699">
        <f t="shared" si="1"/>
        <v>0</v>
      </c>
      <c r="K21" s="1700"/>
      <c r="L21" s="1701"/>
      <c r="M21" s="1699">
        <f t="shared" si="0"/>
        <v>0</v>
      </c>
      <c r="N21" s="1700"/>
      <c r="O21" s="1700"/>
      <c r="P21" s="1701"/>
      <c r="Q21" s="1696"/>
      <c r="R21" s="1698"/>
      <c r="S21" s="1696"/>
      <c r="T21" s="1698"/>
      <c r="U21" s="1696"/>
      <c r="V21" s="1697"/>
      <c r="W21" s="1698"/>
    </row>
    <row r="22" spans="2:24" ht="18" customHeight="1">
      <c r="B22" s="195">
        <v>15</v>
      </c>
      <c r="C22" s="1696"/>
      <c r="D22" s="1697"/>
      <c r="E22" s="1698"/>
      <c r="F22" s="1699"/>
      <c r="G22" s="1700"/>
      <c r="H22" s="1700"/>
      <c r="I22" s="1701"/>
      <c r="J22" s="1699">
        <f t="shared" si="1"/>
        <v>0</v>
      </c>
      <c r="K22" s="1700"/>
      <c r="L22" s="1701"/>
      <c r="M22" s="1699">
        <f t="shared" si="0"/>
        <v>0</v>
      </c>
      <c r="N22" s="1700"/>
      <c r="O22" s="1700"/>
      <c r="P22" s="1701"/>
      <c r="Q22" s="1696"/>
      <c r="R22" s="1698"/>
      <c r="S22" s="1696"/>
      <c r="T22" s="1698"/>
      <c r="U22" s="1696"/>
      <c r="V22" s="1697"/>
      <c r="W22" s="1698"/>
    </row>
    <row r="23" spans="2:24" ht="18" customHeight="1">
      <c r="B23" s="195">
        <v>16</v>
      </c>
      <c r="C23" s="1696"/>
      <c r="D23" s="1697"/>
      <c r="E23" s="1698"/>
      <c r="F23" s="1699"/>
      <c r="G23" s="1700"/>
      <c r="H23" s="1700"/>
      <c r="I23" s="1701"/>
      <c r="J23" s="1699">
        <f t="shared" si="1"/>
        <v>0</v>
      </c>
      <c r="K23" s="1700"/>
      <c r="L23" s="1701"/>
      <c r="M23" s="1699">
        <f t="shared" si="0"/>
        <v>0</v>
      </c>
      <c r="N23" s="1700"/>
      <c r="O23" s="1700"/>
      <c r="P23" s="1701"/>
      <c r="Q23" s="1696"/>
      <c r="R23" s="1698"/>
      <c r="S23" s="1696"/>
      <c r="T23" s="1698"/>
      <c r="U23" s="1696"/>
      <c r="V23" s="1697"/>
      <c r="W23" s="1698"/>
    </row>
    <row r="24" spans="2:24" ht="18" customHeight="1">
      <c r="B24" s="195">
        <v>17</v>
      </c>
      <c r="C24" s="1696"/>
      <c r="D24" s="1697"/>
      <c r="E24" s="1698"/>
      <c r="F24" s="1699"/>
      <c r="G24" s="1700"/>
      <c r="H24" s="1700"/>
      <c r="I24" s="1701"/>
      <c r="J24" s="1699">
        <f t="shared" si="1"/>
        <v>0</v>
      </c>
      <c r="K24" s="1700"/>
      <c r="L24" s="1701"/>
      <c r="M24" s="1699">
        <f t="shared" si="0"/>
        <v>0</v>
      </c>
      <c r="N24" s="1700"/>
      <c r="O24" s="1700"/>
      <c r="P24" s="1701"/>
      <c r="Q24" s="1696"/>
      <c r="R24" s="1698"/>
      <c r="S24" s="1696"/>
      <c r="T24" s="1698"/>
      <c r="U24" s="1696"/>
      <c r="V24" s="1697"/>
      <c r="W24" s="1698"/>
    </row>
    <row r="25" spans="2:24" ht="18" customHeight="1">
      <c r="B25" s="195">
        <v>18</v>
      </c>
      <c r="C25" s="1696"/>
      <c r="D25" s="1697"/>
      <c r="E25" s="1698"/>
      <c r="F25" s="1699"/>
      <c r="G25" s="1700"/>
      <c r="H25" s="1700"/>
      <c r="I25" s="1701"/>
      <c r="J25" s="1699">
        <f t="shared" si="1"/>
        <v>0</v>
      </c>
      <c r="K25" s="1700"/>
      <c r="L25" s="1701"/>
      <c r="M25" s="1699">
        <f t="shared" si="0"/>
        <v>0</v>
      </c>
      <c r="N25" s="1700"/>
      <c r="O25" s="1700"/>
      <c r="P25" s="1701"/>
      <c r="Q25" s="1696"/>
      <c r="R25" s="1698"/>
      <c r="S25" s="1696"/>
      <c r="T25" s="1698"/>
      <c r="U25" s="1696"/>
      <c r="V25" s="1697"/>
      <c r="W25" s="1698"/>
    </row>
    <row r="26" spans="2:24" ht="18" customHeight="1">
      <c r="B26" s="195">
        <v>19</v>
      </c>
      <c r="C26" s="1696"/>
      <c r="D26" s="1697"/>
      <c r="E26" s="1698"/>
      <c r="F26" s="1699"/>
      <c r="G26" s="1700"/>
      <c r="H26" s="1700"/>
      <c r="I26" s="1701"/>
      <c r="J26" s="1699">
        <f t="shared" si="1"/>
        <v>0</v>
      </c>
      <c r="K26" s="1700"/>
      <c r="L26" s="1701"/>
      <c r="M26" s="1699">
        <f t="shared" si="0"/>
        <v>0</v>
      </c>
      <c r="N26" s="1700"/>
      <c r="O26" s="1700"/>
      <c r="P26" s="1701"/>
      <c r="Q26" s="1696"/>
      <c r="R26" s="1698"/>
      <c r="S26" s="1696"/>
      <c r="T26" s="1698"/>
      <c r="U26" s="1696"/>
      <c r="V26" s="1697"/>
      <c r="W26" s="1698"/>
    </row>
    <row r="27" spans="2:24" ht="18" customHeight="1">
      <c r="B27" s="195">
        <v>20</v>
      </c>
      <c r="C27" s="1696"/>
      <c r="D27" s="1697"/>
      <c r="E27" s="1698"/>
      <c r="F27" s="1699"/>
      <c r="G27" s="1700"/>
      <c r="H27" s="1700"/>
      <c r="I27" s="1701"/>
      <c r="J27" s="1699">
        <f t="shared" si="1"/>
        <v>0</v>
      </c>
      <c r="K27" s="1700"/>
      <c r="L27" s="1701"/>
      <c r="M27" s="1699">
        <f t="shared" si="0"/>
        <v>0</v>
      </c>
      <c r="N27" s="1700"/>
      <c r="O27" s="1700"/>
      <c r="P27" s="1701"/>
      <c r="Q27" s="1696"/>
      <c r="R27" s="1698"/>
      <c r="S27" s="1696"/>
      <c r="T27" s="1698"/>
      <c r="U27" s="1696"/>
      <c r="V27" s="1697"/>
      <c r="W27" s="1698"/>
    </row>
    <row r="28" spans="2:24" ht="18" customHeight="1">
      <c r="B28" s="195">
        <v>21</v>
      </c>
      <c r="C28" s="1696"/>
      <c r="D28" s="1697"/>
      <c r="E28" s="1698"/>
      <c r="F28" s="1699"/>
      <c r="G28" s="1700"/>
      <c r="H28" s="1700"/>
      <c r="I28" s="1701"/>
      <c r="J28" s="1699">
        <f t="shared" si="1"/>
        <v>0</v>
      </c>
      <c r="K28" s="1700"/>
      <c r="L28" s="1701"/>
      <c r="M28" s="1699">
        <f t="shared" si="0"/>
        <v>0</v>
      </c>
      <c r="N28" s="1700"/>
      <c r="O28" s="1700"/>
      <c r="P28" s="1701"/>
      <c r="Q28" s="1696"/>
      <c r="R28" s="1698"/>
      <c r="S28" s="1696"/>
      <c r="T28" s="1698"/>
      <c r="U28" s="1696"/>
      <c r="V28" s="1697"/>
      <c r="W28" s="1698"/>
    </row>
    <row r="29" spans="2:24" ht="18" customHeight="1" thickBot="1">
      <c r="B29" s="195">
        <v>22</v>
      </c>
      <c r="C29" s="1681"/>
      <c r="D29" s="1682"/>
      <c r="E29" s="1683"/>
      <c r="F29" s="1693"/>
      <c r="G29" s="1694"/>
      <c r="H29" s="1694"/>
      <c r="I29" s="1695"/>
      <c r="J29" s="1693">
        <f t="shared" si="1"/>
        <v>0</v>
      </c>
      <c r="K29" s="1694"/>
      <c r="L29" s="1695"/>
      <c r="M29" s="1693">
        <f t="shared" si="0"/>
        <v>0</v>
      </c>
      <c r="N29" s="1694"/>
      <c r="O29" s="1694"/>
      <c r="P29" s="1695"/>
      <c r="Q29" s="1681"/>
      <c r="R29" s="1683"/>
      <c r="S29" s="1681"/>
      <c r="T29" s="1683"/>
      <c r="U29" s="1681"/>
      <c r="V29" s="1682"/>
      <c r="W29" s="1683"/>
    </row>
    <row r="30" spans="2:24" ht="18" customHeight="1" thickTop="1">
      <c r="B30" s="1684" t="s">
        <v>412</v>
      </c>
      <c r="C30" s="1685"/>
      <c r="D30" s="1685"/>
      <c r="E30" s="1686"/>
      <c r="F30" s="1687">
        <f>SUM(F8:I29)</f>
        <v>24600000</v>
      </c>
      <c r="G30" s="1688"/>
      <c r="H30" s="1688"/>
      <c r="I30" s="1689"/>
      <c r="J30" s="1687">
        <f>SUM(J8:L29)</f>
        <v>2460000</v>
      </c>
      <c r="K30" s="1688"/>
      <c r="L30" s="1689"/>
      <c r="M30" s="1687">
        <f>SUM(M8:P29)</f>
        <v>27060000</v>
      </c>
      <c r="N30" s="1688"/>
      <c r="O30" s="1688"/>
      <c r="P30" s="1689"/>
      <c r="Q30" s="1690"/>
      <c r="R30" s="1691"/>
      <c r="S30" s="1690"/>
      <c r="T30" s="1691"/>
      <c r="U30" s="1690"/>
      <c r="V30" s="1692"/>
      <c r="W30" s="1691"/>
    </row>
    <row r="31" spans="2:24" ht="18" customHeight="1">
      <c r="F31" s="1678"/>
      <c r="G31" s="1679"/>
      <c r="H31" s="1679"/>
      <c r="I31" s="1679"/>
      <c r="J31" s="1680"/>
      <c r="K31" s="1680"/>
      <c r="L31" s="1680"/>
      <c r="M31" s="1680"/>
    </row>
  </sheetData>
  <mergeCells count="175">
    <mergeCell ref="U6:W7"/>
    <mergeCell ref="C8:E8"/>
    <mergeCell ref="F8:I8"/>
    <mergeCell ref="J8:L8"/>
    <mergeCell ref="M8:P8"/>
    <mergeCell ref="Q8:R8"/>
    <mergeCell ref="S8:T8"/>
    <mergeCell ref="U8:W8"/>
    <mergeCell ref="B2:W2"/>
    <mergeCell ref="B5:D5"/>
    <mergeCell ref="E5:M5"/>
    <mergeCell ref="B6:B7"/>
    <mergeCell ref="C6:E7"/>
    <mergeCell ref="F6:I7"/>
    <mergeCell ref="J6:L7"/>
    <mergeCell ref="M6:P7"/>
    <mergeCell ref="Q6:R7"/>
    <mergeCell ref="S6:T7"/>
    <mergeCell ref="U9:W9"/>
    <mergeCell ref="C10:E10"/>
    <mergeCell ref="F10:I10"/>
    <mergeCell ref="J10:L10"/>
    <mergeCell ref="M10:P10"/>
    <mergeCell ref="Q10:R10"/>
    <mergeCell ref="S10:T10"/>
    <mergeCell ref="U10:W10"/>
    <mergeCell ref="C9:E9"/>
    <mergeCell ref="F9:I9"/>
    <mergeCell ref="J9:L9"/>
    <mergeCell ref="M9:P9"/>
    <mergeCell ref="Q9:R9"/>
    <mergeCell ref="S9:T9"/>
    <mergeCell ref="U11:W11"/>
    <mergeCell ref="C12:E12"/>
    <mergeCell ref="F12:I12"/>
    <mergeCell ref="J12:L12"/>
    <mergeCell ref="M12:P12"/>
    <mergeCell ref="Q12:R12"/>
    <mergeCell ref="S12:T12"/>
    <mergeCell ref="U12:W12"/>
    <mergeCell ref="C11:E11"/>
    <mergeCell ref="F11:I11"/>
    <mergeCell ref="J11:L11"/>
    <mergeCell ref="M11:P11"/>
    <mergeCell ref="Q11:R11"/>
    <mergeCell ref="S11:T11"/>
    <mergeCell ref="U13:W13"/>
    <mergeCell ref="C14:E14"/>
    <mergeCell ref="F14:I14"/>
    <mergeCell ref="J14:L14"/>
    <mergeCell ref="M14:P14"/>
    <mergeCell ref="Q14:R14"/>
    <mergeCell ref="S14:T14"/>
    <mergeCell ref="U14:W14"/>
    <mergeCell ref="C13:E13"/>
    <mergeCell ref="F13:I13"/>
    <mergeCell ref="J13:L13"/>
    <mergeCell ref="M13:P13"/>
    <mergeCell ref="Q13:R13"/>
    <mergeCell ref="S13:T13"/>
    <mergeCell ref="U15:W15"/>
    <mergeCell ref="C16:E16"/>
    <mergeCell ref="F16:I16"/>
    <mergeCell ref="J16:L16"/>
    <mergeCell ref="M16:P16"/>
    <mergeCell ref="Q16:R16"/>
    <mergeCell ref="S16:T16"/>
    <mergeCell ref="U16:W16"/>
    <mergeCell ref="C15:E15"/>
    <mergeCell ref="F15:I15"/>
    <mergeCell ref="J15:L15"/>
    <mergeCell ref="M15:P15"/>
    <mergeCell ref="Q15:R15"/>
    <mergeCell ref="S15:T15"/>
    <mergeCell ref="U17:W17"/>
    <mergeCell ref="C18:E18"/>
    <mergeCell ref="F18:I18"/>
    <mergeCell ref="J18:L18"/>
    <mergeCell ref="M18:P18"/>
    <mergeCell ref="Q18:R18"/>
    <mergeCell ref="S18:T18"/>
    <mergeCell ref="U18:W18"/>
    <mergeCell ref="C17:E17"/>
    <mergeCell ref="F17:I17"/>
    <mergeCell ref="J17:L17"/>
    <mergeCell ref="M17:P17"/>
    <mergeCell ref="Q17:R17"/>
    <mergeCell ref="S17:T17"/>
    <mergeCell ref="U19:W19"/>
    <mergeCell ref="C20:E20"/>
    <mergeCell ref="F20:I20"/>
    <mergeCell ref="J20:L20"/>
    <mergeCell ref="M20:P20"/>
    <mergeCell ref="Q20:R20"/>
    <mergeCell ref="S20:T20"/>
    <mergeCell ref="U20:W20"/>
    <mergeCell ref="C19:E19"/>
    <mergeCell ref="F19:I19"/>
    <mergeCell ref="J19:L19"/>
    <mergeCell ref="M19:P19"/>
    <mergeCell ref="Q19:R19"/>
    <mergeCell ref="S19:T19"/>
    <mergeCell ref="U21:W21"/>
    <mergeCell ref="C22:E22"/>
    <mergeCell ref="F22:I22"/>
    <mergeCell ref="J22:L22"/>
    <mergeCell ref="M22:P22"/>
    <mergeCell ref="Q22:R22"/>
    <mergeCell ref="S22:T22"/>
    <mergeCell ref="U22:W22"/>
    <mergeCell ref="C21:E21"/>
    <mergeCell ref="F21:I21"/>
    <mergeCell ref="J21:L21"/>
    <mergeCell ref="M21:P21"/>
    <mergeCell ref="Q21:R21"/>
    <mergeCell ref="S21:T21"/>
    <mergeCell ref="U23:W23"/>
    <mergeCell ref="C24:E24"/>
    <mergeCell ref="F24:I24"/>
    <mergeCell ref="J24:L24"/>
    <mergeCell ref="M24:P24"/>
    <mergeCell ref="Q24:R24"/>
    <mergeCell ref="S24:T24"/>
    <mergeCell ref="U24:W24"/>
    <mergeCell ref="C23:E23"/>
    <mergeCell ref="F23:I23"/>
    <mergeCell ref="J23:L23"/>
    <mergeCell ref="M23:P23"/>
    <mergeCell ref="Q23:R23"/>
    <mergeCell ref="S23:T23"/>
    <mergeCell ref="U25:W25"/>
    <mergeCell ref="C26:E26"/>
    <mergeCell ref="F26:I26"/>
    <mergeCell ref="J26:L26"/>
    <mergeCell ref="M26:P26"/>
    <mergeCell ref="Q26:R26"/>
    <mergeCell ref="S26:T26"/>
    <mergeCell ref="U26:W26"/>
    <mergeCell ref="C25:E25"/>
    <mergeCell ref="F25:I25"/>
    <mergeCell ref="J25:L25"/>
    <mergeCell ref="M25:P25"/>
    <mergeCell ref="Q25:R25"/>
    <mergeCell ref="S25:T25"/>
    <mergeCell ref="U27:W27"/>
    <mergeCell ref="C28:E28"/>
    <mergeCell ref="F28:I28"/>
    <mergeCell ref="J28:L28"/>
    <mergeCell ref="M28:P28"/>
    <mergeCell ref="Q28:R28"/>
    <mergeCell ref="S28:T28"/>
    <mergeCell ref="U28:W28"/>
    <mergeCell ref="C27:E27"/>
    <mergeCell ref="F27:I27"/>
    <mergeCell ref="J27:L27"/>
    <mergeCell ref="M27:P27"/>
    <mergeCell ref="Q27:R27"/>
    <mergeCell ref="S27:T27"/>
    <mergeCell ref="F31:I31"/>
    <mergeCell ref="J31:K31"/>
    <mergeCell ref="L31:M31"/>
    <mergeCell ref="U29:W29"/>
    <mergeCell ref="B30:E30"/>
    <mergeCell ref="F30:I30"/>
    <mergeCell ref="J30:L30"/>
    <mergeCell ref="M30:P30"/>
    <mergeCell ref="Q30:R30"/>
    <mergeCell ref="S30:T30"/>
    <mergeCell ref="U30:W30"/>
    <mergeCell ref="C29:E29"/>
    <mergeCell ref="F29:I29"/>
    <mergeCell ref="J29:L29"/>
    <mergeCell ref="M29:P29"/>
    <mergeCell ref="Q29:R29"/>
    <mergeCell ref="S29:T29"/>
  </mergeCells>
  <phoneticPr fontId="1" type="noConversion"/>
  <dataValidations count="1">
    <dataValidation type="list" allowBlank="1" showInputMessage="1" showErrorMessage="1" sqref="C983048:E983069 C65544:E65565 C131080:E131101 C196616:E196637 C262152:E262173 C327688:E327709 C393224:E393245 C458760:E458781 C524296:E524317 C589832:E589853 C655368:E655389 C720904:E720925 C786440:E786461 C851976:E851997 C917512:E917533">
      <formula1>$AD$8:$AD$18</formula1>
    </dataValidation>
  </dataValidations>
  <printOptions horizontalCentered="1"/>
  <pageMargins left="0.23622047244094491" right="0.23622047244094491" top="0.47244094488188981" bottom="0.47244094488188981" header="0.31496062992125984" footer="0.31496062992125984"/>
  <pageSetup paperSize="9" scale="95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Master!$K$1:$K$24</xm:f>
          </x14:formula1>
          <xm:sqref>C8:E29</xm:sqref>
        </x14:dataValidation>
        <x14:dataValidation type="list" allowBlank="1" showInputMessage="1" showErrorMessage="1">
          <x14:formula1>
            <xm:f>Master!$G$1:$G$2</xm:f>
          </x14:formula1>
          <xm:sqref>E5:M5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>
    <tabColor rgb="FFFFFF00"/>
    <pageSetUpPr fitToPage="1"/>
  </sheetPr>
  <dimension ref="A2:CI114"/>
  <sheetViews>
    <sheetView showGridLines="0" zoomScale="85" zoomScaleNormal="85" workbookViewId="0">
      <pane xSplit="4" ySplit="9" topLeftCell="E10" activePane="bottomRight" state="frozen"/>
      <selection activeCell="G80" sqref="G80"/>
      <selection pane="topRight" activeCell="G80" sqref="G80"/>
      <selection pane="bottomLeft" activeCell="G80" sqref="G80"/>
      <selection pane="bottomRight" activeCell="J16" sqref="J16"/>
    </sheetView>
  </sheetViews>
  <sheetFormatPr defaultRowHeight="16.899999999999999"/>
  <cols>
    <col min="1" max="1" width="2.8125" style="78" customWidth="1"/>
    <col min="2" max="2" width="3.5625" customWidth="1"/>
    <col min="3" max="3" width="19.5625" customWidth="1"/>
    <col min="4" max="4" width="14" customWidth="1"/>
    <col min="5" max="8" width="13" customWidth="1"/>
    <col min="9" max="10" width="11.8125" customWidth="1"/>
    <col min="11" max="11" width="13" customWidth="1"/>
    <col min="12" max="33" width="11.8125" customWidth="1"/>
    <col min="34" max="34" width="17.5" bestFit="1" customWidth="1"/>
  </cols>
  <sheetData>
    <row r="2" spans="1:87" ht="21" customHeight="1" thickBot="1">
      <c r="B2" s="79" t="s">
        <v>377</v>
      </c>
      <c r="J2" s="516"/>
    </row>
    <row r="3" spans="1:87" ht="18" customHeight="1">
      <c r="C3" s="854" t="s">
        <v>985</v>
      </c>
      <c r="D3" s="855" t="s">
        <v>704</v>
      </c>
      <c r="H3" s="506" t="s">
        <v>118</v>
      </c>
      <c r="I3" s="507" t="s">
        <v>507</v>
      </c>
      <c r="J3" s="516"/>
    </row>
    <row r="4" spans="1:87" ht="18" customHeight="1">
      <c r="C4" s="1119" t="s">
        <v>986</v>
      </c>
      <c r="D4" s="1120" t="s">
        <v>1156</v>
      </c>
      <c r="H4" s="508" t="s">
        <v>698</v>
      </c>
      <c r="I4" s="1090">
        <v>0.01</v>
      </c>
      <c r="J4" s="516"/>
    </row>
    <row r="5" spans="1:87" ht="18" customHeight="1" thickBot="1">
      <c r="C5" s="856" t="s">
        <v>699</v>
      </c>
      <c r="D5" s="857" t="s">
        <v>1171</v>
      </c>
      <c r="H5" s="509" t="s">
        <v>702</v>
      </c>
      <c r="I5" s="1091"/>
      <c r="J5" s="279"/>
    </row>
    <row r="6" spans="1:87" ht="18" customHeight="1">
      <c r="I6" s="853"/>
      <c r="J6" s="178"/>
      <c r="K6" s="279"/>
    </row>
    <row r="7" spans="1:87" s="78" customFormat="1" ht="28.8" customHeight="1">
      <c r="A7"/>
      <c r="B7" s="1721" t="s">
        <v>132</v>
      </c>
      <c r="C7" s="1722"/>
      <c r="D7" s="1727" t="s">
        <v>376</v>
      </c>
      <c r="E7" s="714" t="s">
        <v>913</v>
      </c>
      <c r="F7" s="1096" t="s">
        <v>913</v>
      </c>
      <c r="G7" s="1096" t="s">
        <v>913</v>
      </c>
      <c r="H7" s="1165" t="s">
        <v>913</v>
      </c>
      <c r="I7" s="1096" t="s">
        <v>913</v>
      </c>
      <c r="J7" s="1096" t="s">
        <v>913</v>
      </c>
      <c r="K7" s="1569" t="s">
        <v>914</v>
      </c>
      <c r="L7" s="1096" t="s">
        <v>665</v>
      </c>
      <c r="M7" s="1135" t="s">
        <v>665</v>
      </c>
      <c r="N7" s="1135" t="s">
        <v>665</v>
      </c>
      <c r="O7" s="748" t="s">
        <v>915</v>
      </c>
      <c r="P7" s="1096" t="s">
        <v>915</v>
      </c>
      <c r="Q7" s="1096" t="s">
        <v>915</v>
      </c>
      <c r="R7" s="1096" t="s">
        <v>915</v>
      </c>
      <c r="S7" s="714" t="s">
        <v>991</v>
      </c>
      <c r="T7" s="1601" t="s">
        <v>663</v>
      </c>
      <c r="U7" s="1601" t="s">
        <v>917</v>
      </c>
      <c r="V7" s="1569" t="s">
        <v>1002</v>
      </c>
      <c r="W7" s="1601" t="s">
        <v>927</v>
      </c>
      <c r="X7" s="1604" t="s">
        <v>928</v>
      </c>
      <c r="Y7" s="1601" t="s">
        <v>929</v>
      </c>
      <c r="Z7" s="1569" t="s">
        <v>930</v>
      </c>
      <c r="AA7" s="1569" t="s">
        <v>931</v>
      </c>
      <c r="AB7" s="1601" t="s">
        <v>1110</v>
      </c>
      <c r="AC7" s="1601" t="s">
        <v>965</v>
      </c>
      <c r="AD7" s="1601" t="s">
        <v>966</v>
      </c>
      <c r="AE7" s="1601" t="s">
        <v>935</v>
      </c>
      <c r="AF7" s="1601" t="s">
        <v>1122</v>
      </c>
      <c r="AG7" s="1601" t="s">
        <v>1061</v>
      </c>
      <c r="AH7" s="1569" t="s">
        <v>411</v>
      </c>
      <c r="CI7" s="77"/>
    </row>
    <row r="8" spans="1:87" s="707" customFormat="1" ht="18.7" customHeight="1">
      <c r="A8" s="657"/>
      <c r="B8" s="1723"/>
      <c r="C8" s="1724"/>
      <c r="D8" s="1728"/>
      <c r="E8" s="710" t="s">
        <v>618</v>
      </c>
      <c r="F8" s="710" t="s">
        <v>618</v>
      </c>
      <c r="G8" s="710" t="s">
        <v>618</v>
      </c>
      <c r="H8" s="710" t="s">
        <v>618</v>
      </c>
      <c r="I8" s="710" t="s">
        <v>618</v>
      </c>
      <c r="J8" s="710" t="s">
        <v>618</v>
      </c>
      <c r="K8" s="1570"/>
      <c r="L8" s="710" t="s">
        <v>618</v>
      </c>
      <c r="M8" s="710" t="s">
        <v>618</v>
      </c>
      <c r="N8" s="710" t="s">
        <v>618</v>
      </c>
      <c r="O8" s="710" t="s">
        <v>618</v>
      </c>
      <c r="P8" s="710" t="s">
        <v>618</v>
      </c>
      <c r="Q8" s="710" t="s">
        <v>618</v>
      </c>
      <c r="R8" s="710" t="s">
        <v>618</v>
      </c>
      <c r="S8" s="710" t="s">
        <v>990</v>
      </c>
      <c r="T8" s="1734"/>
      <c r="U8" s="1602"/>
      <c r="V8" s="1570"/>
      <c r="W8" s="1602"/>
      <c r="X8" s="1605"/>
      <c r="Y8" s="1602"/>
      <c r="Z8" s="1570"/>
      <c r="AA8" s="1570"/>
      <c r="AB8" s="1602"/>
      <c r="AC8" s="1602"/>
      <c r="AD8" s="1602"/>
      <c r="AE8" s="1602"/>
      <c r="AF8" s="1602"/>
      <c r="AG8" s="1602"/>
      <c r="AH8" s="1570"/>
      <c r="CI8" s="6"/>
    </row>
    <row r="9" spans="1:87" s="78" customFormat="1" ht="34.450000000000003" customHeight="1">
      <c r="A9"/>
      <c r="B9" s="1725"/>
      <c r="C9" s="1726"/>
      <c r="D9" s="1729"/>
      <c r="E9" s="609" t="s">
        <v>531</v>
      </c>
      <c r="F9" s="609" t="s">
        <v>521</v>
      </c>
      <c r="G9" s="610" t="s">
        <v>520</v>
      </c>
      <c r="H9" s="610" t="s">
        <v>523</v>
      </c>
      <c r="I9" s="610" t="s">
        <v>657</v>
      </c>
      <c r="J9" s="713" t="s">
        <v>108</v>
      </c>
      <c r="K9" s="1571"/>
      <c r="L9" s="610" t="s">
        <v>657</v>
      </c>
      <c r="M9" s="610" t="s">
        <v>1064</v>
      </c>
      <c r="N9" s="1134" t="s">
        <v>108</v>
      </c>
      <c r="O9" s="709" t="s">
        <v>532</v>
      </c>
      <c r="P9" s="709" t="s">
        <v>619</v>
      </c>
      <c r="Q9" s="709" t="s">
        <v>993</v>
      </c>
      <c r="R9" s="713" t="s">
        <v>617</v>
      </c>
      <c r="S9" s="709" t="s">
        <v>992</v>
      </c>
      <c r="T9" s="709" t="s">
        <v>994</v>
      </c>
      <c r="U9" s="1603"/>
      <c r="V9" s="1571"/>
      <c r="W9" s="1603"/>
      <c r="X9" s="1606"/>
      <c r="Y9" s="1603"/>
      <c r="Z9" s="1571"/>
      <c r="AA9" s="1571"/>
      <c r="AB9" s="1603"/>
      <c r="AC9" s="1603"/>
      <c r="AD9" s="1603"/>
      <c r="AE9" s="1603"/>
      <c r="AF9" s="1603"/>
      <c r="AG9" s="1603"/>
      <c r="AH9" s="1571"/>
      <c r="CI9" s="77"/>
    </row>
    <row r="10" spans="1:87" ht="18" customHeight="1">
      <c r="A10" s="657"/>
      <c r="B10" s="1730" t="s">
        <v>364</v>
      </c>
      <c r="C10" s="1731"/>
      <c r="D10" s="344">
        <f t="shared" ref="D10:J10" si="0">SUM(D11:D17)</f>
        <v>24600000</v>
      </c>
      <c r="E10" s="344">
        <f t="shared" si="0"/>
        <v>0</v>
      </c>
      <c r="F10" s="344">
        <f t="shared" si="0"/>
        <v>0</v>
      </c>
      <c r="G10" s="344">
        <f t="shared" si="0"/>
        <v>24600000</v>
      </c>
      <c r="H10" s="344">
        <f t="shared" ref="H10" si="1">SUM(H11:H17)</f>
        <v>0</v>
      </c>
      <c r="I10" s="344">
        <f t="shared" si="0"/>
        <v>0</v>
      </c>
      <c r="J10" s="344">
        <f t="shared" si="0"/>
        <v>24600000</v>
      </c>
      <c r="K10" s="1121"/>
      <c r="L10" s="344">
        <f>SUM(L11:L17)</f>
        <v>0</v>
      </c>
      <c r="M10" s="344">
        <f t="shared" ref="M10:AF10" si="2">SUM(M11:M17)</f>
        <v>0</v>
      </c>
      <c r="N10" s="344">
        <f t="shared" si="2"/>
        <v>0</v>
      </c>
      <c r="O10" s="344">
        <f t="shared" si="2"/>
        <v>0</v>
      </c>
      <c r="P10" s="344">
        <f t="shared" si="2"/>
        <v>0</v>
      </c>
      <c r="Q10" s="344">
        <f t="shared" si="2"/>
        <v>0</v>
      </c>
      <c r="R10" s="344">
        <f t="shared" si="2"/>
        <v>0</v>
      </c>
      <c r="S10" s="344">
        <f t="shared" si="2"/>
        <v>0</v>
      </c>
      <c r="T10" s="344">
        <f t="shared" si="2"/>
        <v>0</v>
      </c>
      <c r="U10" s="344">
        <f t="shared" si="2"/>
        <v>0</v>
      </c>
      <c r="V10" s="344">
        <f t="shared" si="2"/>
        <v>0</v>
      </c>
      <c r="W10" s="344">
        <f t="shared" si="2"/>
        <v>0</v>
      </c>
      <c r="X10" s="344">
        <f t="shared" si="2"/>
        <v>0</v>
      </c>
      <c r="Y10" s="344">
        <f t="shared" si="2"/>
        <v>0</v>
      </c>
      <c r="Z10" s="344">
        <f t="shared" si="2"/>
        <v>0</v>
      </c>
      <c r="AA10" s="344">
        <f t="shared" si="2"/>
        <v>0</v>
      </c>
      <c r="AB10" s="344">
        <f t="shared" si="2"/>
        <v>0</v>
      </c>
      <c r="AC10" s="344">
        <f t="shared" si="2"/>
        <v>0</v>
      </c>
      <c r="AD10" s="344">
        <f t="shared" si="2"/>
        <v>0</v>
      </c>
      <c r="AE10" s="344">
        <f t="shared" si="2"/>
        <v>0</v>
      </c>
      <c r="AF10" s="344">
        <f t="shared" si="2"/>
        <v>0</v>
      </c>
      <c r="AG10" s="344">
        <f t="shared" ref="AG10" si="3">SUM(AG11:AG17)</f>
        <v>0</v>
      </c>
      <c r="AH10" s="262"/>
    </row>
    <row r="11" spans="1:87" ht="18" customHeight="1">
      <c r="A11"/>
      <c r="B11" s="267"/>
      <c r="C11" s="268" t="s">
        <v>365</v>
      </c>
      <c r="D11" s="345">
        <f t="shared" ref="D11:D17" si="4">SUM(J11:K11,R11:AG11,N11)</f>
        <v>24600000</v>
      </c>
      <c r="E11" s="673"/>
      <c r="F11" s="674"/>
      <c r="G11" s="674">
        <v>24600000</v>
      </c>
      <c r="H11" s="674"/>
      <c r="I11" s="674"/>
      <c r="J11" s="346">
        <f t="shared" ref="J11:J17" si="5">SUM(E11:I11)</f>
        <v>24600000</v>
      </c>
      <c r="K11" s="1122"/>
      <c r="L11" s="674"/>
      <c r="M11" s="673"/>
      <c r="N11" s="1140">
        <f>SUM(L11:M11)</f>
        <v>0</v>
      </c>
      <c r="O11" s="674"/>
      <c r="P11" s="673"/>
      <c r="Q11" s="674"/>
      <c r="R11" s="346">
        <f>SUM(O11:Q11)</f>
        <v>0</v>
      </c>
      <c r="S11" s="674"/>
      <c r="T11" s="674"/>
      <c r="U11" s="674"/>
      <c r="V11" s="674"/>
      <c r="W11" s="674"/>
      <c r="X11" s="674"/>
      <c r="Y11" s="674"/>
      <c r="Z11" s="674"/>
      <c r="AA11" s="674"/>
      <c r="AB11" s="674"/>
      <c r="AC11" s="674"/>
      <c r="AD11" s="674"/>
      <c r="AE11" s="674"/>
      <c r="AF11" s="674"/>
      <c r="AG11" s="674"/>
      <c r="AH11" s="675"/>
    </row>
    <row r="12" spans="1:87" ht="18" customHeight="1">
      <c r="A12" s="657"/>
      <c r="B12" s="267"/>
      <c r="C12" s="269" t="s">
        <v>366</v>
      </c>
      <c r="D12" s="347">
        <f t="shared" si="4"/>
        <v>0</v>
      </c>
      <c r="E12" s="673"/>
      <c r="F12" s="673"/>
      <c r="G12" s="673"/>
      <c r="H12" s="673"/>
      <c r="I12" s="673"/>
      <c r="J12" s="348">
        <f t="shared" si="5"/>
        <v>0</v>
      </c>
      <c r="K12" s="1123"/>
      <c r="L12" s="673"/>
      <c r="M12" s="673"/>
      <c r="N12" s="1141">
        <f t="shared" ref="N12:N17" si="6">SUM(L12:M12)</f>
        <v>0</v>
      </c>
      <c r="O12" s="673"/>
      <c r="P12" s="673"/>
      <c r="Q12" s="673"/>
      <c r="R12" s="348">
        <f t="shared" ref="R12:R17" si="7">SUM(O12:Q12)</f>
        <v>0</v>
      </c>
      <c r="S12" s="673"/>
      <c r="T12" s="673"/>
      <c r="U12" s="673"/>
      <c r="V12" s="673"/>
      <c r="W12" s="673"/>
      <c r="X12" s="673"/>
      <c r="Y12" s="673"/>
      <c r="Z12" s="673"/>
      <c r="AA12" s="673"/>
      <c r="AB12" s="673"/>
      <c r="AC12" s="673"/>
      <c r="AD12" s="673"/>
      <c r="AE12" s="673"/>
      <c r="AF12" s="673"/>
      <c r="AG12" s="673"/>
      <c r="AH12" s="676"/>
    </row>
    <row r="13" spans="1:87" ht="18" customHeight="1">
      <c r="A13"/>
      <c r="B13" s="267"/>
      <c r="C13" s="269" t="s">
        <v>367</v>
      </c>
      <c r="D13" s="347">
        <f t="shared" si="4"/>
        <v>0</v>
      </c>
      <c r="E13" s="673"/>
      <c r="F13" s="673"/>
      <c r="G13" s="673"/>
      <c r="H13" s="673"/>
      <c r="I13" s="673"/>
      <c r="J13" s="348">
        <f t="shared" si="5"/>
        <v>0</v>
      </c>
      <c r="K13" s="1123"/>
      <c r="L13" s="673"/>
      <c r="M13" s="673"/>
      <c r="N13" s="1141">
        <f t="shared" si="6"/>
        <v>0</v>
      </c>
      <c r="O13" s="673"/>
      <c r="P13" s="673"/>
      <c r="Q13" s="673"/>
      <c r="R13" s="348">
        <f t="shared" si="7"/>
        <v>0</v>
      </c>
      <c r="S13" s="673"/>
      <c r="T13" s="673"/>
      <c r="U13" s="673"/>
      <c r="V13" s="673"/>
      <c r="W13" s="673"/>
      <c r="X13" s="673"/>
      <c r="Y13" s="673"/>
      <c r="Z13" s="673"/>
      <c r="AA13" s="673"/>
      <c r="AB13" s="673"/>
      <c r="AC13" s="673"/>
      <c r="AD13" s="673"/>
      <c r="AE13" s="673"/>
      <c r="AF13" s="673"/>
      <c r="AG13" s="673"/>
      <c r="AH13" s="676"/>
    </row>
    <row r="14" spans="1:87" ht="18" customHeight="1">
      <c r="A14" s="657"/>
      <c r="B14" s="267"/>
      <c r="C14" s="269" t="s">
        <v>949</v>
      </c>
      <c r="D14" s="347">
        <f t="shared" si="4"/>
        <v>0</v>
      </c>
      <c r="E14" s="673"/>
      <c r="F14" s="673"/>
      <c r="G14" s="673"/>
      <c r="H14" s="673"/>
      <c r="I14" s="673"/>
      <c r="J14" s="348">
        <f t="shared" si="5"/>
        <v>0</v>
      </c>
      <c r="K14" s="1123"/>
      <c r="L14" s="673"/>
      <c r="M14" s="673"/>
      <c r="N14" s="1141">
        <f t="shared" si="6"/>
        <v>0</v>
      </c>
      <c r="O14" s="673"/>
      <c r="P14" s="673"/>
      <c r="Q14" s="673"/>
      <c r="R14" s="348">
        <f>SUM(O14:Q14)</f>
        <v>0</v>
      </c>
      <c r="S14" s="673"/>
      <c r="T14" s="673"/>
      <c r="U14" s="673"/>
      <c r="V14" s="673"/>
      <c r="W14" s="673"/>
      <c r="X14" s="673"/>
      <c r="Y14" s="673"/>
      <c r="Z14" s="673"/>
      <c r="AA14" s="673"/>
      <c r="AB14" s="673"/>
      <c r="AC14" s="673"/>
      <c r="AD14" s="673"/>
      <c r="AE14" s="673"/>
      <c r="AF14" s="673"/>
      <c r="AG14" s="673"/>
      <c r="AH14" s="676"/>
    </row>
    <row r="15" spans="1:87" ht="18" customHeight="1">
      <c r="A15" s="657"/>
      <c r="B15" s="267"/>
      <c r="C15" s="269" t="s">
        <v>1099</v>
      </c>
      <c r="D15" s="347">
        <f t="shared" si="4"/>
        <v>0</v>
      </c>
      <c r="E15" s="673"/>
      <c r="F15" s="673"/>
      <c r="G15" s="673"/>
      <c r="H15" s="673"/>
      <c r="I15" s="673"/>
      <c r="J15" s="348">
        <f t="shared" si="5"/>
        <v>0</v>
      </c>
      <c r="K15" s="1123"/>
      <c r="L15" s="673"/>
      <c r="M15" s="673"/>
      <c r="N15" s="1141">
        <f t="shared" si="6"/>
        <v>0</v>
      </c>
      <c r="O15" s="673"/>
      <c r="P15" s="673"/>
      <c r="Q15" s="673"/>
      <c r="R15" s="348">
        <f>SUM(O15:Q15)</f>
        <v>0</v>
      </c>
      <c r="S15" s="673"/>
      <c r="T15" s="673"/>
      <c r="U15" s="673"/>
      <c r="V15" s="673"/>
      <c r="W15" s="673"/>
      <c r="X15" s="673"/>
      <c r="Y15" s="673"/>
      <c r="Z15" s="673"/>
      <c r="AA15" s="673"/>
      <c r="AB15" s="673"/>
      <c r="AC15" s="673"/>
      <c r="AD15" s="673"/>
      <c r="AE15" s="673"/>
      <c r="AF15" s="673"/>
      <c r="AG15" s="673"/>
      <c r="AH15" s="676"/>
    </row>
    <row r="16" spans="1:87" ht="18" customHeight="1">
      <c r="A16" s="657"/>
      <c r="B16" s="267"/>
      <c r="C16" s="269" t="s">
        <v>368</v>
      </c>
      <c r="D16" s="347">
        <f t="shared" si="4"/>
        <v>0</v>
      </c>
      <c r="E16" s="673"/>
      <c r="F16" s="673"/>
      <c r="G16" s="673"/>
      <c r="H16" s="673"/>
      <c r="I16" s="673"/>
      <c r="J16" s="348">
        <f t="shared" si="5"/>
        <v>0</v>
      </c>
      <c r="K16" s="1123"/>
      <c r="L16" s="673"/>
      <c r="M16" s="673"/>
      <c r="N16" s="1141">
        <f t="shared" si="6"/>
        <v>0</v>
      </c>
      <c r="O16" s="673"/>
      <c r="P16" s="673"/>
      <c r="Q16" s="673"/>
      <c r="R16" s="348">
        <f t="shared" si="7"/>
        <v>0</v>
      </c>
      <c r="S16" s="673"/>
      <c r="T16" s="673"/>
      <c r="U16" s="673"/>
      <c r="V16" s="673"/>
      <c r="W16" s="673"/>
      <c r="X16" s="673"/>
      <c r="Y16" s="673"/>
      <c r="Z16" s="673"/>
      <c r="AA16" s="673"/>
      <c r="AB16" s="673"/>
      <c r="AC16" s="673"/>
      <c r="AD16" s="673"/>
      <c r="AE16" s="673"/>
      <c r="AF16" s="673"/>
      <c r="AG16" s="673"/>
      <c r="AH16" s="676"/>
    </row>
    <row r="17" spans="1:34" ht="18" customHeight="1">
      <c r="A17"/>
      <c r="B17" s="267"/>
      <c r="C17" s="269" t="s">
        <v>1024</v>
      </c>
      <c r="D17" s="347">
        <f t="shared" si="4"/>
        <v>0</v>
      </c>
      <c r="E17" s="673"/>
      <c r="F17" s="673"/>
      <c r="G17" s="673"/>
      <c r="H17" s="673"/>
      <c r="I17" s="673"/>
      <c r="J17" s="348">
        <f t="shared" si="5"/>
        <v>0</v>
      </c>
      <c r="K17" s="1123"/>
      <c r="L17" s="673"/>
      <c r="M17" s="673"/>
      <c r="N17" s="1141">
        <f t="shared" si="6"/>
        <v>0</v>
      </c>
      <c r="O17" s="673"/>
      <c r="P17" s="673"/>
      <c r="Q17" s="673"/>
      <c r="R17" s="348">
        <f t="shared" si="7"/>
        <v>0</v>
      </c>
      <c r="S17" s="673"/>
      <c r="T17" s="673"/>
      <c r="U17" s="673"/>
      <c r="V17" s="673"/>
      <c r="W17" s="673"/>
      <c r="X17" s="673"/>
      <c r="Y17" s="673"/>
      <c r="Z17" s="673"/>
      <c r="AA17" s="673"/>
      <c r="AB17" s="673"/>
      <c r="AC17" s="673"/>
      <c r="AD17" s="673"/>
      <c r="AE17" s="673"/>
      <c r="AF17" s="673"/>
      <c r="AG17" s="673"/>
      <c r="AH17" s="676"/>
    </row>
    <row r="18" spans="1:34" ht="18" customHeight="1">
      <c r="A18" s="657"/>
      <c r="B18" s="1730" t="s">
        <v>369</v>
      </c>
      <c r="C18" s="1731"/>
      <c r="D18" s="349">
        <f t="shared" ref="D18:AF18" si="8">SUM(D19:D24)</f>
        <v>13828985</v>
      </c>
      <c r="E18" s="349">
        <f t="shared" si="8"/>
        <v>0</v>
      </c>
      <c r="F18" s="349">
        <f t="shared" si="8"/>
        <v>0</v>
      </c>
      <c r="G18" s="349">
        <f t="shared" si="8"/>
        <v>13828985</v>
      </c>
      <c r="H18" s="349">
        <f t="shared" ref="H18" si="9">SUM(H19:H24)</f>
        <v>0</v>
      </c>
      <c r="I18" s="349">
        <f t="shared" si="8"/>
        <v>0</v>
      </c>
      <c r="J18" s="349">
        <f t="shared" si="8"/>
        <v>13828985</v>
      </c>
      <c r="K18" s="349">
        <f t="shared" si="8"/>
        <v>0</v>
      </c>
      <c r="L18" s="349">
        <f>SUM(L19:L24)</f>
        <v>0</v>
      </c>
      <c r="M18" s="349">
        <f>SUM(M19:M24)</f>
        <v>0</v>
      </c>
      <c r="N18" s="349">
        <f>SUM(N19:N24)</f>
        <v>0</v>
      </c>
      <c r="O18" s="349">
        <f t="shared" si="8"/>
        <v>0</v>
      </c>
      <c r="P18" s="349">
        <f t="shared" si="8"/>
        <v>0</v>
      </c>
      <c r="Q18" s="349">
        <f t="shared" si="8"/>
        <v>0</v>
      </c>
      <c r="R18" s="349">
        <f t="shared" si="8"/>
        <v>0</v>
      </c>
      <c r="S18" s="349">
        <f t="shared" si="8"/>
        <v>0</v>
      </c>
      <c r="T18" s="349">
        <f>SUM(T19:T24)</f>
        <v>0</v>
      </c>
      <c r="U18" s="349">
        <f t="shared" si="8"/>
        <v>0</v>
      </c>
      <c r="V18" s="349">
        <f t="shared" si="8"/>
        <v>0</v>
      </c>
      <c r="W18" s="349">
        <f t="shared" si="8"/>
        <v>0</v>
      </c>
      <c r="X18" s="349">
        <f t="shared" si="8"/>
        <v>0</v>
      </c>
      <c r="Y18" s="349">
        <f t="shared" si="8"/>
        <v>0</v>
      </c>
      <c r="Z18" s="349">
        <f t="shared" si="8"/>
        <v>0</v>
      </c>
      <c r="AA18" s="349">
        <f t="shared" si="8"/>
        <v>0</v>
      </c>
      <c r="AB18" s="349">
        <f t="shared" si="8"/>
        <v>0</v>
      </c>
      <c r="AC18" s="349">
        <f t="shared" si="8"/>
        <v>0</v>
      </c>
      <c r="AD18" s="349">
        <f t="shared" si="8"/>
        <v>0</v>
      </c>
      <c r="AE18" s="349">
        <f t="shared" si="8"/>
        <v>0</v>
      </c>
      <c r="AF18" s="349">
        <f t="shared" si="8"/>
        <v>0</v>
      </c>
      <c r="AG18" s="349">
        <f t="shared" ref="AG18" si="10">SUM(AG19:AG24)</f>
        <v>0</v>
      </c>
      <c r="AH18" s="265"/>
    </row>
    <row r="19" spans="1:34" ht="18" customHeight="1">
      <c r="A19"/>
      <c r="B19" s="267"/>
      <c r="C19" s="268" t="s">
        <v>370</v>
      </c>
      <c r="D19" s="345">
        <f t="shared" ref="D19:D24" si="11">SUM(J19:K19,R19:AG19,N19)</f>
        <v>0</v>
      </c>
      <c r="E19" s="345">
        <f>SUMIFS('3. 외주비&amp;재료비'!$J$24:$J$37,'3. 외주비&amp;재료비'!$C$24:$C$37,'5. 수주액 상세'!E$9,'3. 외주비&amp;재료비'!$D$24:$D$37,'5. 수주액 상세'!E$7)</f>
        <v>0</v>
      </c>
      <c r="F19" s="345">
        <f>SUMIFS('3. 외주비&amp;재료비'!$J$24:$J$37,'3. 외주비&amp;재료비'!$C$24:$C$37,'5. 수주액 상세'!F$9,'3. 외주비&amp;재료비'!$D$24:$D$37,'5. 수주액 상세'!F$7)</f>
        <v>0</v>
      </c>
      <c r="G19" s="345">
        <f>SUMIFS('3. 외주비&amp;재료비'!$J$24:$J$37,'3. 외주비&amp;재료비'!$C$24:$C$37,'5. 수주액 상세'!G$9,'3. 외주비&amp;재료비'!$D$24:$D$37,'5. 수주액 상세'!G$7)</f>
        <v>0</v>
      </c>
      <c r="H19" s="345">
        <f>SUMIFS('3. 외주비&amp;재료비'!$J$24:$J$37,'3. 외주비&amp;재료비'!$C$24:$C$37,'5. 수주액 상세'!H$9,'3. 외주비&amp;재료비'!$D$24:$D$37,'5. 수주액 상세'!H$7)</f>
        <v>0</v>
      </c>
      <c r="I19" s="345">
        <f>SUMIFS('3. 외주비&amp;재료비'!$J$24:$J$37,'3. 외주비&amp;재료비'!$C$24:$C$37,'5. 수주액 상세'!I$9,'3. 외주비&amp;재료비'!$D$24:$D$37,'5. 수주액 상세'!I$7)</f>
        <v>0</v>
      </c>
      <c r="J19" s="345">
        <f t="shared" ref="J19:J24" si="12">SUM(E19:I19)</f>
        <v>0</v>
      </c>
      <c r="K19" s="345">
        <f>SUMIF('3. 외주비&amp;재료비'!$D$24:$D$37,'5. 수주액 상세'!K$7,'3. 외주비&amp;재료비'!$J$24:$J$37)</f>
        <v>0</v>
      </c>
      <c r="L19" s="345">
        <f>SUMIFS('3. 외주비&amp;재료비'!$J$24:$J$37,'3. 외주비&amp;재료비'!$C$24:$C$37,'5. 수주액 상세'!L$9,'3. 외주비&amp;재료비'!$D$24:$D$37,'5. 수주액 상세'!L$7)</f>
        <v>0</v>
      </c>
      <c r="M19" s="345">
        <f>N19-L19</f>
        <v>0</v>
      </c>
      <c r="N19" s="345">
        <f>SUMIF('3. 외주비&amp;재료비'!$D$24:$D$37,'5. 수주액 상세'!N$7,'3. 외주비&amp;재료비'!$J$24:$J$37)-SUMIFS('3. 외주비&amp;재료비'!$J$24:$J$37,'3. 외주비&amp;재료비'!$E$24:$E$37,"유지보수",'3. 외주비&amp;재료비'!$D$24:$D$37,'5. 수주액 상세'!$N$7)</f>
        <v>0</v>
      </c>
      <c r="O19" s="345">
        <f>SUMIFS('3. 외주비&amp;재료비'!$J$24:$J$37,'3. 외주비&amp;재료비'!$C$24:$C$37,'5. 수주액 상세'!O$9,'3. 외주비&amp;재료비'!$D$24:$D$37,'5. 수주액 상세'!O$7)</f>
        <v>0</v>
      </c>
      <c r="P19" s="345">
        <f>SUMIFS('3. 외주비&amp;재료비'!$J$24:$J$37,'3. 외주비&amp;재료비'!$C$24:$C$37,'5. 수주액 상세'!P$9,'3. 외주비&amp;재료비'!$D$24:$D$37,'5. 수주액 상세'!P$7)</f>
        <v>0</v>
      </c>
      <c r="Q19" s="345">
        <f>SUMIF('3. 외주비&amp;재료비'!$D$24:$D$37,'5. 수주액 상세'!Q$7,'3. 외주비&amp;재료비'!$J$24:$J$37)-O19-P19</f>
        <v>0</v>
      </c>
      <c r="R19" s="345">
        <f>SUM(O19:Q19)</f>
        <v>0</v>
      </c>
      <c r="S19" s="345">
        <f>SUMIFS('3. 외주비&amp;재료비'!$J$24:$J$37,'3. 외주비&amp;재료비'!$D$24:$D$37,'5. 수주액 상세'!S$7)</f>
        <v>0</v>
      </c>
      <c r="T19" s="345">
        <f>SUMIF('3. 외주비&amp;재료비'!$D$24:$D$37,'5. 수주액 상세'!T$7,'3. 외주비&amp;재료비'!$J$24:$J$37)</f>
        <v>0</v>
      </c>
      <c r="U19" s="345">
        <f>SUMIF('3. 외주비&amp;재료비'!$D$24:$D$37,'5. 수주액 상세'!U$7,'3. 외주비&amp;재료비'!$J$24:$J$37)</f>
        <v>0</v>
      </c>
      <c r="V19" s="345">
        <f>SUMIF('3. 외주비&amp;재료비'!$D$24:$D$37,'5. 수주액 상세'!V$7,'3. 외주비&amp;재료비'!$J$24:$J$37)</f>
        <v>0</v>
      </c>
      <c r="W19" s="345">
        <f>SUMIF('3. 외주비&amp;재료비'!$D$24:$D$37,'5. 수주액 상세'!W$7,'3. 외주비&amp;재료비'!$J$24:$J$37)</f>
        <v>0</v>
      </c>
      <c r="X19" s="345">
        <f>SUMIF('3. 외주비&amp;재료비'!$D$24:$D$37,'5. 수주액 상세'!X$7,'3. 외주비&amp;재료비'!$J$24:$J$37)</f>
        <v>0</v>
      </c>
      <c r="Y19" s="345">
        <f>SUMIF('3. 외주비&amp;재료비'!$D$24:$D$37,'5. 수주액 상세'!Y$7,'3. 외주비&amp;재료비'!$J$24:$J$37)</f>
        <v>0</v>
      </c>
      <c r="Z19" s="345">
        <f>SUMIF('3. 외주비&amp;재료비'!$D$24:$D$37,'5. 수주액 상세'!Z$7,'3. 외주비&amp;재료비'!$J$24:$J$37)</f>
        <v>0</v>
      </c>
      <c r="AA19" s="345">
        <f>SUMIF('3. 외주비&amp;재료비'!$D$24:$D$37,'5. 수주액 상세'!AA$7,'3. 외주비&amp;재료비'!$J$24:$J$37)</f>
        <v>0</v>
      </c>
      <c r="AB19" s="345">
        <f>SUMIF('3. 외주비&amp;재료비'!$D$24:$D$37,'5. 수주액 상세'!AB$7,'3. 외주비&amp;재료비'!$J$24:$J$37)</f>
        <v>0</v>
      </c>
      <c r="AC19" s="345">
        <f>SUMIF('3. 외주비&amp;재료비'!$D$24:$D$37,'5. 수주액 상세'!AC$7,'3. 외주비&amp;재료비'!$J$24:$J$37)</f>
        <v>0</v>
      </c>
      <c r="AD19" s="345">
        <f>SUMIF('3. 외주비&amp;재료비'!$D$24:$D$37,'5. 수주액 상세'!AD$7,'3. 외주비&amp;재료비'!$J$24:$J$37)</f>
        <v>0</v>
      </c>
      <c r="AE19" s="345">
        <f>SUMIF('3. 외주비&amp;재료비'!$D$24:$D$37,'5. 수주액 상세'!AE$7,'3. 외주비&amp;재료비'!$J$24:$J$37)</f>
        <v>0</v>
      </c>
      <c r="AF19" s="345">
        <f>SUMIF('3. 외주비&amp;재료비'!$D$24:$D$37,'5. 수주액 상세'!AF$7,'3. 외주비&amp;재료비'!$J$24:$J$37)</f>
        <v>0</v>
      </c>
      <c r="AG19" s="345">
        <f>SUMIF('3. 외주비&amp;재료비'!$D$24:$D$37,'5. 수주액 상세'!AG$7,'3. 외주비&amp;재료비'!$J$24:$J$37)</f>
        <v>0</v>
      </c>
      <c r="AH19" s="263"/>
    </row>
    <row r="20" spans="1:34" ht="18" customHeight="1">
      <c r="A20" s="657"/>
      <c r="B20" s="267"/>
      <c r="C20" s="269" t="s">
        <v>371</v>
      </c>
      <c r="D20" s="347">
        <f t="shared" si="11"/>
        <v>9220418</v>
      </c>
      <c r="E20" s="347">
        <f>SUMIFS('2. 인건비'!$I$13:$I$52,'2. 인건비'!$C$13:$C$52,'5. 수주액 상세'!E$9,'2. 인건비'!$D$13:$D$52,'5. 수주액 상세'!E$7)</f>
        <v>0</v>
      </c>
      <c r="F20" s="347">
        <f>SUMIFS('2. 인건비'!$I$13:$I$52,'2. 인건비'!$C$13:$C$52,'5. 수주액 상세'!F$9,'2. 인건비'!$D$13:$D$52,'5. 수주액 상세'!F$7)</f>
        <v>0</v>
      </c>
      <c r="G20" s="347">
        <f>SUMIFS('2. 인건비'!$I$13:$I$52,'2. 인건비'!$C$13:$C$52,'5. 수주액 상세'!G$9,'2. 인건비'!$D$13:$D$52,'5. 수주액 상세'!G$7)</f>
        <v>9220418</v>
      </c>
      <c r="H20" s="347">
        <f>SUMIFS('2. 인건비'!$I$13:$I$52,'2. 인건비'!$C$13:$C$52,'5. 수주액 상세'!H$9,'2. 인건비'!$D$13:$D$52,'5. 수주액 상세'!H$7)</f>
        <v>0</v>
      </c>
      <c r="I20" s="347">
        <f>SUMIFS('2. 인건비'!$I$13:$I$52,'2. 인건비'!$C$13:$C$52,'5. 수주액 상세'!I$9,'2. 인건비'!$D$13:$D$52,'5. 수주액 상세'!I$7)</f>
        <v>0</v>
      </c>
      <c r="J20" s="347">
        <f t="shared" si="12"/>
        <v>9220418</v>
      </c>
      <c r="K20" s="347">
        <f>SUMIF('2. 인건비'!$D$13:$D$52,'5. 수주액 상세'!K$7,'2. 인건비'!$I$13:$I$52)</f>
        <v>0</v>
      </c>
      <c r="L20" s="347">
        <f>SUMIFS('2. 인건비'!$I:$I,'2. 인건비'!$C:$C,'5. 수주액 상세'!$L$9,'2. 인건비'!$D:$D,'5. 수주액 상세'!$L$7,'2. 인건비'!$E:$E,"서비스")</f>
        <v>0</v>
      </c>
      <c r="M20" s="347">
        <f>N20-L20</f>
        <v>0</v>
      </c>
      <c r="N20" s="347">
        <f>SUMIF('2. 인건비'!$D$13:$D$52,'5. 수주액 상세'!N$7,'2. 인건비'!$I$13:$I$52)</f>
        <v>0</v>
      </c>
      <c r="O20" s="347">
        <f>SUMIFS('2. 인건비'!$I$13:$I$52,'2. 인건비'!$C$13:$C$52,'5. 수주액 상세'!O$9,'2. 인건비'!$D$13:$D$52,'5. 수주액 상세'!O$7)</f>
        <v>0</v>
      </c>
      <c r="P20" s="347">
        <f>SUMIFS('2. 인건비'!$I$13:$I$52,'2. 인건비'!$C$13:$C$52,'5. 수주액 상세'!P$9,'2. 인건비'!$D$13:$D$52,'5. 수주액 상세'!P$7)</f>
        <v>0</v>
      </c>
      <c r="Q20" s="347">
        <f>SUMIF('2. 인건비'!$D$13:$D$52,'5. 수주액 상세'!Q$7,'2. 인건비'!$I$13:$I$52)-O20-P20</f>
        <v>0</v>
      </c>
      <c r="R20" s="347">
        <f t="shared" ref="R20:R24" si="13">SUM(O20:Q20)</f>
        <v>0</v>
      </c>
      <c r="S20" s="347">
        <f>SUMIF('2. 인건비'!$D$13:$D$52,'5. 수주액 상세'!S$7,'2. 인건비'!$I$13:$I$52)</f>
        <v>0</v>
      </c>
      <c r="T20" s="347">
        <f>SUMIF('2. 인건비'!$D$13:$D$52,'5. 수주액 상세'!T$7,'2. 인건비'!$I$13:$I$52)</f>
        <v>0</v>
      </c>
      <c r="U20" s="347">
        <f>SUMIF('2. 인건비'!$D$13:$D$52,'5. 수주액 상세'!U$7,'2. 인건비'!$I$13:$I$52)</f>
        <v>0</v>
      </c>
      <c r="V20" s="347">
        <f>SUMIF('2. 인건비'!$D$13:$D$52,'5. 수주액 상세'!V$7,'2. 인건비'!$I$13:$I$52)</f>
        <v>0</v>
      </c>
      <c r="W20" s="347">
        <f>SUMIF('2. 인건비'!$D$13:$D$52,'5. 수주액 상세'!W$7,'2. 인건비'!$I$13:$I$52)</f>
        <v>0</v>
      </c>
      <c r="X20" s="347">
        <f>SUMIF('2. 인건비'!$D$13:$D$52,'5. 수주액 상세'!X$7,'2. 인건비'!$I$13:$I$52)</f>
        <v>0</v>
      </c>
      <c r="Y20" s="347">
        <f>SUMIF('2. 인건비'!$D$13:$D$52,'5. 수주액 상세'!Y$7,'2. 인건비'!$I$13:$I$52)</f>
        <v>0</v>
      </c>
      <c r="Z20" s="347">
        <f>SUMIF('2. 인건비'!$D$13:$D$52,'5. 수주액 상세'!Z$7,'2. 인건비'!$I$13:$I$52)</f>
        <v>0</v>
      </c>
      <c r="AA20" s="347">
        <f>SUMIF('2. 인건비'!$D$13:$D$52,'5. 수주액 상세'!AA$7,'2. 인건비'!$I$13:$I$52)</f>
        <v>0</v>
      </c>
      <c r="AB20" s="347">
        <f>SUMIF('2. 인건비'!$D$13:$D$52,'5. 수주액 상세'!AB$7,'2. 인건비'!$I$13:$I$52)</f>
        <v>0</v>
      </c>
      <c r="AC20" s="347">
        <f>SUMIF('2. 인건비'!$D$13:$D$52,'5. 수주액 상세'!AC$7,'2. 인건비'!$I$13:$I$52)</f>
        <v>0</v>
      </c>
      <c r="AD20" s="347">
        <f>SUMIF('2. 인건비'!$D$13:$D$52,'5. 수주액 상세'!AD$7,'2. 인건비'!$I$13:$I$52)</f>
        <v>0</v>
      </c>
      <c r="AE20" s="347">
        <f>SUMIF('2. 인건비'!$D$13:$D$52,'5. 수주액 상세'!AE$7,'2. 인건비'!$I$13:$I$52)</f>
        <v>0</v>
      </c>
      <c r="AF20" s="347">
        <f>SUMIF('2. 인건비'!$D$13:$D$52,'5. 수주액 상세'!AF$7,'2. 인건비'!$I$13:$I$52)</f>
        <v>0</v>
      </c>
      <c r="AG20" s="347">
        <f>SUMIF('2. 인건비'!$D$13:$D$52,'5. 수주액 상세'!AG$7,'2. 인건비'!$I$13:$I$52)</f>
        <v>0</v>
      </c>
      <c r="AH20" s="264"/>
    </row>
    <row r="21" spans="1:34" ht="18" customHeight="1">
      <c r="A21"/>
      <c r="B21" s="267"/>
      <c r="C21" s="269" t="s">
        <v>374</v>
      </c>
      <c r="D21" s="347">
        <f t="shared" si="11"/>
        <v>817567</v>
      </c>
      <c r="E21" s="347">
        <f>SUMIFS('2. 인건비'!$J$13:$J$52,'2. 인건비'!$C$13:$C$52,'5. 수주액 상세'!E$9,'2. 인건비'!$D$13:$D$52,'5. 수주액 상세'!E$7)</f>
        <v>0</v>
      </c>
      <c r="F21" s="347">
        <f>SUMIFS('2. 인건비'!$J$13:$J$52,'2. 인건비'!$C$13:$C$52,'5. 수주액 상세'!F$9,'2. 인건비'!$D$13:$D$52,'5. 수주액 상세'!F$7)</f>
        <v>0</v>
      </c>
      <c r="G21" s="347">
        <f>SUMIFS('2. 인건비'!$J$13:$J$52,'2. 인건비'!$C$13:$C$52,'5. 수주액 상세'!G$9,'2. 인건비'!$D$13:$D$52,'5. 수주액 상세'!G$7)</f>
        <v>817567</v>
      </c>
      <c r="H21" s="347">
        <f>SUMIFS('2. 인건비'!$J$13:$J$52,'2. 인건비'!$C$13:$C$52,'5. 수주액 상세'!H$9,'2. 인건비'!$D$13:$D$52,'5. 수주액 상세'!H$7)</f>
        <v>0</v>
      </c>
      <c r="I21" s="347">
        <f>SUMIFS('2. 인건비'!$J$13:$J$52,'2. 인건비'!$C$13:$C$52,'5. 수주액 상세'!I$9,'2. 인건비'!$D$13:$D$52,'5. 수주액 상세'!I$7)</f>
        <v>0</v>
      </c>
      <c r="J21" s="347">
        <f t="shared" si="12"/>
        <v>817567</v>
      </c>
      <c r="K21" s="347">
        <f>SUMIF('2. 인건비'!$D$13:$D$52,'5. 수주액 상세'!K$7,'2. 인건비'!$J$13:$J$52)</f>
        <v>0</v>
      </c>
      <c r="L21" s="347">
        <f>SUMIFS('2. 인건비'!$J:$J,'2. 인건비'!$C:$C,'5. 수주액 상세'!$L$9,'2. 인건비'!$D:$D,'5. 수주액 상세'!$L$7,'2. 인건비'!$E:$E,"서비스")</f>
        <v>0</v>
      </c>
      <c r="M21" s="347">
        <f t="shared" ref="M21:M24" si="14">N21-L21</f>
        <v>0</v>
      </c>
      <c r="N21" s="347">
        <f>SUMIF('2. 인건비'!$D$13:$D$52,'5. 수주액 상세'!N$7,'2. 인건비'!$J$13:$J$52)</f>
        <v>0</v>
      </c>
      <c r="O21" s="347">
        <f>SUMIFS('2. 인건비'!$J$13:$J$52,'2. 인건비'!$C$13:$C$52,'5. 수주액 상세'!O$9,'2. 인건비'!$D$13:$D$52,'5. 수주액 상세'!O$7)</f>
        <v>0</v>
      </c>
      <c r="P21" s="347">
        <f>SUMIFS('2. 인건비'!$J$13:$J$52,'2. 인건비'!$C$13:$C$52,'5. 수주액 상세'!P$9,'2. 인건비'!$D$13:$D$52,'5. 수주액 상세'!P$7)</f>
        <v>0</v>
      </c>
      <c r="Q21" s="347">
        <f>SUMIF('2. 인건비'!$D$13:$D$52,'5. 수주액 상세'!Q$7,'2. 인건비'!$J$13:$J$52)-O21-P21</f>
        <v>0</v>
      </c>
      <c r="R21" s="347">
        <f t="shared" si="13"/>
        <v>0</v>
      </c>
      <c r="S21" s="347">
        <f>SUMIFS('2. 인건비'!$J$13:$J$52,'2. 인건비'!$D$13:$D$52,'5. 수주액 상세'!S$7)</f>
        <v>0</v>
      </c>
      <c r="T21" s="347">
        <f>SUMIF('2. 인건비'!$D$13:$D$52,'5. 수주액 상세'!T$7,'2. 인건비'!$J$13:$J$52)</f>
        <v>0</v>
      </c>
      <c r="U21" s="347">
        <f>SUMIF('2. 인건비'!$D$13:$D$52,'5. 수주액 상세'!U$7,'2. 인건비'!$J$13:$J$52)</f>
        <v>0</v>
      </c>
      <c r="V21" s="347">
        <f>SUMIF('2. 인건비'!$D$13:$D$52,'5. 수주액 상세'!V$7,'2. 인건비'!$J$13:$J$52)</f>
        <v>0</v>
      </c>
      <c r="W21" s="347">
        <f>SUMIF('2. 인건비'!$D$13:$D$52,'5. 수주액 상세'!W$7,'2. 인건비'!$J$13:$J$52)</f>
        <v>0</v>
      </c>
      <c r="X21" s="347">
        <f>SUMIF('2. 인건비'!$D$13:$D$52,'5. 수주액 상세'!X$7,'2. 인건비'!$J$13:$J$52)</f>
        <v>0</v>
      </c>
      <c r="Y21" s="347">
        <f>SUMIF('2. 인건비'!$D$13:$D$52,'5. 수주액 상세'!Y$7,'2. 인건비'!$J$13:$J$52)</f>
        <v>0</v>
      </c>
      <c r="Z21" s="347">
        <f>SUMIF('2. 인건비'!$D$13:$D$52,'5. 수주액 상세'!Z$7,'2. 인건비'!$J$13:$J$52)</f>
        <v>0</v>
      </c>
      <c r="AA21" s="347">
        <f>SUMIF('2. 인건비'!$D$13:$D$52,'5. 수주액 상세'!AA$7,'2. 인건비'!$J$13:$J$52)</f>
        <v>0</v>
      </c>
      <c r="AB21" s="347">
        <f>SUMIF('2. 인건비'!$D$13:$D$52,'5. 수주액 상세'!AB$7,'2. 인건비'!$J$13:$J$52)</f>
        <v>0</v>
      </c>
      <c r="AC21" s="347">
        <f>SUMIF('2. 인건비'!$D$13:$D$52,'5. 수주액 상세'!AC$7,'2. 인건비'!$J$13:$J$52)</f>
        <v>0</v>
      </c>
      <c r="AD21" s="347">
        <f>SUMIF('2. 인건비'!$D$13:$D$52,'5. 수주액 상세'!AD$7,'2. 인건비'!$J$13:$J$52)</f>
        <v>0</v>
      </c>
      <c r="AE21" s="347">
        <f>SUMIF('2. 인건비'!$D$13:$D$52,'5. 수주액 상세'!AE$7,'2. 인건비'!$J$13:$J$52)</f>
        <v>0</v>
      </c>
      <c r="AF21" s="347">
        <f>SUMIF('2. 인건비'!$D$13:$D$52,'5. 수주액 상세'!AF$7,'2. 인건비'!$J$13:$J$52)</f>
        <v>0</v>
      </c>
      <c r="AG21" s="347">
        <f>SUMIF('2. 인건비'!$D$13:$D$52,'5. 수주액 상세'!AG$7,'2. 인건비'!$J$13:$J$52)</f>
        <v>0</v>
      </c>
      <c r="AH21" s="264"/>
    </row>
    <row r="22" spans="1:34" ht="18" customHeight="1">
      <c r="A22" s="657"/>
      <c r="B22" s="267"/>
      <c r="C22" s="269" t="s">
        <v>372</v>
      </c>
      <c r="D22" s="347">
        <f t="shared" si="11"/>
        <v>0</v>
      </c>
      <c r="E22" s="347">
        <f>SUMIFS('3. 외주비&amp;재료비'!$I$6:$I$17,'3. 외주비&amp;재료비'!$C$6:$C$17,'5. 수주액 상세'!E$9,'3. 외주비&amp;재료비'!$D$6:$D$17,'5. 수주액 상세'!E$7)</f>
        <v>0</v>
      </c>
      <c r="F22" s="347">
        <f>SUMIFS('3. 외주비&amp;재료비'!$I$6:$I$17,'3. 외주비&amp;재료비'!$C$6:$C$17,'5. 수주액 상세'!F$9,'3. 외주비&amp;재료비'!$D$6:$D$17,'5. 수주액 상세'!F$7)</f>
        <v>0</v>
      </c>
      <c r="G22" s="347">
        <f>SUMIFS('3. 외주비&amp;재료비'!$I$6:$I$17,'3. 외주비&amp;재료비'!$C$6:$C$17,'5. 수주액 상세'!G$9,'3. 외주비&amp;재료비'!$D$6:$D$17,'5. 수주액 상세'!G$7)</f>
        <v>0</v>
      </c>
      <c r="H22" s="347">
        <f>SUMIFS('3. 외주비&amp;재료비'!$I$6:$I$17,'3. 외주비&amp;재료비'!$C$6:$C$17,'5. 수주액 상세'!H$9,'3. 외주비&amp;재료비'!$D$6:$D$17,'5. 수주액 상세'!H$7)</f>
        <v>0</v>
      </c>
      <c r="I22" s="347">
        <f>SUMIFS('3. 외주비&amp;재료비'!$I$6:$I$17,'3. 외주비&amp;재료비'!$C$6:$C$17,'5. 수주액 상세'!I$9,'3. 외주비&amp;재료비'!$D$6:$D$17,'5. 수주액 상세'!I$7)</f>
        <v>0</v>
      </c>
      <c r="J22" s="347">
        <f t="shared" si="12"/>
        <v>0</v>
      </c>
      <c r="K22" s="347">
        <f>SUMIF('3. 외주비&amp;재료비'!$D$6:$D$17,'5. 수주액 상세'!K$7,'3. 외주비&amp;재료비'!$I$6:$I$17)</f>
        <v>0</v>
      </c>
      <c r="L22" s="347">
        <f>SUMIFS('3. 외주비&amp;재료비'!$I$6:$I$17,'3. 외주비&amp;재료비'!$C$6:$C$17,'5. 수주액 상세'!L$9,'3. 외주비&amp;재료비'!$D$6:$D$17,'5. 수주액 상세'!L$7)</f>
        <v>0</v>
      </c>
      <c r="M22" s="347">
        <f t="shared" si="14"/>
        <v>0</v>
      </c>
      <c r="N22" s="347">
        <f>SUMIF('3. 외주비&amp;재료비'!$D$6:$D$17,'5. 수주액 상세'!N$7,'3. 외주비&amp;재료비'!$I$6:$I$17)+SUMIFS('3. 외주비&amp;재료비'!$J$24:$J$37,'3. 외주비&amp;재료비'!$E$24:$E$37,"유지보수",'3. 외주비&amp;재료비'!$D$24:$D$37,'5. 수주액 상세'!$N$7)</f>
        <v>0</v>
      </c>
      <c r="O22" s="347">
        <f>SUMIFS('3. 외주비&amp;재료비'!$I$6:$I$17,'3. 외주비&amp;재료비'!$C$6:$C$17,'5. 수주액 상세'!O$9,'3. 외주비&amp;재료비'!$D$6:$D$17,'5. 수주액 상세'!O$7)</f>
        <v>0</v>
      </c>
      <c r="P22" s="347">
        <f>SUMIFS('3. 외주비&amp;재료비'!$I$6:$I$17,'3. 외주비&amp;재료비'!$C$6:$C$17,'5. 수주액 상세'!P$9,'3. 외주비&amp;재료비'!$D$6:$D$17,'5. 수주액 상세'!P$7)</f>
        <v>0</v>
      </c>
      <c r="Q22" s="347">
        <f>SUMIF('3. 외주비&amp;재료비'!$D$6:$D$17,'5. 수주액 상세'!Q$7,'3. 외주비&amp;재료비'!$I$6:$I$17)-O22-P22</f>
        <v>0</v>
      </c>
      <c r="R22" s="347">
        <f t="shared" si="13"/>
        <v>0</v>
      </c>
      <c r="S22" s="347">
        <f>SUMIF('3. 외주비&amp;재료비'!$D$6:$D$17,'5. 수주액 상세'!S$7,'3. 외주비&amp;재료비'!$I$6:$I$17)</f>
        <v>0</v>
      </c>
      <c r="T22" s="347">
        <f>SUMIF('3. 외주비&amp;재료비'!$D$6:$D$17,'5. 수주액 상세'!T$7,'3. 외주비&amp;재료비'!$I$6:$I$17)</f>
        <v>0</v>
      </c>
      <c r="U22" s="347">
        <f>SUMIF('3. 외주비&amp;재료비'!$D$6:$D$17,'5. 수주액 상세'!U$7,'3. 외주비&amp;재료비'!$I$6:$I$17)</f>
        <v>0</v>
      </c>
      <c r="V22" s="347">
        <f>SUMIF('3. 외주비&amp;재료비'!$D$6:$D$17,'5. 수주액 상세'!V$7,'3. 외주비&amp;재료비'!$I$6:$I$17)</f>
        <v>0</v>
      </c>
      <c r="W22" s="347">
        <f>SUMIF('3. 외주비&amp;재료비'!$D$6:$D$17,'5. 수주액 상세'!W$7,'3. 외주비&amp;재료비'!$I$6:$I$17)</f>
        <v>0</v>
      </c>
      <c r="X22" s="347">
        <f>SUMIF('3. 외주비&amp;재료비'!$D$6:$D$17,'5. 수주액 상세'!X$7,'3. 외주비&amp;재료비'!$I$6:$I$17)</f>
        <v>0</v>
      </c>
      <c r="Y22" s="347">
        <f>SUMIF('3. 외주비&amp;재료비'!$D$6:$D$17,'5. 수주액 상세'!Y$7,'3. 외주비&amp;재료비'!$I$6:$I$17)</f>
        <v>0</v>
      </c>
      <c r="Z22" s="347">
        <f>SUMIF('3. 외주비&amp;재료비'!$D$6:$D$17,'5. 수주액 상세'!Z$7,'3. 외주비&amp;재료비'!$I$6:$I$17)</f>
        <v>0</v>
      </c>
      <c r="AA22" s="347">
        <f>SUMIF('3. 외주비&amp;재료비'!$D$6:$D$17,'5. 수주액 상세'!AA$7,'3. 외주비&amp;재료비'!$I$6:$I$17)</f>
        <v>0</v>
      </c>
      <c r="AB22" s="347">
        <f>SUMIF('3. 외주비&amp;재료비'!$D$6:$D$17,'5. 수주액 상세'!AB$7,'3. 외주비&amp;재료비'!$I$6:$I$17)</f>
        <v>0</v>
      </c>
      <c r="AC22" s="347">
        <f>SUMIF('3. 외주비&amp;재료비'!$D$6:$D$17,'5. 수주액 상세'!AC$7,'3. 외주비&amp;재료비'!$I$6:$I$17)</f>
        <v>0</v>
      </c>
      <c r="AD22" s="347">
        <f>SUMIF('3. 외주비&amp;재료비'!$D$6:$D$17,'5. 수주액 상세'!AD$7,'3. 외주비&amp;재료비'!$I$6:$I$17)</f>
        <v>0</v>
      </c>
      <c r="AE22" s="347">
        <f>SUMIF('3. 외주비&amp;재료비'!$D$6:$D$17,'5. 수주액 상세'!AE$7,'3. 외주비&amp;재료비'!$I$6:$I$17)</f>
        <v>0</v>
      </c>
      <c r="AF22" s="347">
        <f>SUMIF('3. 외주비&amp;재료비'!$D$6:$D$17,'5. 수주액 상세'!AF$7,'3. 외주비&amp;재료비'!$I$6:$I$17)</f>
        <v>0</v>
      </c>
      <c r="AG22" s="347">
        <f>SUMIF('3. 외주비&amp;재료비'!$D$6:$D$17,'5. 수주액 상세'!AG$7,'3. 외주비&amp;재료비'!$I$6:$I$17)</f>
        <v>0</v>
      </c>
      <c r="AH22" s="264"/>
    </row>
    <row r="23" spans="1:34" ht="18" customHeight="1">
      <c r="A23"/>
      <c r="B23" s="267"/>
      <c r="C23" s="269" t="s">
        <v>373</v>
      </c>
      <c r="D23" s="347">
        <f t="shared" si="11"/>
        <v>3545000</v>
      </c>
      <c r="E23" s="347">
        <f>'4. 경비(실비정산성경비)'!F21</f>
        <v>0</v>
      </c>
      <c r="F23" s="347">
        <f>'4. 경비(실비정산성경비)'!G21</f>
        <v>0</v>
      </c>
      <c r="G23" s="347">
        <f>'4. 경비(실비정산성경비)'!H21</f>
        <v>3545000</v>
      </c>
      <c r="H23" s="347">
        <f>'4. 경비(실비정산성경비)'!I21</f>
        <v>0</v>
      </c>
      <c r="I23" s="347">
        <f>'4. 경비(실비정산성경비)'!J21</f>
        <v>0</v>
      </c>
      <c r="J23" s="347">
        <f t="shared" si="12"/>
        <v>3545000</v>
      </c>
      <c r="K23" s="347">
        <f>'4. 경비(실비정산성경비)'!L21</f>
        <v>0</v>
      </c>
      <c r="L23" s="347">
        <f>'4. 경비(실비정산성경비)'!M21</f>
        <v>0</v>
      </c>
      <c r="M23" s="347">
        <f t="shared" si="14"/>
        <v>0</v>
      </c>
      <c r="N23" s="347">
        <f>'4. 경비(실비정산성경비)'!O21</f>
        <v>0</v>
      </c>
      <c r="O23" s="347">
        <f>'4. 경비(실비정산성경비)'!P21</f>
        <v>0</v>
      </c>
      <c r="P23" s="347">
        <f>'4. 경비(실비정산성경비)'!Q21</f>
        <v>0</v>
      </c>
      <c r="Q23" s="347">
        <f>'4. 경비(실비정산성경비)'!R21</f>
        <v>0</v>
      </c>
      <c r="R23" s="347">
        <f>'4. 경비(실비정산성경비)'!S21</f>
        <v>0</v>
      </c>
      <c r="S23" s="347">
        <f>'4. 경비(실비정산성경비)'!T21</f>
        <v>0</v>
      </c>
      <c r="T23" s="347">
        <f>'4. 경비(실비정산성경비)'!U21</f>
        <v>0</v>
      </c>
      <c r="U23" s="347">
        <f>'4. 경비(실비정산성경비)'!V21</f>
        <v>0</v>
      </c>
      <c r="V23" s="347">
        <f>'4. 경비(실비정산성경비)'!W21</f>
        <v>0</v>
      </c>
      <c r="W23" s="347">
        <f>'4. 경비(실비정산성경비)'!X21</f>
        <v>0</v>
      </c>
      <c r="X23" s="347">
        <f>'4. 경비(실비정산성경비)'!Y21</f>
        <v>0</v>
      </c>
      <c r="Y23" s="347">
        <f>'4. 경비(실비정산성경비)'!Z21</f>
        <v>0</v>
      </c>
      <c r="Z23" s="347">
        <f>'4. 경비(실비정산성경비)'!AA21</f>
        <v>0</v>
      </c>
      <c r="AA23" s="347">
        <f>'4. 경비(실비정산성경비)'!AB21</f>
        <v>0</v>
      </c>
      <c r="AB23" s="347">
        <f>'4. 경비(실비정산성경비)'!AC21</f>
        <v>0</v>
      </c>
      <c r="AC23" s="347">
        <f>'4. 경비(실비정산성경비)'!AD21</f>
        <v>0</v>
      </c>
      <c r="AD23" s="347">
        <f>'4. 경비(실비정산성경비)'!AE21</f>
        <v>0</v>
      </c>
      <c r="AE23" s="347">
        <f>'4. 경비(실비정산성경비)'!AF21</f>
        <v>0</v>
      </c>
      <c r="AF23" s="347">
        <f>'4. 경비(실비정산성경비)'!AG21</f>
        <v>0</v>
      </c>
      <c r="AG23" s="347">
        <f>'4. 경비(실비정산성경비)'!AH21</f>
        <v>0</v>
      </c>
      <c r="AH23" s="264"/>
    </row>
    <row r="24" spans="1:34" ht="18" customHeight="1">
      <c r="A24"/>
      <c r="B24" s="270"/>
      <c r="C24" s="271" t="s">
        <v>304</v>
      </c>
      <c r="D24" s="350">
        <f t="shared" si="11"/>
        <v>246000</v>
      </c>
      <c r="E24" s="350">
        <f>SUM(E38:E42)</f>
        <v>0</v>
      </c>
      <c r="F24" s="350">
        <f>SUM(F38:F42)</f>
        <v>0</v>
      </c>
      <c r="G24" s="350">
        <f>SUM(G38:G42)</f>
        <v>246000</v>
      </c>
      <c r="H24" s="350">
        <f>SUM(H38:H42)</f>
        <v>0</v>
      </c>
      <c r="I24" s="350">
        <f>SUM(I38:I42)</f>
        <v>0</v>
      </c>
      <c r="J24" s="350">
        <f t="shared" si="12"/>
        <v>246000</v>
      </c>
      <c r="K24" s="350">
        <f>SUM(K38:K42)</f>
        <v>0</v>
      </c>
      <c r="L24" s="350">
        <f>SUM(L38:L42)</f>
        <v>0</v>
      </c>
      <c r="M24" s="350">
        <f t="shared" si="14"/>
        <v>0</v>
      </c>
      <c r="N24" s="350">
        <f>SUM(N38:N42)</f>
        <v>0</v>
      </c>
      <c r="O24" s="350">
        <f>SUM(O38:O42)</f>
        <v>0</v>
      </c>
      <c r="P24" s="350">
        <f>SUM(P38:P42)</f>
        <v>0</v>
      </c>
      <c r="Q24" s="350">
        <f>SUM(Q38:Q42)</f>
        <v>0</v>
      </c>
      <c r="R24" s="350">
        <f t="shared" si="13"/>
        <v>0</v>
      </c>
      <c r="S24" s="350">
        <f t="shared" ref="S24:AG24" si="15">SUM(S38:S42)</f>
        <v>0</v>
      </c>
      <c r="T24" s="350">
        <f t="shared" si="15"/>
        <v>0</v>
      </c>
      <c r="U24" s="350">
        <f t="shared" si="15"/>
        <v>0</v>
      </c>
      <c r="V24" s="350">
        <f t="shared" si="15"/>
        <v>0</v>
      </c>
      <c r="W24" s="350">
        <f t="shared" si="15"/>
        <v>0</v>
      </c>
      <c r="X24" s="350">
        <f t="shared" si="15"/>
        <v>0</v>
      </c>
      <c r="Y24" s="350">
        <f t="shared" si="15"/>
        <v>0</v>
      </c>
      <c r="Z24" s="350">
        <f t="shared" si="15"/>
        <v>0</v>
      </c>
      <c r="AA24" s="350">
        <f t="shared" si="15"/>
        <v>0</v>
      </c>
      <c r="AB24" s="350">
        <f t="shared" si="15"/>
        <v>0</v>
      </c>
      <c r="AC24" s="350">
        <f t="shared" si="15"/>
        <v>0</v>
      </c>
      <c r="AD24" s="350">
        <f t="shared" si="15"/>
        <v>0</v>
      </c>
      <c r="AE24" s="350">
        <f t="shared" si="15"/>
        <v>0</v>
      </c>
      <c r="AF24" s="350">
        <f t="shared" si="15"/>
        <v>0</v>
      </c>
      <c r="AG24" s="350">
        <f t="shared" si="15"/>
        <v>0</v>
      </c>
      <c r="AH24" s="266"/>
    </row>
    <row r="25" spans="1:34" ht="18" customHeight="1">
      <c r="A25" s="657"/>
      <c r="B25" s="1730" t="s">
        <v>375</v>
      </c>
      <c r="C25" s="1731"/>
      <c r="D25" s="347">
        <f t="shared" ref="D25:AF25" si="16">D10-D18</f>
        <v>10771015</v>
      </c>
      <c r="E25" s="347">
        <f t="shared" si="16"/>
        <v>0</v>
      </c>
      <c r="F25" s="347">
        <f t="shared" si="16"/>
        <v>0</v>
      </c>
      <c r="G25" s="347">
        <f t="shared" si="16"/>
        <v>10771015</v>
      </c>
      <c r="H25" s="347">
        <f t="shared" ref="H25" si="17">H10-H18</f>
        <v>0</v>
      </c>
      <c r="I25" s="347">
        <f t="shared" si="16"/>
        <v>0</v>
      </c>
      <c r="J25" s="347">
        <f t="shared" si="16"/>
        <v>10771015</v>
      </c>
      <c r="K25" s="347">
        <f t="shared" si="16"/>
        <v>0</v>
      </c>
      <c r="L25" s="347">
        <f>L10-L18</f>
        <v>0</v>
      </c>
      <c r="M25" s="347">
        <f t="shared" si="16"/>
        <v>0</v>
      </c>
      <c r="N25" s="347">
        <f t="shared" ref="N25" si="18">N10-N18</f>
        <v>0</v>
      </c>
      <c r="O25" s="347">
        <f t="shared" si="16"/>
        <v>0</v>
      </c>
      <c r="P25" s="347">
        <f t="shared" si="16"/>
        <v>0</v>
      </c>
      <c r="Q25" s="347">
        <f t="shared" si="16"/>
        <v>0</v>
      </c>
      <c r="R25" s="347">
        <f t="shared" si="16"/>
        <v>0</v>
      </c>
      <c r="S25" s="347">
        <f t="shared" si="16"/>
        <v>0</v>
      </c>
      <c r="T25" s="347">
        <f t="shared" si="16"/>
        <v>0</v>
      </c>
      <c r="U25" s="347">
        <f t="shared" si="16"/>
        <v>0</v>
      </c>
      <c r="V25" s="347">
        <f t="shared" si="16"/>
        <v>0</v>
      </c>
      <c r="W25" s="347">
        <f t="shared" si="16"/>
        <v>0</v>
      </c>
      <c r="X25" s="347">
        <f t="shared" si="16"/>
        <v>0</v>
      </c>
      <c r="Y25" s="347">
        <f t="shared" si="16"/>
        <v>0</v>
      </c>
      <c r="Z25" s="347">
        <f t="shared" si="16"/>
        <v>0</v>
      </c>
      <c r="AA25" s="347">
        <f t="shared" si="16"/>
        <v>0</v>
      </c>
      <c r="AB25" s="347">
        <f t="shared" si="16"/>
        <v>0</v>
      </c>
      <c r="AC25" s="347">
        <f t="shared" si="16"/>
        <v>0</v>
      </c>
      <c r="AD25" s="347">
        <f t="shared" si="16"/>
        <v>0</v>
      </c>
      <c r="AE25" s="347">
        <f t="shared" si="16"/>
        <v>0</v>
      </c>
      <c r="AF25" s="347">
        <f t="shared" si="16"/>
        <v>0</v>
      </c>
      <c r="AG25" s="347">
        <f t="shared" ref="AG25" si="19">AG10-AG18</f>
        <v>0</v>
      </c>
      <c r="AH25" s="264"/>
    </row>
    <row r="26" spans="1:34" ht="18" customHeight="1">
      <c r="A26"/>
      <c r="B26" s="1732" t="s">
        <v>378</v>
      </c>
      <c r="C26" s="1733"/>
      <c r="D26" s="273">
        <f t="shared" ref="D26:AF26" si="20">IFERROR(D25/D10,0)</f>
        <v>0.43784613821138213</v>
      </c>
      <c r="E26" s="273">
        <f t="shared" si="20"/>
        <v>0</v>
      </c>
      <c r="F26" s="273">
        <f t="shared" si="20"/>
        <v>0</v>
      </c>
      <c r="G26" s="273">
        <f t="shared" si="20"/>
        <v>0.43784613821138213</v>
      </c>
      <c r="H26" s="273">
        <f t="shared" ref="H26" si="21">IFERROR(H25/H10,0)</f>
        <v>0</v>
      </c>
      <c r="I26" s="273">
        <f t="shared" si="20"/>
        <v>0</v>
      </c>
      <c r="J26" s="273">
        <f t="shared" si="20"/>
        <v>0.43784613821138213</v>
      </c>
      <c r="K26" s="273">
        <f t="shared" si="20"/>
        <v>0</v>
      </c>
      <c r="L26" s="273">
        <f>IFERROR(L25/L10,0)</f>
        <v>0</v>
      </c>
      <c r="M26" s="273">
        <f t="shared" si="20"/>
        <v>0</v>
      </c>
      <c r="N26" s="273">
        <f t="shared" ref="N26" si="22">IFERROR(N25/N10,0)</f>
        <v>0</v>
      </c>
      <c r="O26" s="273">
        <f t="shared" si="20"/>
        <v>0</v>
      </c>
      <c r="P26" s="273">
        <f t="shared" si="20"/>
        <v>0</v>
      </c>
      <c r="Q26" s="273">
        <f t="shared" si="20"/>
        <v>0</v>
      </c>
      <c r="R26" s="273">
        <f t="shared" si="20"/>
        <v>0</v>
      </c>
      <c r="S26" s="273">
        <f t="shared" si="20"/>
        <v>0</v>
      </c>
      <c r="T26" s="273">
        <f t="shared" si="20"/>
        <v>0</v>
      </c>
      <c r="U26" s="273">
        <f t="shared" si="20"/>
        <v>0</v>
      </c>
      <c r="V26" s="273">
        <f t="shared" si="20"/>
        <v>0</v>
      </c>
      <c r="W26" s="273">
        <f t="shared" si="20"/>
        <v>0</v>
      </c>
      <c r="X26" s="273">
        <f t="shared" si="20"/>
        <v>0</v>
      </c>
      <c r="Y26" s="273">
        <f t="shared" si="20"/>
        <v>0</v>
      </c>
      <c r="Z26" s="273">
        <f t="shared" si="20"/>
        <v>0</v>
      </c>
      <c r="AA26" s="273">
        <f t="shared" si="20"/>
        <v>0</v>
      </c>
      <c r="AB26" s="273">
        <f t="shared" si="20"/>
        <v>0</v>
      </c>
      <c r="AC26" s="273">
        <f t="shared" si="20"/>
        <v>0</v>
      </c>
      <c r="AD26" s="273">
        <f t="shared" si="20"/>
        <v>0</v>
      </c>
      <c r="AE26" s="273">
        <f t="shared" si="20"/>
        <v>0</v>
      </c>
      <c r="AF26" s="273">
        <f t="shared" si="20"/>
        <v>0</v>
      </c>
      <c r="AG26" s="273">
        <f t="shared" ref="AG26" si="23">IFERROR(AG25/AG10,0)</f>
        <v>0</v>
      </c>
      <c r="AH26" s="266"/>
    </row>
    <row r="27" spans="1:34" ht="18" hidden="1" customHeight="1">
      <c r="A27" s="657"/>
      <c r="B27" s="272"/>
      <c r="C27" s="861" t="s">
        <v>306</v>
      </c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347"/>
      <c r="AB27" s="347"/>
      <c r="AC27" s="347"/>
      <c r="AD27" s="347"/>
      <c r="AE27" s="347"/>
      <c r="AF27" s="347"/>
      <c r="AG27" s="347"/>
      <c r="AH27" s="264"/>
    </row>
    <row r="28" spans="1:34" ht="18" hidden="1" customHeight="1">
      <c r="A28"/>
      <c r="B28" s="270"/>
      <c r="C28" s="274" t="s">
        <v>378</v>
      </c>
      <c r="D28" s="273">
        <f t="shared" ref="D28:AF28" si="24">IFERROR(D27/D10,0)</f>
        <v>0</v>
      </c>
      <c r="E28" s="273">
        <f t="shared" si="24"/>
        <v>0</v>
      </c>
      <c r="F28" s="273">
        <f t="shared" si="24"/>
        <v>0</v>
      </c>
      <c r="G28" s="273">
        <f t="shared" si="24"/>
        <v>0</v>
      </c>
      <c r="H28" s="273"/>
      <c r="I28" s="273">
        <f t="shared" si="24"/>
        <v>0</v>
      </c>
      <c r="J28" s="273">
        <f t="shared" si="24"/>
        <v>0</v>
      </c>
      <c r="K28" s="273">
        <f t="shared" si="24"/>
        <v>0</v>
      </c>
      <c r="L28" s="273">
        <f>IFERROR(L27/L10,0)</f>
        <v>0</v>
      </c>
      <c r="M28" s="273">
        <f t="shared" si="24"/>
        <v>0</v>
      </c>
      <c r="N28" s="273"/>
      <c r="O28" s="273">
        <f t="shared" si="24"/>
        <v>0</v>
      </c>
      <c r="P28" s="273">
        <f t="shared" si="24"/>
        <v>0</v>
      </c>
      <c r="Q28" s="273">
        <f t="shared" si="24"/>
        <v>0</v>
      </c>
      <c r="R28" s="273">
        <f t="shared" si="24"/>
        <v>0</v>
      </c>
      <c r="S28" s="273">
        <f t="shared" si="24"/>
        <v>0</v>
      </c>
      <c r="T28" s="273">
        <f t="shared" si="24"/>
        <v>0</v>
      </c>
      <c r="U28" s="273">
        <f t="shared" si="24"/>
        <v>0</v>
      </c>
      <c r="V28" s="273">
        <f t="shared" si="24"/>
        <v>0</v>
      </c>
      <c r="W28" s="273">
        <f t="shared" si="24"/>
        <v>0</v>
      </c>
      <c r="X28" s="273">
        <f t="shared" si="24"/>
        <v>0</v>
      </c>
      <c r="Y28" s="273">
        <f t="shared" si="24"/>
        <v>0</v>
      </c>
      <c r="Z28" s="273">
        <f t="shared" si="24"/>
        <v>0</v>
      </c>
      <c r="AA28" s="273">
        <f t="shared" si="24"/>
        <v>0</v>
      </c>
      <c r="AB28" s="273">
        <f t="shared" si="24"/>
        <v>0</v>
      </c>
      <c r="AC28" s="273">
        <f t="shared" si="24"/>
        <v>0</v>
      </c>
      <c r="AD28" s="273">
        <f t="shared" si="24"/>
        <v>0</v>
      </c>
      <c r="AE28" s="273">
        <f t="shared" si="24"/>
        <v>0</v>
      </c>
      <c r="AF28" s="273">
        <f t="shared" si="24"/>
        <v>0</v>
      </c>
      <c r="AG28" s="273">
        <f t="shared" ref="AG28" si="25">IFERROR(AG27/AG10,0)</f>
        <v>0</v>
      </c>
      <c r="AH28" s="266"/>
    </row>
    <row r="29" spans="1:34" ht="18" customHeight="1">
      <c r="A29" s="657"/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</row>
    <row r="30" spans="1:34" ht="18" hidden="1" customHeight="1">
      <c r="A30"/>
      <c r="B30" s="166"/>
      <c r="C30" s="166" t="s">
        <v>379</v>
      </c>
      <c r="D30" s="351"/>
      <c r="E30" s="351">
        <f t="shared" ref="E30:AF30" si="26">E11+E12</f>
        <v>0</v>
      </c>
      <c r="F30" s="351">
        <f t="shared" si="26"/>
        <v>0</v>
      </c>
      <c r="G30" s="351">
        <f t="shared" si="26"/>
        <v>24600000</v>
      </c>
      <c r="H30" s="351"/>
      <c r="I30" s="351">
        <f t="shared" si="26"/>
        <v>0</v>
      </c>
      <c r="J30" s="351">
        <f t="shared" si="26"/>
        <v>24600000</v>
      </c>
      <c r="K30" s="351">
        <f t="shared" si="26"/>
        <v>0</v>
      </c>
      <c r="L30" s="351">
        <f>L11+L12</f>
        <v>0</v>
      </c>
      <c r="M30" s="351">
        <f t="shared" si="26"/>
        <v>0</v>
      </c>
      <c r="N30" s="351"/>
      <c r="O30" s="351">
        <f t="shared" si="26"/>
        <v>0</v>
      </c>
      <c r="P30" s="351">
        <f t="shared" si="26"/>
        <v>0</v>
      </c>
      <c r="Q30" s="351">
        <f t="shared" si="26"/>
        <v>0</v>
      </c>
      <c r="R30" s="351">
        <f t="shared" si="26"/>
        <v>0</v>
      </c>
      <c r="S30" s="351">
        <f t="shared" si="26"/>
        <v>0</v>
      </c>
      <c r="T30" s="351">
        <f t="shared" si="26"/>
        <v>0</v>
      </c>
      <c r="U30" s="351">
        <f t="shared" si="26"/>
        <v>0</v>
      </c>
      <c r="V30" s="351">
        <f t="shared" si="26"/>
        <v>0</v>
      </c>
      <c r="W30" s="351">
        <f t="shared" si="26"/>
        <v>0</v>
      </c>
      <c r="X30" s="351">
        <f t="shared" si="26"/>
        <v>0</v>
      </c>
      <c r="Y30" s="351">
        <f t="shared" si="26"/>
        <v>0</v>
      </c>
      <c r="Z30" s="351">
        <f t="shared" si="26"/>
        <v>0</v>
      </c>
      <c r="AA30" s="351">
        <f t="shared" si="26"/>
        <v>0</v>
      </c>
      <c r="AB30" s="351">
        <f t="shared" si="26"/>
        <v>0</v>
      </c>
      <c r="AC30" s="351">
        <f t="shared" si="26"/>
        <v>0</v>
      </c>
      <c r="AD30" s="351">
        <f t="shared" si="26"/>
        <v>0</v>
      </c>
      <c r="AE30" s="351">
        <f t="shared" si="26"/>
        <v>0</v>
      </c>
      <c r="AF30" s="351">
        <f t="shared" si="26"/>
        <v>0</v>
      </c>
      <c r="AG30" s="351">
        <f t="shared" ref="AG30" si="27">AG11+AG12</f>
        <v>0</v>
      </c>
      <c r="AH30" s="166"/>
    </row>
    <row r="31" spans="1:34" ht="18" hidden="1" customHeight="1">
      <c r="A31" s="657"/>
      <c r="B31" s="166"/>
      <c r="C31" s="166" t="s">
        <v>380</v>
      </c>
      <c r="D31" s="351"/>
      <c r="E31" s="351">
        <f t="shared" ref="E31:AF31" si="28">E10-E12-E13-E17</f>
        <v>0</v>
      </c>
      <c r="F31" s="351">
        <f t="shared" si="28"/>
        <v>0</v>
      </c>
      <c r="G31" s="351">
        <f t="shared" si="28"/>
        <v>24600000</v>
      </c>
      <c r="H31" s="351"/>
      <c r="I31" s="351">
        <f t="shared" si="28"/>
        <v>0</v>
      </c>
      <c r="J31" s="351">
        <f t="shared" si="28"/>
        <v>24600000</v>
      </c>
      <c r="K31" s="351">
        <f t="shared" si="28"/>
        <v>0</v>
      </c>
      <c r="L31" s="351">
        <f>L10-L12-L13-L17</f>
        <v>0</v>
      </c>
      <c r="M31" s="351">
        <f t="shared" si="28"/>
        <v>0</v>
      </c>
      <c r="N31" s="351"/>
      <c r="O31" s="351">
        <f t="shared" si="28"/>
        <v>0</v>
      </c>
      <c r="P31" s="351">
        <f t="shared" si="28"/>
        <v>0</v>
      </c>
      <c r="Q31" s="351">
        <f t="shared" si="28"/>
        <v>0</v>
      </c>
      <c r="R31" s="351">
        <f t="shared" si="28"/>
        <v>0</v>
      </c>
      <c r="S31" s="351">
        <f t="shared" si="28"/>
        <v>0</v>
      </c>
      <c r="T31" s="351">
        <f t="shared" si="28"/>
        <v>0</v>
      </c>
      <c r="U31" s="351">
        <f t="shared" si="28"/>
        <v>0</v>
      </c>
      <c r="V31" s="351">
        <f t="shared" si="28"/>
        <v>0</v>
      </c>
      <c r="W31" s="351">
        <f t="shared" si="28"/>
        <v>0</v>
      </c>
      <c r="X31" s="351">
        <f t="shared" si="28"/>
        <v>0</v>
      </c>
      <c r="Y31" s="351">
        <f t="shared" si="28"/>
        <v>0</v>
      </c>
      <c r="Z31" s="351">
        <f t="shared" si="28"/>
        <v>0</v>
      </c>
      <c r="AA31" s="351">
        <f t="shared" si="28"/>
        <v>0</v>
      </c>
      <c r="AB31" s="351">
        <f t="shared" si="28"/>
        <v>0</v>
      </c>
      <c r="AC31" s="351">
        <f t="shared" si="28"/>
        <v>0</v>
      </c>
      <c r="AD31" s="351">
        <f t="shared" si="28"/>
        <v>0</v>
      </c>
      <c r="AE31" s="351">
        <f t="shared" si="28"/>
        <v>0</v>
      </c>
      <c r="AF31" s="351">
        <f t="shared" si="28"/>
        <v>0</v>
      </c>
      <c r="AG31" s="351">
        <f t="shared" ref="AG31" si="29">AG10-AG12-AG13-AG17</f>
        <v>0</v>
      </c>
      <c r="AH31" s="166"/>
    </row>
    <row r="32" spans="1:34" ht="18" hidden="1" customHeight="1">
      <c r="A32"/>
      <c r="B32" s="166"/>
      <c r="C32" s="166" t="s">
        <v>383</v>
      </c>
      <c r="D32" s="351"/>
      <c r="E32" s="351">
        <f t="shared" ref="E32:AF32" si="30">E12</f>
        <v>0</v>
      </c>
      <c r="F32" s="351">
        <f t="shared" si="30"/>
        <v>0</v>
      </c>
      <c r="G32" s="351">
        <f t="shared" si="30"/>
        <v>0</v>
      </c>
      <c r="H32" s="351"/>
      <c r="I32" s="351">
        <f t="shared" si="30"/>
        <v>0</v>
      </c>
      <c r="J32" s="351">
        <f t="shared" si="30"/>
        <v>0</v>
      </c>
      <c r="K32" s="351">
        <f t="shared" si="30"/>
        <v>0</v>
      </c>
      <c r="L32" s="351">
        <f>L12</f>
        <v>0</v>
      </c>
      <c r="M32" s="351">
        <f>M12</f>
        <v>0</v>
      </c>
      <c r="N32" s="351"/>
      <c r="O32" s="351">
        <f t="shared" si="30"/>
        <v>0</v>
      </c>
      <c r="P32" s="351">
        <f t="shared" si="30"/>
        <v>0</v>
      </c>
      <c r="Q32" s="351">
        <f t="shared" si="30"/>
        <v>0</v>
      </c>
      <c r="R32" s="351">
        <f t="shared" si="30"/>
        <v>0</v>
      </c>
      <c r="S32" s="351">
        <f t="shared" si="30"/>
        <v>0</v>
      </c>
      <c r="T32" s="351">
        <f>T12</f>
        <v>0</v>
      </c>
      <c r="U32" s="351">
        <f t="shared" si="30"/>
        <v>0</v>
      </c>
      <c r="V32" s="351">
        <f t="shared" si="30"/>
        <v>0</v>
      </c>
      <c r="W32" s="351">
        <f t="shared" si="30"/>
        <v>0</v>
      </c>
      <c r="X32" s="351">
        <f t="shared" si="30"/>
        <v>0</v>
      </c>
      <c r="Y32" s="351">
        <f t="shared" si="30"/>
        <v>0</v>
      </c>
      <c r="Z32" s="351">
        <f t="shared" si="30"/>
        <v>0</v>
      </c>
      <c r="AA32" s="351">
        <f t="shared" si="30"/>
        <v>0</v>
      </c>
      <c r="AB32" s="351">
        <f t="shared" si="30"/>
        <v>0</v>
      </c>
      <c r="AC32" s="351">
        <f t="shared" si="30"/>
        <v>0</v>
      </c>
      <c r="AD32" s="351">
        <f t="shared" si="30"/>
        <v>0</v>
      </c>
      <c r="AE32" s="351">
        <f t="shared" si="30"/>
        <v>0</v>
      </c>
      <c r="AF32" s="351">
        <f t="shared" si="30"/>
        <v>0</v>
      </c>
      <c r="AG32" s="351">
        <f t="shared" ref="AG32" si="31">AG12</f>
        <v>0</v>
      </c>
      <c r="AH32" s="166"/>
    </row>
    <row r="33" spans="1:33" ht="18" hidden="1" customHeight="1">
      <c r="A33" s="657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</row>
    <row r="34" spans="1:33" ht="18" customHeight="1">
      <c r="A34"/>
      <c r="C34" s="276" t="s">
        <v>384</v>
      </c>
      <c r="D34" s="331"/>
      <c r="E34" s="331"/>
      <c r="F34" s="331"/>
      <c r="G34" s="331"/>
      <c r="H34" s="331"/>
      <c r="I34" s="331"/>
      <c r="J34" s="331"/>
      <c r="K34" s="331"/>
      <c r="L34" s="331"/>
      <c r="M34" s="331"/>
      <c r="N34" s="331"/>
      <c r="O34" s="331"/>
      <c r="P34" s="331"/>
      <c r="Q34" s="331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</row>
    <row r="35" spans="1:33" ht="18" customHeight="1">
      <c r="A35" s="657"/>
      <c r="C35" s="276" t="s">
        <v>385</v>
      </c>
      <c r="D35" s="331"/>
      <c r="E35" s="331">
        <f>E11+E17</f>
        <v>0</v>
      </c>
      <c r="F35" s="331">
        <f t="shared" ref="F35:AG35" si="32">F11+F17</f>
        <v>0</v>
      </c>
      <c r="G35" s="331">
        <f t="shared" si="32"/>
        <v>24600000</v>
      </c>
      <c r="H35" s="331">
        <f t="shared" ref="H35" si="33">H11+H17</f>
        <v>0</v>
      </c>
      <c r="I35" s="331">
        <f t="shared" si="32"/>
        <v>0</v>
      </c>
      <c r="J35" s="331">
        <f t="shared" si="32"/>
        <v>24600000</v>
      </c>
      <c r="K35" s="331">
        <f t="shared" si="32"/>
        <v>0</v>
      </c>
      <c r="L35" s="331">
        <f t="shared" si="32"/>
        <v>0</v>
      </c>
      <c r="M35" s="331">
        <f t="shared" si="32"/>
        <v>0</v>
      </c>
      <c r="N35" s="331">
        <f t="shared" si="32"/>
        <v>0</v>
      </c>
      <c r="O35" s="331">
        <f t="shared" si="32"/>
        <v>0</v>
      </c>
      <c r="P35" s="331">
        <f t="shared" si="32"/>
        <v>0</v>
      </c>
      <c r="Q35" s="331">
        <f t="shared" si="32"/>
        <v>0</v>
      </c>
      <c r="R35" s="331">
        <f t="shared" si="32"/>
        <v>0</v>
      </c>
      <c r="S35" s="331">
        <f t="shared" si="32"/>
        <v>0</v>
      </c>
      <c r="T35" s="331">
        <f t="shared" si="32"/>
        <v>0</v>
      </c>
      <c r="U35" s="331">
        <f t="shared" si="32"/>
        <v>0</v>
      </c>
      <c r="V35" s="331">
        <f t="shared" si="32"/>
        <v>0</v>
      </c>
      <c r="W35" s="331">
        <f t="shared" si="32"/>
        <v>0</v>
      </c>
      <c r="X35" s="331">
        <f t="shared" si="32"/>
        <v>0</v>
      </c>
      <c r="Y35" s="331">
        <f t="shared" si="32"/>
        <v>0</v>
      </c>
      <c r="Z35" s="331">
        <f t="shared" si="32"/>
        <v>0</v>
      </c>
      <c r="AA35" s="331">
        <f t="shared" si="32"/>
        <v>0</v>
      </c>
      <c r="AB35" s="331">
        <f t="shared" si="32"/>
        <v>0</v>
      </c>
      <c r="AC35" s="331">
        <f t="shared" si="32"/>
        <v>0</v>
      </c>
      <c r="AD35" s="331">
        <f t="shared" si="32"/>
        <v>0</v>
      </c>
      <c r="AE35" s="331">
        <f t="shared" si="32"/>
        <v>0</v>
      </c>
      <c r="AF35" s="331">
        <f t="shared" si="32"/>
        <v>0</v>
      </c>
      <c r="AG35" s="331">
        <f t="shared" si="32"/>
        <v>0</v>
      </c>
    </row>
    <row r="36" spans="1:33" ht="18" customHeight="1">
      <c r="A36"/>
      <c r="C36" s="276" t="s">
        <v>386</v>
      </c>
      <c r="D36" s="331"/>
      <c r="E36" s="331">
        <f>E12</f>
        <v>0</v>
      </c>
      <c r="F36" s="331">
        <f t="shared" ref="F36:AF36" si="34">F12</f>
        <v>0</v>
      </c>
      <c r="G36" s="331">
        <f t="shared" si="34"/>
        <v>0</v>
      </c>
      <c r="H36" s="331">
        <f t="shared" ref="H36" si="35">H12</f>
        <v>0</v>
      </c>
      <c r="I36" s="331">
        <f t="shared" si="34"/>
        <v>0</v>
      </c>
      <c r="J36" s="331">
        <f t="shared" si="34"/>
        <v>0</v>
      </c>
      <c r="K36" s="331">
        <f t="shared" si="34"/>
        <v>0</v>
      </c>
      <c r="L36" s="331">
        <f t="shared" ref="L36:N36" si="36">L12</f>
        <v>0</v>
      </c>
      <c r="M36" s="331">
        <f t="shared" si="36"/>
        <v>0</v>
      </c>
      <c r="N36" s="331">
        <f t="shared" si="36"/>
        <v>0</v>
      </c>
      <c r="O36" s="331">
        <f t="shared" si="34"/>
        <v>0</v>
      </c>
      <c r="P36" s="331">
        <f t="shared" si="34"/>
        <v>0</v>
      </c>
      <c r="Q36" s="331">
        <f t="shared" si="34"/>
        <v>0</v>
      </c>
      <c r="R36" s="331">
        <f t="shared" si="34"/>
        <v>0</v>
      </c>
      <c r="S36" s="331">
        <f t="shared" si="34"/>
        <v>0</v>
      </c>
      <c r="T36" s="331">
        <f>T12</f>
        <v>0</v>
      </c>
      <c r="U36" s="331">
        <f t="shared" si="34"/>
        <v>0</v>
      </c>
      <c r="V36" s="331">
        <f t="shared" si="34"/>
        <v>0</v>
      </c>
      <c r="W36" s="331">
        <f t="shared" si="34"/>
        <v>0</v>
      </c>
      <c r="X36" s="331">
        <f t="shared" si="34"/>
        <v>0</v>
      </c>
      <c r="Y36" s="331">
        <f t="shared" si="34"/>
        <v>0</v>
      </c>
      <c r="Z36" s="331">
        <f t="shared" si="34"/>
        <v>0</v>
      </c>
      <c r="AA36" s="331">
        <f t="shared" si="34"/>
        <v>0</v>
      </c>
      <c r="AB36" s="331">
        <f t="shared" si="34"/>
        <v>0</v>
      </c>
      <c r="AC36" s="331">
        <f t="shared" si="34"/>
        <v>0</v>
      </c>
      <c r="AD36" s="331">
        <f t="shared" si="34"/>
        <v>0</v>
      </c>
      <c r="AE36" s="331">
        <f t="shared" si="34"/>
        <v>0</v>
      </c>
      <c r="AF36" s="331">
        <f t="shared" si="34"/>
        <v>0</v>
      </c>
      <c r="AG36" s="331">
        <f t="shared" ref="AG36" si="37">AG12</f>
        <v>0</v>
      </c>
    </row>
    <row r="37" spans="1:33" ht="18" customHeight="1" thickBot="1">
      <c r="A37"/>
      <c r="C37" s="276" t="s">
        <v>995</v>
      </c>
      <c r="D37" s="331"/>
      <c r="E37" s="331">
        <f>E15</f>
        <v>0</v>
      </c>
      <c r="F37" s="331">
        <f t="shared" ref="F37:AF37" si="38">F15</f>
        <v>0</v>
      </c>
      <c r="G37" s="331">
        <f t="shared" si="38"/>
        <v>0</v>
      </c>
      <c r="H37" s="331">
        <f t="shared" ref="H37" si="39">H15</f>
        <v>0</v>
      </c>
      <c r="I37" s="331">
        <f t="shared" si="38"/>
        <v>0</v>
      </c>
      <c r="J37" s="331">
        <f t="shared" si="38"/>
        <v>0</v>
      </c>
      <c r="K37" s="331">
        <f t="shared" si="38"/>
        <v>0</v>
      </c>
      <c r="L37" s="331">
        <f>L15</f>
        <v>0</v>
      </c>
      <c r="M37" s="331">
        <f t="shared" si="38"/>
        <v>0</v>
      </c>
      <c r="N37" s="331">
        <f t="shared" ref="N37" si="40">N15</f>
        <v>0</v>
      </c>
      <c r="O37" s="331">
        <f t="shared" si="38"/>
        <v>0</v>
      </c>
      <c r="P37" s="331">
        <f t="shared" si="38"/>
        <v>0</v>
      </c>
      <c r="Q37" s="331">
        <f t="shared" si="38"/>
        <v>0</v>
      </c>
      <c r="R37" s="331">
        <f t="shared" si="38"/>
        <v>0</v>
      </c>
      <c r="S37" s="331">
        <f t="shared" si="38"/>
        <v>0</v>
      </c>
      <c r="T37" s="331">
        <f t="shared" si="38"/>
        <v>0</v>
      </c>
      <c r="U37" s="331">
        <f t="shared" si="38"/>
        <v>0</v>
      </c>
      <c r="V37" s="331">
        <f t="shared" si="38"/>
        <v>0</v>
      </c>
      <c r="W37" s="331">
        <f t="shared" si="38"/>
        <v>0</v>
      </c>
      <c r="X37" s="331">
        <f t="shared" si="38"/>
        <v>0</v>
      </c>
      <c r="Y37" s="331">
        <f t="shared" si="38"/>
        <v>0</v>
      </c>
      <c r="Z37" s="331">
        <f t="shared" si="38"/>
        <v>0</v>
      </c>
      <c r="AA37" s="331">
        <f t="shared" si="38"/>
        <v>0</v>
      </c>
      <c r="AB37" s="331">
        <f t="shared" si="38"/>
        <v>0</v>
      </c>
      <c r="AC37" s="331">
        <f t="shared" si="38"/>
        <v>0</v>
      </c>
      <c r="AD37" s="331">
        <f t="shared" si="38"/>
        <v>0</v>
      </c>
      <c r="AE37" s="331">
        <f t="shared" si="38"/>
        <v>0</v>
      </c>
      <c r="AF37" s="331">
        <f t="shared" si="38"/>
        <v>0</v>
      </c>
      <c r="AG37" s="331">
        <f t="shared" ref="AG37" si="41">AG15</f>
        <v>0</v>
      </c>
    </row>
    <row r="38" spans="1:33" ht="18" customHeight="1">
      <c r="A38" s="657"/>
      <c r="C38" s="352" t="s">
        <v>387</v>
      </c>
      <c r="D38" s="373">
        <f>SUM(J38:K38,R38:AG38,N38)</f>
        <v>246000</v>
      </c>
      <c r="E38" s="373">
        <f>E$35*$I$4</f>
        <v>0</v>
      </c>
      <c r="F38" s="373">
        <f t="shared" ref="F38:AG38" si="42">F$35*$I$4</f>
        <v>0</v>
      </c>
      <c r="G38" s="373">
        <f t="shared" si="42"/>
        <v>246000</v>
      </c>
      <c r="H38" s="373">
        <f t="shared" si="42"/>
        <v>0</v>
      </c>
      <c r="I38" s="373">
        <f t="shared" si="42"/>
        <v>0</v>
      </c>
      <c r="J38" s="373">
        <f t="shared" si="42"/>
        <v>246000</v>
      </c>
      <c r="K38" s="373">
        <f t="shared" si="42"/>
        <v>0</v>
      </c>
      <c r="L38" s="373">
        <f t="shared" si="42"/>
        <v>0</v>
      </c>
      <c r="M38" s="373">
        <f t="shared" si="42"/>
        <v>0</v>
      </c>
      <c r="N38" s="373">
        <f t="shared" si="42"/>
        <v>0</v>
      </c>
      <c r="O38" s="373">
        <f t="shared" si="42"/>
        <v>0</v>
      </c>
      <c r="P38" s="373">
        <f t="shared" si="42"/>
        <v>0</v>
      </c>
      <c r="Q38" s="373">
        <f t="shared" si="42"/>
        <v>0</v>
      </c>
      <c r="R38" s="373">
        <f t="shared" si="42"/>
        <v>0</v>
      </c>
      <c r="S38" s="373">
        <f t="shared" si="42"/>
        <v>0</v>
      </c>
      <c r="T38" s="373">
        <f t="shared" si="42"/>
        <v>0</v>
      </c>
      <c r="U38" s="373">
        <f t="shared" si="42"/>
        <v>0</v>
      </c>
      <c r="V38" s="373">
        <f t="shared" si="42"/>
        <v>0</v>
      </c>
      <c r="W38" s="373">
        <f t="shared" si="42"/>
        <v>0</v>
      </c>
      <c r="X38" s="373">
        <f t="shared" si="42"/>
        <v>0</v>
      </c>
      <c r="Y38" s="373">
        <f t="shared" si="42"/>
        <v>0</v>
      </c>
      <c r="Z38" s="373">
        <f t="shared" si="42"/>
        <v>0</v>
      </c>
      <c r="AA38" s="373">
        <f t="shared" si="42"/>
        <v>0</v>
      </c>
      <c r="AB38" s="373">
        <f t="shared" si="42"/>
        <v>0</v>
      </c>
      <c r="AC38" s="373">
        <f t="shared" si="42"/>
        <v>0</v>
      </c>
      <c r="AD38" s="373">
        <f t="shared" si="42"/>
        <v>0</v>
      </c>
      <c r="AE38" s="373">
        <f t="shared" si="42"/>
        <v>0</v>
      </c>
      <c r="AF38" s="373">
        <f>AF$35*$I$4</f>
        <v>0</v>
      </c>
      <c r="AG38" s="374">
        <f t="shared" si="42"/>
        <v>0</v>
      </c>
    </row>
    <row r="39" spans="1:33" ht="18" customHeight="1">
      <c r="A39"/>
      <c r="C39" s="353" t="s">
        <v>388</v>
      </c>
      <c r="D39" s="375">
        <f>SUM(J39:K39,R39:AG39,N39)</f>
        <v>0</v>
      </c>
      <c r="E39" s="375">
        <f>E$36*$I$4</f>
        <v>0</v>
      </c>
      <c r="F39" s="375">
        <f t="shared" ref="F39:AG39" si="43">F$36*$I$4</f>
        <v>0</v>
      </c>
      <c r="G39" s="375">
        <f t="shared" si="43"/>
        <v>0</v>
      </c>
      <c r="H39" s="375">
        <f t="shared" si="43"/>
        <v>0</v>
      </c>
      <c r="I39" s="375">
        <f t="shared" si="43"/>
        <v>0</v>
      </c>
      <c r="J39" s="375">
        <f t="shared" si="43"/>
        <v>0</v>
      </c>
      <c r="K39" s="375">
        <f t="shared" si="43"/>
        <v>0</v>
      </c>
      <c r="L39" s="375">
        <f t="shared" si="43"/>
        <v>0</v>
      </c>
      <c r="M39" s="375">
        <f t="shared" si="43"/>
        <v>0</v>
      </c>
      <c r="N39" s="375">
        <f t="shared" si="43"/>
        <v>0</v>
      </c>
      <c r="O39" s="375">
        <f t="shared" si="43"/>
        <v>0</v>
      </c>
      <c r="P39" s="375">
        <f t="shared" si="43"/>
        <v>0</v>
      </c>
      <c r="Q39" s="375">
        <f t="shared" si="43"/>
        <v>0</v>
      </c>
      <c r="R39" s="375">
        <f t="shared" si="43"/>
        <v>0</v>
      </c>
      <c r="S39" s="375">
        <f t="shared" si="43"/>
        <v>0</v>
      </c>
      <c r="T39" s="375">
        <f t="shared" si="43"/>
        <v>0</v>
      </c>
      <c r="U39" s="375">
        <f t="shared" si="43"/>
        <v>0</v>
      </c>
      <c r="V39" s="375">
        <f t="shared" si="43"/>
        <v>0</v>
      </c>
      <c r="W39" s="375">
        <f t="shared" si="43"/>
        <v>0</v>
      </c>
      <c r="X39" s="375">
        <f t="shared" si="43"/>
        <v>0</v>
      </c>
      <c r="Y39" s="375">
        <f t="shared" si="43"/>
        <v>0</v>
      </c>
      <c r="Z39" s="375">
        <f t="shared" si="43"/>
        <v>0</v>
      </c>
      <c r="AA39" s="375">
        <f t="shared" si="43"/>
        <v>0</v>
      </c>
      <c r="AB39" s="375">
        <f t="shared" si="43"/>
        <v>0</v>
      </c>
      <c r="AC39" s="375">
        <f t="shared" si="43"/>
        <v>0</v>
      </c>
      <c r="AD39" s="375">
        <f t="shared" si="43"/>
        <v>0</v>
      </c>
      <c r="AE39" s="375">
        <f t="shared" si="43"/>
        <v>0</v>
      </c>
      <c r="AF39" s="375">
        <f t="shared" si="43"/>
        <v>0</v>
      </c>
      <c r="AG39" s="376">
        <f t="shared" si="43"/>
        <v>0</v>
      </c>
    </row>
    <row r="40" spans="1:33" ht="18" customHeight="1">
      <c r="A40"/>
      <c r="C40" s="353" t="s">
        <v>996</v>
      </c>
      <c r="D40" s="375">
        <f>SUM(J40:K40,R40:AG40,N40)</f>
        <v>0</v>
      </c>
      <c r="E40" s="375">
        <f>E$37*$I$4</f>
        <v>0</v>
      </c>
      <c r="F40" s="375">
        <f t="shared" ref="F40:AG40" si="44">F$37*$I$4</f>
        <v>0</v>
      </c>
      <c r="G40" s="375">
        <f t="shared" si="44"/>
        <v>0</v>
      </c>
      <c r="H40" s="375">
        <f t="shared" si="44"/>
        <v>0</v>
      </c>
      <c r="I40" s="375">
        <f t="shared" si="44"/>
        <v>0</v>
      </c>
      <c r="J40" s="375">
        <f t="shared" si="44"/>
        <v>0</v>
      </c>
      <c r="K40" s="375">
        <f t="shared" si="44"/>
        <v>0</v>
      </c>
      <c r="L40" s="375">
        <f t="shared" si="44"/>
        <v>0</v>
      </c>
      <c r="M40" s="375">
        <f t="shared" si="44"/>
        <v>0</v>
      </c>
      <c r="N40" s="375">
        <f t="shared" si="44"/>
        <v>0</v>
      </c>
      <c r="O40" s="375">
        <f t="shared" si="44"/>
        <v>0</v>
      </c>
      <c r="P40" s="375">
        <f t="shared" si="44"/>
        <v>0</v>
      </c>
      <c r="Q40" s="375">
        <f t="shared" si="44"/>
        <v>0</v>
      </c>
      <c r="R40" s="375">
        <f t="shared" si="44"/>
        <v>0</v>
      </c>
      <c r="S40" s="375">
        <f t="shared" si="44"/>
        <v>0</v>
      </c>
      <c r="T40" s="375">
        <f t="shared" si="44"/>
        <v>0</v>
      </c>
      <c r="U40" s="375">
        <f t="shared" si="44"/>
        <v>0</v>
      </c>
      <c r="V40" s="375">
        <f t="shared" si="44"/>
        <v>0</v>
      </c>
      <c r="W40" s="375">
        <f t="shared" si="44"/>
        <v>0</v>
      </c>
      <c r="X40" s="375">
        <f t="shared" si="44"/>
        <v>0</v>
      </c>
      <c r="Y40" s="375">
        <f t="shared" si="44"/>
        <v>0</v>
      </c>
      <c r="Z40" s="375">
        <f t="shared" si="44"/>
        <v>0</v>
      </c>
      <c r="AA40" s="375">
        <f t="shared" si="44"/>
        <v>0</v>
      </c>
      <c r="AB40" s="375">
        <f t="shared" si="44"/>
        <v>0</v>
      </c>
      <c r="AC40" s="1183">
        <f t="shared" si="44"/>
        <v>0</v>
      </c>
      <c r="AD40" s="1183">
        <f t="shared" si="44"/>
        <v>0</v>
      </c>
      <c r="AE40" s="375">
        <f t="shared" si="44"/>
        <v>0</v>
      </c>
      <c r="AF40" s="375">
        <f t="shared" si="44"/>
        <v>0</v>
      </c>
      <c r="AG40" s="375">
        <f t="shared" si="44"/>
        <v>0</v>
      </c>
    </row>
    <row r="41" spans="1:33" ht="18" customHeight="1">
      <c r="A41" s="657"/>
      <c r="C41" s="353" t="s">
        <v>419</v>
      </c>
      <c r="D41" s="375">
        <f>SUM(J41:K41,R41:AG41,N41)</f>
        <v>0</v>
      </c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77"/>
      <c r="P41" s="677"/>
      <c r="Q41" s="677"/>
      <c r="R41" s="677"/>
      <c r="S41" s="677"/>
      <c r="T41" s="677"/>
      <c r="U41" s="677"/>
      <c r="V41" s="677"/>
      <c r="W41" s="677"/>
      <c r="X41" s="677"/>
      <c r="Y41" s="677"/>
      <c r="Z41" s="677"/>
      <c r="AA41" s="677"/>
      <c r="AB41" s="677"/>
      <c r="AC41" s="677"/>
      <c r="AD41" s="677"/>
      <c r="AE41" s="677"/>
      <c r="AF41" s="677"/>
      <c r="AG41" s="678"/>
    </row>
    <row r="42" spans="1:33" s="177" customFormat="1" ht="18" customHeight="1" thickBot="1">
      <c r="A42"/>
      <c r="C42" s="354" t="s">
        <v>420</v>
      </c>
      <c r="D42" s="377">
        <f>SUM(J42:K42,R42:AG42,N42)</f>
        <v>0</v>
      </c>
      <c r="E42" s="377">
        <f>E$16*$I$5</f>
        <v>0</v>
      </c>
      <c r="F42" s="377">
        <f t="shared" ref="F42:AG42" si="45">F$16*$I$5</f>
        <v>0</v>
      </c>
      <c r="G42" s="377">
        <f t="shared" si="45"/>
        <v>0</v>
      </c>
      <c r="H42" s="377">
        <f t="shared" si="45"/>
        <v>0</v>
      </c>
      <c r="I42" s="377">
        <f t="shared" si="45"/>
        <v>0</v>
      </c>
      <c r="J42" s="377">
        <f t="shared" si="45"/>
        <v>0</v>
      </c>
      <c r="K42" s="377">
        <f t="shared" si="45"/>
        <v>0</v>
      </c>
      <c r="L42" s="377">
        <f t="shared" si="45"/>
        <v>0</v>
      </c>
      <c r="M42" s="377">
        <f t="shared" si="45"/>
        <v>0</v>
      </c>
      <c r="N42" s="377">
        <f t="shared" si="45"/>
        <v>0</v>
      </c>
      <c r="O42" s="377">
        <f t="shared" si="45"/>
        <v>0</v>
      </c>
      <c r="P42" s="377">
        <f t="shared" si="45"/>
        <v>0</v>
      </c>
      <c r="Q42" s="377">
        <f t="shared" si="45"/>
        <v>0</v>
      </c>
      <c r="R42" s="377">
        <f t="shared" si="45"/>
        <v>0</v>
      </c>
      <c r="S42" s="377">
        <f t="shared" si="45"/>
        <v>0</v>
      </c>
      <c r="T42" s="377">
        <f t="shared" si="45"/>
        <v>0</v>
      </c>
      <c r="U42" s="377">
        <f t="shared" si="45"/>
        <v>0</v>
      </c>
      <c r="V42" s="377">
        <f t="shared" si="45"/>
        <v>0</v>
      </c>
      <c r="W42" s="377">
        <f t="shared" si="45"/>
        <v>0</v>
      </c>
      <c r="X42" s="377">
        <f t="shared" si="45"/>
        <v>0</v>
      </c>
      <c r="Y42" s="377">
        <f t="shared" si="45"/>
        <v>0</v>
      </c>
      <c r="Z42" s="377">
        <f t="shared" si="45"/>
        <v>0</v>
      </c>
      <c r="AA42" s="377">
        <f t="shared" si="45"/>
        <v>0</v>
      </c>
      <c r="AB42" s="377">
        <f t="shared" si="45"/>
        <v>0</v>
      </c>
      <c r="AC42" s="377">
        <f t="shared" si="45"/>
        <v>0</v>
      </c>
      <c r="AD42" s="377">
        <f t="shared" si="45"/>
        <v>0</v>
      </c>
      <c r="AE42" s="377">
        <f t="shared" si="45"/>
        <v>0</v>
      </c>
      <c r="AF42" s="377">
        <f t="shared" si="45"/>
        <v>0</v>
      </c>
      <c r="AG42" s="378">
        <f t="shared" si="45"/>
        <v>0</v>
      </c>
    </row>
    <row r="43" spans="1:33" ht="18" customHeight="1">
      <c r="A43" s="77"/>
      <c r="D43" s="862">
        <f>IFERROR(SUM($D$38:$D$42)/$D$10,0)</f>
        <v>0.01</v>
      </c>
    </row>
    <row r="44" spans="1:33" ht="18" customHeight="1">
      <c r="A44" s="77"/>
      <c r="J44" s="611"/>
      <c r="O44" s="611"/>
    </row>
    <row r="45" spans="1:33" ht="18" customHeight="1">
      <c r="A45" s="77"/>
      <c r="D45" s="862"/>
      <c r="I45" s="516"/>
      <c r="J45" s="611"/>
      <c r="O45" s="611"/>
    </row>
    <row r="46" spans="1:33" ht="18" customHeight="1">
      <c r="A46" s="77"/>
      <c r="D46" s="177"/>
      <c r="I46" s="516"/>
    </row>
    <row r="47" spans="1:33" ht="18" customHeight="1">
      <c r="A47" s="77"/>
      <c r="D47" s="862"/>
    </row>
    <row r="48" spans="1:33" ht="18" customHeight="1">
      <c r="A48" s="77"/>
      <c r="D48" s="177"/>
    </row>
    <row r="49" spans="1:4" ht="18" customHeight="1">
      <c r="A49" s="77"/>
    </row>
    <row r="50" spans="1:4" ht="18" customHeight="1">
      <c r="A50" s="77"/>
      <c r="D50" s="1218"/>
    </row>
    <row r="51" spans="1:4" ht="18" customHeight="1">
      <c r="A51" s="77"/>
    </row>
    <row r="52" spans="1:4" ht="18" customHeight="1">
      <c r="A52" s="77"/>
    </row>
    <row r="53" spans="1:4" ht="18" customHeight="1">
      <c r="A53" s="77"/>
    </row>
    <row r="54" spans="1:4" ht="18" customHeight="1">
      <c r="A54" s="77"/>
    </row>
    <row r="55" spans="1:4" ht="18" customHeight="1">
      <c r="A55" s="77"/>
    </row>
    <row r="56" spans="1:4" ht="18" customHeight="1">
      <c r="A56" s="77"/>
    </row>
    <row r="57" spans="1:4" ht="18" customHeight="1">
      <c r="A57" s="77"/>
    </row>
    <row r="58" spans="1:4" ht="18" customHeight="1">
      <c r="A58" s="77"/>
    </row>
    <row r="59" spans="1:4" ht="18" customHeight="1">
      <c r="A59" s="77"/>
    </row>
    <row r="60" spans="1:4" ht="18" customHeight="1">
      <c r="A60" s="77"/>
    </row>
    <row r="61" spans="1:4" ht="18" customHeight="1">
      <c r="A61" s="77"/>
    </row>
    <row r="62" spans="1:4" ht="18" customHeight="1">
      <c r="A62" s="77"/>
    </row>
    <row r="63" spans="1:4" ht="18" customHeight="1">
      <c r="A63" s="77"/>
    </row>
    <row r="64" spans="1:4" ht="18" customHeight="1">
      <c r="A64" s="12"/>
    </row>
    <row r="65" spans="1:1" ht="18" customHeight="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</sheetData>
  <dataConsolidate/>
  <mergeCells count="22">
    <mergeCell ref="B25:C25"/>
    <mergeCell ref="B10:C10"/>
    <mergeCell ref="B18:C18"/>
    <mergeCell ref="B26:C26"/>
    <mergeCell ref="Z7:Z9"/>
    <mergeCell ref="V7:V9"/>
    <mergeCell ref="U7:U9"/>
    <mergeCell ref="T7:T8"/>
    <mergeCell ref="AH7:AH9"/>
    <mergeCell ref="AB7:AB9"/>
    <mergeCell ref="B7:C9"/>
    <mergeCell ref="D7:D9"/>
    <mergeCell ref="W7:W9"/>
    <mergeCell ref="X7:X9"/>
    <mergeCell ref="Y7:Y9"/>
    <mergeCell ref="K7:K9"/>
    <mergeCell ref="AA7:AA9"/>
    <mergeCell ref="AC7:AC9"/>
    <mergeCell ref="AD7:AD9"/>
    <mergeCell ref="AE7:AE9"/>
    <mergeCell ref="AF7:AF9"/>
    <mergeCell ref="AG7:AG9"/>
  </mergeCells>
  <phoneticPr fontId="1" type="noConversion"/>
  <printOptions horizontalCentered="1"/>
  <pageMargins left="0.23622047244094491" right="0.23622047244094491" top="0.47244094488188981" bottom="0.47244094488188981" header="0.31496062992125984" footer="0.31496062992125984"/>
  <pageSetup paperSize="9" scale="46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Master!$F$1:$F$2</xm:f>
          </x14:formula1>
          <xm:sqref>D5</xm:sqref>
        </x14:dataValidation>
        <x14:dataValidation type="list" allowBlank="1" showInputMessage="1" showErrorMessage="1">
          <x14:formula1>
            <xm:f>Master!$J$2:$J$7</xm:f>
          </x14:formula1>
          <xm:sqref>D3</xm:sqref>
        </x14:dataValidation>
        <x14:dataValidation type="list" allowBlank="1" showInputMessage="1" showErrorMessage="1">
          <x14:formula1>
            <xm:f>Master!$O$2:$O$4</xm:f>
          </x14:formula1>
          <xm:sqref>D4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77"/>
  <sheetViews>
    <sheetView zoomScale="115" zoomScaleNormal="115" workbookViewId="0">
      <pane xSplit="3" ySplit="2" topLeftCell="D3" activePane="bottomRight" state="frozen"/>
      <selection activeCell="R29" sqref="R29"/>
      <selection pane="topRight" activeCell="R29" sqref="R29"/>
      <selection pane="bottomLeft" activeCell="R29" sqref="R29"/>
      <selection pane="bottomRight" activeCell="R29" sqref="R29"/>
    </sheetView>
  </sheetViews>
  <sheetFormatPr defaultColWidth="8.5625" defaultRowHeight="13.5" customHeight="1"/>
  <cols>
    <col min="1" max="1" width="8.5625" style="5" customWidth="1"/>
    <col min="2" max="2" width="9.4375" style="5" customWidth="1"/>
    <col min="3" max="3" width="15.0625" style="505" bestFit="1" customWidth="1"/>
    <col min="4" max="5" width="9.0625" style="702" customWidth="1"/>
    <col min="6" max="13" width="13.8125" style="174" customWidth="1"/>
    <col min="14" max="14" width="8.5625" style="174" customWidth="1"/>
    <col min="15" max="15" width="14.0625" style="174" customWidth="1"/>
    <col min="16" max="18" width="14.0625" style="5" customWidth="1"/>
    <col min="19" max="20" width="13.75" style="5" customWidth="1"/>
    <col min="21" max="21" width="12.4375" style="5" customWidth="1"/>
    <col min="22" max="16384" width="8.5625" style="5"/>
  </cols>
  <sheetData>
    <row r="1" spans="1:21" ht="13.5" customHeight="1">
      <c r="D1" s="1736" t="s">
        <v>1123</v>
      </c>
      <c r="E1" s="1736"/>
    </row>
    <row r="2" spans="1:21" ht="13.5" customHeight="1">
      <c r="A2" s="1735" t="s">
        <v>295</v>
      </c>
      <c r="B2" s="1735"/>
      <c r="C2" s="1735"/>
      <c r="D2" s="700" t="s">
        <v>293</v>
      </c>
      <c r="E2" s="700" t="s">
        <v>294</v>
      </c>
      <c r="F2" s="188" t="s">
        <v>287</v>
      </c>
      <c r="G2" s="188" t="s">
        <v>622</v>
      </c>
      <c r="H2" s="188" t="s">
        <v>623</v>
      </c>
      <c r="I2" s="188" t="s">
        <v>288</v>
      </c>
      <c r="J2" s="188" t="s">
        <v>949</v>
      </c>
      <c r="K2" s="188" t="s">
        <v>1118</v>
      </c>
      <c r="L2" s="188" t="str">
        <f>'5. 수주액 상세'!$C$17</f>
        <v>MES CE 구독료</v>
      </c>
      <c r="M2" s="188" t="s">
        <v>289</v>
      </c>
    </row>
    <row r="3" spans="1:21" ht="13.5" customHeight="1">
      <c r="A3" s="1735" t="s">
        <v>290</v>
      </c>
      <c r="B3" s="1139" t="s">
        <v>1039</v>
      </c>
      <c r="C3" s="641" t="s">
        <v>1025</v>
      </c>
      <c r="D3" s="642">
        <v>0.36399999999999999</v>
      </c>
      <c r="E3" s="643"/>
      <c r="F3" s="731">
        <f t="shared" ref="F3:F16" si="0">ROUND((F68+F156)*D3,0)</f>
        <v>3445776</v>
      </c>
      <c r="G3" s="187">
        <f t="shared" ref="G3:G16" si="1">ROUND((G134+G156)*D3,0)</f>
        <v>0</v>
      </c>
      <c r="H3" s="187"/>
      <c r="I3" s="503"/>
      <c r="J3" s="1190"/>
      <c r="K3" s="731">
        <f t="shared" ref="K3:K16" si="2">ROUND((K68+K156+K134)*D3,0)</f>
        <v>0</v>
      </c>
      <c r="L3" s="187"/>
      <c r="M3" s="503"/>
      <c r="N3" s="174" t="s">
        <v>1111</v>
      </c>
      <c r="P3" s="466"/>
      <c r="U3" s="174"/>
    </row>
    <row r="4" spans="1:21" ht="13.5" customHeight="1">
      <c r="A4" s="1735"/>
      <c r="B4" s="1147" t="s">
        <v>1041</v>
      </c>
      <c r="C4" s="641" t="s">
        <v>1040</v>
      </c>
      <c r="D4" s="642">
        <v>0.36399999999999999</v>
      </c>
      <c r="E4" s="643"/>
      <c r="F4" s="731">
        <f t="shared" si="0"/>
        <v>0</v>
      </c>
      <c r="G4" s="187">
        <f t="shared" si="1"/>
        <v>0</v>
      </c>
      <c r="H4" s="187"/>
      <c r="I4" s="503"/>
      <c r="J4" s="1190"/>
      <c r="K4" s="731">
        <f t="shared" si="2"/>
        <v>0</v>
      </c>
      <c r="L4" s="187"/>
      <c r="M4" s="503"/>
      <c r="N4" s="174" t="s">
        <v>514</v>
      </c>
      <c r="P4" s="466"/>
      <c r="U4" s="174"/>
    </row>
    <row r="5" spans="1:21" ht="13.5" customHeight="1">
      <c r="A5" s="1735"/>
      <c r="B5" s="1147" t="s">
        <v>1042</v>
      </c>
      <c r="C5" s="641" t="s">
        <v>664</v>
      </c>
      <c r="D5" s="642">
        <v>0.23300000000000001</v>
      </c>
      <c r="E5" s="643"/>
      <c r="F5" s="731">
        <f t="shared" si="0"/>
        <v>0</v>
      </c>
      <c r="G5" s="187">
        <f t="shared" si="1"/>
        <v>0</v>
      </c>
      <c r="H5" s="187"/>
      <c r="I5" s="503"/>
      <c r="J5" s="1190"/>
      <c r="K5" s="731">
        <f t="shared" si="2"/>
        <v>0</v>
      </c>
      <c r="L5" s="772">
        <f>ROUND((L70+L158)*D5,0)</f>
        <v>0</v>
      </c>
      <c r="M5" s="503"/>
      <c r="N5" s="174" t="s">
        <v>1108</v>
      </c>
      <c r="P5" s="466"/>
      <c r="U5" s="174"/>
    </row>
    <row r="6" spans="1:21" ht="13.5" customHeight="1">
      <c r="A6" s="1735"/>
      <c r="B6" s="1147" t="s">
        <v>1043</v>
      </c>
      <c r="C6" s="641" t="s">
        <v>1026</v>
      </c>
      <c r="D6" s="642">
        <v>0.35899999999999999</v>
      </c>
      <c r="E6" s="643"/>
      <c r="F6" s="731">
        <f t="shared" si="0"/>
        <v>0</v>
      </c>
      <c r="G6" s="187">
        <f t="shared" si="1"/>
        <v>0</v>
      </c>
      <c r="H6" s="187"/>
      <c r="I6" s="503"/>
      <c r="J6" s="1190"/>
      <c r="K6" s="731">
        <f t="shared" si="2"/>
        <v>0</v>
      </c>
      <c r="L6" s="187"/>
      <c r="M6" s="503"/>
      <c r="N6" s="519" t="s">
        <v>621</v>
      </c>
      <c r="P6" s="466"/>
      <c r="U6" s="174"/>
    </row>
    <row r="7" spans="1:21" ht="13.5" customHeight="1">
      <c r="A7" s="1735"/>
      <c r="B7" s="1147" t="s">
        <v>1044</v>
      </c>
      <c r="C7" s="641" t="s">
        <v>1027</v>
      </c>
      <c r="D7" s="642">
        <v>0.35899999999999999</v>
      </c>
      <c r="E7" s="643"/>
      <c r="F7" s="731">
        <f t="shared" si="0"/>
        <v>0</v>
      </c>
      <c r="G7" s="187">
        <f t="shared" si="1"/>
        <v>0</v>
      </c>
      <c r="H7" s="187"/>
      <c r="I7" s="503"/>
      <c r="J7" s="1190"/>
      <c r="K7" s="731">
        <f t="shared" si="2"/>
        <v>0</v>
      </c>
      <c r="L7" s="187"/>
      <c r="M7" s="503"/>
      <c r="N7" s="1225" t="s">
        <v>1136</v>
      </c>
      <c r="P7" s="466"/>
      <c r="R7" s="1226" t="s">
        <v>1137</v>
      </c>
      <c r="U7" s="174"/>
    </row>
    <row r="8" spans="1:21" ht="13.5" customHeight="1">
      <c r="A8" s="1735"/>
      <c r="B8" s="1148" t="s">
        <v>1045</v>
      </c>
      <c r="C8" s="641" t="s">
        <v>662</v>
      </c>
      <c r="D8" s="642">
        <v>0.35899999999999999</v>
      </c>
      <c r="E8" s="643"/>
      <c r="F8" s="731">
        <f t="shared" si="0"/>
        <v>0</v>
      </c>
      <c r="G8" s="187">
        <f t="shared" si="1"/>
        <v>0</v>
      </c>
      <c r="H8" s="187"/>
      <c r="I8" s="503"/>
      <c r="J8" s="1190"/>
      <c r="K8" s="731">
        <f t="shared" si="2"/>
        <v>0</v>
      </c>
      <c r="L8" s="187"/>
      <c r="M8" s="503"/>
      <c r="N8" s="779" t="s">
        <v>687</v>
      </c>
      <c r="P8" s="466"/>
      <c r="S8" s="730"/>
      <c r="U8" s="174"/>
    </row>
    <row r="9" spans="1:21" ht="13.5" customHeight="1">
      <c r="A9" s="1735"/>
      <c r="B9" s="1147" t="s">
        <v>1050</v>
      </c>
      <c r="C9" s="641" t="s">
        <v>1028</v>
      </c>
      <c r="D9" s="642">
        <v>0.27700000000000002</v>
      </c>
      <c r="E9" s="643"/>
      <c r="F9" s="731">
        <f t="shared" si="0"/>
        <v>0</v>
      </c>
      <c r="G9" s="187">
        <f t="shared" si="1"/>
        <v>0</v>
      </c>
      <c r="H9" s="187"/>
      <c r="I9" s="503"/>
      <c r="J9" s="1190"/>
      <c r="K9" s="731">
        <f t="shared" si="2"/>
        <v>0</v>
      </c>
      <c r="L9" s="187"/>
      <c r="M9" s="503"/>
      <c r="N9" s="778" t="s">
        <v>685</v>
      </c>
      <c r="P9" s="466"/>
      <c r="U9" s="174"/>
    </row>
    <row r="10" spans="1:21" ht="13.5" customHeight="1">
      <c r="A10" s="1735"/>
      <c r="B10" s="1147" t="s">
        <v>1057</v>
      </c>
      <c r="C10" s="641" t="s">
        <v>1029</v>
      </c>
      <c r="D10" s="642">
        <v>0.35699999999999998</v>
      </c>
      <c r="E10" s="643"/>
      <c r="F10" s="731">
        <f t="shared" si="0"/>
        <v>0</v>
      </c>
      <c r="G10" s="187">
        <f t="shared" si="1"/>
        <v>0</v>
      </c>
      <c r="H10" s="187"/>
      <c r="I10" s="503"/>
      <c r="J10" s="1190"/>
      <c r="K10" s="731">
        <f t="shared" si="2"/>
        <v>0</v>
      </c>
      <c r="L10" s="187"/>
      <c r="M10" s="503"/>
      <c r="N10" s="779" t="s">
        <v>686</v>
      </c>
      <c r="P10" s="466"/>
      <c r="U10" s="174"/>
    </row>
    <row r="11" spans="1:21" ht="13.5" customHeight="1">
      <c r="A11" s="1735"/>
      <c r="B11" s="1147" t="s">
        <v>1049</v>
      </c>
      <c r="C11" s="641" t="s">
        <v>1030</v>
      </c>
      <c r="D11" s="642">
        <v>0.193</v>
      </c>
      <c r="E11" s="643"/>
      <c r="F11" s="731">
        <f t="shared" si="0"/>
        <v>0</v>
      </c>
      <c r="G11" s="187">
        <f t="shared" si="1"/>
        <v>0</v>
      </c>
      <c r="H11" s="187"/>
      <c r="I11" s="503"/>
      <c r="J11" s="1190"/>
      <c r="K11" s="731">
        <f t="shared" si="2"/>
        <v>0</v>
      </c>
      <c r="L11" s="187"/>
      <c r="M11" s="503"/>
      <c r="P11" s="466"/>
      <c r="U11" s="174"/>
    </row>
    <row r="12" spans="1:21" ht="13.5" customHeight="1">
      <c r="A12" s="1735"/>
      <c r="B12" s="1139" t="s">
        <v>1048</v>
      </c>
      <c r="C12" s="641" t="s">
        <v>1031</v>
      </c>
      <c r="D12" s="642">
        <v>0.17699999999999999</v>
      </c>
      <c r="E12" s="643"/>
      <c r="F12" s="731">
        <f t="shared" si="0"/>
        <v>0</v>
      </c>
      <c r="G12" s="187">
        <f t="shared" si="1"/>
        <v>0</v>
      </c>
      <c r="H12" s="187"/>
      <c r="I12" s="503"/>
      <c r="J12" s="1190"/>
      <c r="K12" s="731">
        <f t="shared" si="2"/>
        <v>0</v>
      </c>
      <c r="L12" s="187"/>
      <c r="M12" s="503"/>
      <c r="O12" s="1196"/>
      <c r="P12" s="466"/>
      <c r="U12" s="174"/>
    </row>
    <row r="13" spans="1:21" ht="13.5" customHeight="1">
      <c r="A13" s="1735"/>
      <c r="B13" s="1148" t="s">
        <v>1047</v>
      </c>
      <c r="C13" s="641" t="s">
        <v>1046</v>
      </c>
      <c r="D13" s="642">
        <v>0.16600000000000001</v>
      </c>
      <c r="E13" s="643"/>
      <c r="F13" s="731">
        <f t="shared" si="0"/>
        <v>0</v>
      </c>
      <c r="G13" s="187">
        <f t="shared" si="1"/>
        <v>0</v>
      </c>
      <c r="H13" s="187"/>
      <c r="I13" s="503"/>
      <c r="J13" s="1190"/>
      <c r="K13" s="731">
        <f t="shared" si="2"/>
        <v>0</v>
      </c>
      <c r="L13" s="187"/>
      <c r="M13" s="503"/>
      <c r="P13" s="466"/>
    </row>
    <row r="14" spans="1:21" ht="13.5" customHeight="1">
      <c r="A14" s="1735"/>
      <c r="B14" s="1147" t="s">
        <v>1055</v>
      </c>
      <c r="C14" s="641" t="s">
        <v>1038</v>
      </c>
      <c r="D14" s="642">
        <v>0.38500000000000001</v>
      </c>
      <c r="E14" s="643"/>
      <c r="F14" s="731">
        <f t="shared" si="0"/>
        <v>0</v>
      </c>
      <c r="G14" s="187">
        <f t="shared" si="1"/>
        <v>0</v>
      </c>
      <c r="H14" s="187"/>
      <c r="I14" s="503"/>
      <c r="J14" s="1190"/>
      <c r="K14" s="731">
        <f t="shared" si="2"/>
        <v>0</v>
      </c>
      <c r="L14" s="187"/>
      <c r="M14" s="503"/>
      <c r="P14" s="466"/>
    </row>
    <row r="15" spans="1:21" ht="13.5" customHeight="1">
      <c r="A15" s="1735"/>
      <c r="B15" s="1147" t="s">
        <v>1051</v>
      </c>
      <c r="C15" s="641" t="s">
        <v>1034</v>
      </c>
      <c r="D15" s="642">
        <v>0.16600000000000001</v>
      </c>
      <c r="E15" s="643"/>
      <c r="F15" s="731">
        <f t="shared" si="0"/>
        <v>0</v>
      </c>
      <c r="G15" s="187">
        <f t="shared" si="1"/>
        <v>0</v>
      </c>
      <c r="H15" s="187"/>
      <c r="I15" s="503"/>
      <c r="J15" s="1190"/>
      <c r="K15" s="731">
        <f t="shared" si="2"/>
        <v>0</v>
      </c>
      <c r="L15" s="187"/>
      <c r="M15" s="503"/>
      <c r="P15" s="466"/>
    </row>
    <row r="16" spans="1:21" ht="13.5" customHeight="1">
      <c r="A16" s="1735"/>
      <c r="B16" s="1147" t="s">
        <v>1149</v>
      </c>
      <c r="C16" s="641" t="s">
        <v>1110</v>
      </c>
      <c r="D16" s="642">
        <v>0.19600000000000001</v>
      </c>
      <c r="E16" s="643"/>
      <c r="F16" s="731">
        <f t="shared" si="0"/>
        <v>0</v>
      </c>
      <c r="G16" s="187">
        <f t="shared" si="1"/>
        <v>0</v>
      </c>
      <c r="H16" s="187"/>
      <c r="I16" s="503"/>
      <c r="J16" s="1190"/>
      <c r="K16" s="731">
        <f t="shared" si="2"/>
        <v>0</v>
      </c>
      <c r="L16" s="187"/>
      <c r="M16" s="503"/>
      <c r="P16" s="466"/>
    </row>
    <row r="17" spans="1:27" ht="13.5" customHeight="1">
      <c r="A17" s="1735"/>
      <c r="B17" s="1148" t="s">
        <v>1052</v>
      </c>
      <c r="C17" s="641" t="s">
        <v>1035</v>
      </c>
      <c r="D17" s="642">
        <v>0.14499999999999999</v>
      </c>
      <c r="E17" s="643"/>
      <c r="F17" s="731">
        <f>ROUND((F83+F171)*D17,0)</f>
        <v>0</v>
      </c>
      <c r="G17" s="187">
        <f>ROUND((G149+G171)*D17,0)</f>
        <v>0</v>
      </c>
      <c r="H17" s="187"/>
      <c r="I17" s="503"/>
      <c r="J17" s="1190"/>
      <c r="K17" s="731">
        <f>ROUND((K83+K171+K149)*D17,0)</f>
        <v>0</v>
      </c>
      <c r="L17" s="187"/>
      <c r="M17" s="503"/>
      <c r="P17" s="466"/>
    </row>
    <row r="18" spans="1:27" ht="13.5" customHeight="1">
      <c r="A18" s="1735"/>
      <c r="B18" s="1147" t="s">
        <v>1053</v>
      </c>
      <c r="C18" s="641" t="s">
        <v>1036</v>
      </c>
      <c r="D18" s="642">
        <v>0.14799999999999999</v>
      </c>
      <c r="E18" s="643"/>
      <c r="F18" s="731">
        <f>ROUND((F84+F172)*D18,0)</f>
        <v>0</v>
      </c>
      <c r="G18" s="187">
        <f>ROUND((G150+G172)*D18,0)</f>
        <v>0</v>
      </c>
      <c r="H18" s="187"/>
      <c r="I18" s="503"/>
      <c r="J18" s="1190"/>
      <c r="K18" s="731">
        <f>ROUND((K84+K172+K150)*D18,0)</f>
        <v>0</v>
      </c>
      <c r="L18" s="187"/>
      <c r="M18" s="503"/>
      <c r="P18" s="466"/>
    </row>
    <row r="19" spans="1:27" ht="13.5" customHeight="1">
      <c r="A19" s="1735"/>
      <c r="B19" s="1147" t="s">
        <v>1056</v>
      </c>
      <c r="C19" s="641" t="s">
        <v>1037</v>
      </c>
      <c r="D19" s="642">
        <v>0.251</v>
      </c>
      <c r="E19" s="643"/>
      <c r="F19" s="731">
        <f>ROUND((F85+F173)*D19,0)</f>
        <v>0</v>
      </c>
      <c r="G19" s="187">
        <f>ROUND((G151+G173)*D19,0)</f>
        <v>0</v>
      </c>
      <c r="H19" s="187"/>
      <c r="I19" s="503"/>
      <c r="J19" s="1190"/>
      <c r="K19" s="731">
        <f>ROUND((K85+K173+K151)*D19,0)</f>
        <v>0</v>
      </c>
      <c r="L19" s="187"/>
      <c r="M19" s="503"/>
      <c r="P19" s="466"/>
    </row>
    <row r="20" spans="1:27" ht="13.5" customHeight="1">
      <c r="A20" s="1735"/>
      <c r="B20" s="1147" t="s">
        <v>1054</v>
      </c>
      <c r="C20" s="641" t="s">
        <v>1121</v>
      </c>
      <c r="D20" s="642">
        <v>0.16500000000000001</v>
      </c>
      <c r="E20" s="643"/>
      <c r="F20" s="731">
        <f>ROUND((F86+F174)*D20,0)</f>
        <v>0</v>
      </c>
      <c r="G20" s="187">
        <f>ROUND((G152+G174)*D20,0)</f>
        <v>0</v>
      </c>
      <c r="H20" s="187"/>
      <c r="I20" s="503"/>
      <c r="J20" s="1190"/>
      <c r="K20" s="731">
        <f>ROUND((K86+K174+K152)*D20,0)</f>
        <v>0</v>
      </c>
      <c r="L20" s="187"/>
      <c r="M20" s="503"/>
      <c r="P20" s="466"/>
    </row>
    <row r="21" spans="1:27" ht="13.5" customHeight="1">
      <c r="A21" s="1735"/>
      <c r="B21" s="1139"/>
      <c r="C21" s="641" t="s">
        <v>1076</v>
      </c>
      <c r="D21" s="642">
        <v>0.16500000000000001</v>
      </c>
      <c r="E21" s="643"/>
      <c r="F21" s="731">
        <f>ROUND((F87+F175)*D21,0)</f>
        <v>0</v>
      </c>
      <c r="G21" s="187">
        <f>ROUND((G153+G175)*D21,0)</f>
        <v>0</v>
      </c>
      <c r="H21" s="187"/>
      <c r="I21" s="503"/>
      <c r="J21" s="503"/>
      <c r="K21" s="731">
        <f>ROUND((K87+K175+K153)*D21,0)</f>
        <v>0</v>
      </c>
      <c r="L21" s="187"/>
      <c r="M21" s="503"/>
      <c r="P21" s="466"/>
    </row>
    <row r="22" spans="1:27" ht="13.5" customHeight="1">
      <c r="A22" s="1735"/>
      <c r="B22" s="1139"/>
      <c r="C22" s="641"/>
      <c r="D22" s="642"/>
      <c r="E22" s="643"/>
      <c r="F22" s="187"/>
      <c r="G22" s="187"/>
      <c r="H22" s="187"/>
      <c r="I22" s="503"/>
      <c r="J22" s="503"/>
      <c r="K22" s="187"/>
      <c r="L22" s="187"/>
      <c r="M22" s="503"/>
      <c r="P22" s="466"/>
    </row>
    <row r="23" spans="1:27" ht="13.45" customHeight="1">
      <c r="A23" s="1735"/>
      <c r="B23" s="1139"/>
      <c r="C23" s="641" t="s">
        <v>296</v>
      </c>
      <c r="D23" s="643"/>
      <c r="E23" s="643"/>
      <c r="F23" s="174">
        <f>SUM(F3:F22)</f>
        <v>3445776</v>
      </c>
      <c r="G23" s="174">
        <f>SUM(G3:G22)</f>
        <v>0</v>
      </c>
      <c r="H23" s="174">
        <f>SUM(H3:H22)</f>
        <v>0</v>
      </c>
      <c r="J23" s="174">
        <f>SUM(J3:J22)</f>
        <v>0</v>
      </c>
      <c r="K23" s="174">
        <f>SUM(K3:K22)</f>
        <v>0</v>
      </c>
      <c r="L23" s="174">
        <f>SUM(L3:L22)</f>
        <v>0</v>
      </c>
      <c r="M23" s="174">
        <f>SUM(M3:M22)</f>
        <v>0</v>
      </c>
      <c r="O23" s="188" t="s">
        <v>289</v>
      </c>
      <c r="P23" s="282" t="s">
        <v>381</v>
      </c>
      <c r="Q23" s="282" t="s">
        <v>382</v>
      </c>
      <c r="R23" s="5" t="s">
        <v>634</v>
      </c>
      <c r="S23" s="5" t="s">
        <v>1058</v>
      </c>
      <c r="T23" s="5" t="s">
        <v>1059</v>
      </c>
      <c r="U23" s="777" t="str">
        <f>L2</f>
        <v>MES CE 구독료</v>
      </c>
    </row>
    <row r="24" spans="1:27" ht="13.5" customHeight="1">
      <c r="A24" s="1735" t="s">
        <v>291</v>
      </c>
      <c r="B24" s="1233" t="s">
        <v>1039</v>
      </c>
      <c r="C24" s="641" t="s">
        <v>1025</v>
      </c>
      <c r="D24" s="642">
        <v>0.09</v>
      </c>
      <c r="E24" s="643">
        <v>5.8000000000000003E-2</v>
      </c>
      <c r="F24" s="187">
        <f>ROUND($P24*D24,0)</f>
        <v>2214000</v>
      </c>
      <c r="G24" s="187">
        <f t="shared" ref="G24:G33" si="3">ROUND(Q24*D24,0)</f>
        <v>0</v>
      </c>
      <c r="H24" s="503"/>
      <c r="I24" s="187">
        <f>ROUND(D24*R24,0)</f>
        <v>0</v>
      </c>
      <c r="J24" s="503"/>
      <c r="K24" s="187">
        <f t="shared" ref="K24:K42" si="4">ROUND($S24*D24,0)</f>
        <v>0</v>
      </c>
      <c r="L24" s="187"/>
      <c r="M24" s="187">
        <f>ROUND(O24*E24,0)</f>
        <v>0</v>
      </c>
      <c r="O24" s="174">
        <f>'5. 수주액 상세'!$J$16</f>
        <v>0</v>
      </c>
      <c r="P24" s="174">
        <f>'5. 수주액 상세'!$J$11</f>
        <v>24600000</v>
      </c>
      <c r="Q24" s="174">
        <f>'5. 수주액 상세'!$J$12</f>
        <v>0</v>
      </c>
      <c r="R24" s="174">
        <f>'5. 수주액 상세'!$J$13</f>
        <v>0</v>
      </c>
      <c r="S24" s="174">
        <f>'5. 수주액 상세'!$J$15</f>
        <v>0</v>
      </c>
      <c r="T24" s="174">
        <f>'5. 수주액 상세'!$J$14</f>
        <v>0</v>
      </c>
      <c r="U24" s="174">
        <f>'5. 수주액 상세'!$J$17</f>
        <v>0</v>
      </c>
      <c r="AA24" s="1237"/>
    </row>
    <row r="25" spans="1:27" ht="13.5" customHeight="1">
      <c r="A25" s="1735"/>
      <c r="B25" s="1147" t="s">
        <v>1041</v>
      </c>
      <c r="C25" s="641" t="s">
        <v>914</v>
      </c>
      <c r="D25" s="642">
        <v>0.09</v>
      </c>
      <c r="E25" s="643">
        <v>5.8000000000000003E-2</v>
      </c>
      <c r="F25" s="187">
        <f>ROUND($P25*D25,0)</f>
        <v>0</v>
      </c>
      <c r="G25" s="187">
        <f t="shared" si="3"/>
        <v>0</v>
      </c>
      <c r="H25" s="503"/>
      <c r="I25" s="187">
        <f t="shared" ref="I25:I41" si="5">ROUND(D25*R25,0)</f>
        <v>0</v>
      </c>
      <c r="J25" s="503"/>
      <c r="K25" s="187">
        <f t="shared" si="4"/>
        <v>0</v>
      </c>
      <c r="L25" s="187"/>
      <c r="M25" s="187">
        <f>ROUND(O25*E25,0)</f>
        <v>0</v>
      </c>
      <c r="P25" s="174"/>
      <c r="Q25" s="174"/>
      <c r="R25" s="174"/>
      <c r="S25" s="174"/>
      <c r="T25" s="174"/>
      <c r="U25" s="174"/>
      <c r="AA25" s="1237"/>
    </row>
    <row r="26" spans="1:27" ht="13.5" customHeight="1">
      <c r="A26" s="1735"/>
      <c r="B26" s="1147" t="s">
        <v>1042</v>
      </c>
      <c r="C26" s="641" t="s">
        <v>664</v>
      </c>
      <c r="D26" s="642">
        <v>8.1000000000000003E-2</v>
      </c>
      <c r="E26" s="643">
        <v>5.8000000000000003E-2</v>
      </c>
      <c r="F26" s="187">
        <f>IF(P26&gt;0,ROUND($P26*D26,0)-L26,0)</f>
        <v>0</v>
      </c>
      <c r="G26" s="187">
        <f t="shared" si="3"/>
        <v>0</v>
      </c>
      <c r="H26" s="503"/>
      <c r="I26" s="187">
        <f t="shared" si="5"/>
        <v>0</v>
      </c>
      <c r="J26" s="503"/>
      <c r="K26" s="187">
        <f t="shared" si="4"/>
        <v>0</v>
      </c>
      <c r="L26" s="772">
        <f>IF($L$5&gt;0,ROUND($U26*D26,0),0)</f>
        <v>0</v>
      </c>
      <c r="M26" s="187">
        <f>ROUND(O26*E26,0)</f>
        <v>0</v>
      </c>
      <c r="O26" s="174">
        <f>'5. 수주액 상세'!$N$16</f>
        <v>0</v>
      </c>
      <c r="P26" s="174">
        <f>'5. 수주액 상세'!$N$11</f>
        <v>0</v>
      </c>
      <c r="Q26" s="174">
        <f>'5. 수주액 상세'!$N$12</f>
        <v>0</v>
      </c>
      <c r="R26" s="174">
        <f>'5. 수주액 상세'!$N$13</f>
        <v>0</v>
      </c>
      <c r="S26" s="174">
        <f>'5. 수주액 상세'!$N$15</f>
        <v>0</v>
      </c>
      <c r="T26" s="174">
        <f>'5. 수주액 상세'!$N$14</f>
        <v>0</v>
      </c>
      <c r="U26" s="174">
        <f>'5. 수주액 상세'!$N$17</f>
        <v>0</v>
      </c>
      <c r="AA26" s="1237"/>
    </row>
    <row r="27" spans="1:27" ht="13.5" customHeight="1">
      <c r="A27" s="1735"/>
      <c r="B27" s="1147" t="s">
        <v>1043</v>
      </c>
      <c r="C27" s="641" t="s">
        <v>1026</v>
      </c>
      <c r="D27" s="642">
        <v>0.11799999999999999</v>
      </c>
      <c r="E27" s="643">
        <v>5.8000000000000003E-2</v>
      </c>
      <c r="F27" s="187">
        <f t="shared" ref="F27:F41" si="6">ROUND($P27*D27,0)</f>
        <v>0</v>
      </c>
      <c r="G27" s="187">
        <f t="shared" si="3"/>
        <v>0</v>
      </c>
      <c r="H27" s="503"/>
      <c r="I27" s="187">
        <f t="shared" si="5"/>
        <v>0</v>
      </c>
      <c r="J27" s="503"/>
      <c r="K27" s="187">
        <f t="shared" si="4"/>
        <v>0</v>
      </c>
      <c r="L27" s="187"/>
      <c r="M27" s="187">
        <f t="shared" ref="M27:M40" si="7">ROUND(O27*E27,0)</f>
        <v>0</v>
      </c>
      <c r="O27" s="174">
        <f>'5. 수주액 상세'!$R$16</f>
        <v>0</v>
      </c>
      <c r="P27" s="174">
        <f>'5. 수주액 상세'!$R$11</f>
        <v>0</v>
      </c>
      <c r="Q27" s="174">
        <f>'5. 수주액 상세'!$R$12</f>
        <v>0</v>
      </c>
      <c r="R27" s="174">
        <f>'5. 수주액 상세'!$R$13</f>
        <v>0</v>
      </c>
      <c r="S27" s="174">
        <f>'5. 수주액 상세'!$R$15</f>
        <v>0</v>
      </c>
      <c r="T27" s="174">
        <f>'5. 수주액 상세'!$R$14</f>
        <v>0</v>
      </c>
      <c r="U27" s="174">
        <f>'5. 수주액 상세'!$R$17</f>
        <v>0</v>
      </c>
      <c r="AA27" s="1237"/>
    </row>
    <row r="28" spans="1:27" ht="13.5" customHeight="1">
      <c r="A28" s="1735"/>
      <c r="B28" s="1147" t="s">
        <v>1044</v>
      </c>
      <c r="C28" s="641" t="s">
        <v>1027</v>
      </c>
      <c r="D28" s="642">
        <v>0.11799999999999999</v>
      </c>
      <c r="E28" s="643">
        <v>5.8000000000000003E-2</v>
      </c>
      <c r="F28" s="187">
        <f t="shared" si="6"/>
        <v>0</v>
      </c>
      <c r="G28" s="187">
        <f t="shared" si="3"/>
        <v>0</v>
      </c>
      <c r="H28" s="503"/>
      <c r="I28" s="187">
        <f t="shared" si="5"/>
        <v>0</v>
      </c>
      <c r="J28" s="503"/>
      <c r="K28" s="187">
        <f t="shared" si="4"/>
        <v>0</v>
      </c>
      <c r="L28" s="187"/>
      <c r="M28" s="187">
        <f>ROUND(O28*E28,0)</f>
        <v>0</v>
      </c>
      <c r="O28" s="174">
        <f>'5. 수주액 상세'!$S$16</f>
        <v>0</v>
      </c>
      <c r="P28" s="174">
        <f>'5. 수주액 상세'!$S$11</f>
        <v>0</v>
      </c>
      <c r="Q28" s="174">
        <f>'5. 수주액 상세'!$S$12</f>
        <v>0</v>
      </c>
      <c r="R28" s="174">
        <f>'5. 수주액 상세'!$S$13</f>
        <v>0</v>
      </c>
      <c r="S28" s="174">
        <f>'5. 수주액 상세'!$S$15</f>
        <v>0</v>
      </c>
      <c r="T28" s="174">
        <f>'5. 수주액 상세'!$S$14</f>
        <v>0</v>
      </c>
      <c r="U28" s="174">
        <f>'5. 수주액 상세'!$S$17</f>
        <v>0</v>
      </c>
      <c r="AA28" s="1237"/>
    </row>
    <row r="29" spans="1:27" ht="13.5" customHeight="1">
      <c r="A29" s="1735"/>
      <c r="B29" s="1148" t="s">
        <v>1045</v>
      </c>
      <c r="C29" s="641" t="s">
        <v>662</v>
      </c>
      <c r="D29" s="642">
        <v>0.11799999999999999</v>
      </c>
      <c r="E29" s="643">
        <v>5.8000000000000003E-2</v>
      </c>
      <c r="F29" s="187">
        <f t="shared" si="6"/>
        <v>0</v>
      </c>
      <c r="G29" s="187">
        <f t="shared" si="3"/>
        <v>0</v>
      </c>
      <c r="H29" s="503"/>
      <c r="I29" s="187">
        <f t="shared" si="5"/>
        <v>0</v>
      </c>
      <c r="J29" s="503"/>
      <c r="K29" s="187">
        <f t="shared" si="4"/>
        <v>0</v>
      </c>
      <c r="L29" s="187"/>
      <c r="M29" s="187">
        <f t="shared" si="7"/>
        <v>0</v>
      </c>
      <c r="O29" s="174">
        <f>'5. 수주액 상세'!$T$16</f>
        <v>0</v>
      </c>
      <c r="P29" s="174">
        <f>'5. 수주액 상세'!$T$11</f>
        <v>0</v>
      </c>
      <c r="Q29" s="174">
        <f>'5. 수주액 상세'!$T$12</f>
        <v>0</v>
      </c>
      <c r="R29" s="174">
        <f>'5. 수주액 상세'!$T$13</f>
        <v>0</v>
      </c>
      <c r="S29" s="174">
        <f>'5. 수주액 상세'!$T$15</f>
        <v>0</v>
      </c>
      <c r="T29" s="174">
        <f>'5. 수주액 상세'!$T$14</f>
        <v>0</v>
      </c>
      <c r="U29" s="174">
        <f>'5. 수주액 상세'!$T$17</f>
        <v>0</v>
      </c>
      <c r="AA29" s="1237"/>
    </row>
    <row r="30" spans="1:27" ht="13.5" customHeight="1">
      <c r="A30" s="1735"/>
      <c r="B30" s="1147" t="s">
        <v>1050</v>
      </c>
      <c r="C30" s="641" t="s">
        <v>1028</v>
      </c>
      <c r="D30" s="642">
        <v>2.5000000000000001E-2</v>
      </c>
      <c r="E30" s="643">
        <v>5.8000000000000003E-2</v>
      </c>
      <c r="F30" s="187">
        <f t="shared" si="6"/>
        <v>0</v>
      </c>
      <c r="G30" s="187">
        <f t="shared" si="3"/>
        <v>0</v>
      </c>
      <c r="H30" s="503"/>
      <c r="I30" s="187">
        <f t="shared" si="5"/>
        <v>0</v>
      </c>
      <c r="J30" s="503"/>
      <c r="K30" s="187">
        <f t="shared" si="4"/>
        <v>0</v>
      </c>
      <c r="L30" s="187"/>
      <c r="M30" s="187">
        <f>ROUND(O30*E30,0)</f>
        <v>0</v>
      </c>
      <c r="O30" s="174">
        <f>'5. 수주액 상세'!$U$16</f>
        <v>0</v>
      </c>
      <c r="P30" s="174">
        <f>'5. 수주액 상세'!$U$11</f>
        <v>0</v>
      </c>
      <c r="Q30" s="174">
        <f>'5. 수주액 상세'!$U$12</f>
        <v>0</v>
      </c>
      <c r="R30" s="174">
        <f>'5. 수주액 상세'!$U$13</f>
        <v>0</v>
      </c>
      <c r="S30" s="174">
        <f>'5. 수주액 상세'!$U$15</f>
        <v>0</v>
      </c>
      <c r="T30" s="174">
        <f>'5. 수주액 상세'!$U$14</f>
        <v>0</v>
      </c>
      <c r="U30" s="174">
        <f>'5. 수주액 상세'!$U$17</f>
        <v>0</v>
      </c>
      <c r="AA30" s="1237"/>
    </row>
    <row r="31" spans="1:27" ht="13.5" customHeight="1">
      <c r="A31" s="1735"/>
      <c r="B31" s="1147" t="s">
        <v>1057</v>
      </c>
      <c r="C31" s="641" t="s">
        <v>1029</v>
      </c>
      <c r="D31" s="642">
        <v>1.2E-2</v>
      </c>
      <c r="E31" s="643">
        <v>5.8000000000000003E-2</v>
      </c>
      <c r="F31" s="187">
        <f t="shared" si="6"/>
        <v>0</v>
      </c>
      <c r="G31" s="187">
        <f t="shared" si="3"/>
        <v>0</v>
      </c>
      <c r="H31" s="503"/>
      <c r="I31" s="187">
        <f t="shared" si="5"/>
        <v>0</v>
      </c>
      <c r="J31" s="503"/>
      <c r="K31" s="187">
        <f t="shared" si="4"/>
        <v>0</v>
      </c>
      <c r="L31" s="187"/>
      <c r="M31" s="187">
        <f>ROUND(O31*E31,0)</f>
        <v>0</v>
      </c>
      <c r="O31" s="174">
        <f>'5. 수주액 상세'!$V$16</f>
        <v>0</v>
      </c>
      <c r="P31" s="174">
        <f>'5. 수주액 상세'!$V$11</f>
        <v>0</v>
      </c>
      <c r="Q31" s="174">
        <f>'5. 수주액 상세'!$V$12</f>
        <v>0</v>
      </c>
      <c r="R31" s="174">
        <f>'5. 수주액 상세'!$V$13</f>
        <v>0</v>
      </c>
      <c r="S31" s="174">
        <f>'5. 수주액 상세'!$V$15</f>
        <v>0</v>
      </c>
      <c r="T31" s="174">
        <f>'5. 수주액 상세'!$V$14</f>
        <v>0</v>
      </c>
      <c r="U31" s="174">
        <f>'5. 수주액 상세'!$V$17</f>
        <v>0</v>
      </c>
      <c r="AA31" s="1237"/>
    </row>
    <row r="32" spans="1:27" ht="13.5" customHeight="1">
      <c r="A32" s="1735"/>
      <c r="B32" s="1147" t="s">
        <v>1049</v>
      </c>
      <c r="C32" s="641" t="s">
        <v>1030</v>
      </c>
      <c r="D32" s="642">
        <v>0.02</v>
      </c>
      <c r="E32" s="643">
        <v>5.8000000000000003E-2</v>
      </c>
      <c r="F32" s="187">
        <f t="shared" si="6"/>
        <v>0</v>
      </c>
      <c r="G32" s="187">
        <f t="shared" si="3"/>
        <v>0</v>
      </c>
      <c r="H32" s="503"/>
      <c r="I32" s="187">
        <f>ROUND(D32*R32,0)</f>
        <v>0</v>
      </c>
      <c r="J32" s="503"/>
      <c r="K32" s="187">
        <f t="shared" si="4"/>
        <v>0</v>
      </c>
      <c r="L32" s="187"/>
      <c r="M32" s="187">
        <f>ROUND(O32*E32,0)</f>
        <v>0</v>
      </c>
      <c r="O32" s="174">
        <f>'5. 수주액 상세'!$W$16</f>
        <v>0</v>
      </c>
      <c r="P32" s="174">
        <f>'5. 수주액 상세'!$W$11</f>
        <v>0</v>
      </c>
      <c r="Q32" s="174">
        <f>'5. 수주액 상세'!$W$12</f>
        <v>0</v>
      </c>
      <c r="R32" s="174">
        <f>'5. 수주액 상세'!$W$13</f>
        <v>0</v>
      </c>
      <c r="S32" s="174">
        <f>'5. 수주액 상세'!$W$15</f>
        <v>0</v>
      </c>
      <c r="T32" s="174">
        <f>'5. 수주액 상세'!$W$14</f>
        <v>0</v>
      </c>
      <c r="U32" s="174">
        <f>'5. 수주액 상세'!$W$17</f>
        <v>0</v>
      </c>
      <c r="AA32" s="1237"/>
    </row>
    <row r="33" spans="1:27" ht="13.5" customHeight="1">
      <c r="A33" s="1735"/>
      <c r="B33" s="1233" t="s">
        <v>1048</v>
      </c>
      <c r="C33" s="641" t="s">
        <v>1031</v>
      </c>
      <c r="D33" s="642">
        <v>2.5000000000000001E-2</v>
      </c>
      <c r="E33" s="643">
        <v>5.8000000000000003E-2</v>
      </c>
      <c r="F33" s="187">
        <f t="shared" si="6"/>
        <v>0</v>
      </c>
      <c r="G33" s="187">
        <f t="shared" si="3"/>
        <v>0</v>
      </c>
      <c r="H33" s="503"/>
      <c r="I33" s="187">
        <f t="shared" si="5"/>
        <v>0</v>
      </c>
      <c r="J33" s="503"/>
      <c r="K33" s="187">
        <f t="shared" si="4"/>
        <v>0</v>
      </c>
      <c r="L33" s="187"/>
      <c r="M33" s="187">
        <f>ROUND(O33*E33,0)</f>
        <v>0</v>
      </c>
      <c r="O33" s="174">
        <f>'5. 수주액 상세'!$X$16</f>
        <v>0</v>
      </c>
      <c r="P33" s="174">
        <f>'5. 수주액 상세'!$X$11</f>
        <v>0</v>
      </c>
      <c r="Q33" s="174">
        <f>'5. 수주액 상세'!$X$12</f>
        <v>0</v>
      </c>
      <c r="R33" s="174">
        <f>'5. 수주액 상세'!$X$13</f>
        <v>0</v>
      </c>
      <c r="S33" s="174">
        <f>'5. 수주액 상세'!$X$15</f>
        <v>0</v>
      </c>
      <c r="T33" s="174">
        <f>'5. 수주액 상세'!$X$14</f>
        <v>0</v>
      </c>
      <c r="U33" s="174">
        <f>'5. 수주액 상세'!$X$17</f>
        <v>0</v>
      </c>
      <c r="AA33" s="1237"/>
    </row>
    <row r="34" spans="1:27" ht="13.5" customHeight="1">
      <c r="A34" s="1735"/>
      <c r="B34" s="1148" t="s">
        <v>1047</v>
      </c>
      <c r="C34" s="641" t="s">
        <v>929</v>
      </c>
      <c r="D34" s="642">
        <v>3.1E-2</v>
      </c>
      <c r="E34" s="643">
        <v>5.8000000000000003E-2</v>
      </c>
      <c r="F34" s="187">
        <f t="shared" si="6"/>
        <v>0</v>
      </c>
      <c r="G34" s="187">
        <f t="shared" ref="G34:G40" si="8">ROUND(Q34*D34,0)</f>
        <v>0</v>
      </c>
      <c r="H34" s="503"/>
      <c r="I34" s="187">
        <f t="shared" si="5"/>
        <v>0</v>
      </c>
      <c r="J34" s="503"/>
      <c r="K34" s="187">
        <f t="shared" si="4"/>
        <v>0</v>
      </c>
      <c r="L34" s="187"/>
      <c r="M34" s="187">
        <f t="shared" si="7"/>
        <v>0</v>
      </c>
      <c r="O34" s="174">
        <f>'5. 수주액 상세'!$Y$16</f>
        <v>0</v>
      </c>
      <c r="P34" s="174">
        <f>'5. 수주액 상세'!$Y$11</f>
        <v>0</v>
      </c>
      <c r="Q34" s="174">
        <f>'5. 수주액 상세'!$Y$12</f>
        <v>0</v>
      </c>
      <c r="R34" s="174">
        <f>'5. 수주액 상세'!$Y$13</f>
        <v>0</v>
      </c>
      <c r="S34" s="174">
        <f>'5. 수주액 상세'!$Y$15</f>
        <v>0</v>
      </c>
      <c r="T34" s="174">
        <f>'5. 수주액 상세'!$Y$14</f>
        <v>0</v>
      </c>
      <c r="U34" s="174">
        <f>'5. 수주액 상세'!$Y$17</f>
        <v>0</v>
      </c>
      <c r="AA34" s="1237"/>
    </row>
    <row r="35" spans="1:27" ht="13.5" customHeight="1">
      <c r="A35" s="1735"/>
      <c r="B35" s="1147" t="s">
        <v>1055</v>
      </c>
      <c r="C35" s="641" t="s">
        <v>930</v>
      </c>
      <c r="D35" s="642">
        <v>5.8999999999999997E-2</v>
      </c>
      <c r="E35" s="643">
        <v>5.8000000000000003E-2</v>
      </c>
      <c r="F35" s="187">
        <f t="shared" si="6"/>
        <v>0</v>
      </c>
      <c r="G35" s="187">
        <f>ROUND(Q35*D35,0)</f>
        <v>0</v>
      </c>
      <c r="H35" s="503"/>
      <c r="I35" s="187">
        <f t="shared" si="5"/>
        <v>0</v>
      </c>
      <c r="J35" s="503"/>
      <c r="K35" s="187">
        <f t="shared" si="4"/>
        <v>0</v>
      </c>
      <c r="L35" s="187"/>
      <c r="M35" s="187">
        <f>ROUND(O35*E35,0)</f>
        <v>0</v>
      </c>
      <c r="O35" s="174">
        <f>'5. 수주액 상세'!$Z$16</f>
        <v>0</v>
      </c>
      <c r="P35" s="174">
        <f>'5. 수주액 상세'!$Z$11</f>
        <v>0</v>
      </c>
      <c r="Q35" s="174">
        <f>'5. 수주액 상세'!$Z$12</f>
        <v>0</v>
      </c>
      <c r="R35" s="174">
        <f>'5. 수주액 상세'!$Z$13</f>
        <v>0</v>
      </c>
      <c r="S35" s="174">
        <f>'5. 수주액 상세'!$Z$15</f>
        <v>0</v>
      </c>
      <c r="T35" s="174">
        <f>'5. 수주액 상세'!$Z$14</f>
        <v>0</v>
      </c>
      <c r="U35" s="174">
        <f>'5. 수주액 상세'!$Z$17</f>
        <v>0</v>
      </c>
      <c r="AA35" s="1237"/>
    </row>
    <row r="36" spans="1:27" ht="13.5" customHeight="1">
      <c r="A36" s="1735"/>
      <c r="B36" s="1147" t="s">
        <v>1051</v>
      </c>
      <c r="C36" s="641" t="s">
        <v>1034</v>
      </c>
      <c r="D36" s="642">
        <v>1.7000000000000001E-2</v>
      </c>
      <c r="E36" s="643">
        <v>5.8000000000000003E-2</v>
      </c>
      <c r="F36" s="187">
        <f t="shared" si="6"/>
        <v>0</v>
      </c>
      <c r="G36" s="187">
        <f t="shared" si="8"/>
        <v>0</v>
      </c>
      <c r="H36" s="503"/>
      <c r="I36" s="187">
        <f t="shared" si="5"/>
        <v>0</v>
      </c>
      <c r="J36" s="503"/>
      <c r="K36" s="187">
        <f t="shared" si="4"/>
        <v>0</v>
      </c>
      <c r="L36" s="187"/>
      <c r="M36" s="187">
        <f t="shared" si="7"/>
        <v>0</v>
      </c>
      <c r="O36" s="174">
        <f>'5. 수주액 상세'!$AA$16</f>
        <v>0</v>
      </c>
      <c r="P36" s="174">
        <f>'5. 수주액 상세'!$AA$11</f>
        <v>0</v>
      </c>
      <c r="Q36" s="174">
        <f>'5. 수주액 상세'!$AA$12</f>
        <v>0</v>
      </c>
      <c r="R36" s="174">
        <f>'5. 수주액 상세'!$AA$13</f>
        <v>0</v>
      </c>
      <c r="S36" s="174">
        <f>'5. 수주액 상세'!$AA$15</f>
        <v>0</v>
      </c>
      <c r="T36" s="174">
        <f>'5. 수주액 상세'!$AA$14</f>
        <v>0</v>
      </c>
      <c r="U36" s="174">
        <f>'5. 수주액 상세'!$AA$17</f>
        <v>0</v>
      </c>
      <c r="AA36" s="1237"/>
    </row>
    <row r="37" spans="1:27" ht="13.5" customHeight="1">
      <c r="A37" s="1735"/>
      <c r="B37" s="1147" t="s">
        <v>1149</v>
      </c>
      <c r="C37" s="641" t="s">
        <v>1109</v>
      </c>
      <c r="D37" s="642">
        <v>3.5999999999999997E-2</v>
      </c>
      <c r="E37" s="643">
        <v>5.8000000000000003E-2</v>
      </c>
      <c r="F37" s="187">
        <f t="shared" si="6"/>
        <v>0</v>
      </c>
      <c r="G37" s="187">
        <f>ROUND(Q37*D37,0)</f>
        <v>0</v>
      </c>
      <c r="H37" s="503"/>
      <c r="I37" s="187">
        <f t="shared" si="5"/>
        <v>0</v>
      </c>
      <c r="J37" s="503"/>
      <c r="K37" s="187">
        <f t="shared" si="4"/>
        <v>0</v>
      </c>
      <c r="L37" s="187"/>
      <c r="M37" s="187">
        <f>ROUND(O37*E37,0)</f>
        <v>0</v>
      </c>
      <c r="O37" s="174">
        <f>'5. 수주액 상세'!$AB$16</f>
        <v>0</v>
      </c>
      <c r="P37" s="174">
        <f>'5. 수주액 상세'!$AB$11</f>
        <v>0</v>
      </c>
      <c r="Q37" s="174">
        <f>'5. 수주액 상세'!$AB$12</f>
        <v>0</v>
      </c>
      <c r="R37" s="174">
        <f>'5. 수주액 상세'!$AB$13</f>
        <v>0</v>
      </c>
      <c r="S37" s="174">
        <f>'5. 수주액 상세'!$AB$15</f>
        <v>0</v>
      </c>
      <c r="T37" s="174">
        <f>'5. 수주액 상세'!$AB$14</f>
        <v>0</v>
      </c>
      <c r="U37" s="174">
        <f>'5. 수주액 상세'!$AB$17</f>
        <v>0</v>
      </c>
      <c r="AA37" s="1237"/>
    </row>
    <row r="38" spans="1:27" ht="13.5" customHeight="1">
      <c r="A38" s="1735"/>
      <c r="B38" s="1148" t="s">
        <v>1052</v>
      </c>
      <c r="C38" s="641" t="s">
        <v>1035</v>
      </c>
      <c r="D38" s="642">
        <v>1.7000000000000001E-2</v>
      </c>
      <c r="E38" s="643">
        <v>5.8000000000000003E-2</v>
      </c>
      <c r="F38" s="187">
        <f t="shared" si="6"/>
        <v>0</v>
      </c>
      <c r="G38" s="187">
        <f t="shared" si="8"/>
        <v>0</v>
      </c>
      <c r="H38" s="503"/>
      <c r="I38" s="187">
        <f t="shared" si="5"/>
        <v>0</v>
      </c>
      <c r="J38" s="503"/>
      <c r="K38" s="187">
        <f t="shared" si="4"/>
        <v>0</v>
      </c>
      <c r="L38" s="187"/>
      <c r="M38" s="187">
        <f t="shared" si="7"/>
        <v>0</v>
      </c>
      <c r="O38" s="174">
        <f>'5. 수주액 상세'!$AC$16</f>
        <v>0</v>
      </c>
      <c r="P38" s="174">
        <f>'5. 수주액 상세'!$AC$11</f>
        <v>0</v>
      </c>
      <c r="Q38" s="174">
        <f>'5. 수주액 상세'!$AC$12</f>
        <v>0</v>
      </c>
      <c r="R38" s="174">
        <f>'5. 수주액 상세'!$AC$13</f>
        <v>0</v>
      </c>
      <c r="S38" s="174">
        <f>'5. 수주액 상세'!$AC$15</f>
        <v>0</v>
      </c>
      <c r="T38" s="174">
        <f>'5. 수주액 상세'!$AC$14</f>
        <v>0</v>
      </c>
      <c r="U38" s="174">
        <f>'5. 수주액 상세'!$AC$17</f>
        <v>0</v>
      </c>
      <c r="AA38" s="1237"/>
    </row>
    <row r="39" spans="1:27" ht="13.5" customHeight="1">
      <c r="A39" s="1735"/>
      <c r="B39" s="1147" t="s">
        <v>1053</v>
      </c>
      <c r="C39" s="641" t="s">
        <v>1036</v>
      </c>
      <c r="D39" s="642">
        <v>3.6999999999999998E-2</v>
      </c>
      <c r="E39" s="643">
        <v>5.8000000000000003E-2</v>
      </c>
      <c r="F39" s="187">
        <f t="shared" si="6"/>
        <v>0</v>
      </c>
      <c r="G39" s="187">
        <f t="shared" si="8"/>
        <v>0</v>
      </c>
      <c r="H39" s="503"/>
      <c r="I39" s="187">
        <f t="shared" si="5"/>
        <v>0</v>
      </c>
      <c r="J39" s="503"/>
      <c r="K39" s="187">
        <f t="shared" si="4"/>
        <v>0</v>
      </c>
      <c r="L39" s="187"/>
      <c r="M39" s="187">
        <f t="shared" si="7"/>
        <v>0</v>
      </c>
      <c r="O39" s="174">
        <f>'5. 수주액 상세'!$AD$16</f>
        <v>0</v>
      </c>
      <c r="P39" s="174">
        <f>'5. 수주액 상세'!$AD$11</f>
        <v>0</v>
      </c>
      <c r="Q39" s="174">
        <f>'5. 수주액 상세'!$AD$12</f>
        <v>0</v>
      </c>
      <c r="R39" s="174">
        <f>'5. 수주액 상세'!$AD$13</f>
        <v>0</v>
      </c>
      <c r="S39" s="174">
        <f>'5. 수주액 상세'!$AD$15</f>
        <v>0</v>
      </c>
      <c r="T39" s="174">
        <f>'5. 수주액 상세'!$AD$14</f>
        <v>0</v>
      </c>
      <c r="U39" s="174">
        <f>'5. 수주액 상세'!$AD$17</f>
        <v>0</v>
      </c>
      <c r="AA39" s="1237"/>
    </row>
    <row r="40" spans="1:27" ht="13.5" customHeight="1">
      <c r="A40" s="1735"/>
      <c r="B40" s="1147" t="s">
        <v>1056</v>
      </c>
      <c r="C40" s="641" t="s">
        <v>1037</v>
      </c>
      <c r="D40" s="642">
        <v>0.05</v>
      </c>
      <c r="E40" s="643">
        <v>5.8000000000000003E-2</v>
      </c>
      <c r="F40" s="187">
        <f t="shared" si="6"/>
        <v>0</v>
      </c>
      <c r="G40" s="187">
        <f t="shared" si="8"/>
        <v>0</v>
      </c>
      <c r="H40" s="503"/>
      <c r="I40" s="187">
        <f t="shared" si="5"/>
        <v>0</v>
      </c>
      <c r="J40" s="503"/>
      <c r="K40" s="187">
        <f t="shared" si="4"/>
        <v>0</v>
      </c>
      <c r="L40" s="187"/>
      <c r="M40" s="187">
        <f t="shared" si="7"/>
        <v>0</v>
      </c>
      <c r="O40" s="174">
        <f>'5. 수주액 상세'!$AE$16</f>
        <v>0</v>
      </c>
      <c r="P40" s="174">
        <f>'5. 수주액 상세'!$AE$11</f>
        <v>0</v>
      </c>
      <c r="Q40" s="174">
        <f>'5. 수주액 상세'!$AE$12</f>
        <v>0</v>
      </c>
      <c r="R40" s="174">
        <f>'5. 수주액 상세'!$AE$13</f>
        <v>0</v>
      </c>
      <c r="S40" s="174">
        <f>'5. 수주액 상세'!$AE$15</f>
        <v>0</v>
      </c>
      <c r="T40" s="174">
        <f>'5. 수주액 상세'!$AE$14</f>
        <v>0</v>
      </c>
      <c r="U40" s="174">
        <f>'5. 수주액 상세'!$AE$17</f>
        <v>0</v>
      </c>
      <c r="AA40" s="1237"/>
    </row>
    <row r="41" spans="1:27" ht="13.5" customHeight="1">
      <c r="A41" s="1735"/>
      <c r="B41" s="1147" t="s">
        <v>1054</v>
      </c>
      <c r="C41" s="641" t="s">
        <v>1121</v>
      </c>
      <c r="D41" s="642">
        <v>1.4999999999999999E-2</v>
      </c>
      <c r="E41" s="643">
        <v>5.8000000000000003E-2</v>
      </c>
      <c r="F41" s="187">
        <f t="shared" si="6"/>
        <v>0</v>
      </c>
      <c r="G41" s="187">
        <f>ROUND(Q41*D41,0)</f>
        <v>0</v>
      </c>
      <c r="H41" s="503"/>
      <c r="I41" s="187">
        <f t="shared" si="5"/>
        <v>0</v>
      </c>
      <c r="J41" s="503"/>
      <c r="K41" s="187">
        <f t="shared" si="4"/>
        <v>0</v>
      </c>
      <c r="L41" s="187"/>
      <c r="M41" s="187">
        <f>ROUND(O41*E41,0)</f>
        <v>0</v>
      </c>
      <c r="O41" s="174">
        <f>'5. 수주액 상세'!$AF$16</f>
        <v>0</v>
      </c>
      <c r="P41" s="174">
        <f>'5. 수주액 상세'!$AF$11</f>
        <v>0</v>
      </c>
      <c r="Q41" s="174">
        <f>'5. 수주액 상세'!$AF$12</f>
        <v>0</v>
      </c>
      <c r="R41" s="174">
        <f>'5. 수주액 상세'!$AF$13</f>
        <v>0</v>
      </c>
      <c r="S41" s="174">
        <f>'5. 수주액 상세'!$AF$15</f>
        <v>0</v>
      </c>
      <c r="T41" s="174">
        <f>'5. 수주액 상세'!$AF$14</f>
        <v>0</v>
      </c>
      <c r="U41" s="174">
        <f>'5. 수주액 상세'!$AF$17</f>
        <v>0</v>
      </c>
      <c r="AA41" s="1237"/>
    </row>
    <row r="42" spans="1:27" ht="13.5" customHeight="1">
      <c r="A42" s="1735"/>
      <c r="B42" s="1139"/>
      <c r="C42" s="641" t="s">
        <v>1076</v>
      </c>
      <c r="D42" s="642">
        <v>1.4999999999999999E-2</v>
      </c>
      <c r="E42" s="643">
        <v>5.8000000000000003E-2</v>
      </c>
      <c r="F42" s="187">
        <f>ROUND($P42*D42,0)</f>
        <v>0</v>
      </c>
      <c r="G42" s="187">
        <f>ROUND(Q42*D42,0)</f>
        <v>0</v>
      </c>
      <c r="H42" s="503"/>
      <c r="I42" s="187">
        <f>ROUND(D42*R42,0)</f>
        <v>0</v>
      </c>
      <c r="J42" s="503"/>
      <c r="K42" s="187">
        <f t="shared" si="4"/>
        <v>0</v>
      </c>
      <c r="L42" s="187"/>
      <c r="M42" s="187">
        <f>ROUND(O42*E42,0)</f>
        <v>0</v>
      </c>
      <c r="O42" s="174">
        <f>'5. 수주액 상세'!$AG$16</f>
        <v>0</v>
      </c>
      <c r="P42" s="174">
        <f>'5. 수주액 상세'!$AG$11</f>
        <v>0</v>
      </c>
      <c r="Q42" s="174">
        <f>'5. 수주액 상세'!$AG$12</f>
        <v>0</v>
      </c>
      <c r="R42" s="174">
        <f>'5. 수주액 상세'!$AG$13</f>
        <v>0</v>
      </c>
      <c r="S42" s="174">
        <f>'5. 수주액 상세'!$AG$15</f>
        <v>0</v>
      </c>
      <c r="T42" s="174">
        <f>'5. 수주액 상세'!$AG$14</f>
        <v>0</v>
      </c>
      <c r="U42" s="174">
        <f>'5. 수주액 상세'!$AG$17</f>
        <v>0</v>
      </c>
      <c r="AA42" s="1237"/>
    </row>
    <row r="43" spans="1:27" ht="13.5" customHeight="1">
      <c r="A43" s="1735"/>
      <c r="B43" s="1139"/>
      <c r="C43" s="641"/>
      <c r="D43" s="642"/>
      <c r="E43" s="643"/>
      <c r="F43" s="187"/>
      <c r="G43" s="187"/>
      <c r="H43" s="503"/>
      <c r="I43" s="187"/>
      <c r="J43" s="503"/>
      <c r="K43" s="187"/>
      <c r="L43" s="187"/>
      <c r="M43" s="187"/>
      <c r="P43" s="174"/>
      <c r="Q43" s="174"/>
      <c r="U43" s="1152"/>
      <c r="AA43" s="1237"/>
    </row>
    <row r="44" spans="1:27" ht="13.5" customHeight="1">
      <c r="A44" s="1735"/>
      <c r="B44" s="1139"/>
      <c r="C44" s="641" t="s">
        <v>509</v>
      </c>
      <c r="D44" s="643"/>
      <c r="E44" s="643"/>
      <c r="F44" s="174">
        <f>SUM(F24:F43)</f>
        <v>2214000</v>
      </c>
      <c r="G44" s="174">
        <f>SUM(G24:G43)</f>
        <v>0</v>
      </c>
      <c r="I44" s="174">
        <f>SUM(I24:I43)</f>
        <v>0</v>
      </c>
      <c r="J44" s="174">
        <f>SUM(J24:J43)</f>
        <v>0</v>
      </c>
      <c r="K44" s="174">
        <f>SUM(K24:K43)</f>
        <v>0</v>
      </c>
      <c r="L44" s="174">
        <f>SUM(L24:L43)</f>
        <v>0</v>
      </c>
      <c r="M44" s="174">
        <f>SUM(M24:M43)</f>
        <v>0</v>
      </c>
      <c r="O44" s="174">
        <f>SUM(O24:O43)</f>
        <v>0</v>
      </c>
      <c r="P44" s="174">
        <f>SUM(P24:P43)</f>
        <v>24600000</v>
      </c>
      <c r="Q44" s="174">
        <f>SUM(Q24:Q43)</f>
        <v>0</v>
      </c>
      <c r="R44" s="174">
        <f>SUM(R24:R43)</f>
        <v>0</v>
      </c>
      <c r="S44" s="174"/>
      <c r="T44" s="174"/>
      <c r="U44" s="1152">
        <f>SUM(U24:U43)</f>
        <v>0</v>
      </c>
    </row>
    <row r="45" spans="1:27" ht="13.5" customHeight="1">
      <c r="A45" s="1735" t="s">
        <v>292</v>
      </c>
      <c r="B45" s="1233" t="s">
        <v>1039</v>
      </c>
      <c r="C45" s="641" t="s">
        <v>1025</v>
      </c>
      <c r="D45" s="642">
        <v>9.7000000000000003E-2</v>
      </c>
      <c r="E45" s="643">
        <v>7.1999999999999995E-2</v>
      </c>
      <c r="F45" s="187">
        <f t="shared" ref="F45:F58" si="9">ROUND((F68+F90+F112+F3+F24+F156)*$D45,0)</f>
        <v>1890410</v>
      </c>
      <c r="G45" s="187">
        <f t="shared" ref="G45:H58" si="10">ROUND((G68+G90+G112+G3+G24+G134+G156)*$D45,0)</f>
        <v>0</v>
      </c>
      <c r="H45" s="187">
        <f t="shared" si="10"/>
        <v>0</v>
      </c>
      <c r="I45" s="187">
        <f t="shared" ref="I45:I58" si="11">ROUND((I68+I90+I112+I3+I24)*$D45,0)</f>
        <v>0</v>
      </c>
      <c r="J45" s="503"/>
      <c r="K45" s="187">
        <f t="shared" ref="K45:K58" si="12">ROUND((K68+K90+K112+K3+K24+K156+K134)*$D45,0)</f>
        <v>0</v>
      </c>
      <c r="L45" s="187"/>
      <c r="M45" s="187">
        <f t="shared" ref="M45:M58" si="13">ROUND((M68+M90+M112+M3+M24)*$E45,0)</f>
        <v>0</v>
      </c>
      <c r="AA45" s="1237"/>
    </row>
    <row r="46" spans="1:27" ht="13.5" customHeight="1">
      <c r="A46" s="1735"/>
      <c r="B46" s="1147" t="s">
        <v>1041</v>
      </c>
      <c r="C46" s="641" t="s">
        <v>914</v>
      </c>
      <c r="D46" s="642">
        <v>9.7000000000000003E-2</v>
      </c>
      <c r="E46" s="643">
        <v>7.1999999999999995E-2</v>
      </c>
      <c r="F46" s="187">
        <f t="shared" si="9"/>
        <v>0</v>
      </c>
      <c r="G46" s="187">
        <f t="shared" si="10"/>
        <v>0</v>
      </c>
      <c r="H46" s="187">
        <f t="shared" si="10"/>
        <v>0</v>
      </c>
      <c r="I46" s="187">
        <f t="shared" si="11"/>
        <v>0</v>
      </c>
      <c r="J46" s="503"/>
      <c r="K46" s="187">
        <f t="shared" si="12"/>
        <v>0</v>
      </c>
      <c r="L46" s="187"/>
      <c r="M46" s="187">
        <f t="shared" si="13"/>
        <v>0</v>
      </c>
      <c r="AA46" s="1237"/>
    </row>
    <row r="47" spans="1:27" ht="13.5" customHeight="1">
      <c r="A47" s="1735"/>
      <c r="B47" s="1147" t="s">
        <v>1042</v>
      </c>
      <c r="C47" s="641" t="s">
        <v>664</v>
      </c>
      <c r="D47" s="642">
        <v>0.105</v>
      </c>
      <c r="E47" s="643">
        <v>7.1999999999999995E-2</v>
      </c>
      <c r="F47" s="187">
        <f t="shared" si="9"/>
        <v>0</v>
      </c>
      <c r="G47" s="187">
        <f t="shared" si="10"/>
        <v>0</v>
      </c>
      <c r="H47" s="187">
        <f t="shared" si="10"/>
        <v>0</v>
      </c>
      <c r="I47" s="187">
        <f t="shared" si="11"/>
        <v>0</v>
      </c>
      <c r="J47" s="503"/>
      <c r="K47" s="187">
        <f t="shared" si="12"/>
        <v>0</v>
      </c>
      <c r="L47" s="772">
        <f>IF($L$5&gt;0,ROUND((L70+L92+L114+L5+L26+L158)*$D47,0),0)</f>
        <v>0</v>
      </c>
      <c r="M47" s="187">
        <f t="shared" si="13"/>
        <v>0</v>
      </c>
      <c r="AA47" s="1237"/>
    </row>
    <row r="48" spans="1:27" ht="13.5" customHeight="1">
      <c r="A48" s="1735"/>
      <c r="B48" s="1147" t="s">
        <v>1043</v>
      </c>
      <c r="C48" s="641" t="s">
        <v>1026</v>
      </c>
      <c r="D48" s="642">
        <v>7.3999999999999982E-2</v>
      </c>
      <c r="E48" s="643">
        <v>7.1999999999999995E-2</v>
      </c>
      <c r="F48" s="187">
        <f t="shared" si="9"/>
        <v>0</v>
      </c>
      <c r="G48" s="187">
        <f t="shared" si="10"/>
        <v>0</v>
      </c>
      <c r="H48" s="187">
        <f t="shared" si="10"/>
        <v>0</v>
      </c>
      <c r="I48" s="187">
        <f t="shared" si="11"/>
        <v>0</v>
      </c>
      <c r="J48" s="503"/>
      <c r="K48" s="187">
        <f t="shared" si="12"/>
        <v>0</v>
      </c>
      <c r="L48" s="187"/>
      <c r="M48" s="187">
        <f t="shared" si="13"/>
        <v>0</v>
      </c>
      <c r="AA48" s="1237"/>
    </row>
    <row r="49" spans="1:27" ht="13.5" customHeight="1">
      <c r="A49" s="1735"/>
      <c r="B49" s="1147" t="s">
        <v>1044</v>
      </c>
      <c r="C49" s="641" t="s">
        <v>1027</v>
      </c>
      <c r="D49" s="642">
        <v>7.3999999999999982E-2</v>
      </c>
      <c r="E49" s="643">
        <v>7.1999999999999995E-2</v>
      </c>
      <c r="F49" s="187">
        <f t="shared" si="9"/>
        <v>0</v>
      </c>
      <c r="G49" s="187">
        <f t="shared" si="10"/>
        <v>0</v>
      </c>
      <c r="H49" s="187">
        <f t="shared" si="10"/>
        <v>0</v>
      </c>
      <c r="I49" s="187">
        <f t="shared" si="11"/>
        <v>0</v>
      </c>
      <c r="J49" s="503"/>
      <c r="K49" s="187">
        <f t="shared" si="12"/>
        <v>0</v>
      </c>
      <c r="L49" s="187"/>
      <c r="M49" s="187">
        <f t="shared" si="13"/>
        <v>0</v>
      </c>
      <c r="AA49" s="1237"/>
    </row>
    <row r="50" spans="1:27" ht="13.5" customHeight="1">
      <c r="A50" s="1735"/>
      <c r="B50" s="1148" t="s">
        <v>1045</v>
      </c>
      <c r="C50" s="641" t="s">
        <v>662</v>
      </c>
      <c r="D50" s="642">
        <v>7.3999999999999982E-2</v>
      </c>
      <c r="E50" s="643">
        <v>7.1999999999999995E-2</v>
      </c>
      <c r="F50" s="187">
        <f t="shared" si="9"/>
        <v>0</v>
      </c>
      <c r="G50" s="187">
        <f t="shared" si="10"/>
        <v>0</v>
      </c>
      <c r="H50" s="187">
        <f t="shared" si="10"/>
        <v>0</v>
      </c>
      <c r="I50" s="187">
        <f t="shared" si="11"/>
        <v>0</v>
      </c>
      <c r="J50" s="503"/>
      <c r="K50" s="187">
        <f t="shared" si="12"/>
        <v>0</v>
      </c>
      <c r="L50" s="187"/>
      <c r="M50" s="187">
        <f t="shared" si="13"/>
        <v>0</v>
      </c>
      <c r="AA50" s="1237"/>
    </row>
    <row r="51" spans="1:27" ht="13.5" customHeight="1">
      <c r="A51" s="1735"/>
      <c r="B51" s="1147" t="s">
        <v>1050</v>
      </c>
      <c r="C51" s="641" t="s">
        <v>1028</v>
      </c>
      <c r="D51" s="642">
        <v>0.109</v>
      </c>
      <c r="E51" s="643">
        <v>7.1999999999999995E-2</v>
      </c>
      <c r="F51" s="187">
        <f t="shared" si="9"/>
        <v>0</v>
      </c>
      <c r="G51" s="187">
        <f t="shared" si="10"/>
        <v>0</v>
      </c>
      <c r="H51" s="187">
        <f t="shared" si="10"/>
        <v>0</v>
      </c>
      <c r="I51" s="187">
        <f t="shared" si="11"/>
        <v>0</v>
      </c>
      <c r="J51" s="503"/>
      <c r="K51" s="187">
        <f t="shared" si="12"/>
        <v>0</v>
      </c>
      <c r="L51" s="187"/>
      <c r="M51" s="187">
        <f t="shared" si="13"/>
        <v>0</v>
      </c>
      <c r="AA51" s="1237"/>
    </row>
    <row r="52" spans="1:27" ht="13.5" customHeight="1">
      <c r="A52" s="1735"/>
      <c r="B52" s="1147" t="s">
        <v>1057</v>
      </c>
      <c r="C52" s="641" t="s">
        <v>1029</v>
      </c>
      <c r="D52" s="642">
        <v>0.108</v>
      </c>
      <c r="E52" s="643">
        <v>7.1999999999999995E-2</v>
      </c>
      <c r="F52" s="187">
        <f t="shared" si="9"/>
        <v>0</v>
      </c>
      <c r="G52" s="187">
        <f t="shared" si="10"/>
        <v>0</v>
      </c>
      <c r="H52" s="187">
        <f t="shared" si="10"/>
        <v>0</v>
      </c>
      <c r="I52" s="187">
        <f t="shared" si="11"/>
        <v>0</v>
      </c>
      <c r="J52" s="503"/>
      <c r="K52" s="187">
        <f t="shared" si="12"/>
        <v>0</v>
      </c>
      <c r="L52" s="187"/>
      <c r="M52" s="187">
        <f t="shared" si="13"/>
        <v>0</v>
      </c>
      <c r="AA52" s="1237"/>
    </row>
    <row r="53" spans="1:27" ht="13.5" customHeight="1">
      <c r="A53" s="1735"/>
      <c r="B53" s="1147" t="s">
        <v>1049</v>
      </c>
      <c r="C53" s="641" t="s">
        <v>1030</v>
      </c>
      <c r="D53" s="642">
        <v>0.108</v>
      </c>
      <c r="E53" s="643">
        <v>7.1999999999999995E-2</v>
      </c>
      <c r="F53" s="187">
        <f t="shared" si="9"/>
        <v>0</v>
      </c>
      <c r="G53" s="187">
        <f t="shared" si="10"/>
        <v>0</v>
      </c>
      <c r="H53" s="187">
        <f t="shared" si="10"/>
        <v>0</v>
      </c>
      <c r="I53" s="187">
        <f t="shared" si="11"/>
        <v>0</v>
      </c>
      <c r="J53" s="503"/>
      <c r="K53" s="187">
        <f t="shared" si="12"/>
        <v>0</v>
      </c>
      <c r="L53" s="187"/>
      <c r="M53" s="187">
        <f t="shared" si="13"/>
        <v>0</v>
      </c>
      <c r="AA53" s="1237"/>
    </row>
    <row r="54" spans="1:27" ht="13.5" customHeight="1">
      <c r="A54" s="1735"/>
      <c r="B54" s="1233" t="s">
        <v>1048</v>
      </c>
      <c r="C54" s="641" t="s">
        <v>1031</v>
      </c>
      <c r="D54" s="642">
        <v>0.108</v>
      </c>
      <c r="E54" s="643">
        <v>7.1999999999999995E-2</v>
      </c>
      <c r="F54" s="187">
        <f t="shared" si="9"/>
        <v>0</v>
      </c>
      <c r="G54" s="187">
        <f t="shared" si="10"/>
        <v>0</v>
      </c>
      <c r="H54" s="187">
        <f t="shared" si="10"/>
        <v>0</v>
      </c>
      <c r="I54" s="187">
        <f t="shared" si="11"/>
        <v>0</v>
      </c>
      <c r="J54" s="503"/>
      <c r="K54" s="187">
        <f t="shared" si="12"/>
        <v>0</v>
      </c>
      <c r="L54" s="187"/>
      <c r="M54" s="187">
        <f t="shared" si="13"/>
        <v>0</v>
      </c>
      <c r="AA54" s="1237"/>
    </row>
    <row r="55" spans="1:27" ht="13.5" customHeight="1">
      <c r="A55" s="1735"/>
      <c r="B55" s="1148" t="s">
        <v>1047</v>
      </c>
      <c r="C55" s="641" t="s">
        <v>929</v>
      </c>
      <c r="D55" s="642">
        <v>0.108</v>
      </c>
      <c r="E55" s="643">
        <v>7.2037205283695865E-2</v>
      </c>
      <c r="F55" s="187">
        <f t="shared" si="9"/>
        <v>0</v>
      </c>
      <c r="G55" s="187">
        <f t="shared" si="10"/>
        <v>0</v>
      </c>
      <c r="H55" s="187">
        <f t="shared" si="10"/>
        <v>0</v>
      </c>
      <c r="I55" s="187">
        <f t="shared" si="11"/>
        <v>0</v>
      </c>
      <c r="J55" s="503"/>
      <c r="K55" s="187">
        <f t="shared" si="12"/>
        <v>0</v>
      </c>
      <c r="L55" s="187"/>
      <c r="M55" s="187">
        <f t="shared" si="13"/>
        <v>0</v>
      </c>
      <c r="AA55" s="1237"/>
    </row>
    <row r="56" spans="1:27" ht="13.5" customHeight="1">
      <c r="A56" s="1735"/>
      <c r="B56" s="1147" t="s">
        <v>1055</v>
      </c>
      <c r="C56" s="641" t="s">
        <v>930</v>
      </c>
      <c r="D56" s="642">
        <v>0.109</v>
      </c>
      <c r="E56" s="643">
        <v>7.1999999999999995E-2</v>
      </c>
      <c r="F56" s="187">
        <f t="shared" si="9"/>
        <v>0</v>
      </c>
      <c r="G56" s="187">
        <f t="shared" si="10"/>
        <v>0</v>
      </c>
      <c r="H56" s="187">
        <f t="shared" si="10"/>
        <v>0</v>
      </c>
      <c r="I56" s="187">
        <f t="shared" si="11"/>
        <v>0</v>
      </c>
      <c r="J56" s="503"/>
      <c r="K56" s="187">
        <f t="shared" si="12"/>
        <v>0</v>
      </c>
      <c r="L56" s="187"/>
      <c r="M56" s="187">
        <f t="shared" si="13"/>
        <v>0</v>
      </c>
      <c r="AA56" s="1237"/>
    </row>
    <row r="57" spans="1:27" ht="13.5" customHeight="1">
      <c r="A57" s="1735"/>
      <c r="B57" s="1147" t="s">
        <v>1051</v>
      </c>
      <c r="C57" s="641" t="s">
        <v>1034</v>
      </c>
      <c r="D57" s="642">
        <v>0.108</v>
      </c>
      <c r="E57" s="643">
        <v>7.1999999999999995E-2</v>
      </c>
      <c r="F57" s="187">
        <f t="shared" si="9"/>
        <v>0</v>
      </c>
      <c r="G57" s="187">
        <f t="shared" si="10"/>
        <v>0</v>
      </c>
      <c r="H57" s="187">
        <f t="shared" si="10"/>
        <v>0</v>
      </c>
      <c r="I57" s="187">
        <f t="shared" si="11"/>
        <v>0</v>
      </c>
      <c r="J57" s="503"/>
      <c r="K57" s="187">
        <f t="shared" si="12"/>
        <v>0</v>
      </c>
      <c r="L57" s="187"/>
      <c r="M57" s="187">
        <f t="shared" si="13"/>
        <v>0</v>
      </c>
      <c r="AA57" s="1237"/>
    </row>
    <row r="58" spans="1:27" ht="13.5" customHeight="1">
      <c r="A58" s="1735"/>
      <c r="B58" s="1147" t="s">
        <v>1149</v>
      </c>
      <c r="C58" s="641" t="s">
        <v>1109</v>
      </c>
      <c r="D58" s="642">
        <v>0.108</v>
      </c>
      <c r="E58" s="643">
        <v>7.1999999999999995E-2</v>
      </c>
      <c r="F58" s="187">
        <f t="shared" si="9"/>
        <v>0</v>
      </c>
      <c r="G58" s="187">
        <f t="shared" si="10"/>
        <v>0</v>
      </c>
      <c r="H58" s="187">
        <f t="shared" si="10"/>
        <v>0</v>
      </c>
      <c r="I58" s="187">
        <f t="shared" si="11"/>
        <v>0</v>
      </c>
      <c r="J58" s="503"/>
      <c r="K58" s="187">
        <f t="shared" si="12"/>
        <v>0</v>
      </c>
      <c r="L58" s="187"/>
      <c r="M58" s="187">
        <f t="shared" si="13"/>
        <v>0</v>
      </c>
      <c r="AA58" s="1237"/>
    </row>
    <row r="59" spans="1:27" ht="13.5" customHeight="1">
      <c r="A59" s="1735"/>
      <c r="B59" s="1148" t="s">
        <v>1052</v>
      </c>
      <c r="C59" s="641" t="s">
        <v>1035</v>
      </c>
      <c r="D59" s="642">
        <v>0.108</v>
      </c>
      <c r="E59" s="643">
        <v>7.1999999999999995E-2</v>
      </c>
      <c r="F59" s="187">
        <f>ROUND((F83+F105+F127+F17+F38+F171)*$D59,0)</f>
        <v>0</v>
      </c>
      <c r="G59" s="187">
        <f t="shared" ref="G59:H63" si="14">ROUND((G83+G105+G127+G17+G38+G149+G171)*$D59,0)</f>
        <v>0</v>
      </c>
      <c r="H59" s="187">
        <f t="shared" si="14"/>
        <v>0</v>
      </c>
      <c r="I59" s="187">
        <f>ROUND((I83+I105+I127+I17+I38)*$D59,0)</f>
        <v>0</v>
      </c>
      <c r="J59" s="503"/>
      <c r="K59" s="187">
        <f>ROUND((K83+K105+K127+K17+K38+K171+K149)*$D59,0)</f>
        <v>0</v>
      </c>
      <c r="L59" s="187"/>
      <c r="M59" s="187">
        <f>ROUND((M83+M105+M127+M17+M38)*$E59,0)</f>
        <v>0</v>
      </c>
      <c r="AA59" s="1237"/>
    </row>
    <row r="60" spans="1:27" ht="13.5" customHeight="1">
      <c r="A60" s="1735"/>
      <c r="B60" s="1147" t="s">
        <v>1053</v>
      </c>
      <c r="C60" s="641" t="s">
        <v>1036</v>
      </c>
      <c r="D60" s="642">
        <v>0.108</v>
      </c>
      <c r="E60" s="643">
        <v>7.1999999999999995E-2</v>
      </c>
      <c r="F60" s="187">
        <f>ROUND((F84+F106+F128+F18+F39+F172)*$D60,0)</f>
        <v>0</v>
      </c>
      <c r="G60" s="187">
        <f t="shared" si="14"/>
        <v>0</v>
      </c>
      <c r="H60" s="187">
        <f t="shared" si="14"/>
        <v>0</v>
      </c>
      <c r="I60" s="187">
        <f>ROUND((I84+I106+I128+I18+I39)*$D60,0)</f>
        <v>0</v>
      </c>
      <c r="J60" s="503"/>
      <c r="K60" s="187">
        <f>ROUND((K84+K106+K128+K18+K39+K172+K150)*$D60,0)</f>
        <v>0</v>
      </c>
      <c r="L60" s="187"/>
      <c r="M60" s="187">
        <f>ROUND((M84+M106+M128+M18+M39)*$E60,0)</f>
        <v>0</v>
      </c>
      <c r="AA60" s="1237"/>
    </row>
    <row r="61" spans="1:27" ht="13.5" customHeight="1">
      <c r="A61" s="1735"/>
      <c r="B61" s="1147" t="s">
        <v>1056</v>
      </c>
      <c r="C61" s="641" t="s">
        <v>1037</v>
      </c>
      <c r="D61" s="642">
        <v>0.108</v>
      </c>
      <c r="E61" s="643">
        <v>7.1999999999999995E-2</v>
      </c>
      <c r="F61" s="187">
        <f>ROUND((F85+F107+F129+F19+F40+F173)*$D61,0)</f>
        <v>0</v>
      </c>
      <c r="G61" s="187">
        <f t="shared" si="14"/>
        <v>0</v>
      </c>
      <c r="H61" s="187">
        <f t="shared" si="14"/>
        <v>0</v>
      </c>
      <c r="I61" s="187">
        <f>ROUND((I85+I107+I129+I19+I40)*$D61,0)</f>
        <v>0</v>
      </c>
      <c r="J61" s="503"/>
      <c r="K61" s="187">
        <f>ROUND((K85+K107+K129+K19+K40+K173+K151)*$D61,0)</f>
        <v>0</v>
      </c>
      <c r="L61" s="187"/>
      <c r="M61" s="187">
        <f>ROUND((M85+M107+M129+M19+M40)*$E61,0)</f>
        <v>0</v>
      </c>
      <c r="AA61" s="1237"/>
    </row>
    <row r="62" spans="1:27" ht="13.5" customHeight="1">
      <c r="A62" s="1735"/>
      <c r="B62" s="1147" t="s">
        <v>1054</v>
      </c>
      <c r="C62" s="641" t="s">
        <v>1121</v>
      </c>
      <c r="D62" s="642">
        <v>0.108</v>
      </c>
      <c r="E62" s="643">
        <v>7.1999999999999995E-2</v>
      </c>
      <c r="F62" s="187">
        <f>ROUND((F86+F108+F130+F20+F41+F174)*$D62,0)</f>
        <v>0</v>
      </c>
      <c r="G62" s="187">
        <f t="shared" si="14"/>
        <v>0</v>
      </c>
      <c r="H62" s="187">
        <f t="shared" si="14"/>
        <v>0</v>
      </c>
      <c r="I62" s="187">
        <f>ROUND((I86+I108+I130+I20+I41)*$D62,0)</f>
        <v>0</v>
      </c>
      <c r="J62" s="503"/>
      <c r="K62" s="187">
        <f>ROUND((K86+K108+K130+K20+K41+K174+K152)*$D62,0)</f>
        <v>0</v>
      </c>
      <c r="L62" s="187"/>
      <c r="M62" s="187">
        <f>ROUND((M86+M108+M130+M20+M41)*$E62,0)</f>
        <v>0</v>
      </c>
      <c r="AA62" s="1237"/>
    </row>
    <row r="63" spans="1:27" ht="13.5" customHeight="1">
      <c r="A63" s="1735"/>
      <c r="B63" s="1139"/>
      <c r="C63" s="641" t="s">
        <v>1076</v>
      </c>
      <c r="D63" s="642">
        <v>0.108</v>
      </c>
      <c r="E63" s="643">
        <v>7.1999999999999995E-2</v>
      </c>
      <c r="F63" s="187">
        <f>ROUND((F87+F109+F131+F21+F42+F175)*$D63,0)</f>
        <v>0</v>
      </c>
      <c r="G63" s="187">
        <f t="shared" si="14"/>
        <v>0</v>
      </c>
      <c r="H63" s="187">
        <f t="shared" si="14"/>
        <v>0</v>
      </c>
      <c r="I63" s="187">
        <f>ROUND((I87+I109+I131+I21+I42)*$D63,0)</f>
        <v>0</v>
      </c>
      <c r="J63" s="503"/>
      <c r="K63" s="187">
        <f>ROUND((K87+K109+K131+K21+K42+K175+K153)*$D63,0)</f>
        <v>0</v>
      </c>
      <c r="L63" s="187"/>
      <c r="M63" s="187">
        <f>ROUND((M87+M109+M131+M21+M42)*$E63,0)</f>
        <v>0</v>
      </c>
      <c r="AA63" s="1237"/>
    </row>
    <row r="64" spans="1:27" ht="13.5" customHeight="1">
      <c r="A64" s="1735"/>
      <c r="B64" s="1139"/>
      <c r="C64" s="641"/>
      <c r="D64" s="642"/>
      <c r="E64" s="643"/>
      <c r="F64" s="187"/>
      <c r="G64" s="187"/>
      <c r="H64" s="187"/>
      <c r="I64" s="187"/>
      <c r="J64" s="503"/>
      <c r="K64" s="187"/>
      <c r="L64" s="187"/>
      <c r="M64" s="187"/>
    </row>
    <row r="65" spans="1:13" ht="13.5" customHeight="1">
      <c r="A65" s="1735"/>
      <c r="B65" s="1139"/>
      <c r="C65" s="505" t="s">
        <v>509</v>
      </c>
      <c r="D65" s="701"/>
      <c r="E65" s="701"/>
      <c r="F65" s="174">
        <f t="shared" ref="F65:M65" si="15">SUM(F45:F64)</f>
        <v>1890410</v>
      </c>
      <c r="G65" s="174">
        <f t="shared" si="15"/>
        <v>0</v>
      </c>
      <c r="H65" s="174">
        <f t="shared" si="15"/>
        <v>0</v>
      </c>
      <c r="I65" s="174">
        <f t="shared" si="15"/>
        <v>0</v>
      </c>
      <c r="J65" s="174">
        <f t="shared" si="15"/>
        <v>0</v>
      </c>
      <c r="K65" s="174">
        <f t="shared" si="15"/>
        <v>0</v>
      </c>
      <c r="L65" s="174">
        <f t="shared" si="15"/>
        <v>0</v>
      </c>
      <c r="M65" s="174">
        <f t="shared" si="15"/>
        <v>0</v>
      </c>
    </row>
    <row r="66" spans="1:13" ht="13.5" customHeight="1">
      <c r="A66" s="5" t="s">
        <v>300</v>
      </c>
      <c r="F66" s="174">
        <f t="shared" ref="F66:M66" si="16">F23+F44+F65</f>
        <v>7550186</v>
      </c>
      <c r="G66" s="174">
        <f t="shared" si="16"/>
        <v>0</v>
      </c>
      <c r="H66" s="174">
        <f t="shared" si="16"/>
        <v>0</v>
      </c>
      <c r="I66" s="174">
        <f t="shared" si="16"/>
        <v>0</v>
      </c>
      <c r="J66" s="174">
        <f t="shared" si="16"/>
        <v>0</v>
      </c>
      <c r="K66" s="174">
        <f t="shared" si="16"/>
        <v>0</v>
      </c>
      <c r="L66" s="174">
        <f t="shared" si="16"/>
        <v>0</v>
      </c>
      <c r="M66" s="174">
        <f t="shared" si="16"/>
        <v>0</v>
      </c>
    </row>
    <row r="68" spans="1:13" ht="13.5" customHeight="1">
      <c r="A68" s="253" t="s">
        <v>297</v>
      </c>
      <c r="B68" s="1144"/>
      <c r="C68" s="1143" t="s">
        <v>1025</v>
      </c>
      <c r="D68" s="703"/>
      <c r="E68" s="703"/>
      <c r="F68" s="254">
        <f>SUMIFS('2. 인건비'!$I:$I,'2. 인건비'!$D:$D,'간접비 계산'!$C68,'2. 인건비'!$E:$E,"서비스")</f>
        <v>9220418</v>
      </c>
      <c r="G68" s="254"/>
      <c r="H68" s="254"/>
      <c r="I68" s="254"/>
      <c r="J68" s="254">
        <f>SUMIFS('2. 인건비'!$I:$I,'2. 인건비'!$D:$D,'간접비 계산'!$C68,'2. 인건비'!$E:$E,"유지보수")</f>
        <v>0</v>
      </c>
      <c r="K68" s="254">
        <f>SUMIFS('2. 인건비'!$I:$I,'2. 인건비'!$D:$D,'간접비 계산'!$C68,'2. 인건비'!$E:$E,"ITO/원격운영")</f>
        <v>0</v>
      </c>
      <c r="L68" s="254"/>
      <c r="M68" s="255"/>
    </row>
    <row r="69" spans="1:13" ht="13.5" customHeight="1">
      <c r="A69" s="256"/>
      <c r="B69" s="1145"/>
      <c r="C69" s="641" t="s">
        <v>967</v>
      </c>
      <c r="D69" s="704"/>
      <c r="E69" s="704"/>
      <c r="F69" s="257">
        <f>SUMIFS('2. 인건비'!$I:$I,'2. 인건비'!$D:$D,'간접비 계산'!$C69,'2. 인건비'!$E:$E,"서비스")</f>
        <v>0</v>
      </c>
      <c r="G69" s="257"/>
      <c r="H69" s="257"/>
      <c r="I69" s="257"/>
      <c r="J69" s="257">
        <f>SUMIFS('2. 인건비'!$I:$I,'2. 인건비'!$D:$D,'간접비 계산'!$C69,'2. 인건비'!$E:$E,"유지보수")</f>
        <v>0</v>
      </c>
      <c r="K69" s="257">
        <f>SUMIFS('2. 인건비'!$I:$I,'2. 인건비'!$D:$D,'간접비 계산'!$C69,'2. 인건비'!$E:$E,"ITO/원격운영")</f>
        <v>0</v>
      </c>
      <c r="L69" s="257"/>
      <c r="M69" s="258"/>
    </row>
    <row r="70" spans="1:13" ht="13.5" customHeight="1">
      <c r="A70" s="256"/>
      <c r="B70" s="1145"/>
      <c r="C70" s="641" t="s">
        <v>664</v>
      </c>
      <c r="D70" s="704"/>
      <c r="E70" s="704"/>
      <c r="F70" s="257">
        <f>SUMIFS('2. 인건비'!$I:$I,'2. 인건비'!$D:$D,'간접비 계산'!$C70,'2. 인건비'!$E:$E,"서비스")</f>
        <v>0</v>
      </c>
      <c r="G70" s="257"/>
      <c r="H70" s="257"/>
      <c r="I70" s="257"/>
      <c r="J70" s="257">
        <f>SUMIFS('2. 인건비'!$I:$I,'2. 인건비'!$D:$D,'간접비 계산'!$C70,'2. 인건비'!$E:$E,"유지보수")</f>
        <v>0</v>
      </c>
      <c r="K70" s="257">
        <f>SUMIFS('2. 인건비'!$I:$I,'2. 인건비'!$D:$D,'간접비 계산'!$C70,'2. 인건비'!$E:$E,"ITO/원격운영")-L70</f>
        <v>0</v>
      </c>
      <c r="L70" s="771">
        <f>SUMIFS('2. 인건비'!$I:$I,'2. 인건비'!$D:$D,'간접비 계산'!$C70,'2. 인건비'!$E:$E,"ITO/원격운영",'2. 인건비'!$C:$C,"Nexplant MESplus CE")</f>
        <v>0</v>
      </c>
      <c r="M70" s="258"/>
    </row>
    <row r="71" spans="1:13" ht="13.5" customHeight="1">
      <c r="A71" s="256"/>
      <c r="B71" s="1145"/>
      <c r="C71" s="641" t="s">
        <v>1026</v>
      </c>
      <c r="D71" s="704"/>
      <c r="E71" s="704"/>
      <c r="F71" s="257">
        <f>SUMIFS('2. 인건비'!$I:$I,'2. 인건비'!$D:$D,'간접비 계산'!$C71,'2. 인건비'!$E:$E,"서비스")</f>
        <v>0</v>
      </c>
      <c r="G71" s="257"/>
      <c r="H71" s="257"/>
      <c r="I71" s="257"/>
      <c r="J71" s="257">
        <f>SUMIFS('2. 인건비'!$I:$I,'2. 인건비'!$D:$D,'간접비 계산'!$C71,'2. 인건비'!$E:$E,"유지보수")</f>
        <v>0</v>
      </c>
      <c r="K71" s="257">
        <f>SUMIFS('2. 인건비'!$I:$I,'2. 인건비'!$D:$D,'간접비 계산'!$C71,'2. 인건비'!$E:$E,"ITO/원격운영")</f>
        <v>0</v>
      </c>
      <c r="L71" s="257"/>
      <c r="M71" s="258"/>
    </row>
    <row r="72" spans="1:13" ht="13.5" customHeight="1">
      <c r="A72" s="256"/>
      <c r="B72" s="1145"/>
      <c r="C72" s="641" t="s">
        <v>1027</v>
      </c>
      <c r="D72" s="704"/>
      <c r="E72" s="704"/>
      <c r="F72" s="715">
        <f>SUMIFS('2. 인건비'!$I:$I,'2. 인건비'!$D:$D,'간접비 계산'!$C72,'2. 인건비'!$E:$E,"서비스")</f>
        <v>0</v>
      </c>
      <c r="G72" s="257"/>
      <c r="H72" s="257"/>
      <c r="I72" s="257"/>
      <c r="J72" s="715">
        <f>SUMIFS('2. 인건비'!$I:$I,'2. 인건비'!$D:$D,'간접비 계산'!$C72,'2. 인건비'!$E:$E,"유지보수")</f>
        <v>0</v>
      </c>
      <c r="K72" s="715">
        <f>SUMIFS('2. 인건비'!$I:$I,'2. 인건비'!$D:$D,'간접비 계산'!$C72,'2. 인건비'!$E:$E,"ITO/원격운영")</f>
        <v>0</v>
      </c>
      <c r="L72" s="715"/>
      <c r="M72" s="258"/>
    </row>
    <row r="73" spans="1:13" ht="13.5" customHeight="1">
      <c r="A73" s="256"/>
      <c r="B73" s="1145"/>
      <c r="C73" s="641" t="s">
        <v>662</v>
      </c>
      <c r="D73" s="704"/>
      <c r="E73" s="704"/>
      <c r="F73" s="257">
        <f>SUMIFS('2. 인건비'!$I:$I,'2. 인건비'!$D:$D,'간접비 계산'!$C73,'2. 인건비'!$E:$E,"서비스")</f>
        <v>0</v>
      </c>
      <c r="G73" s="257"/>
      <c r="H73" s="257"/>
      <c r="I73" s="257"/>
      <c r="J73" s="257">
        <f>SUMIFS('2. 인건비'!$I:$I,'2. 인건비'!$D:$D,'간접비 계산'!$C73,'2. 인건비'!$E:$E,"유지보수")</f>
        <v>0</v>
      </c>
      <c r="K73" s="257">
        <f>SUMIFS('2. 인건비'!$I:$I,'2. 인건비'!$D:$D,'간접비 계산'!$C73,'2. 인건비'!$E:$E,"ITO/원격운영")</f>
        <v>0</v>
      </c>
      <c r="L73" s="257"/>
      <c r="M73" s="258"/>
    </row>
    <row r="74" spans="1:13" ht="13.5" customHeight="1">
      <c r="A74" s="256"/>
      <c r="B74" s="1145"/>
      <c r="C74" s="641" t="s">
        <v>1028</v>
      </c>
      <c r="D74" s="704"/>
      <c r="E74" s="704"/>
      <c r="F74" s="257">
        <f>SUMIFS('2. 인건비'!$I:$I,'2. 인건비'!$D:$D,'간접비 계산'!$C74,'2. 인건비'!$E:$E,"서비스")</f>
        <v>0</v>
      </c>
      <c r="G74" s="257"/>
      <c r="H74" s="257"/>
      <c r="I74" s="257"/>
      <c r="J74" s="257">
        <f>SUMIFS('2. 인건비'!$I:$I,'2. 인건비'!$D:$D,'간접비 계산'!$C74,'2. 인건비'!$E:$E,"유지보수")</f>
        <v>0</v>
      </c>
      <c r="K74" s="257">
        <f>SUMIFS('2. 인건비'!$I:$I,'2. 인건비'!$D:$D,'간접비 계산'!$C74,'2. 인건비'!$E:$E,"ITO/원격운영")</f>
        <v>0</v>
      </c>
      <c r="L74" s="257"/>
      <c r="M74" s="258"/>
    </row>
    <row r="75" spans="1:13" ht="13.5" customHeight="1">
      <c r="A75" s="256"/>
      <c r="B75" s="1145"/>
      <c r="C75" s="641" t="s">
        <v>1093</v>
      </c>
      <c r="D75" s="704"/>
      <c r="E75" s="704"/>
      <c r="F75" s="257">
        <f>SUMIFS('2. 인건비'!$I:$I,'2. 인건비'!$D:$D,'간접비 계산'!$C75,'2. 인건비'!$E:$E,"서비스")</f>
        <v>0</v>
      </c>
      <c r="G75" s="257"/>
      <c r="H75" s="257"/>
      <c r="I75" s="257"/>
      <c r="J75" s="257">
        <f>SUMIFS('2. 인건비'!$I:$I,'2. 인건비'!$D:$D,'간접비 계산'!$C75,'2. 인건비'!$E:$E,"유지보수")</f>
        <v>0</v>
      </c>
      <c r="K75" s="257">
        <f>SUMIFS('2. 인건비'!$I:$I,'2. 인건비'!$D:$D,'간접비 계산'!$C75,'2. 인건비'!$E:$E,"ITO/원격운영")</f>
        <v>0</v>
      </c>
      <c r="L75" s="257"/>
      <c r="M75" s="258"/>
    </row>
    <row r="76" spans="1:13" ht="13.5" customHeight="1">
      <c r="A76" s="256"/>
      <c r="B76" s="1145"/>
      <c r="C76" s="641" t="s">
        <v>1030</v>
      </c>
      <c r="D76" s="704"/>
      <c r="E76" s="704"/>
      <c r="F76" s="257">
        <f>SUMIFS('2. 인건비'!$I:$I,'2. 인건비'!$D:$D,'간접비 계산'!$C76,'2. 인건비'!$E:$E,"서비스")</f>
        <v>0</v>
      </c>
      <c r="G76" s="257"/>
      <c r="H76" s="257"/>
      <c r="I76" s="257"/>
      <c r="J76" s="257">
        <f>SUMIFS('2. 인건비'!$I:$I,'2. 인건비'!$D:$D,'간접비 계산'!$C76,'2. 인건비'!$E:$E,"유지보수")</f>
        <v>0</v>
      </c>
      <c r="K76" s="257">
        <f>SUMIFS('2. 인건비'!$I:$I,'2. 인건비'!$D:$D,'간접비 계산'!$C76,'2. 인건비'!$E:$E,"ITO/원격운영")</f>
        <v>0</v>
      </c>
      <c r="L76" s="257"/>
      <c r="M76" s="258"/>
    </row>
    <row r="77" spans="1:13" ht="13.5" customHeight="1">
      <c r="A77" s="256"/>
      <c r="B77" s="1145"/>
      <c r="C77" s="641" t="s">
        <v>1031</v>
      </c>
      <c r="D77" s="704"/>
      <c r="E77" s="704"/>
      <c r="F77" s="257">
        <f>SUMIFS('2. 인건비'!$I:$I,'2. 인건비'!$D:$D,'간접비 계산'!$C77,'2. 인건비'!$E:$E,"서비스")</f>
        <v>0</v>
      </c>
      <c r="G77" s="257"/>
      <c r="H77" s="257"/>
      <c r="I77" s="257"/>
      <c r="J77" s="257">
        <f>SUMIFS('2. 인건비'!$I:$I,'2. 인건비'!$D:$D,'간접비 계산'!$C77,'2. 인건비'!$E:$E,"유지보수")</f>
        <v>0</v>
      </c>
      <c r="K77" s="257">
        <f>SUMIFS('2. 인건비'!$I:$I,'2. 인건비'!$D:$D,'간접비 계산'!$C77,'2. 인건비'!$E:$E,"ITO/원격운영")</f>
        <v>0</v>
      </c>
      <c r="L77" s="257"/>
      <c r="M77" s="258"/>
    </row>
    <row r="78" spans="1:13" ht="13.5" customHeight="1">
      <c r="A78" s="256"/>
      <c r="B78" s="1145"/>
      <c r="C78" s="641" t="s">
        <v>1032</v>
      </c>
      <c r="D78" s="704"/>
      <c r="E78" s="704"/>
      <c r="F78" s="257">
        <f>SUMIFS('2. 인건비'!$I:$I,'2. 인건비'!$D:$D,'간접비 계산'!$C78,'2. 인건비'!$E:$E,"서비스")</f>
        <v>0</v>
      </c>
      <c r="G78" s="257"/>
      <c r="H78" s="257"/>
      <c r="I78" s="257"/>
      <c r="J78" s="257">
        <f>SUMIFS('2. 인건비'!$I:$I,'2. 인건비'!$D:$D,'간접비 계산'!$C78,'2. 인건비'!$E:$E,"유지보수")</f>
        <v>0</v>
      </c>
      <c r="K78" s="257">
        <f>SUMIFS('2. 인건비'!$I:$I,'2. 인건비'!$D:$D,'간접비 계산'!$C78,'2. 인건비'!$E:$E,"ITO/원격운영")</f>
        <v>0</v>
      </c>
      <c r="L78" s="257"/>
      <c r="M78" s="258"/>
    </row>
    <row r="79" spans="1:13" ht="13.5" customHeight="1">
      <c r="A79" s="256"/>
      <c r="B79" s="1145"/>
      <c r="C79" s="641" t="s">
        <v>1033</v>
      </c>
      <c r="D79" s="704"/>
      <c r="E79" s="704"/>
      <c r="F79" s="257">
        <f>SUMIFS('2. 인건비'!$I:$I,'2. 인건비'!$D:$D,'간접비 계산'!$C79,'2. 인건비'!$E:$E,"서비스")</f>
        <v>0</v>
      </c>
      <c r="G79" s="257"/>
      <c r="H79" s="257"/>
      <c r="I79" s="257"/>
      <c r="J79" s="257">
        <f>SUMIFS('2. 인건비'!$I:$I,'2. 인건비'!$D:$D,'간접비 계산'!$C79,'2. 인건비'!$E:$E,"유지보수")</f>
        <v>0</v>
      </c>
      <c r="K79" s="257">
        <f>SUMIFS('2. 인건비'!$I:$I,'2. 인건비'!$D:$D,'간접비 계산'!$C79,'2. 인건비'!$E:$E,"ITO/원격운영")</f>
        <v>0</v>
      </c>
      <c r="L79" s="257"/>
      <c r="M79" s="258"/>
    </row>
    <row r="80" spans="1:13" ht="13.5" customHeight="1">
      <c r="A80" s="256"/>
      <c r="B80" s="1145"/>
      <c r="C80" s="641" t="s">
        <v>1034</v>
      </c>
      <c r="D80" s="704"/>
      <c r="E80" s="704"/>
      <c r="F80" s="257">
        <f>SUMIFS('2. 인건비'!$I:$I,'2. 인건비'!$D:$D,'간접비 계산'!$C80,'2. 인건비'!$E:$E,"서비스")</f>
        <v>0</v>
      </c>
      <c r="G80" s="257"/>
      <c r="H80" s="257"/>
      <c r="I80" s="257"/>
      <c r="J80" s="257">
        <f>SUMIFS('2. 인건비'!$I:$I,'2. 인건비'!$D:$D,'간접비 계산'!$C80,'2. 인건비'!$E:$E,"유지보수")</f>
        <v>0</v>
      </c>
      <c r="K80" s="257">
        <f>SUMIFS('2. 인건비'!$I:$I,'2. 인건비'!$D:$D,'간접비 계산'!$C80,'2. 인건비'!$E:$E,"ITO/원격운영")</f>
        <v>0</v>
      </c>
      <c r="L80" s="257"/>
      <c r="M80" s="258"/>
    </row>
    <row r="81" spans="1:15" ht="13.5" customHeight="1">
      <c r="A81" s="256"/>
      <c r="B81" s="1145"/>
      <c r="C81" s="641" t="s">
        <v>1109</v>
      </c>
      <c r="D81" s="704"/>
      <c r="E81" s="704"/>
      <c r="F81" s="257">
        <f>SUMIFS('2. 인건비'!$I:$I,'2. 인건비'!$D:$D,'간접비 계산'!$C81,'2. 인건비'!$E:$E,"서비스")</f>
        <v>0</v>
      </c>
      <c r="G81" s="257"/>
      <c r="H81" s="257"/>
      <c r="I81" s="257"/>
      <c r="J81" s="257">
        <f>SUMIFS('2. 인건비'!$I:$I,'2. 인건비'!$D:$D,'간접비 계산'!$C81,'2. 인건비'!$E:$E,"유지보수")</f>
        <v>0</v>
      </c>
      <c r="K81" s="257">
        <f>SUMIFS('2. 인건비'!$I:$I,'2. 인건비'!$D:$D,'간접비 계산'!$C81,'2. 인건비'!$E:$E,"ITO/원격운영")</f>
        <v>0</v>
      </c>
      <c r="L81" s="257"/>
      <c r="M81" s="258"/>
    </row>
    <row r="82" spans="1:15" ht="13.5" customHeight="1">
      <c r="A82" s="256"/>
      <c r="B82" s="1145"/>
      <c r="C82" s="641"/>
      <c r="D82" s="704"/>
      <c r="E82" s="704"/>
      <c r="F82" s="257">
        <f>SUMIFS('2. 인건비'!$I:$I,'2. 인건비'!$D:$D,'간접비 계산'!$C82,'2. 인건비'!$E:$E,"서비스")</f>
        <v>0</v>
      </c>
      <c r="G82" s="257"/>
      <c r="H82" s="257"/>
      <c r="I82" s="257"/>
      <c r="J82" s="257">
        <f>SUMIFS('2. 인건비'!$I:$I,'2. 인건비'!$D:$D,'간접비 계산'!$C82,'2. 인건비'!$E:$E,"유지보수")</f>
        <v>0</v>
      </c>
      <c r="K82" s="257">
        <f>SUMIFS('2. 인건비'!$I:$I,'2. 인건비'!$D:$D,'간접비 계산'!$C82,'2. 인건비'!$E:$E,"ITO/원격운영")</f>
        <v>0</v>
      </c>
      <c r="L82" s="257"/>
      <c r="M82" s="258"/>
    </row>
    <row r="83" spans="1:15" ht="13.5" customHeight="1">
      <c r="A83" s="256"/>
      <c r="B83" s="1145"/>
      <c r="C83" s="641" t="s">
        <v>1035</v>
      </c>
      <c r="D83" s="704"/>
      <c r="E83" s="704"/>
      <c r="F83" s="257">
        <f>SUMIFS('2. 인건비'!$I:$I,'2. 인건비'!$D:$D,'간접비 계산'!$C83,'2. 인건비'!$E:$E,"서비스")</f>
        <v>0</v>
      </c>
      <c r="G83" s="257"/>
      <c r="H83" s="257"/>
      <c r="I83" s="257"/>
      <c r="J83" s="257">
        <f>SUMIFS('2. 인건비'!$I:$I,'2. 인건비'!$D:$D,'간접비 계산'!$C83,'2. 인건비'!$E:$E,"유지보수")</f>
        <v>0</v>
      </c>
      <c r="K83" s="257">
        <f>SUMIFS('2. 인건비'!$I:$I,'2. 인건비'!$D:$D,'간접비 계산'!$C83,'2. 인건비'!$E:$E,"ITO/원격운영")</f>
        <v>0</v>
      </c>
      <c r="L83" s="257"/>
      <c r="M83" s="258"/>
    </row>
    <row r="84" spans="1:15" ht="13.5" customHeight="1">
      <c r="A84" s="256"/>
      <c r="B84" s="1145"/>
      <c r="C84" s="641" t="s">
        <v>1036</v>
      </c>
      <c r="D84" s="704"/>
      <c r="E84" s="704"/>
      <c r="F84" s="257">
        <f>SUMIFS('2. 인건비'!$I:$I,'2. 인건비'!$D:$D,'간접비 계산'!$C84,'2. 인건비'!$E:$E,"서비스")</f>
        <v>0</v>
      </c>
      <c r="G84" s="257"/>
      <c r="H84" s="257"/>
      <c r="I84" s="257"/>
      <c r="J84" s="257">
        <f>SUMIFS('2. 인건비'!$I:$I,'2. 인건비'!$D:$D,'간접비 계산'!$C84,'2. 인건비'!$E:$E,"유지보수")</f>
        <v>0</v>
      </c>
      <c r="K84" s="257">
        <f>SUMIFS('2. 인건비'!$I:$I,'2. 인건비'!$D:$D,'간접비 계산'!$C84,'2. 인건비'!$E:$E,"ITO/원격운영")</f>
        <v>0</v>
      </c>
      <c r="L84" s="257"/>
      <c r="M84" s="258"/>
    </row>
    <row r="85" spans="1:15" ht="13.5" customHeight="1">
      <c r="A85" s="256"/>
      <c r="B85" s="1145"/>
      <c r="C85" s="641" t="s">
        <v>1037</v>
      </c>
      <c r="D85" s="704"/>
      <c r="E85" s="704"/>
      <c r="F85" s="257">
        <f>SUMIFS('2. 인건비'!$I:$I,'2. 인건비'!$D:$D,'간접비 계산'!$C85,'2. 인건비'!$E:$E,"서비스")</f>
        <v>0</v>
      </c>
      <c r="G85" s="257"/>
      <c r="H85" s="257"/>
      <c r="I85" s="257"/>
      <c r="J85" s="257">
        <f>SUMIFS('2. 인건비'!$I:$I,'2. 인건비'!$D:$D,'간접비 계산'!$C85,'2. 인건비'!$E:$E,"유지보수")</f>
        <v>0</v>
      </c>
      <c r="K85" s="257">
        <f>SUMIFS('2. 인건비'!$I:$I,'2. 인건비'!$D:$D,'간접비 계산'!$C85,'2. 인건비'!$E:$E,"ITO/원격운영")</f>
        <v>0</v>
      </c>
      <c r="L85" s="257"/>
      <c r="M85" s="258"/>
    </row>
    <row r="86" spans="1:15" ht="13.5" customHeight="1">
      <c r="A86" s="256"/>
      <c r="B86" s="1145"/>
      <c r="C86" s="641" t="s">
        <v>1120</v>
      </c>
      <c r="D86" s="704"/>
      <c r="E86" s="704"/>
      <c r="F86" s="257">
        <f>SUMIFS('2. 인건비'!$I:$I,'2. 인건비'!$D:$D,'간접비 계산'!$C86,'2. 인건비'!$E:$E,"서비스")</f>
        <v>0</v>
      </c>
      <c r="G86" s="257"/>
      <c r="H86" s="257"/>
      <c r="I86" s="257"/>
      <c r="J86" s="257">
        <f>SUMIFS('2. 인건비'!$I:$I,'2. 인건비'!$D:$D,'간접비 계산'!$C86,'2. 인건비'!$E:$E,"유지보수")</f>
        <v>0</v>
      </c>
      <c r="K86" s="257">
        <f>SUMIFS('2. 인건비'!$I:$I,'2. 인건비'!$D:$D,'간접비 계산'!$C86,'2. 인건비'!$E:$E,"ITO/원격운영")</f>
        <v>0</v>
      </c>
      <c r="L86" s="257"/>
      <c r="M86" s="258"/>
    </row>
    <row r="87" spans="1:15" ht="13.5" customHeight="1">
      <c r="A87" s="256"/>
      <c r="B87" s="1145"/>
      <c r="C87" s="641" t="s">
        <v>1076</v>
      </c>
      <c r="D87" s="704"/>
      <c r="E87" s="704"/>
      <c r="F87" s="257">
        <f>SUMIFS('2. 인건비'!$I:$I,'2. 인건비'!$D:$D,'간접비 계산'!$C87,'2. 인건비'!$E:$E,"서비스")</f>
        <v>0</v>
      </c>
      <c r="G87" s="257"/>
      <c r="H87" s="257"/>
      <c r="I87" s="257"/>
      <c r="J87" s="257">
        <f>SUMIFS('2. 인건비'!$I:$I,'2. 인건비'!$D:$D,'간접비 계산'!$C87,'2. 인건비'!$E:$E,"유지보수")</f>
        <v>0</v>
      </c>
      <c r="K87" s="257">
        <f>SUMIFS('2. 인건비'!$I:$I,'2. 인건비'!$D:$D,'간접비 계산'!$C87,'2. 인건비'!$E:$E,"ITO/원격운영")</f>
        <v>0</v>
      </c>
      <c r="L87" s="257"/>
      <c r="M87" s="258"/>
    </row>
    <row r="88" spans="1:15" ht="13.5" customHeight="1">
      <c r="A88" s="256"/>
      <c r="B88" s="1145"/>
      <c r="C88" s="641"/>
      <c r="D88" s="704"/>
      <c r="E88" s="704"/>
      <c r="F88" s="257">
        <f>SUMIFS('2. 인건비'!$I:$I,'2. 인건비'!$D:$D,'간접비 계산'!$C88,'2. 인건비'!$E:$E,"서비스")</f>
        <v>0</v>
      </c>
      <c r="G88" s="257"/>
      <c r="H88" s="257"/>
      <c r="I88" s="257"/>
      <c r="J88" s="257">
        <f>SUMIFS('2. 인건비'!$I:$I,'2. 인건비'!$D:$D,'간접비 계산'!$C88,'2. 인건비'!$E:$E,"유지보수")</f>
        <v>0</v>
      </c>
      <c r="K88" s="257">
        <f>SUMIFS('2. 인건비'!$I:$I,'2. 인건비'!$D:$D,'간접비 계산'!$C88,'2. 인건비'!$E:$E,"ITO/원격운영")</f>
        <v>0</v>
      </c>
      <c r="L88" s="257"/>
      <c r="M88" s="258"/>
    </row>
    <row r="89" spans="1:15" ht="13.5" customHeight="1">
      <c r="A89" s="259"/>
      <c r="B89" s="1146"/>
      <c r="C89" s="705" t="s">
        <v>645</v>
      </c>
      <c r="D89" s="706"/>
      <c r="E89" s="706"/>
      <c r="F89" s="260">
        <f>SUM(F68:F88)</f>
        <v>9220418</v>
      </c>
      <c r="G89" s="260"/>
      <c r="H89" s="260"/>
      <c r="I89" s="260"/>
      <c r="J89" s="260">
        <f>SUM(J68:J88)</f>
        <v>0</v>
      </c>
      <c r="K89" s="260">
        <f>SUM(K68:K88)</f>
        <v>0</v>
      </c>
      <c r="L89" s="260">
        <f>SUM(L68:L88)</f>
        <v>0</v>
      </c>
      <c r="M89" s="261"/>
      <c r="O89" s="174" t="b">
        <f>SUM(F89:M89)='2. 인건비'!I12</f>
        <v>1</v>
      </c>
    </row>
    <row r="90" spans="1:15" ht="13.5" customHeight="1">
      <c r="A90" s="253" t="s">
        <v>298</v>
      </c>
      <c r="B90" s="1145"/>
      <c r="C90" s="641" t="s">
        <v>1025</v>
      </c>
      <c r="D90" s="703"/>
      <c r="E90" s="703"/>
      <c r="F90" s="254">
        <f>SUMIFS('2. 인건비'!$J:$J,'2. 인건비'!$D:$D,'간접비 계산'!$C90,'2. 인건비'!$E:$E,"서비스")</f>
        <v>817567</v>
      </c>
      <c r="G90" s="254"/>
      <c r="H90" s="254"/>
      <c r="I90" s="254"/>
      <c r="J90" s="254">
        <f>SUMIFS('2. 인건비'!$J:$J,'2. 인건비'!$D:$D,'간접비 계산'!$C90,'2. 인건비'!$E:$E,"유지보수")</f>
        <v>0</v>
      </c>
      <c r="K90" s="254">
        <f>SUMIFS('2. 인건비'!$J:$J,'2. 인건비'!$D:$D,'간접비 계산'!$C90,'2. 인건비'!$E:$E,"ITO/원격운영")</f>
        <v>0</v>
      </c>
      <c r="L90" s="254"/>
      <c r="M90" s="255"/>
    </row>
    <row r="91" spans="1:15" ht="13.5" customHeight="1">
      <c r="A91" s="256"/>
      <c r="B91" s="1145"/>
      <c r="C91" s="641" t="s">
        <v>967</v>
      </c>
      <c r="D91" s="704"/>
      <c r="E91" s="704"/>
      <c r="F91" s="257">
        <f>SUMIFS('2. 인건비'!$J:$J,'2. 인건비'!$D:$D,'간접비 계산'!$C91,'2. 인건비'!$E:$E,"서비스")</f>
        <v>0</v>
      </c>
      <c r="G91" s="257"/>
      <c r="H91" s="257"/>
      <c r="I91" s="257"/>
      <c r="J91" s="257">
        <f>SUMIFS('2. 인건비'!$J:$J,'2. 인건비'!$D:$D,'간접비 계산'!$C91,'2. 인건비'!$E:$E,"유지보수")</f>
        <v>0</v>
      </c>
      <c r="K91" s="257">
        <f>SUMIFS('2. 인건비'!$J:$J,'2. 인건비'!$D:$D,'간접비 계산'!$C91,'2. 인건비'!$E:$E,"ITO/원격운영")</f>
        <v>0</v>
      </c>
      <c r="L91" s="257"/>
      <c r="M91" s="258"/>
    </row>
    <row r="92" spans="1:15" ht="13.5" customHeight="1">
      <c r="A92" s="256"/>
      <c r="B92" s="1145"/>
      <c r="C92" s="641" t="s">
        <v>664</v>
      </c>
      <c r="D92" s="704"/>
      <c r="E92" s="704"/>
      <c r="F92" s="257">
        <f>SUMIFS('2. 인건비'!$J:$J,'2. 인건비'!$D:$D,'간접비 계산'!$C92,'2. 인건비'!$E:$E,"서비스")</f>
        <v>0</v>
      </c>
      <c r="G92" s="257"/>
      <c r="H92" s="257"/>
      <c r="I92" s="257"/>
      <c r="J92" s="257">
        <f>SUMIFS('2. 인건비'!$J:$J,'2. 인건비'!$D:$D,'간접비 계산'!$C92,'2. 인건비'!$E:$E,"유지보수")</f>
        <v>0</v>
      </c>
      <c r="K92" s="257">
        <f>SUMIFS('2. 인건비'!$J:$J,'2. 인건비'!$D:$D,'간접비 계산'!$C92,'2. 인건비'!$E:$E,"ITO/원격운영")-L92</f>
        <v>0</v>
      </c>
      <c r="L92" s="771">
        <f>SUMIFS('2. 인건비'!$J:$J,'2. 인건비'!$D:$D,'간접비 계산'!$C92,'2. 인건비'!$E:$E,"ITO/원격운영",'2. 인건비'!$C:$C,"Nexplant MESplus CE")</f>
        <v>0</v>
      </c>
      <c r="M92" s="258"/>
    </row>
    <row r="93" spans="1:15" ht="13.5" customHeight="1">
      <c r="A93" s="256"/>
      <c r="B93" s="1145"/>
      <c r="C93" s="641" t="s">
        <v>1026</v>
      </c>
      <c r="D93" s="704"/>
      <c r="E93" s="704"/>
      <c r="F93" s="257">
        <f>SUMIFS('2. 인건비'!$J:$J,'2. 인건비'!$D:$D,'간접비 계산'!$C93,'2. 인건비'!$E:$E,"서비스")</f>
        <v>0</v>
      </c>
      <c r="G93" s="257"/>
      <c r="H93" s="257"/>
      <c r="I93" s="257"/>
      <c r="J93" s="257">
        <f>SUMIFS('2. 인건비'!$J:$J,'2. 인건비'!$D:$D,'간접비 계산'!$C93,'2. 인건비'!$E:$E,"유지보수")</f>
        <v>0</v>
      </c>
      <c r="K93" s="257">
        <f>SUMIFS('2. 인건비'!$J:$J,'2. 인건비'!$D:$D,'간접비 계산'!$C93,'2. 인건비'!$E:$E,"ITO/원격운영")</f>
        <v>0</v>
      </c>
      <c r="L93" s="257"/>
      <c r="M93" s="258"/>
    </row>
    <row r="94" spans="1:15" s="505" customFormat="1" ht="13.5" customHeight="1">
      <c r="A94" s="1149"/>
      <c r="B94" s="1150"/>
      <c r="C94" s="641" t="s">
        <v>1027</v>
      </c>
      <c r="D94" s="704"/>
      <c r="E94" s="704"/>
      <c r="F94" s="715">
        <f>SUMIFS('2. 인건비'!$J:$J,'2. 인건비'!$D:$D,'간접비 계산'!$C94,'2. 인건비'!$E:$E,"서비스")</f>
        <v>0</v>
      </c>
      <c r="G94" s="715"/>
      <c r="H94" s="715"/>
      <c r="I94" s="715"/>
      <c r="J94" s="715">
        <f>SUMIFS('2. 인건비'!$J:$J,'2. 인건비'!$D:$D,'간접비 계산'!$C94,'2. 인건비'!$E:$E,"유지보수")</f>
        <v>0</v>
      </c>
      <c r="K94" s="715">
        <f>SUMIFS('2. 인건비'!$J:$J,'2. 인건비'!$D:$D,'간접비 계산'!$C94,'2. 인건비'!$E:$E,"ITO/원격운영")</f>
        <v>0</v>
      </c>
      <c r="L94" s="715"/>
      <c r="M94" s="1151"/>
      <c r="N94" s="1152"/>
      <c r="O94" s="1152"/>
    </row>
    <row r="95" spans="1:15" ht="13.5" customHeight="1">
      <c r="A95" s="256"/>
      <c r="B95" s="1145"/>
      <c r="C95" s="641" t="s">
        <v>662</v>
      </c>
      <c r="D95" s="704"/>
      <c r="E95" s="704"/>
      <c r="F95" s="257">
        <f>SUMIFS('2. 인건비'!$J:$J,'2. 인건비'!$D:$D,'간접비 계산'!$C95,'2. 인건비'!$E:$E,"서비스")</f>
        <v>0</v>
      </c>
      <c r="G95" s="257"/>
      <c r="H95" s="257"/>
      <c r="I95" s="257"/>
      <c r="J95" s="257">
        <f>SUMIFS('2. 인건비'!$J:$J,'2. 인건비'!$D:$D,'간접비 계산'!$C95,'2. 인건비'!$E:$E,"유지보수")</f>
        <v>0</v>
      </c>
      <c r="K95" s="257">
        <f>SUMIFS('2. 인건비'!$J:$J,'2. 인건비'!$D:$D,'간접비 계산'!$C95,'2. 인건비'!$E:$E,"ITO/원격운영")</f>
        <v>0</v>
      </c>
      <c r="L95" s="257"/>
      <c r="M95" s="258"/>
    </row>
    <row r="96" spans="1:15" ht="13.5" customHeight="1">
      <c r="A96" s="256"/>
      <c r="B96" s="1145"/>
      <c r="C96" s="641" t="s">
        <v>1028</v>
      </c>
      <c r="D96" s="704"/>
      <c r="E96" s="704"/>
      <c r="F96" s="257">
        <f>SUMIFS('2. 인건비'!$J:$J,'2. 인건비'!$D:$D,'간접비 계산'!$C96,'2. 인건비'!$E:$E,"서비스")</f>
        <v>0</v>
      </c>
      <c r="G96" s="257"/>
      <c r="H96" s="257"/>
      <c r="I96" s="257"/>
      <c r="J96" s="257">
        <f>SUMIFS('2. 인건비'!$J:$J,'2. 인건비'!$D:$D,'간접비 계산'!$C96,'2. 인건비'!$E:$E,"유지보수")</f>
        <v>0</v>
      </c>
      <c r="K96" s="257">
        <f>SUMIFS('2. 인건비'!$J:$J,'2. 인건비'!$D:$D,'간접비 계산'!$C96,'2. 인건비'!$E:$E,"ITO/원격운영")</f>
        <v>0</v>
      </c>
      <c r="L96" s="257"/>
      <c r="M96" s="258"/>
    </row>
    <row r="97" spans="1:15" ht="13.5" customHeight="1">
      <c r="A97" s="256"/>
      <c r="B97" s="1145"/>
      <c r="C97" s="641" t="s">
        <v>1093</v>
      </c>
      <c r="D97" s="704"/>
      <c r="E97" s="704"/>
      <c r="F97" s="257">
        <f>SUMIFS('2. 인건비'!$J:$J,'2. 인건비'!$D:$D,'간접비 계산'!$C97,'2. 인건비'!$E:$E,"서비스")</f>
        <v>0</v>
      </c>
      <c r="G97" s="257"/>
      <c r="H97" s="257"/>
      <c r="I97" s="257"/>
      <c r="J97" s="257">
        <f>SUMIFS('2. 인건비'!$J:$J,'2. 인건비'!$D:$D,'간접비 계산'!$C97,'2. 인건비'!$E:$E,"유지보수")</f>
        <v>0</v>
      </c>
      <c r="K97" s="257">
        <f>SUMIFS('2. 인건비'!$J:$J,'2. 인건비'!$D:$D,'간접비 계산'!$C97,'2. 인건비'!$E:$E,"ITO/원격운영")</f>
        <v>0</v>
      </c>
      <c r="L97" s="257"/>
      <c r="M97" s="258"/>
    </row>
    <row r="98" spans="1:15" ht="13.5" customHeight="1">
      <c r="A98" s="256"/>
      <c r="B98" s="1145"/>
      <c r="C98" s="641" t="s">
        <v>1030</v>
      </c>
      <c r="D98" s="704"/>
      <c r="E98" s="704"/>
      <c r="F98" s="257">
        <f>SUMIFS('2. 인건비'!$J:$J,'2. 인건비'!$D:$D,'간접비 계산'!$C98,'2. 인건비'!$E:$E,"서비스")</f>
        <v>0</v>
      </c>
      <c r="G98" s="257"/>
      <c r="H98" s="257"/>
      <c r="I98" s="257"/>
      <c r="J98" s="257">
        <f>SUMIFS('2. 인건비'!$J:$J,'2. 인건비'!$D:$D,'간접비 계산'!$C98,'2. 인건비'!$E:$E,"유지보수")</f>
        <v>0</v>
      </c>
      <c r="K98" s="257">
        <f>SUMIFS('2. 인건비'!$J:$J,'2. 인건비'!$D:$D,'간접비 계산'!$C98,'2. 인건비'!$E:$E,"ITO/원격운영")</f>
        <v>0</v>
      </c>
      <c r="L98" s="257"/>
      <c r="M98" s="258"/>
    </row>
    <row r="99" spans="1:15" ht="13.5" customHeight="1">
      <c r="A99" s="256"/>
      <c r="B99" s="1145"/>
      <c r="C99" s="641" t="s">
        <v>1031</v>
      </c>
      <c r="D99" s="704"/>
      <c r="E99" s="704"/>
      <c r="F99" s="257">
        <f>SUMIFS('2. 인건비'!$J:$J,'2. 인건비'!$D:$D,'간접비 계산'!$C99,'2. 인건비'!$E:$E,"서비스")</f>
        <v>0</v>
      </c>
      <c r="G99" s="257"/>
      <c r="H99" s="257"/>
      <c r="I99" s="257"/>
      <c r="J99" s="257">
        <f>SUMIFS('2. 인건비'!$J:$J,'2. 인건비'!$D:$D,'간접비 계산'!$C99,'2. 인건비'!$E:$E,"유지보수")</f>
        <v>0</v>
      </c>
      <c r="K99" s="257">
        <f>SUMIFS('2. 인건비'!$J:$J,'2. 인건비'!$D:$D,'간접비 계산'!$C99,'2. 인건비'!$E:$E,"ITO/원격운영")</f>
        <v>0</v>
      </c>
      <c r="L99" s="257"/>
      <c r="M99" s="258"/>
    </row>
    <row r="100" spans="1:15" ht="13.5" customHeight="1">
      <c r="A100" s="256"/>
      <c r="B100" s="1145"/>
      <c r="C100" s="641" t="s">
        <v>1032</v>
      </c>
      <c r="D100" s="704"/>
      <c r="E100" s="704"/>
      <c r="F100" s="257">
        <f>SUMIFS('2. 인건비'!$J:$J,'2. 인건비'!$D:$D,'간접비 계산'!$C100,'2. 인건비'!$E:$E,"서비스")</f>
        <v>0</v>
      </c>
      <c r="G100" s="257"/>
      <c r="H100" s="257"/>
      <c r="I100" s="257"/>
      <c r="J100" s="257">
        <f>SUMIFS('2. 인건비'!$J:$J,'2. 인건비'!$D:$D,'간접비 계산'!$C100,'2. 인건비'!$E:$E,"유지보수")</f>
        <v>0</v>
      </c>
      <c r="K100" s="257">
        <f>SUMIFS('2. 인건비'!$J:$J,'2. 인건비'!$D:$D,'간접비 계산'!$C100,'2. 인건비'!$E:$E,"ITO/원격운영")</f>
        <v>0</v>
      </c>
      <c r="L100" s="257"/>
      <c r="M100" s="258"/>
    </row>
    <row r="101" spans="1:15" ht="13.5" customHeight="1">
      <c r="A101" s="256"/>
      <c r="B101" s="1145"/>
      <c r="C101" s="641" t="s">
        <v>1033</v>
      </c>
      <c r="D101" s="704"/>
      <c r="E101" s="704"/>
      <c r="F101" s="257">
        <f>SUMIFS('2. 인건비'!$J:$J,'2. 인건비'!$D:$D,'간접비 계산'!$C101,'2. 인건비'!$E:$E,"서비스")</f>
        <v>0</v>
      </c>
      <c r="G101" s="257"/>
      <c r="H101" s="257"/>
      <c r="I101" s="257"/>
      <c r="J101" s="257">
        <f>SUMIFS('2. 인건비'!$J:$J,'2. 인건비'!$D:$D,'간접비 계산'!$C101,'2. 인건비'!$E:$E,"유지보수")</f>
        <v>0</v>
      </c>
      <c r="K101" s="257">
        <f>SUMIFS('2. 인건비'!$J:$J,'2. 인건비'!$D:$D,'간접비 계산'!$C101,'2. 인건비'!$E:$E,"ITO/원격운영")</f>
        <v>0</v>
      </c>
      <c r="L101" s="257"/>
      <c r="M101" s="258"/>
    </row>
    <row r="102" spans="1:15" ht="13.5" customHeight="1">
      <c r="A102" s="256"/>
      <c r="B102" s="1145"/>
      <c r="C102" s="641" t="s">
        <v>1034</v>
      </c>
      <c r="D102" s="704"/>
      <c r="E102" s="704"/>
      <c r="F102" s="257">
        <f>SUMIFS('2. 인건비'!$J:$J,'2. 인건비'!$D:$D,'간접비 계산'!$C102,'2. 인건비'!$E:$E,"서비스")</f>
        <v>0</v>
      </c>
      <c r="G102" s="257"/>
      <c r="H102" s="257"/>
      <c r="I102" s="257"/>
      <c r="J102" s="257">
        <f>SUMIFS('2. 인건비'!$J:$J,'2. 인건비'!$D:$D,'간접비 계산'!$C102,'2. 인건비'!$E:$E,"유지보수")</f>
        <v>0</v>
      </c>
      <c r="K102" s="257">
        <f>SUMIFS('2. 인건비'!$J:$J,'2. 인건비'!$D:$D,'간접비 계산'!$C102,'2. 인건비'!$E:$E,"ITO/원격운영")</f>
        <v>0</v>
      </c>
      <c r="L102" s="257"/>
      <c r="M102" s="258"/>
    </row>
    <row r="103" spans="1:15" ht="13.5" customHeight="1">
      <c r="A103" s="256"/>
      <c r="B103" s="1145"/>
      <c r="C103" s="641" t="s">
        <v>1109</v>
      </c>
      <c r="D103" s="704"/>
      <c r="E103" s="704"/>
      <c r="F103" s="257">
        <f>SUMIFS('2. 인건비'!$J:$J,'2. 인건비'!$D:$D,'간접비 계산'!$C103,'2. 인건비'!$E:$E,"서비스")</f>
        <v>0</v>
      </c>
      <c r="G103" s="257"/>
      <c r="H103" s="257"/>
      <c r="I103" s="257"/>
      <c r="J103" s="257">
        <f>SUMIFS('2. 인건비'!$J:$J,'2. 인건비'!$D:$D,'간접비 계산'!$C103,'2. 인건비'!$E:$E,"유지보수")</f>
        <v>0</v>
      </c>
      <c r="K103" s="257">
        <f>SUMIFS('2. 인건비'!$J:$J,'2. 인건비'!$D:$D,'간접비 계산'!$C103,'2. 인건비'!$E:$E,"ITO/원격운영")</f>
        <v>0</v>
      </c>
      <c r="L103" s="257"/>
      <c r="M103" s="258"/>
    </row>
    <row r="104" spans="1:15" ht="13.5" customHeight="1">
      <c r="A104" s="256"/>
      <c r="B104" s="1145"/>
      <c r="C104" s="641"/>
      <c r="D104" s="704"/>
      <c r="E104" s="704"/>
      <c r="F104" s="257">
        <f>SUMIFS('2. 인건비'!$J:$J,'2. 인건비'!$D:$D,'간접비 계산'!$C104,'2. 인건비'!$E:$E,"서비스")</f>
        <v>0</v>
      </c>
      <c r="G104" s="257"/>
      <c r="H104" s="257"/>
      <c r="I104" s="257"/>
      <c r="J104" s="257">
        <f>SUMIFS('2. 인건비'!$J:$J,'2. 인건비'!$D:$D,'간접비 계산'!$C104,'2. 인건비'!$E:$E,"유지보수")</f>
        <v>0</v>
      </c>
      <c r="K104" s="257">
        <f>SUMIFS('2. 인건비'!$J:$J,'2. 인건비'!$D:$D,'간접비 계산'!$C104,'2. 인건비'!$E:$E,"ITO/원격운영")</f>
        <v>0</v>
      </c>
      <c r="L104" s="257"/>
      <c r="M104" s="258"/>
    </row>
    <row r="105" spans="1:15" ht="13.5" customHeight="1">
      <c r="A105" s="256"/>
      <c r="B105" s="1145"/>
      <c r="C105" s="641" t="s">
        <v>1035</v>
      </c>
      <c r="D105" s="704"/>
      <c r="E105" s="704"/>
      <c r="F105" s="257">
        <f>SUMIFS('2. 인건비'!$J:$J,'2. 인건비'!$D:$D,'간접비 계산'!$C105,'2. 인건비'!$E:$E,"서비스")</f>
        <v>0</v>
      </c>
      <c r="G105" s="257"/>
      <c r="H105" s="257"/>
      <c r="I105" s="257"/>
      <c r="J105" s="257">
        <f>SUMIFS('2. 인건비'!$J:$J,'2. 인건비'!$D:$D,'간접비 계산'!$C105,'2. 인건비'!$E:$E,"유지보수")</f>
        <v>0</v>
      </c>
      <c r="K105" s="257">
        <f>SUMIFS('2. 인건비'!$J:$J,'2. 인건비'!$D:$D,'간접비 계산'!$C105,'2. 인건비'!$E:$E,"ITO/원격운영")</f>
        <v>0</v>
      </c>
      <c r="L105" s="257"/>
      <c r="M105" s="258"/>
    </row>
    <row r="106" spans="1:15" ht="13.5" customHeight="1">
      <c r="A106" s="256"/>
      <c r="B106" s="1145"/>
      <c r="C106" s="641" t="s">
        <v>1036</v>
      </c>
      <c r="D106" s="704"/>
      <c r="E106" s="704"/>
      <c r="F106" s="257">
        <f>SUMIFS('2. 인건비'!$J:$J,'2. 인건비'!$D:$D,'간접비 계산'!$C106,'2. 인건비'!$E:$E,"서비스")</f>
        <v>0</v>
      </c>
      <c r="G106" s="257"/>
      <c r="H106" s="257"/>
      <c r="I106" s="257"/>
      <c r="J106" s="257">
        <f>SUMIFS('2. 인건비'!$J:$J,'2. 인건비'!$D:$D,'간접비 계산'!$C106,'2. 인건비'!$E:$E,"유지보수")</f>
        <v>0</v>
      </c>
      <c r="K106" s="257">
        <f>SUMIFS('2. 인건비'!$J:$J,'2. 인건비'!$D:$D,'간접비 계산'!$C106,'2. 인건비'!$E:$E,"ITO/원격운영")</f>
        <v>0</v>
      </c>
      <c r="L106" s="257"/>
      <c r="M106" s="258"/>
    </row>
    <row r="107" spans="1:15" ht="13.5" customHeight="1">
      <c r="A107" s="256"/>
      <c r="B107" s="1145"/>
      <c r="C107" s="641" t="s">
        <v>1037</v>
      </c>
      <c r="D107" s="704"/>
      <c r="E107" s="704"/>
      <c r="F107" s="257">
        <f>SUMIFS('2. 인건비'!$J:$J,'2. 인건비'!$D:$D,'간접비 계산'!$C107,'2. 인건비'!$E:$E,"서비스")</f>
        <v>0</v>
      </c>
      <c r="G107" s="257"/>
      <c r="H107" s="257"/>
      <c r="I107" s="257"/>
      <c r="J107" s="257">
        <f>SUMIFS('2. 인건비'!$J:$J,'2. 인건비'!$D:$D,'간접비 계산'!$C107,'2. 인건비'!$E:$E,"유지보수")</f>
        <v>0</v>
      </c>
      <c r="K107" s="257">
        <f>SUMIFS('2. 인건비'!$J:$J,'2. 인건비'!$D:$D,'간접비 계산'!$C107,'2. 인건비'!$E:$E,"ITO/원격운영")</f>
        <v>0</v>
      </c>
      <c r="L107" s="257"/>
      <c r="M107" s="258"/>
    </row>
    <row r="108" spans="1:15" ht="13.5" customHeight="1">
      <c r="A108" s="256"/>
      <c r="B108" s="1145"/>
      <c r="C108" s="641" t="s">
        <v>1120</v>
      </c>
      <c r="D108" s="704"/>
      <c r="E108" s="704"/>
      <c r="F108" s="257">
        <f>SUMIFS('2. 인건비'!$J:$J,'2. 인건비'!$D:$D,'간접비 계산'!$C108,'2. 인건비'!$E:$E,"서비스")</f>
        <v>0</v>
      </c>
      <c r="G108" s="257"/>
      <c r="H108" s="257"/>
      <c r="I108" s="257"/>
      <c r="J108" s="257">
        <f>SUMIFS('2. 인건비'!$J:$J,'2. 인건비'!$D:$D,'간접비 계산'!$C108,'2. 인건비'!$E:$E,"유지보수")</f>
        <v>0</v>
      </c>
      <c r="K108" s="257">
        <f>SUMIFS('2. 인건비'!$J:$J,'2. 인건비'!$D:$D,'간접비 계산'!$C108,'2. 인건비'!$E:$E,"ITO/원격운영")</f>
        <v>0</v>
      </c>
      <c r="L108" s="257"/>
      <c r="M108" s="258"/>
    </row>
    <row r="109" spans="1:15" ht="13.5" customHeight="1">
      <c r="A109" s="256"/>
      <c r="B109" s="1145"/>
      <c r="C109" s="641" t="s">
        <v>1076</v>
      </c>
      <c r="D109" s="704"/>
      <c r="E109" s="704"/>
      <c r="F109" s="257">
        <f>SUMIFS('2. 인건비'!$J:$J,'2. 인건비'!$D:$D,'간접비 계산'!$C109,'2. 인건비'!$E:$E,"서비스")</f>
        <v>0</v>
      </c>
      <c r="G109" s="257"/>
      <c r="H109" s="257"/>
      <c r="I109" s="257"/>
      <c r="J109" s="257">
        <f>SUMIFS('2. 인건비'!$J:$J,'2. 인건비'!$D:$D,'간접비 계산'!$C109,'2. 인건비'!$E:$E,"유지보수")</f>
        <v>0</v>
      </c>
      <c r="K109" s="257">
        <f>SUMIFS('2. 인건비'!$J:$J,'2. 인건비'!$D:$D,'간접비 계산'!$C109,'2. 인건비'!$E:$E,"ITO/원격운영")</f>
        <v>0</v>
      </c>
      <c r="L109" s="257"/>
      <c r="M109" s="258"/>
    </row>
    <row r="110" spans="1:15" ht="13.5" customHeight="1">
      <c r="A110" s="256"/>
      <c r="B110" s="1145"/>
      <c r="C110" s="641"/>
      <c r="D110" s="704"/>
      <c r="E110" s="704"/>
      <c r="F110" s="257"/>
      <c r="G110" s="257"/>
      <c r="H110" s="257"/>
      <c r="I110" s="257"/>
      <c r="J110" s="257"/>
      <c r="K110" s="257"/>
      <c r="L110" s="257"/>
      <c r="M110" s="258"/>
    </row>
    <row r="111" spans="1:15" ht="13.5" customHeight="1">
      <c r="A111" s="259"/>
      <c r="B111" s="1146"/>
      <c r="C111" s="705" t="s">
        <v>645</v>
      </c>
      <c r="D111" s="706"/>
      <c r="E111" s="706"/>
      <c r="F111" s="260">
        <f>SUM(F90:F110)</f>
        <v>817567</v>
      </c>
      <c r="G111" s="260"/>
      <c r="H111" s="260"/>
      <c r="I111" s="260"/>
      <c r="J111" s="260">
        <f>SUM(J90:J110)</f>
        <v>0</v>
      </c>
      <c r="K111" s="260">
        <f>SUM(K90:K110)</f>
        <v>0</v>
      </c>
      <c r="L111" s="260">
        <f>SUM(L90:L110)</f>
        <v>0</v>
      </c>
      <c r="M111" s="261"/>
      <c r="O111" s="174" t="b">
        <f>SUM(F111:M111)='2. 인건비'!J12</f>
        <v>1</v>
      </c>
    </row>
    <row r="112" spans="1:15" ht="13.5" customHeight="1">
      <c r="A112" s="253" t="s">
        <v>299</v>
      </c>
      <c r="B112" s="1145"/>
      <c r="C112" s="641" t="s">
        <v>1025</v>
      </c>
      <c r="D112" s="703"/>
      <c r="E112" s="703"/>
      <c r="F112" s="257">
        <f>'4. 경비(실비정산성경비)'!$K$21-J112-K112</f>
        <v>3545000</v>
      </c>
      <c r="G112" s="254"/>
      <c r="H112" s="254"/>
      <c r="I112" s="254"/>
      <c r="J112" s="254">
        <f>IF('5. 수주액 상세'!$D$4="유지보수",'4. 경비(실비정산성경비)'!$K21,0)</f>
        <v>0</v>
      </c>
      <c r="K112" s="254">
        <f>IF('5. 수주액 상세'!$D$4="ITO/원격운영",'4. 경비(실비정산성경비)'!$K21,0)</f>
        <v>0</v>
      </c>
      <c r="L112" s="254"/>
      <c r="M112" s="255"/>
    </row>
    <row r="113" spans="1:15" ht="13.5" customHeight="1">
      <c r="A113" s="256"/>
      <c r="B113" s="1145"/>
      <c r="C113" s="641" t="s">
        <v>967</v>
      </c>
      <c r="D113" s="704"/>
      <c r="E113" s="704"/>
      <c r="F113" s="257">
        <f>SUMIF('4. 경비(실비정산성경비)'!$F$10:$AH$10,$C113,'4. 경비(실비정산성경비)'!$F$21:AH$21)-J113-K113</f>
        <v>0</v>
      </c>
      <c r="G113" s="257"/>
      <c r="H113" s="257"/>
      <c r="I113" s="257"/>
      <c r="J113" s="257">
        <f>IF('5. 수주액 상세'!$D$4="유지보수",SUMIF('4. 경비(실비정산성경비)'!$F$10:$AH$10,'간접비 계산'!$C113,'4. 경비(실비정산성경비)'!$F$21:$AH$21),0)</f>
        <v>0</v>
      </c>
      <c r="K113" s="257">
        <f>IF('5. 수주액 상세'!$D$4="ITO/원격운영",SUMIF('4. 경비(실비정산성경비)'!$F$10:$AH$10,'간접비 계산'!$C113,'4. 경비(실비정산성경비)'!$F$21:$AH$21),0)</f>
        <v>0</v>
      </c>
      <c r="L113" s="257"/>
      <c r="M113" s="258"/>
    </row>
    <row r="114" spans="1:15" ht="13.5" customHeight="1">
      <c r="A114" s="256"/>
      <c r="B114" s="1145"/>
      <c r="C114" s="641" t="s">
        <v>664</v>
      </c>
      <c r="D114" s="704"/>
      <c r="E114" s="704"/>
      <c r="F114" s="257">
        <f>IFERROR(IF('5. 수주액 상세'!$N$11&gt;0,'4. 경비(실비정산성경비)'!$O$21-J114-K114-L114,0),0)</f>
        <v>0</v>
      </c>
      <c r="G114" s="257"/>
      <c r="H114" s="257"/>
      <c r="I114" s="257"/>
      <c r="J114" s="257">
        <f>IF('5. 수주액 상세'!$D$4="유지보수",'4. 경비(실비정산성경비)'!$N$21,0)</f>
        <v>0</v>
      </c>
      <c r="K114" s="257">
        <f>IF('5. 수주액 상세'!$M$15&gt;0,'4. 경비(실비정산성경비)'!$N$21,0)</f>
        <v>0</v>
      </c>
      <c r="L114" s="771">
        <f>IF('5. 수주액 상세'!$M$17&gt;0,'4. 경비(실비정산성경비)'!$N$21,0)</f>
        <v>0</v>
      </c>
      <c r="M114" s="258"/>
    </row>
    <row r="115" spans="1:15" ht="13.5" customHeight="1">
      <c r="A115" s="256"/>
      <c r="B115" s="1145"/>
      <c r="C115" s="641" t="s">
        <v>1026</v>
      </c>
      <c r="D115" s="704"/>
      <c r="E115" s="704"/>
      <c r="F115" s="257">
        <f>'4. 경비(실비정산성경비)'!$S$21-J115-K115</f>
        <v>0</v>
      </c>
      <c r="G115" s="257"/>
      <c r="H115" s="257"/>
      <c r="I115" s="257"/>
      <c r="J115" s="257">
        <f>IF('5. 수주액 상세'!$D$4="유지보수",'4. 경비(실비정산성경비)'!$S$21,0)</f>
        <v>0</v>
      </c>
      <c r="K115" s="257">
        <f>IF('5. 수주액 상세'!$D$4="ITO/원격운영",'4. 경비(실비정산성경비)'!$S$21,0)</f>
        <v>0</v>
      </c>
      <c r="L115" s="257"/>
      <c r="M115" s="258"/>
    </row>
    <row r="116" spans="1:15" s="505" customFormat="1" ht="13.5" customHeight="1">
      <c r="A116" s="1149"/>
      <c r="B116" s="1150"/>
      <c r="C116" s="641" t="s">
        <v>1027</v>
      </c>
      <c r="D116" s="704"/>
      <c r="E116" s="704"/>
      <c r="F116" s="715">
        <f>SUMIF('4. 경비(실비정산성경비)'!$F$10:$AH$10,$C116,'4. 경비(실비정산성경비)'!$F$21:AH$21)-J116-K116</f>
        <v>0</v>
      </c>
      <c r="G116" s="715"/>
      <c r="H116" s="715"/>
      <c r="I116" s="715"/>
      <c r="J116" s="715">
        <f>IF('5. 수주액 상세'!$D$4="유지보수",SUMIF('4. 경비(실비정산성경비)'!$F$10:$AH$10,'간접비 계산'!$C116,'4. 경비(실비정산성경비)'!$F$21:$AH$21),0)</f>
        <v>0</v>
      </c>
      <c r="K116" s="715">
        <f>IF('5. 수주액 상세'!$D$4="ITO/원격운영",SUMIF('4. 경비(실비정산성경비)'!$F$10:$AH$10,'간접비 계산'!$C116,'4. 경비(실비정산성경비)'!$F$21:$AH$21),0)</f>
        <v>0</v>
      </c>
      <c r="L116" s="715"/>
      <c r="M116" s="1151"/>
      <c r="N116" s="1152"/>
      <c r="O116" s="1152"/>
    </row>
    <row r="117" spans="1:15" ht="13.5" customHeight="1">
      <c r="A117" s="256"/>
      <c r="B117" s="1145"/>
      <c r="C117" s="641" t="s">
        <v>662</v>
      </c>
      <c r="D117" s="704"/>
      <c r="E117" s="704"/>
      <c r="F117" s="257">
        <f>SUMIF('4. 경비(실비정산성경비)'!$F$10:$AH$10,$C117,'4. 경비(실비정산성경비)'!$F$21:AH$21)-J117-K117</f>
        <v>0</v>
      </c>
      <c r="G117" s="257"/>
      <c r="H117" s="257"/>
      <c r="I117" s="257"/>
      <c r="J117" s="257">
        <f>IF('5. 수주액 상세'!$D$4="유지보수",SUMIF('4. 경비(실비정산성경비)'!$F$10:$AH$10,'간접비 계산'!$C117,'4. 경비(실비정산성경비)'!$F$21:$AH$21),0)</f>
        <v>0</v>
      </c>
      <c r="K117" s="257">
        <f>IF('5. 수주액 상세'!$D$4="ITO/원격운영",SUMIF('4. 경비(실비정산성경비)'!$F$10:$AH$10,'간접비 계산'!$C117,'4. 경비(실비정산성경비)'!$F$21:$AH$21),0)</f>
        <v>0</v>
      </c>
      <c r="L117" s="257"/>
      <c r="M117" s="258"/>
    </row>
    <row r="118" spans="1:15" ht="13.5" customHeight="1">
      <c r="A118" s="256"/>
      <c r="B118" s="1145"/>
      <c r="C118" s="641" t="s">
        <v>1028</v>
      </c>
      <c r="D118" s="704"/>
      <c r="E118" s="704"/>
      <c r="F118" s="257">
        <f>SUMIF('4. 경비(실비정산성경비)'!$F$10:$AH$10,$C118,'4. 경비(실비정산성경비)'!$F$21:AH$21)-J118-K118</f>
        <v>0</v>
      </c>
      <c r="G118" s="257"/>
      <c r="H118" s="257"/>
      <c r="I118" s="257"/>
      <c r="J118" s="257">
        <f>IF('5. 수주액 상세'!$D$4="유지보수",SUMIF('4. 경비(실비정산성경비)'!$F$10:$AH$10,'간접비 계산'!$C118,'4. 경비(실비정산성경비)'!$F$21:$AH$21),0)</f>
        <v>0</v>
      </c>
      <c r="K118" s="257">
        <f>IF('5. 수주액 상세'!$D$4="ITO/원격운영",SUMIF('4. 경비(실비정산성경비)'!$F$10:$AH$10,'간접비 계산'!$C118,'4. 경비(실비정산성경비)'!$F$21:$AH$21),0)</f>
        <v>0</v>
      </c>
      <c r="L118" s="257"/>
      <c r="M118" s="258"/>
    </row>
    <row r="119" spans="1:15" ht="13.5" customHeight="1">
      <c r="A119" s="256"/>
      <c r="B119" s="1145"/>
      <c r="C119" s="641" t="s">
        <v>1093</v>
      </c>
      <c r="D119" s="704"/>
      <c r="E119" s="704"/>
      <c r="F119" s="257">
        <f>SUMIF('4. 경비(실비정산성경비)'!$F$10:$AH$10,$C119,'4. 경비(실비정산성경비)'!$F$21:AH$21)-J119-K119</f>
        <v>0</v>
      </c>
      <c r="G119" s="257"/>
      <c r="H119" s="257"/>
      <c r="I119" s="257"/>
      <c r="J119" s="257">
        <f>IF('5. 수주액 상세'!$D$4="유지보수",SUMIF('4. 경비(실비정산성경비)'!$F$10:$AH$10,'간접비 계산'!$C119,'4. 경비(실비정산성경비)'!$F$21:$AH$21),0)</f>
        <v>0</v>
      </c>
      <c r="K119" s="257">
        <f>IF('5. 수주액 상세'!$D$4="ITO/원격운영",SUMIF('4. 경비(실비정산성경비)'!$F$10:$AH$10,'간접비 계산'!$C119,'4. 경비(실비정산성경비)'!$F$21:$AH$21),0)</f>
        <v>0</v>
      </c>
      <c r="L119" s="257"/>
      <c r="M119" s="258"/>
    </row>
    <row r="120" spans="1:15" ht="13.5" customHeight="1">
      <c r="A120" s="256"/>
      <c r="B120" s="1145"/>
      <c r="C120" s="641" t="s">
        <v>1030</v>
      </c>
      <c r="D120" s="704"/>
      <c r="E120" s="704"/>
      <c r="F120" s="257">
        <f>SUMIF('4. 경비(실비정산성경비)'!$F$10:$AH$10,$C120,'4. 경비(실비정산성경비)'!$F$21:AH$21)-J120-K120</f>
        <v>0</v>
      </c>
      <c r="G120" s="257"/>
      <c r="H120" s="257"/>
      <c r="I120" s="257"/>
      <c r="J120" s="257">
        <f>IF('5. 수주액 상세'!$D$4="유지보수",SUMIF('4. 경비(실비정산성경비)'!$F$10:$AH$10,'간접비 계산'!$C120,'4. 경비(실비정산성경비)'!$F$21:$AH$21),0)</f>
        <v>0</v>
      </c>
      <c r="K120" s="257">
        <f>IF('5. 수주액 상세'!$D$4="ITO/원격운영",SUMIF('4. 경비(실비정산성경비)'!$F$10:$AH$10,'간접비 계산'!$C120,'4. 경비(실비정산성경비)'!$F$21:$AH$21),0)</f>
        <v>0</v>
      </c>
      <c r="L120" s="257"/>
      <c r="M120" s="258"/>
    </row>
    <row r="121" spans="1:15" ht="13.5" customHeight="1">
      <c r="A121" s="256"/>
      <c r="B121" s="1145"/>
      <c r="C121" s="641" t="s">
        <v>1031</v>
      </c>
      <c r="D121" s="704"/>
      <c r="E121" s="704"/>
      <c r="F121" s="257">
        <f>SUMIF('4. 경비(실비정산성경비)'!$F$10:$AH$10,$C121,'4. 경비(실비정산성경비)'!$F$21:AH$21)-J121-K121</f>
        <v>0</v>
      </c>
      <c r="G121" s="257"/>
      <c r="H121" s="257"/>
      <c r="I121" s="257"/>
      <c r="J121" s="257">
        <f>IF('5. 수주액 상세'!$D$4="유지보수",SUMIF('4. 경비(실비정산성경비)'!$F$10:$AH$10,'간접비 계산'!$C121,'4. 경비(실비정산성경비)'!$F$21:$AH$21),0)</f>
        <v>0</v>
      </c>
      <c r="K121" s="257">
        <f>IF('5. 수주액 상세'!$D$4="ITO/원격운영",SUMIF('4. 경비(실비정산성경비)'!$F$10:$AH$10,'간접비 계산'!$C121,'4. 경비(실비정산성경비)'!$F$21:$AH$21),0)</f>
        <v>0</v>
      </c>
      <c r="L121" s="257"/>
      <c r="M121" s="258"/>
    </row>
    <row r="122" spans="1:15" ht="13.5" customHeight="1">
      <c r="A122" s="256"/>
      <c r="B122" s="1145"/>
      <c r="C122" s="641" t="s">
        <v>1032</v>
      </c>
      <c r="D122" s="704"/>
      <c r="E122" s="704"/>
      <c r="F122" s="257">
        <f>SUMIF('4. 경비(실비정산성경비)'!$F$10:$AH$10,$C122,'4. 경비(실비정산성경비)'!$F$21:AH$21)-J122-K122</f>
        <v>0</v>
      </c>
      <c r="G122" s="257"/>
      <c r="H122" s="257"/>
      <c r="I122" s="257"/>
      <c r="J122" s="257">
        <f>IF('5. 수주액 상세'!$D$4="유지보수",SUMIF('4. 경비(실비정산성경비)'!$F$10:$AH$10,'간접비 계산'!$C122,'4. 경비(실비정산성경비)'!$F$21:$AH$21),0)</f>
        <v>0</v>
      </c>
      <c r="K122" s="257">
        <f>IF('5. 수주액 상세'!$D$4="ITO/원격운영",SUMIF('4. 경비(실비정산성경비)'!$F$10:$AH$10,'간접비 계산'!$C122,'4. 경비(실비정산성경비)'!$F$21:$AH$21),0)</f>
        <v>0</v>
      </c>
      <c r="L122" s="257"/>
      <c r="M122" s="258"/>
    </row>
    <row r="123" spans="1:15" ht="13.5" customHeight="1">
      <c r="A123" s="256"/>
      <c r="B123" s="1145"/>
      <c r="C123" s="641" t="s">
        <v>1033</v>
      </c>
      <c r="D123" s="704"/>
      <c r="E123" s="704"/>
      <c r="F123" s="257">
        <f>SUMIF('4. 경비(실비정산성경비)'!$F$10:$AH$10,$C123,'4. 경비(실비정산성경비)'!$F$21:AH$21)-J123-K123</f>
        <v>0</v>
      </c>
      <c r="G123" s="257"/>
      <c r="H123" s="257"/>
      <c r="I123" s="257"/>
      <c r="J123" s="257">
        <f>IF('5. 수주액 상세'!$D$4="유지보수",SUMIF('4. 경비(실비정산성경비)'!$F$10:$AH$10,'간접비 계산'!$C123,'4. 경비(실비정산성경비)'!$F$21:$AH$21),0)</f>
        <v>0</v>
      </c>
      <c r="K123" s="257">
        <f>IF('5. 수주액 상세'!$D$4="ITO/원격운영",SUMIF('4. 경비(실비정산성경비)'!$F$10:$AH$10,'간접비 계산'!$C123,'4. 경비(실비정산성경비)'!$F$21:$AH$21),0)</f>
        <v>0</v>
      </c>
      <c r="L123" s="257"/>
      <c r="M123" s="258"/>
    </row>
    <row r="124" spans="1:15" ht="13.5" customHeight="1">
      <c r="A124" s="256"/>
      <c r="B124" s="1145"/>
      <c r="C124" s="641" t="s">
        <v>1034</v>
      </c>
      <c r="D124" s="704"/>
      <c r="E124" s="704"/>
      <c r="F124" s="257">
        <f>SUMIF('4. 경비(실비정산성경비)'!$F$10:$AH$10,$C124,'4. 경비(실비정산성경비)'!$F$21:AH$21)-J124-K124</f>
        <v>0</v>
      </c>
      <c r="G124" s="257"/>
      <c r="H124" s="257"/>
      <c r="I124" s="257"/>
      <c r="J124" s="257">
        <f>IF('5. 수주액 상세'!$D$4="유지보수",SUMIF('4. 경비(실비정산성경비)'!$F$10:$AH$10,'간접비 계산'!$C124,'4. 경비(실비정산성경비)'!$F$21:$AH$21),0)</f>
        <v>0</v>
      </c>
      <c r="K124" s="257">
        <f>IF('5. 수주액 상세'!$D$4="ITO/원격운영",SUMIF('4. 경비(실비정산성경비)'!$F$10:$AH$10,'간접비 계산'!$C124,'4. 경비(실비정산성경비)'!$F$21:$AH$21),0)</f>
        <v>0</v>
      </c>
      <c r="L124" s="257"/>
      <c r="M124" s="258"/>
    </row>
    <row r="125" spans="1:15" ht="13.5" customHeight="1">
      <c r="A125" s="256"/>
      <c r="B125" s="1145"/>
      <c r="C125" s="641" t="s">
        <v>1109</v>
      </c>
      <c r="D125" s="704"/>
      <c r="E125" s="704"/>
      <c r="F125" s="257">
        <f>SUMIF('4. 경비(실비정산성경비)'!$F$10:$AH$10,$C125,'4. 경비(실비정산성경비)'!$F$21:AH$21)-J125-K125</f>
        <v>0</v>
      </c>
      <c r="G125" s="257"/>
      <c r="H125" s="257"/>
      <c r="I125" s="257"/>
      <c r="J125" s="257">
        <f>IF('5. 수주액 상세'!$D$4="유지보수",SUMIF('4. 경비(실비정산성경비)'!$F$10:$AH$10,'간접비 계산'!$C125,'4. 경비(실비정산성경비)'!$F$21:$AH$21),0)</f>
        <v>0</v>
      </c>
      <c r="K125" s="257">
        <f>IF('5. 수주액 상세'!$D$4="ITO/원격운영",SUMIF('4. 경비(실비정산성경비)'!$F$10:$AH$10,'간접비 계산'!$C125,'4. 경비(실비정산성경비)'!$F$21:$AH$21),0)</f>
        <v>0</v>
      </c>
      <c r="L125" s="257"/>
      <c r="M125" s="258"/>
    </row>
    <row r="126" spans="1:15" ht="13.5" customHeight="1">
      <c r="A126" s="256"/>
      <c r="B126" s="1145"/>
      <c r="C126" s="641"/>
      <c r="D126" s="704"/>
      <c r="E126" s="704"/>
      <c r="F126" s="257">
        <f>SUMIF('4. 경비(실비정산성경비)'!$F$10:$AH$10,$C126,'4. 경비(실비정산성경비)'!$F$21:AH$21)-J126-K126</f>
        <v>0</v>
      </c>
      <c r="G126" s="257"/>
      <c r="H126" s="257"/>
      <c r="I126" s="257"/>
      <c r="J126" s="257">
        <f>IF('5. 수주액 상세'!$D$4="유지보수",SUMIF('4. 경비(실비정산성경비)'!$F$10:$AH$10,'간접비 계산'!$C126,'4. 경비(실비정산성경비)'!$F$21:$AH$21),0)</f>
        <v>0</v>
      </c>
      <c r="K126" s="257">
        <f>IF('5. 수주액 상세'!$D$4="ITO/원격운영",SUMIF('4. 경비(실비정산성경비)'!$F$10:$AH$10,'간접비 계산'!$C126,'4. 경비(실비정산성경비)'!$F$21:$AH$21),0)</f>
        <v>0</v>
      </c>
      <c r="L126" s="257"/>
      <c r="M126" s="258"/>
    </row>
    <row r="127" spans="1:15" ht="13.5" customHeight="1">
      <c r="A127" s="256"/>
      <c r="B127" s="1145"/>
      <c r="C127" s="641" t="s">
        <v>1035</v>
      </c>
      <c r="D127" s="704"/>
      <c r="E127" s="704"/>
      <c r="F127" s="257">
        <f>SUMIF('4. 경비(실비정산성경비)'!$F$10:$AH$10,$C127,'4. 경비(실비정산성경비)'!$F$21:AH$21)-J127-K127</f>
        <v>0</v>
      </c>
      <c r="G127" s="257"/>
      <c r="H127" s="257"/>
      <c r="I127" s="257"/>
      <c r="J127" s="257">
        <f>IF('5. 수주액 상세'!$D$4="유지보수",SUMIF('4. 경비(실비정산성경비)'!$F$10:$AH$10,'간접비 계산'!$C127,'4. 경비(실비정산성경비)'!$F$21:$AH$21),0)</f>
        <v>0</v>
      </c>
      <c r="K127" s="257">
        <f>IF('5. 수주액 상세'!$D$4="ITO/원격운영",SUMIF('4. 경비(실비정산성경비)'!$F$10:$AH$10,'간접비 계산'!$C127,'4. 경비(실비정산성경비)'!$F$21:$AH$21),0)</f>
        <v>0</v>
      </c>
      <c r="L127" s="257"/>
      <c r="M127" s="258"/>
    </row>
    <row r="128" spans="1:15" ht="13.5" customHeight="1">
      <c r="A128" s="256"/>
      <c r="B128" s="1145"/>
      <c r="C128" s="641" t="s">
        <v>1036</v>
      </c>
      <c r="D128" s="704"/>
      <c r="E128" s="704"/>
      <c r="F128" s="257">
        <f>SUMIF('4. 경비(실비정산성경비)'!$F$10:$AH$10,$C128,'4. 경비(실비정산성경비)'!$F$21:AH$21)-J128-K128</f>
        <v>0</v>
      </c>
      <c r="G128" s="257"/>
      <c r="H128" s="257"/>
      <c r="I128" s="257"/>
      <c r="J128" s="257">
        <f>IF('5. 수주액 상세'!$D$4="유지보수",SUMIF('4. 경비(실비정산성경비)'!$F$10:$AH$10,'간접비 계산'!$C128,'4. 경비(실비정산성경비)'!$F$21:$AH$21),0)</f>
        <v>0</v>
      </c>
      <c r="K128" s="257">
        <f>IF('5. 수주액 상세'!$D$4="ITO/원격운영",SUMIF('4. 경비(실비정산성경비)'!$F$10:$AH$10,'간접비 계산'!$C128,'4. 경비(실비정산성경비)'!$F$21:$AH$21),0)</f>
        <v>0</v>
      </c>
      <c r="L128" s="257"/>
      <c r="M128" s="258"/>
    </row>
    <row r="129" spans="1:16" ht="13.5" customHeight="1">
      <c r="A129" s="256"/>
      <c r="B129" s="1145"/>
      <c r="C129" s="641" t="s">
        <v>1037</v>
      </c>
      <c r="D129" s="704"/>
      <c r="E129" s="704"/>
      <c r="F129" s="257">
        <f>SUMIF('4. 경비(실비정산성경비)'!$F$10:$AH$10,$C129,'4. 경비(실비정산성경비)'!$F$21:AH$21)-J129-K129</f>
        <v>0</v>
      </c>
      <c r="G129" s="257"/>
      <c r="H129" s="257"/>
      <c r="I129" s="257"/>
      <c r="J129" s="257">
        <f>IF('5. 수주액 상세'!$D$4="유지보수",SUMIF('4. 경비(실비정산성경비)'!$F$10:$AH$10,'간접비 계산'!$C129,'4. 경비(실비정산성경비)'!$F$21:$AH$21),0)</f>
        <v>0</v>
      </c>
      <c r="K129" s="257">
        <f>IF('5. 수주액 상세'!$D$4="ITO/원격운영",SUMIF('4. 경비(실비정산성경비)'!$F$10:$AH$10,'간접비 계산'!$C129,'4. 경비(실비정산성경비)'!$F$21:$AH$21),0)</f>
        <v>0</v>
      </c>
      <c r="L129" s="257"/>
      <c r="M129" s="258"/>
    </row>
    <row r="130" spans="1:16" ht="13.5" customHeight="1">
      <c r="A130" s="256"/>
      <c r="B130" s="1145"/>
      <c r="C130" s="641" t="s">
        <v>1120</v>
      </c>
      <c r="D130" s="704"/>
      <c r="E130" s="704"/>
      <c r="F130" s="257">
        <f>SUMIF('4. 경비(실비정산성경비)'!$F$10:$AH$10,$C130,'4. 경비(실비정산성경비)'!$F$21:AH$21)-J130-K130</f>
        <v>0</v>
      </c>
      <c r="G130" s="257"/>
      <c r="H130" s="257"/>
      <c r="I130" s="257"/>
      <c r="J130" s="257">
        <f>IF('5. 수주액 상세'!$D$4="유지보수",SUMIF('4. 경비(실비정산성경비)'!$F$10:$AH$10,'간접비 계산'!$C130,'4. 경비(실비정산성경비)'!$F$21:$AH$21),0)</f>
        <v>0</v>
      </c>
      <c r="K130" s="257">
        <f>IF('5. 수주액 상세'!$D$4="ITO/원격운영",SUMIF('4. 경비(실비정산성경비)'!$F$10:$AH$10,'간접비 계산'!$C130,'4. 경비(실비정산성경비)'!$F$21:$AH$21),0)</f>
        <v>0</v>
      </c>
      <c r="L130" s="257"/>
      <c r="M130" s="258"/>
    </row>
    <row r="131" spans="1:16" ht="13.5" customHeight="1">
      <c r="A131" s="256"/>
      <c r="B131" s="1145"/>
      <c r="C131" s="641" t="s">
        <v>1076</v>
      </c>
      <c r="D131" s="704"/>
      <c r="E131" s="704"/>
      <c r="F131" s="257">
        <f>SUMIF('4. 경비(실비정산성경비)'!$F$10:$AH$10,$C131,'4. 경비(실비정산성경비)'!$F$21:AH$21)-J131-K131</f>
        <v>0</v>
      </c>
      <c r="G131" s="257"/>
      <c r="H131" s="257"/>
      <c r="I131" s="257"/>
      <c r="J131" s="257">
        <f>IF('5. 수주액 상세'!$D$4="유지보수",SUMIF('4. 경비(실비정산성경비)'!$F$10:$AH$10,'간접비 계산'!$C131,'4. 경비(실비정산성경비)'!$F$21:$AH$21),0)</f>
        <v>0</v>
      </c>
      <c r="K131" s="257">
        <f>IF('5. 수주액 상세'!$D$4="ITO/원격운영",SUMIF('4. 경비(실비정산성경비)'!$F$10:$AH$10,'간접비 계산'!$C131,'4. 경비(실비정산성경비)'!$F$21:$AH$21),0)</f>
        <v>0</v>
      </c>
      <c r="L131" s="257"/>
      <c r="M131" s="258"/>
    </row>
    <row r="132" spans="1:16" ht="13.5" customHeight="1">
      <c r="A132" s="256"/>
      <c r="B132" s="1145"/>
      <c r="C132" s="641"/>
      <c r="D132" s="704"/>
      <c r="E132" s="704"/>
      <c r="F132" s="257"/>
      <c r="G132" s="257"/>
      <c r="H132" s="257"/>
      <c r="I132" s="257"/>
      <c r="J132" s="257"/>
      <c r="K132" s="257"/>
      <c r="L132" s="257"/>
      <c r="M132" s="258"/>
    </row>
    <row r="133" spans="1:16" ht="13.5" customHeight="1">
      <c r="A133" s="259"/>
      <c r="B133" s="1146"/>
      <c r="C133" s="705" t="s">
        <v>645</v>
      </c>
      <c r="D133" s="706"/>
      <c r="E133" s="706"/>
      <c r="F133" s="260">
        <f>SUM(F112:F132)</f>
        <v>3545000</v>
      </c>
      <c r="G133" s="260"/>
      <c r="H133" s="260"/>
      <c r="I133" s="260"/>
      <c r="J133" s="260">
        <f>SUM(J112:J132)</f>
        <v>0</v>
      </c>
      <c r="K133" s="260">
        <f>SUM(K112:K132)</f>
        <v>0</v>
      </c>
      <c r="L133" s="260">
        <f>SUM(L112:L132)</f>
        <v>0</v>
      </c>
      <c r="M133" s="261"/>
      <c r="O133" s="174" t="b">
        <f>SUM(F133:M133)='4. 경비(실비정산성경비)'!E21</f>
        <v>1</v>
      </c>
      <c r="P133" s="777">
        <f>SUM(F133:M133)-'4. 경비(실비정산성경비)'!E21</f>
        <v>0</v>
      </c>
    </row>
    <row r="134" spans="1:16" ht="13.5" customHeight="1">
      <c r="A134" s="253" t="s">
        <v>363</v>
      </c>
      <c r="B134" s="1145"/>
      <c r="C134" s="641" t="s">
        <v>1025</v>
      </c>
      <c r="D134" s="703"/>
      <c r="E134" s="703"/>
      <c r="F134" s="254"/>
      <c r="G134" s="254">
        <f>SUMIFS('3. 외주비&amp;재료비'!$I$6:$I$17,'3. 외주비&amp;재료비'!$D$6:$D$17,'간접비 계산'!$C134,'3. 외주비&amp;재료비'!$G$6:$G$17,"Development")</f>
        <v>0</v>
      </c>
      <c r="H134" s="254">
        <f>SUMIFS('3. 외주비&amp;재료비'!$I$6:$I$17,'3. 외주비&amp;재료비'!$D$6:$D$17,'간접비 계산'!$C134,'3. 외주비&amp;재료비'!$G$6:$G$17,"Service")</f>
        <v>0</v>
      </c>
      <c r="I134" s="254"/>
      <c r="J134" s="254">
        <f>SUMIFS('3. 외주비&amp;재료비'!$I$6:$I$17,'3. 외주비&amp;재료비'!$D$6:$D$17,'간접비 계산'!$C134,'3. 외주비&amp;재료비'!$G$6:$G$17,"Maintenance",'3. 외주비&amp;재료비'!$E$6:$E$17,"유지보수")</f>
        <v>0</v>
      </c>
      <c r="K134" s="254">
        <f>SUMIFS('3. 외주비&amp;재료비'!$I$6:$I$17,'3. 외주비&amp;재료비'!$D$6:$D$17,'간접비 계산'!$C134,'3. 외주비&amp;재료비'!$G$6:$G$17,"Maintenance",'3. 외주비&amp;재료비'!$E$6:$E$17,"ITO/원격운영")</f>
        <v>0</v>
      </c>
      <c r="L134" s="254"/>
      <c r="M134" s="255"/>
    </row>
    <row r="135" spans="1:16" ht="13.5" customHeight="1">
      <c r="A135" s="256"/>
      <c r="B135" s="1145"/>
      <c r="C135" s="641" t="s">
        <v>967</v>
      </c>
      <c r="D135" s="704"/>
      <c r="E135" s="704"/>
      <c r="F135" s="257"/>
      <c r="G135" s="257">
        <f>SUMIFS('3. 외주비&amp;재료비'!$I$6:$I$17,'3. 외주비&amp;재료비'!$D$6:$D$17,'간접비 계산'!$C135,'3. 외주비&amp;재료비'!$G$6:$G$17,"Development")</f>
        <v>0</v>
      </c>
      <c r="H135" s="257">
        <f>SUMIFS('3. 외주비&amp;재료비'!$I$6:$I$17,'3. 외주비&amp;재료비'!$D$6:$D$17,'간접비 계산'!$C135,'3. 외주비&amp;재료비'!$G$6:$G$17,"Service")</f>
        <v>0</v>
      </c>
      <c r="I135" s="257"/>
      <c r="J135" s="257">
        <f>SUMIFS('3. 외주비&amp;재료비'!$I$6:$I$17,'3. 외주비&amp;재료비'!$D$6:$D$17,'간접비 계산'!$C135,'3. 외주비&amp;재료비'!$G$6:$G$17,"Maintenance",'3. 외주비&amp;재료비'!$E$6:$E$17,"유지보수")</f>
        <v>0</v>
      </c>
      <c r="K135" s="257">
        <f>SUMIFS('3. 외주비&amp;재료비'!$I$6:$I$17,'3. 외주비&amp;재료비'!$D$6:$D$17,'간접비 계산'!$C135,'3. 외주비&amp;재료비'!$G$6:$G$17,"Maintenance",'3. 외주비&amp;재료비'!$E$6:$E$17,"ITO/원격운영")</f>
        <v>0</v>
      </c>
      <c r="L135" s="257"/>
      <c r="M135" s="258"/>
    </row>
    <row r="136" spans="1:16" ht="12.75" customHeight="1">
      <c r="A136" s="256"/>
      <c r="B136" s="1145"/>
      <c r="C136" s="641" t="s">
        <v>664</v>
      </c>
      <c r="D136" s="704"/>
      <c r="E136" s="704"/>
      <c r="F136" s="257"/>
      <c r="G136" s="257">
        <f>SUMIFS('3. 외주비&amp;재료비'!$I$6:$I$17,'3. 외주비&amp;재료비'!$D$6:$D$17,'간접비 계산'!$C136,'3. 외주비&amp;재료비'!$G$6:$G$17,"Development")</f>
        <v>0</v>
      </c>
      <c r="H136" s="257">
        <f>SUMIFS('3. 외주비&amp;재료비'!$I$6:$I$17,'3. 외주비&amp;재료비'!$D$6:$D$17,'간접비 계산'!$C136,'3. 외주비&amp;재료비'!$G$6:$G$17,"Service")</f>
        <v>0</v>
      </c>
      <c r="I136" s="257"/>
      <c r="J136" s="257">
        <f>SUMIFS('3. 외주비&amp;재료비'!$I$6:$I$17,'3. 외주비&amp;재료비'!$D$6:$D$17,'간접비 계산'!$C136,'3. 외주비&amp;재료비'!$G$6:$G$17,"Maintenance",'3. 외주비&amp;재료비'!$E$6:$E$17,"유지보수")</f>
        <v>0</v>
      </c>
      <c r="K136" s="257">
        <f>SUMIFS('3. 외주비&amp;재료비'!$I$6:$I$17,'3. 외주비&amp;재료비'!$D$6:$D$17,'간접비 계산'!$C136,'3. 외주비&amp;재료비'!$G$6:$G$17,"Maintenance",'3. 외주비&amp;재료비'!$E$6:$E$17,"ITO/원격운영")</f>
        <v>0</v>
      </c>
      <c r="L136" s="257"/>
      <c r="M136" s="258"/>
    </row>
    <row r="137" spans="1:16" ht="12.75" customHeight="1">
      <c r="A137" s="256"/>
      <c r="B137" s="1145"/>
      <c r="C137" s="641" t="s">
        <v>1026</v>
      </c>
      <c r="D137" s="704"/>
      <c r="E137" s="704"/>
      <c r="F137" s="257"/>
      <c r="G137" s="257">
        <f>SUMIFS('3. 외주비&amp;재료비'!$I$6:$I$17,'3. 외주비&amp;재료비'!$D$6:$D$17,'간접비 계산'!$C137,'3. 외주비&amp;재료비'!$G$6:$G$17,"Development")</f>
        <v>0</v>
      </c>
      <c r="H137" s="257">
        <f>SUMIFS('3. 외주비&amp;재료비'!$I$6:$I$17,'3. 외주비&amp;재료비'!$D$6:$D$17,'간접비 계산'!$C137,'3. 외주비&amp;재료비'!$G$6:$G$17,"Service")</f>
        <v>0</v>
      </c>
      <c r="I137" s="257"/>
      <c r="J137" s="257">
        <f>SUMIFS('3. 외주비&amp;재료비'!$I$6:$I$17,'3. 외주비&amp;재료비'!$D$6:$D$17,'간접비 계산'!$C137,'3. 외주비&amp;재료비'!$G$6:$G$17,"Maintenance",'3. 외주비&amp;재료비'!$E$6:$E$17,"유지보수")</f>
        <v>0</v>
      </c>
      <c r="K137" s="257">
        <f>SUMIFS('3. 외주비&amp;재료비'!$I$6:$I$17,'3. 외주비&amp;재료비'!$D$6:$D$17,'간접비 계산'!$C137,'3. 외주비&amp;재료비'!$G$6:$G$17,"Maintenance",'3. 외주비&amp;재료비'!$E$6:$E$17,"ITO/원격운영")</f>
        <v>0</v>
      </c>
      <c r="L137" s="257"/>
      <c r="M137" s="258"/>
    </row>
    <row r="138" spans="1:16" ht="13.5" customHeight="1">
      <c r="A138" s="256"/>
      <c r="B138" s="1145"/>
      <c r="C138" s="641" t="s">
        <v>1027</v>
      </c>
      <c r="D138" s="704"/>
      <c r="E138" s="704"/>
      <c r="F138" s="257"/>
      <c r="G138" s="715">
        <f>SUMIFS('3. 외주비&amp;재료비'!$I$6:$I$17,'3. 외주비&amp;재료비'!$D$6:$D$17,'간접비 계산'!$C138,'3. 외주비&amp;재료비'!$G$6:$G$17,"Development")</f>
        <v>0</v>
      </c>
      <c r="H138" s="715">
        <f>SUMIFS('3. 외주비&amp;재료비'!$I$6:$I$17,'3. 외주비&amp;재료비'!$D$6:$D$17,'간접비 계산'!$C138,'3. 외주비&amp;재료비'!$G$6:$G$17,"Service")</f>
        <v>0</v>
      </c>
      <c r="I138" s="257"/>
      <c r="J138" s="257">
        <f>SUMIFS('3. 외주비&amp;재료비'!$I$6:$I$17,'3. 외주비&amp;재료비'!$D$6:$D$17,'간접비 계산'!$C138,'3. 외주비&amp;재료비'!$G$6:$G$17,"Maintenance",'3. 외주비&amp;재료비'!$E$6:$E$17,"유지보수")</f>
        <v>0</v>
      </c>
      <c r="K138" s="715">
        <f>SUMIFS('3. 외주비&amp;재료비'!$I$6:$I$17,'3. 외주비&amp;재료비'!$D$6:$D$17,'간접비 계산'!$C138,'3. 외주비&amp;재료비'!$G$6:$G$17,"Maintenance",'3. 외주비&amp;재료비'!$E$6:$E$17,"ITO/원격운영")</f>
        <v>0</v>
      </c>
      <c r="L138" s="257"/>
      <c r="M138" s="258"/>
    </row>
    <row r="139" spans="1:16" ht="13.5" customHeight="1">
      <c r="A139" s="256"/>
      <c r="B139" s="1145"/>
      <c r="C139" s="641" t="s">
        <v>662</v>
      </c>
      <c r="D139" s="704"/>
      <c r="E139" s="704"/>
      <c r="F139" s="257"/>
      <c r="G139" s="257">
        <f>SUMIFS('3. 외주비&amp;재료비'!$I$6:$I$17,'3. 외주비&amp;재료비'!$D$6:$D$17,'간접비 계산'!$C139,'3. 외주비&amp;재료비'!$G$6:$G$17,"Development")</f>
        <v>0</v>
      </c>
      <c r="H139" s="257">
        <f>SUMIFS('3. 외주비&amp;재료비'!$I$6:$I$17,'3. 외주비&amp;재료비'!$D$6:$D$17,'간접비 계산'!$C139,'3. 외주비&amp;재료비'!$G$6:$G$17,"Service")</f>
        <v>0</v>
      </c>
      <c r="I139" s="257"/>
      <c r="J139" s="257">
        <f>SUMIFS('3. 외주비&amp;재료비'!$I$6:$I$17,'3. 외주비&amp;재료비'!$D$6:$D$17,'간접비 계산'!$C139,'3. 외주비&amp;재료비'!$G$6:$G$17,"Maintenance",'3. 외주비&amp;재료비'!$E$6:$E$17,"유지보수")</f>
        <v>0</v>
      </c>
      <c r="K139" s="257">
        <f>SUMIFS('3. 외주비&amp;재료비'!$I$6:$I$17,'3. 외주비&amp;재료비'!$D$6:$D$17,'간접비 계산'!$C139,'3. 외주비&amp;재료비'!$G$6:$G$17,"Maintenance",'3. 외주비&amp;재료비'!$E$6:$E$17,"ITO/원격운영")</f>
        <v>0</v>
      </c>
      <c r="L139" s="257"/>
      <c r="M139" s="258"/>
    </row>
    <row r="140" spans="1:16" ht="13.5" customHeight="1">
      <c r="A140" s="256"/>
      <c r="B140" s="1145"/>
      <c r="C140" s="641" t="s">
        <v>1028</v>
      </c>
      <c r="D140" s="704"/>
      <c r="E140" s="704"/>
      <c r="F140" s="257"/>
      <c r="G140" s="257">
        <f>SUMIFS('3. 외주비&amp;재료비'!$I$6:$I$17,'3. 외주비&amp;재료비'!$D$6:$D$17,'간접비 계산'!$C140,'3. 외주비&amp;재료비'!$G$6:$G$17,"Development")</f>
        <v>0</v>
      </c>
      <c r="H140" s="257">
        <f>SUMIFS('3. 외주비&amp;재료비'!$I$6:$I$17,'3. 외주비&amp;재료비'!$D$6:$D$17,'간접비 계산'!$C140,'3. 외주비&amp;재료비'!$G$6:$G$17,"Service")</f>
        <v>0</v>
      </c>
      <c r="I140" s="257"/>
      <c r="J140" s="257">
        <f>SUMIFS('3. 외주비&amp;재료비'!$I$6:$I$17,'3. 외주비&amp;재료비'!$D$6:$D$17,'간접비 계산'!$C140,'3. 외주비&amp;재료비'!$G$6:$G$17,"Maintenance",'3. 외주비&amp;재료비'!$E$6:$E$17,"유지보수")</f>
        <v>0</v>
      </c>
      <c r="K140" s="257">
        <f>SUMIFS('3. 외주비&amp;재료비'!$I$6:$I$17,'3. 외주비&amp;재료비'!$D$6:$D$17,'간접비 계산'!$C140,'3. 외주비&amp;재료비'!$G$6:$G$17,"Maintenance",'3. 외주비&amp;재료비'!$E$6:$E$17,"ITO/원격운영")</f>
        <v>0</v>
      </c>
      <c r="L140" s="257"/>
      <c r="M140" s="258"/>
    </row>
    <row r="141" spans="1:16" ht="13.5" customHeight="1">
      <c r="A141" s="256"/>
      <c r="B141" s="1145"/>
      <c r="C141" s="641" t="s">
        <v>1093</v>
      </c>
      <c r="D141" s="704"/>
      <c r="E141" s="704"/>
      <c r="F141" s="257"/>
      <c r="G141" s="257">
        <f>SUMIFS('3. 외주비&amp;재료비'!$I$6:$I$17,'3. 외주비&amp;재료비'!$D$6:$D$17,'간접비 계산'!$C141,'3. 외주비&amp;재료비'!$G$6:$G$17,"Development")</f>
        <v>0</v>
      </c>
      <c r="H141" s="257">
        <f>SUMIFS('3. 외주비&amp;재료비'!$I$6:$I$17,'3. 외주비&amp;재료비'!$D$6:$D$17,'간접비 계산'!$C141,'3. 외주비&amp;재료비'!$G$6:$G$17,"Service")</f>
        <v>0</v>
      </c>
      <c r="I141" s="257"/>
      <c r="J141" s="257">
        <f>SUMIFS('3. 외주비&amp;재료비'!$I$6:$I$17,'3. 외주비&amp;재료비'!$D$6:$D$17,'간접비 계산'!$C141,'3. 외주비&amp;재료비'!$G$6:$G$17,"Maintenance",'3. 외주비&amp;재료비'!$E$6:$E$17,"유지보수")</f>
        <v>0</v>
      </c>
      <c r="K141" s="257">
        <f>SUMIFS('3. 외주비&amp;재료비'!$I$6:$I$17,'3. 외주비&amp;재료비'!$D$6:$D$17,'간접비 계산'!$C141,'3. 외주비&amp;재료비'!$G$6:$G$17,"Maintenance",'3. 외주비&amp;재료비'!$E$6:$E$17,"ITO/원격운영")</f>
        <v>0</v>
      </c>
      <c r="L141" s="257"/>
      <c r="M141" s="258"/>
    </row>
    <row r="142" spans="1:16" ht="13.5" customHeight="1">
      <c r="A142" s="256"/>
      <c r="B142" s="1145"/>
      <c r="C142" s="641" t="s">
        <v>1030</v>
      </c>
      <c r="D142" s="704"/>
      <c r="E142" s="704"/>
      <c r="F142" s="257"/>
      <c r="G142" s="257">
        <f>SUMIFS('3. 외주비&amp;재료비'!$I$6:$I$17,'3. 외주비&amp;재료비'!$D$6:$D$17,'간접비 계산'!$C142,'3. 외주비&amp;재료비'!$G$6:$G$17,"Development")</f>
        <v>0</v>
      </c>
      <c r="H142" s="257">
        <f>SUMIFS('3. 외주비&amp;재료비'!$I$6:$I$17,'3. 외주비&amp;재료비'!$D$6:$D$17,'간접비 계산'!$C142,'3. 외주비&amp;재료비'!$G$6:$G$17,"Service")</f>
        <v>0</v>
      </c>
      <c r="I142" s="257"/>
      <c r="J142" s="257">
        <f>SUMIFS('3. 외주비&amp;재료비'!$I$6:$I$17,'3. 외주비&amp;재료비'!$D$6:$D$17,'간접비 계산'!$C142,'3. 외주비&amp;재료비'!$G$6:$G$17,"Maintenance",'3. 외주비&amp;재료비'!$E$6:$E$17,"유지보수")</f>
        <v>0</v>
      </c>
      <c r="K142" s="257">
        <f>SUMIFS('3. 외주비&amp;재료비'!$I$6:$I$17,'3. 외주비&amp;재료비'!$D$6:$D$17,'간접비 계산'!$C142,'3. 외주비&amp;재료비'!$G$6:$G$17,"Maintenance",'3. 외주비&amp;재료비'!$E$6:$E$17,"ITO/원격운영")</f>
        <v>0</v>
      </c>
      <c r="L142" s="257"/>
      <c r="M142" s="258"/>
    </row>
    <row r="143" spans="1:16" ht="13.5" customHeight="1">
      <c r="A143" s="256"/>
      <c r="B143" s="1145"/>
      <c r="C143" s="641" t="s">
        <v>1031</v>
      </c>
      <c r="D143" s="704"/>
      <c r="E143" s="704"/>
      <c r="F143" s="257"/>
      <c r="G143" s="257">
        <f>SUMIFS('3. 외주비&amp;재료비'!$I$6:$I$17,'3. 외주비&amp;재료비'!$D$6:$D$17,'간접비 계산'!$C143,'3. 외주비&amp;재료비'!$G$6:$G$17,"Development")</f>
        <v>0</v>
      </c>
      <c r="H143" s="257">
        <f>SUMIFS('3. 외주비&amp;재료비'!$I$6:$I$17,'3. 외주비&amp;재료비'!$D$6:$D$17,'간접비 계산'!$C143,'3. 외주비&amp;재료비'!$G$6:$G$17,"Service")</f>
        <v>0</v>
      </c>
      <c r="I143" s="257"/>
      <c r="J143" s="257">
        <f>SUMIFS('3. 외주비&amp;재료비'!$I$6:$I$17,'3. 외주비&amp;재료비'!$D$6:$D$17,'간접비 계산'!$C143,'3. 외주비&amp;재료비'!$G$6:$G$17,"Maintenance",'3. 외주비&amp;재료비'!$E$6:$E$17,"유지보수")</f>
        <v>0</v>
      </c>
      <c r="K143" s="257">
        <f>SUMIFS('3. 외주비&amp;재료비'!$I$6:$I$17,'3. 외주비&amp;재료비'!$D$6:$D$17,'간접비 계산'!$C143,'3. 외주비&amp;재료비'!$G$6:$G$17,"Maintenance",'3. 외주비&amp;재료비'!$E$6:$E$17,"ITO/원격운영")</f>
        <v>0</v>
      </c>
      <c r="L143" s="257"/>
      <c r="M143" s="258"/>
    </row>
    <row r="144" spans="1:16" ht="13.5" customHeight="1">
      <c r="A144" s="256"/>
      <c r="B144" s="1145"/>
      <c r="C144" s="641" t="s">
        <v>1032</v>
      </c>
      <c r="D144" s="704"/>
      <c r="E144" s="704"/>
      <c r="F144" s="257"/>
      <c r="G144" s="257">
        <f>SUMIFS('3. 외주비&amp;재료비'!$I$6:$I$17,'3. 외주비&amp;재료비'!$D$6:$D$17,'간접비 계산'!$C144,'3. 외주비&amp;재료비'!$G$6:$G$17,"Development")</f>
        <v>0</v>
      </c>
      <c r="H144" s="257">
        <f>SUMIFS('3. 외주비&amp;재료비'!$I$6:$I$17,'3. 외주비&amp;재료비'!$D$6:$D$17,'간접비 계산'!$C144,'3. 외주비&amp;재료비'!$G$6:$G$17,"Service")</f>
        <v>0</v>
      </c>
      <c r="I144" s="257"/>
      <c r="J144" s="257">
        <f>SUMIFS('3. 외주비&amp;재료비'!$I$6:$I$17,'3. 외주비&amp;재료비'!$D$6:$D$17,'간접비 계산'!$C144,'3. 외주비&amp;재료비'!$G$6:$G$17,"Maintenance",'3. 외주비&amp;재료비'!$E$6:$E$17,"유지보수")</f>
        <v>0</v>
      </c>
      <c r="K144" s="257">
        <f>SUMIFS('3. 외주비&amp;재료비'!$I$6:$I$17,'3. 외주비&amp;재료비'!$D$6:$D$17,'간접비 계산'!$C144,'3. 외주비&amp;재료비'!$G$6:$G$17,"Maintenance",'3. 외주비&amp;재료비'!$E$6:$E$17,"ITO/원격운영")</f>
        <v>0</v>
      </c>
      <c r="L144" s="257"/>
      <c r="M144" s="258"/>
    </row>
    <row r="145" spans="1:15" ht="13.5" customHeight="1">
      <c r="A145" s="256"/>
      <c r="B145" s="1145"/>
      <c r="C145" s="641" t="s">
        <v>1033</v>
      </c>
      <c r="D145" s="704"/>
      <c r="E145" s="704"/>
      <c r="F145" s="257"/>
      <c r="G145" s="257">
        <f>SUMIFS('3. 외주비&amp;재료비'!$I$6:$I$17,'3. 외주비&amp;재료비'!$D$6:$D$17,'간접비 계산'!$C145,'3. 외주비&amp;재료비'!$G$6:$G$17,"Development")</f>
        <v>0</v>
      </c>
      <c r="H145" s="257">
        <f>SUMIFS('3. 외주비&amp;재료비'!$I$6:$I$17,'3. 외주비&amp;재료비'!$D$6:$D$17,'간접비 계산'!$C145,'3. 외주비&amp;재료비'!$G$6:$G$17,"Service")</f>
        <v>0</v>
      </c>
      <c r="I145" s="257"/>
      <c r="J145" s="257">
        <f>SUMIFS('3. 외주비&amp;재료비'!$I$6:$I$17,'3. 외주비&amp;재료비'!$D$6:$D$17,'간접비 계산'!$C145,'3. 외주비&amp;재료비'!$G$6:$G$17,"Maintenance",'3. 외주비&amp;재료비'!$E$6:$E$17,"유지보수")</f>
        <v>0</v>
      </c>
      <c r="K145" s="257">
        <f>SUMIFS('3. 외주비&amp;재료비'!$I$6:$I$17,'3. 외주비&amp;재료비'!$D$6:$D$17,'간접비 계산'!$C145,'3. 외주비&amp;재료비'!$G$6:$G$17,"Maintenance",'3. 외주비&amp;재료비'!$E$6:$E$17,"ITO/원격운영")</f>
        <v>0</v>
      </c>
      <c r="L145" s="257"/>
      <c r="M145" s="258"/>
    </row>
    <row r="146" spans="1:15" ht="13.5" customHeight="1">
      <c r="A146" s="256"/>
      <c r="B146" s="1145"/>
      <c r="C146" s="641" t="s">
        <v>1034</v>
      </c>
      <c r="D146" s="704"/>
      <c r="E146" s="704"/>
      <c r="F146" s="257"/>
      <c r="G146" s="257">
        <f>SUMIFS('3. 외주비&amp;재료비'!$I$6:$I$17,'3. 외주비&amp;재료비'!$D$6:$D$17,'간접비 계산'!$C146,'3. 외주비&amp;재료비'!$G$6:$G$17,"Development")</f>
        <v>0</v>
      </c>
      <c r="H146" s="257">
        <f>SUMIFS('3. 외주비&amp;재료비'!$I$6:$I$17,'3. 외주비&amp;재료비'!$D$6:$D$17,'간접비 계산'!$C146,'3. 외주비&amp;재료비'!$G$6:$G$17,"Service")</f>
        <v>0</v>
      </c>
      <c r="I146" s="257"/>
      <c r="J146" s="257">
        <f>SUMIFS('3. 외주비&amp;재료비'!$I$6:$I$17,'3. 외주비&amp;재료비'!$D$6:$D$17,'간접비 계산'!$C146,'3. 외주비&amp;재료비'!$G$6:$G$17,"Maintenance",'3. 외주비&amp;재료비'!$E$6:$E$17,"유지보수")</f>
        <v>0</v>
      </c>
      <c r="K146" s="257">
        <f>SUMIFS('3. 외주비&amp;재료비'!$I$6:$I$17,'3. 외주비&amp;재료비'!$D$6:$D$17,'간접비 계산'!$C146,'3. 외주비&amp;재료비'!$G$6:$G$17,"Maintenance",'3. 외주비&amp;재료비'!$E$6:$E$17,"ITO/원격운영")</f>
        <v>0</v>
      </c>
      <c r="L146" s="257"/>
      <c r="M146" s="258"/>
    </row>
    <row r="147" spans="1:15" ht="13.5" customHeight="1">
      <c r="A147" s="256"/>
      <c r="B147" s="1145"/>
      <c r="C147" s="641" t="s">
        <v>1109</v>
      </c>
      <c r="D147" s="704"/>
      <c r="E147" s="704"/>
      <c r="F147" s="257"/>
      <c r="G147" s="257">
        <f>SUMIFS('3. 외주비&amp;재료비'!$I$6:$I$17,'3. 외주비&amp;재료비'!$D$6:$D$17,'간접비 계산'!$C147,'3. 외주비&amp;재료비'!$G$6:$G$17,"Development")</f>
        <v>0</v>
      </c>
      <c r="H147" s="257">
        <f>SUMIFS('3. 외주비&amp;재료비'!$I$6:$I$17,'3. 외주비&amp;재료비'!$D$6:$D$17,'간접비 계산'!$C147,'3. 외주비&amp;재료비'!$G$6:$G$17,"Service")</f>
        <v>0</v>
      </c>
      <c r="I147" s="257"/>
      <c r="J147" s="257">
        <f>SUMIFS('3. 외주비&amp;재료비'!$I$6:$I$17,'3. 외주비&amp;재료비'!$D$6:$D$17,'간접비 계산'!$C147,'3. 외주비&amp;재료비'!$G$6:$G$17,"Maintenance",'3. 외주비&amp;재료비'!$E$6:$E$17,"유지보수")</f>
        <v>0</v>
      </c>
      <c r="K147" s="257">
        <f>SUMIFS('3. 외주비&amp;재료비'!$I$6:$I$17,'3. 외주비&amp;재료비'!$D$6:$D$17,'간접비 계산'!$C147,'3. 외주비&amp;재료비'!$G$6:$G$17,"Maintenance",'3. 외주비&amp;재료비'!$E$6:$E$17,"ITO/원격운영")</f>
        <v>0</v>
      </c>
      <c r="L147" s="257"/>
      <c r="M147" s="258"/>
    </row>
    <row r="148" spans="1:15" ht="13.5" customHeight="1">
      <c r="A148" s="256"/>
      <c r="B148" s="1145"/>
      <c r="C148" s="641"/>
      <c r="D148" s="704"/>
      <c r="E148" s="704"/>
      <c r="F148" s="257"/>
      <c r="G148" s="257">
        <f>SUMIFS('3. 외주비&amp;재료비'!$I$6:$I$17,'3. 외주비&amp;재료비'!$D$6:$D$17,'간접비 계산'!$C148,'3. 외주비&amp;재료비'!$G$6:$G$17,"Development")</f>
        <v>0</v>
      </c>
      <c r="H148" s="257">
        <f>SUMIFS('3. 외주비&amp;재료비'!$I$6:$I$17,'3. 외주비&amp;재료비'!$D$6:$D$17,'간접비 계산'!$C148,'3. 외주비&amp;재료비'!$G$6:$G$17,"Service")</f>
        <v>0</v>
      </c>
      <c r="I148" s="257"/>
      <c r="J148" s="257">
        <f>SUMIFS('3. 외주비&amp;재료비'!$I$6:$I$17,'3. 외주비&amp;재료비'!$D$6:$D$17,'간접비 계산'!$C148,'3. 외주비&amp;재료비'!$G$6:$G$17,"Maintenance",'3. 외주비&amp;재료비'!$E$6:$E$17,"유지보수")</f>
        <v>0</v>
      </c>
      <c r="K148" s="257">
        <f>SUMIFS('3. 외주비&amp;재료비'!$I$6:$I$17,'3. 외주비&amp;재료비'!$D$6:$D$17,'간접비 계산'!$C148,'3. 외주비&amp;재료비'!$G$6:$G$17,"Maintenance",'3. 외주비&amp;재료비'!$E$6:$E$17,"ITO/원격운영")</f>
        <v>0</v>
      </c>
      <c r="L148" s="257"/>
      <c r="M148" s="258"/>
    </row>
    <row r="149" spans="1:15" ht="13.5" customHeight="1">
      <c r="A149" s="256"/>
      <c r="B149" s="1145"/>
      <c r="C149" s="641" t="s">
        <v>1035</v>
      </c>
      <c r="D149" s="704"/>
      <c r="E149" s="704"/>
      <c r="F149" s="257"/>
      <c r="G149" s="257">
        <f>SUMIFS('3. 외주비&amp;재료비'!$I$6:$I$17,'3. 외주비&amp;재료비'!$D$6:$D$17,'간접비 계산'!$C149,'3. 외주비&amp;재료비'!$G$6:$G$17,"Development")</f>
        <v>0</v>
      </c>
      <c r="H149" s="257">
        <f>SUMIFS('3. 외주비&amp;재료비'!$I$6:$I$17,'3. 외주비&amp;재료비'!$D$6:$D$17,'간접비 계산'!$C149,'3. 외주비&amp;재료비'!$G$6:$G$17,"Service")</f>
        <v>0</v>
      </c>
      <c r="I149" s="257"/>
      <c r="J149" s="257">
        <f>SUMIFS('3. 외주비&amp;재료비'!$I$6:$I$17,'3. 외주비&amp;재료비'!$D$6:$D$17,'간접비 계산'!$C149,'3. 외주비&amp;재료비'!$G$6:$G$17,"Maintenance",'3. 외주비&amp;재료비'!$E$6:$E$17,"유지보수")</f>
        <v>0</v>
      </c>
      <c r="K149" s="257">
        <f>SUMIFS('3. 외주비&amp;재료비'!$I$6:$I$17,'3. 외주비&amp;재료비'!$D$6:$D$17,'간접비 계산'!$C149,'3. 외주비&amp;재료비'!$G$6:$G$17,"Maintenance",'3. 외주비&amp;재료비'!$E$6:$E$17,"ITO/원격운영")</f>
        <v>0</v>
      </c>
      <c r="L149" s="257"/>
      <c r="M149" s="258"/>
    </row>
    <row r="150" spans="1:15" ht="13.5" customHeight="1">
      <c r="A150" s="256"/>
      <c r="B150" s="1145"/>
      <c r="C150" s="641" t="s">
        <v>1036</v>
      </c>
      <c r="D150" s="704"/>
      <c r="E150" s="704"/>
      <c r="F150" s="257"/>
      <c r="G150" s="257">
        <f>SUMIFS('3. 외주비&amp;재료비'!$I$6:$I$17,'3. 외주비&amp;재료비'!$D$6:$D$17,'간접비 계산'!$C150,'3. 외주비&amp;재료비'!$G$6:$G$17,"Development")</f>
        <v>0</v>
      </c>
      <c r="H150" s="257">
        <f>SUMIFS('3. 외주비&amp;재료비'!$I$6:$I$17,'3. 외주비&amp;재료비'!$D$6:$D$17,'간접비 계산'!$C150,'3. 외주비&amp;재료비'!$G$6:$G$17,"Service")</f>
        <v>0</v>
      </c>
      <c r="I150" s="257"/>
      <c r="J150" s="257">
        <f>SUMIFS('3. 외주비&amp;재료비'!$I$6:$I$17,'3. 외주비&amp;재료비'!$D$6:$D$17,'간접비 계산'!$C150,'3. 외주비&amp;재료비'!$G$6:$G$17,"Maintenance",'3. 외주비&amp;재료비'!$E$6:$E$17,"유지보수")</f>
        <v>0</v>
      </c>
      <c r="K150" s="257">
        <f>SUMIFS('3. 외주비&amp;재료비'!$I$6:$I$17,'3. 외주비&amp;재료비'!$D$6:$D$17,'간접비 계산'!$C150,'3. 외주비&amp;재료비'!$G$6:$G$17,"Maintenance",'3. 외주비&amp;재료비'!$E$6:$E$17,"ITO/원격운영")</f>
        <v>0</v>
      </c>
      <c r="L150" s="257"/>
      <c r="M150" s="258"/>
    </row>
    <row r="151" spans="1:15" ht="13.5" customHeight="1">
      <c r="A151" s="256"/>
      <c r="B151" s="1145"/>
      <c r="C151" s="641" t="s">
        <v>1037</v>
      </c>
      <c r="D151" s="704"/>
      <c r="E151" s="704"/>
      <c r="F151" s="257"/>
      <c r="G151" s="257">
        <f>SUMIFS('3. 외주비&amp;재료비'!$I$6:$I$17,'3. 외주비&amp;재료비'!$D$6:$D$17,'간접비 계산'!$C151,'3. 외주비&amp;재료비'!$G$6:$G$17,"Development")</f>
        <v>0</v>
      </c>
      <c r="H151" s="257">
        <f>SUMIFS('3. 외주비&amp;재료비'!$I$6:$I$17,'3. 외주비&amp;재료비'!$D$6:$D$17,'간접비 계산'!$C151,'3. 외주비&amp;재료비'!$G$6:$G$17,"Service")</f>
        <v>0</v>
      </c>
      <c r="I151" s="257"/>
      <c r="J151" s="257">
        <f>SUMIFS('3. 외주비&amp;재료비'!$I$6:$I$17,'3. 외주비&amp;재료비'!$D$6:$D$17,'간접비 계산'!$C151,'3. 외주비&amp;재료비'!$G$6:$G$17,"Maintenance",'3. 외주비&amp;재료비'!$E$6:$E$17,"유지보수")</f>
        <v>0</v>
      </c>
      <c r="K151" s="257">
        <f>SUMIFS('3. 외주비&amp;재료비'!$I$6:$I$17,'3. 외주비&amp;재료비'!$D$6:$D$17,'간접비 계산'!$C151,'3. 외주비&amp;재료비'!$G$6:$G$17,"Maintenance",'3. 외주비&amp;재료비'!$E$6:$E$17,"ITO/원격운영")</f>
        <v>0</v>
      </c>
      <c r="L151" s="257"/>
      <c r="M151" s="258"/>
    </row>
    <row r="152" spans="1:15" ht="13.5" customHeight="1">
      <c r="A152" s="256"/>
      <c r="B152" s="1145"/>
      <c r="C152" s="641" t="s">
        <v>1120</v>
      </c>
      <c r="D152" s="704"/>
      <c r="E152" s="704"/>
      <c r="F152" s="257"/>
      <c r="G152" s="257">
        <f>SUMIFS('3. 외주비&amp;재료비'!$I$6:$I$17,'3. 외주비&amp;재료비'!$D$6:$D$17,'간접비 계산'!$C152,'3. 외주비&amp;재료비'!$G$6:$G$17,"Development")</f>
        <v>0</v>
      </c>
      <c r="H152" s="257">
        <f>SUMIFS('3. 외주비&amp;재료비'!$I$6:$I$17,'3. 외주비&amp;재료비'!$D$6:$D$17,'간접비 계산'!$C152,'3. 외주비&amp;재료비'!$G$6:$G$17,"Service")</f>
        <v>0</v>
      </c>
      <c r="I152" s="257"/>
      <c r="J152" s="257">
        <f>SUMIFS('3. 외주비&amp;재료비'!$I$6:$I$17,'3. 외주비&amp;재료비'!$D$6:$D$17,'간접비 계산'!$C152,'3. 외주비&amp;재료비'!$G$6:$G$17,"Maintenance",'3. 외주비&amp;재료비'!$E$6:$E$17,"유지보수")</f>
        <v>0</v>
      </c>
      <c r="K152" s="257">
        <f>SUMIFS('3. 외주비&amp;재료비'!$I$6:$I$17,'3. 외주비&amp;재료비'!$D$6:$D$17,'간접비 계산'!$C152,'3. 외주비&amp;재료비'!$G$6:$G$17,"Maintenance",'3. 외주비&amp;재료비'!$E$6:$E$17,"ITO/원격운영")</f>
        <v>0</v>
      </c>
      <c r="L152" s="257"/>
      <c r="M152" s="258"/>
    </row>
    <row r="153" spans="1:15" ht="13.5" customHeight="1">
      <c r="A153" s="256"/>
      <c r="B153" s="1145"/>
      <c r="C153" s="641" t="s">
        <v>1076</v>
      </c>
      <c r="D153" s="704"/>
      <c r="E153" s="704"/>
      <c r="F153" s="257"/>
      <c r="G153" s="257">
        <f>SUMIFS('3. 외주비&amp;재료비'!$I$6:$I$17,'3. 외주비&amp;재료비'!$D$6:$D$17,'간접비 계산'!$C153,'3. 외주비&amp;재료비'!$G$6:$G$17,"Development")</f>
        <v>0</v>
      </c>
      <c r="H153" s="257">
        <f>SUMIFS('3. 외주비&amp;재료비'!$I$6:$I$17,'3. 외주비&amp;재료비'!$D$6:$D$17,'간접비 계산'!$C153,'3. 외주비&amp;재료비'!$G$6:$G$17,"Service")</f>
        <v>0</v>
      </c>
      <c r="I153" s="257"/>
      <c r="J153" s="257">
        <f>SUMIFS('3. 외주비&amp;재료비'!$I$6:$I$17,'3. 외주비&amp;재료비'!$D$6:$D$17,'간접비 계산'!$C153,'3. 외주비&amp;재료비'!$G$6:$G$17,"Maintenance",'3. 외주비&amp;재료비'!$E$6:$E$17,"유지보수")</f>
        <v>0</v>
      </c>
      <c r="K153" s="257">
        <f>SUMIFS('3. 외주비&amp;재료비'!$I$6:$I$17,'3. 외주비&amp;재료비'!$D$6:$D$17,'간접비 계산'!$C153,'3. 외주비&amp;재료비'!$G$6:$G$17,"Maintenance",'3. 외주비&amp;재료비'!$E$6:$E$17,"ITO/원격운영")</f>
        <v>0</v>
      </c>
      <c r="L153" s="257"/>
      <c r="M153" s="258"/>
    </row>
    <row r="154" spans="1:15" ht="13.5" customHeight="1">
      <c r="A154" s="256"/>
      <c r="B154" s="1145"/>
      <c r="C154" s="641"/>
      <c r="D154" s="704"/>
      <c r="E154" s="704"/>
      <c r="F154" s="257"/>
      <c r="G154" s="257"/>
      <c r="H154" s="257"/>
      <c r="I154" s="257"/>
      <c r="J154" s="257"/>
      <c r="K154" s="257"/>
      <c r="L154" s="257"/>
      <c r="M154" s="258"/>
    </row>
    <row r="155" spans="1:15" ht="13.5" customHeight="1">
      <c r="A155" s="259"/>
      <c r="B155" s="1146"/>
      <c r="C155" s="705" t="s">
        <v>645</v>
      </c>
      <c r="D155" s="706"/>
      <c r="E155" s="706"/>
      <c r="F155" s="260"/>
      <c r="G155" s="260">
        <f>SUM(G134:G154)</f>
        <v>0</v>
      </c>
      <c r="H155" s="260">
        <f>SUM(H134:H154)</f>
        <v>0</v>
      </c>
      <c r="I155" s="260"/>
      <c r="J155" s="260">
        <f>SUM(J134:J154)</f>
        <v>0</v>
      </c>
      <c r="K155" s="260">
        <f>SUM(K134:K154)</f>
        <v>0</v>
      </c>
      <c r="L155" s="260"/>
      <c r="M155" s="261"/>
      <c r="O155" s="174" t="b">
        <f>SUM(G155:M155)='3. 외주비&amp;재료비'!$I$3</f>
        <v>1</v>
      </c>
    </row>
    <row r="156" spans="1:15" ht="13.5" customHeight="1">
      <c r="A156" s="253" t="s">
        <v>421</v>
      </c>
      <c r="B156" s="1145"/>
      <c r="C156" s="641" t="s">
        <v>1025</v>
      </c>
      <c r="D156" s="703"/>
      <c r="E156" s="703"/>
      <c r="F156" s="254">
        <f>'5. 수주액 상세'!$J$38</f>
        <v>246000</v>
      </c>
      <c r="G156" s="254">
        <f>'5. 수주액 상세'!$J$39</f>
        <v>0</v>
      </c>
      <c r="H156" s="254"/>
      <c r="I156" s="254"/>
      <c r="J156" s="254"/>
      <c r="K156" s="254">
        <f>'5. 수주액 상세'!$J$40</f>
        <v>0</v>
      </c>
      <c r="L156" s="254"/>
      <c r="M156" s="255">
        <f>'5. 수주액 상세'!$J$42</f>
        <v>0</v>
      </c>
    </row>
    <row r="157" spans="1:15" ht="13.5" customHeight="1">
      <c r="A157" s="256"/>
      <c r="B157" s="1145"/>
      <c r="C157" s="641" t="s">
        <v>967</v>
      </c>
      <c r="D157" s="704"/>
      <c r="E157" s="704"/>
      <c r="F157" s="257">
        <f>'5. 수주액 상세'!$K$38</f>
        <v>0</v>
      </c>
      <c r="G157" s="257">
        <f>'5. 수주액 상세'!$K$39</f>
        <v>0</v>
      </c>
      <c r="H157" s="257"/>
      <c r="I157" s="257"/>
      <c r="J157" s="257"/>
      <c r="K157" s="257">
        <f>'5. 수주액 상세'!$K$40</f>
        <v>0</v>
      </c>
      <c r="L157" s="257"/>
      <c r="M157" s="258">
        <f>'5. 수주액 상세'!$K$42</f>
        <v>0</v>
      </c>
    </row>
    <row r="158" spans="1:15" ht="13.5" customHeight="1">
      <c r="A158" s="256"/>
      <c r="B158" s="1145"/>
      <c r="C158" s="641" t="s">
        <v>664</v>
      </c>
      <c r="D158" s="704"/>
      <c r="E158" s="704"/>
      <c r="F158" s="257">
        <f>'5. 수주액 상세'!$N$38</f>
        <v>0</v>
      </c>
      <c r="G158" s="257">
        <f>'5. 수주액 상세'!$N$39</f>
        <v>0</v>
      </c>
      <c r="H158" s="257"/>
      <c r="I158" s="257"/>
      <c r="J158" s="257"/>
      <c r="K158" s="257">
        <f>'5. 수주액 상세'!$N$40</f>
        <v>0</v>
      </c>
      <c r="L158" s="257"/>
      <c r="M158" s="258">
        <f>'5. 수주액 상세'!$N$42</f>
        <v>0</v>
      </c>
    </row>
    <row r="159" spans="1:15" ht="13.5" customHeight="1">
      <c r="A159" s="256"/>
      <c r="B159" s="1145"/>
      <c r="C159" s="641" t="s">
        <v>1026</v>
      </c>
      <c r="D159" s="704"/>
      <c r="E159" s="704"/>
      <c r="F159" s="257">
        <f>'5. 수주액 상세'!$R$38</f>
        <v>0</v>
      </c>
      <c r="G159" s="257">
        <f>'5. 수주액 상세'!$R$39</f>
        <v>0</v>
      </c>
      <c r="H159" s="257"/>
      <c r="I159" s="257"/>
      <c r="J159" s="257"/>
      <c r="K159" s="257">
        <f>'5. 수주액 상세'!$R$40</f>
        <v>0</v>
      </c>
      <c r="L159" s="257"/>
      <c r="M159" s="258">
        <f>'5. 수주액 상세'!$R$42</f>
        <v>0</v>
      </c>
    </row>
    <row r="160" spans="1:15" ht="13.5" customHeight="1">
      <c r="A160" s="256"/>
      <c r="B160" s="1145"/>
      <c r="C160" s="641" t="s">
        <v>1027</v>
      </c>
      <c r="D160" s="704"/>
      <c r="E160" s="704"/>
      <c r="F160" s="257">
        <f>'5. 수주액 상세'!$S$38</f>
        <v>0</v>
      </c>
      <c r="G160" s="715">
        <f>'5. 수주액 상세'!$S$39</f>
        <v>0</v>
      </c>
      <c r="H160" s="715"/>
      <c r="I160" s="257"/>
      <c r="J160" s="257"/>
      <c r="K160" s="715">
        <f>'5. 수주액 상세'!$S$40</f>
        <v>0</v>
      </c>
      <c r="L160" s="257"/>
      <c r="M160" s="258">
        <f>'5. 수주액 상세'!$S$42</f>
        <v>0</v>
      </c>
    </row>
    <row r="161" spans="1:13" ht="13.5" customHeight="1">
      <c r="A161" s="256"/>
      <c r="B161" s="1145"/>
      <c r="C161" s="641" t="s">
        <v>662</v>
      </c>
      <c r="D161" s="704"/>
      <c r="E161" s="704"/>
      <c r="F161" s="257">
        <f>'5. 수주액 상세'!$T$38</f>
        <v>0</v>
      </c>
      <c r="G161" s="715">
        <f>'5. 수주액 상세'!$T$39</f>
        <v>0</v>
      </c>
      <c r="H161" s="257"/>
      <c r="I161" s="257"/>
      <c r="J161" s="257"/>
      <c r="K161" s="715">
        <f>'5. 수주액 상세'!$T$40</f>
        <v>0</v>
      </c>
      <c r="L161" s="257"/>
      <c r="M161" s="258">
        <f>'5. 수주액 상세'!$T$42</f>
        <v>0</v>
      </c>
    </row>
    <row r="162" spans="1:13" ht="13.5" customHeight="1">
      <c r="A162" s="256"/>
      <c r="B162" s="1145"/>
      <c r="C162" s="641" t="s">
        <v>1028</v>
      </c>
      <c r="D162" s="704"/>
      <c r="E162" s="704"/>
      <c r="F162" s="257">
        <f>'5. 수주액 상세'!$U$38</f>
        <v>0</v>
      </c>
      <c r="G162" s="257">
        <f>'5. 수주액 상세'!$U$39</f>
        <v>0</v>
      </c>
      <c r="H162" s="257"/>
      <c r="I162" s="257"/>
      <c r="J162" s="257"/>
      <c r="K162" s="257">
        <f>'5. 수주액 상세'!$U$40</f>
        <v>0</v>
      </c>
      <c r="L162" s="257"/>
      <c r="M162" s="258">
        <f>'5. 수주액 상세'!$U$42</f>
        <v>0</v>
      </c>
    </row>
    <row r="163" spans="1:13" ht="13.5" customHeight="1">
      <c r="A163" s="256"/>
      <c r="B163" s="1145"/>
      <c r="C163" s="641" t="s">
        <v>1093</v>
      </c>
      <c r="D163" s="704"/>
      <c r="E163" s="704"/>
      <c r="F163" s="257">
        <f>'5. 수주액 상세'!$V$38</f>
        <v>0</v>
      </c>
      <c r="G163" s="257">
        <f>'5. 수주액 상세'!$V$39</f>
        <v>0</v>
      </c>
      <c r="H163" s="257"/>
      <c r="I163" s="257"/>
      <c r="J163" s="257"/>
      <c r="K163" s="257">
        <f>'5. 수주액 상세'!$V$40</f>
        <v>0</v>
      </c>
      <c r="L163" s="257"/>
      <c r="M163" s="258">
        <f>'5. 수주액 상세'!$V$42</f>
        <v>0</v>
      </c>
    </row>
    <row r="164" spans="1:13" ht="13.5" customHeight="1">
      <c r="A164" s="256"/>
      <c r="B164" s="1145"/>
      <c r="C164" s="641" t="s">
        <v>1030</v>
      </c>
      <c r="D164" s="704"/>
      <c r="E164" s="704"/>
      <c r="F164" s="257">
        <f>'5. 수주액 상세'!$W$38</f>
        <v>0</v>
      </c>
      <c r="G164" s="257">
        <f>'5. 수주액 상세'!$W$39</f>
        <v>0</v>
      </c>
      <c r="H164" s="257"/>
      <c r="I164" s="257"/>
      <c r="J164" s="257"/>
      <c r="K164" s="257">
        <f>'5. 수주액 상세'!$W$40</f>
        <v>0</v>
      </c>
      <c r="L164" s="257"/>
      <c r="M164" s="258">
        <f>'5. 수주액 상세'!$W$42</f>
        <v>0</v>
      </c>
    </row>
    <row r="165" spans="1:13" ht="13.5" customHeight="1">
      <c r="A165" s="256"/>
      <c r="B165" s="1145"/>
      <c r="C165" s="641" t="s">
        <v>1031</v>
      </c>
      <c r="D165" s="704"/>
      <c r="E165" s="704"/>
      <c r="F165" s="257">
        <f>'5. 수주액 상세'!$X$38</f>
        <v>0</v>
      </c>
      <c r="G165" s="257">
        <f>'5. 수주액 상세'!$X$39</f>
        <v>0</v>
      </c>
      <c r="H165" s="257"/>
      <c r="I165" s="257"/>
      <c r="J165" s="257"/>
      <c r="K165" s="257">
        <f>'5. 수주액 상세'!$X$40</f>
        <v>0</v>
      </c>
      <c r="L165" s="257"/>
      <c r="M165" s="258">
        <f>'5. 수주액 상세'!$X$42</f>
        <v>0</v>
      </c>
    </row>
    <row r="166" spans="1:13" ht="13.5" customHeight="1">
      <c r="A166" s="256"/>
      <c r="B166" s="1145"/>
      <c r="C166" s="641" t="s">
        <v>1032</v>
      </c>
      <c r="D166" s="704"/>
      <c r="E166" s="704"/>
      <c r="F166" s="257">
        <f>'5. 수주액 상세'!$Y$38</f>
        <v>0</v>
      </c>
      <c r="G166" s="257">
        <f>'5. 수주액 상세'!$Y$39</f>
        <v>0</v>
      </c>
      <c r="H166" s="257"/>
      <c r="I166" s="257"/>
      <c r="J166" s="257"/>
      <c r="K166" s="257">
        <f>'5. 수주액 상세'!$Y$40</f>
        <v>0</v>
      </c>
      <c r="L166" s="257"/>
      <c r="M166" s="258">
        <f>'5. 수주액 상세'!$Y$42</f>
        <v>0</v>
      </c>
    </row>
    <row r="167" spans="1:13" ht="13.5" customHeight="1">
      <c r="A167" s="256"/>
      <c r="B167" s="1145"/>
      <c r="C167" s="641" t="s">
        <v>1033</v>
      </c>
      <c r="D167" s="704"/>
      <c r="E167" s="704"/>
      <c r="F167" s="257">
        <f>'5. 수주액 상세'!$Z$38</f>
        <v>0</v>
      </c>
      <c r="G167" s="257">
        <f>'5. 수주액 상세'!$Z$39</f>
        <v>0</v>
      </c>
      <c r="H167" s="257"/>
      <c r="I167" s="257"/>
      <c r="J167" s="257"/>
      <c r="K167" s="257">
        <f>'5. 수주액 상세'!$Z$40</f>
        <v>0</v>
      </c>
      <c r="L167" s="257"/>
      <c r="M167" s="258">
        <f>'5. 수주액 상세'!$Z$42</f>
        <v>0</v>
      </c>
    </row>
    <row r="168" spans="1:13" ht="13.5" customHeight="1">
      <c r="A168" s="256"/>
      <c r="B168" s="1145"/>
      <c r="C168" s="641" t="s">
        <v>1034</v>
      </c>
      <c r="D168" s="704"/>
      <c r="E168" s="704"/>
      <c r="F168" s="257">
        <f>'5. 수주액 상세'!$AA$38</f>
        <v>0</v>
      </c>
      <c r="G168" s="257">
        <f>'5. 수주액 상세'!$AA$39</f>
        <v>0</v>
      </c>
      <c r="H168" s="257"/>
      <c r="I168" s="257"/>
      <c r="J168" s="257"/>
      <c r="K168" s="257">
        <f>'5. 수주액 상세'!$AA$40</f>
        <v>0</v>
      </c>
      <c r="L168" s="257"/>
      <c r="M168" s="258">
        <f>'5. 수주액 상세'!$AA$42</f>
        <v>0</v>
      </c>
    </row>
    <row r="169" spans="1:13" ht="13.5" customHeight="1">
      <c r="A169" s="256"/>
      <c r="B169" s="1145"/>
      <c r="C169" s="641" t="s">
        <v>1109</v>
      </c>
      <c r="D169" s="704"/>
      <c r="E169" s="704"/>
      <c r="F169" s="257">
        <f>'5. 수주액 상세'!$AB$38</f>
        <v>0</v>
      </c>
      <c r="G169" s="257">
        <f>'5. 수주액 상세'!$AB$39</f>
        <v>0</v>
      </c>
      <c r="H169" s="257"/>
      <c r="I169" s="257"/>
      <c r="J169" s="257"/>
      <c r="K169" s="257">
        <f>'5. 수주액 상세'!$AB$40</f>
        <v>0</v>
      </c>
      <c r="L169" s="257"/>
      <c r="M169" s="258">
        <f>'5. 수주액 상세'!$AB$42</f>
        <v>0</v>
      </c>
    </row>
    <row r="170" spans="1:13" ht="13.5" customHeight="1">
      <c r="A170" s="256"/>
      <c r="B170" s="1145"/>
      <c r="C170" s="641"/>
      <c r="D170" s="704"/>
      <c r="E170" s="704"/>
      <c r="F170" s="257"/>
      <c r="G170" s="257"/>
      <c r="H170" s="257"/>
      <c r="I170" s="257"/>
      <c r="J170" s="257"/>
      <c r="K170" s="257"/>
      <c r="L170" s="257"/>
      <c r="M170" s="258"/>
    </row>
    <row r="171" spans="1:13" ht="13.5" customHeight="1">
      <c r="A171" s="256"/>
      <c r="B171" s="1145"/>
      <c r="C171" s="641" t="s">
        <v>1035</v>
      </c>
      <c r="D171" s="704"/>
      <c r="E171" s="704"/>
      <c r="F171" s="257">
        <f>'5. 수주액 상세'!$AC$38</f>
        <v>0</v>
      </c>
      <c r="G171" s="257">
        <f>'5. 수주액 상세'!$AC$39</f>
        <v>0</v>
      </c>
      <c r="H171" s="257"/>
      <c r="I171" s="257"/>
      <c r="J171" s="257"/>
      <c r="K171" s="257">
        <f>'5. 수주액 상세'!$AC$40</f>
        <v>0</v>
      </c>
      <c r="L171" s="257"/>
      <c r="M171" s="258">
        <f>'5. 수주액 상세'!$AC$42</f>
        <v>0</v>
      </c>
    </row>
    <row r="172" spans="1:13" ht="13.5" customHeight="1">
      <c r="A172" s="256"/>
      <c r="B172" s="1145"/>
      <c r="C172" s="641" t="s">
        <v>1036</v>
      </c>
      <c r="D172" s="704"/>
      <c r="E172" s="704"/>
      <c r="F172" s="257">
        <f>'5. 수주액 상세'!$AD$38</f>
        <v>0</v>
      </c>
      <c r="G172" s="257">
        <f>'5. 수주액 상세'!$AD$39</f>
        <v>0</v>
      </c>
      <c r="H172" s="257"/>
      <c r="I172" s="257"/>
      <c r="J172" s="257"/>
      <c r="K172" s="257">
        <f>'5. 수주액 상세'!$AD$40</f>
        <v>0</v>
      </c>
      <c r="L172" s="257"/>
      <c r="M172" s="258">
        <f>'5. 수주액 상세'!$AD$42</f>
        <v>0</v>
      </c>
    </row>
    <row r="173" spans="1:13" ht="13.5" customHeight="1">
      <c r="A173" s="256"/>
      <c r="B173" s="1145"/>
      <c r="C173" s="641" t="s">
        <v>1037</v>
      </c>
      <c r="D173" s="704"/>
      <c r="E173" s="704"/>
      <c r="F173" s="257">
        <f>'5. 수주액 상세'!$AE$38</f>
        <v>0</v>
      </c>
      <c r="G173" s="257">
        <f>'5. 수주액 상세'!$AE$39</f>
        <v>0</v>
      </c>
      <c r="H173" s="257"/>
      <c r="I173" s="257"/>
      <c r="J173" s="257"/>
      <c r="K173" s="257">
        <f>'5. 수주액 상세'!$AE$40</f>
        <v>0</v>
      </c>
      <c r="L173" s="257"/>
      <c r="M173" s="258">
        <f>'5. 수주액 상세'!$AE$42</f>
        <v>0</v>
      </c>
    </row>
    <row r="174" spans="1:13" ht="13.5" customHeight="1">
      <c r="A174" s="256"/>
      <c r="B174" s="1145"/>
      <c r="C174" s="641" t="s">
        <v>1120</v>
      </c>
      <c r="D174" s="704"/>
      <c r="E174" s="704"/>
      <c r="F174" s="257">
        <f>'5. 수주액 상세'!$AF$38</f>
        <v>0</v>
      </c>
      <c r="G174" s="257">
        <f>'5. 수주액 상세'!$AF$39</f>
        <v>0</v>
      </c>
      <c r="H174" s="257"/>
      <c r="I174" s="257"/>
      <c r="J174" s="257"/>
      <c r="K174" s="257">
        <f>'5. 수주액 상세'!$AF$40</f>
        <v>0</v>
      </c>
      <c r="L174" s="257"/>
      <c r="M174" s="258">
        <f>'5. 수주액 상세'!$AF$42</f>
        <v>0</v>
      </c>
    </row>
    <row r="175" spans="1:13" ht="13.5" customHeight="1">
      <c r="A175" s="256"/>
      <c r="B175" s="1145"/>
      <c r="C175" s="641" t="s">
        <v>1076</v>
      </c>
      <c r="D175" s="704"/>
      <c r="E175" s="704"/>
      <c r="F175" s="257">
        <f>'5. 수주액 상세'!$AG$38</f>
        <v>0</v>
      </c>
      <c r="G175" s="257">
        <f>'5. 수주액 상세'!$AG$39</f>
        <v>0</v>
      </c>
      <c r="H175" s="257"/>
      <c r="I175" s="257"/>
      <c r="J175" s="257"/>
      <c r="K175" s="257">
        <f>'5. 수주액 상세'!$AG$40</f>
        <v>0</v>
      </c>
      <c r="L175" s="257"/>
      <c r="M175" s="258">
        <f>'5. 수주액 상세'!$AG$42</f>
        <v>0</v>
      </c>
    </row>
    <row r="176" spans="1:13" ht="13.5" customHeight="1">
      <c r="A176" s="256"/>
      <c r="B176" s="1145"/>
      <c r="C176" s="641"/>
      <c r="D176" s="704"/>
      <c r="E176" s="704"/>
      <c r="F176" s="257"/>
      <c r="G176" s="257"/>
      <c r="H176" s="257"/>
      <c r="I176" s="257"/>
      <c r="J176" s="257"/>
      <c r="K176" s="257"/>
      <c r="L176" s="257"/>
      <c r="M176" s="258"/>
    </row>
    <row r="177" spans="1:16" ht="13.5" customHeight="1">
      <c r="A177" s="259"/>
      <c r="B177" s="1146"/>
      <c r="C177" s="705" t="s">
        <v>645</v>
      </c>
      <c r="D177" s="706"/>
      <c r="E177" s="706"/>
      <c r="F177" s="260">
        <f>SUM(F156:F176)</f>
        <v>246000</v>
      </c>
      <c r="G177" s="260">
        <f>SUM(G156:G176)</f>
        <v>0</v>
      </c>
      <c r="H177" s="260"/>
      <c r="I177" s="260"/>
      <c r="J177" s="260">
        <f t="shared" ref="J177:K177" si="17">SUM(J156:J176)</f>
        <v>0</v>
      </c>
      <c r="K177" s="260">
        <f t="shared" si="17"/>
        <v>0</v>
      </c>
      <c r="L177" s="260"/>
      <c r="M177" s="261">
        <f>SUM(M156:M176)</f>
        <v>0</v>
      </c>
      <c r="O177" s="174" t="b">
        <f>SUM(F177:M177)=SUM('5. 수주액 상세'!$D$38:$D$42)</f>
        <v>1</v>
      </c>
      <c r="P177" s="777">
        <f>SUM(F177:M177)-SUM('5. 수주액 상세'!$D$38:$D$42)</f>
        <v>0</v>
      </c>
    </row>
  </sheetData>
  <mergeCells count="5">
    <mergeCell ref="A45:A65"/>
    <mergeCell ref="D1:E1"/>
    <mergeCell ref="A2:C2"/>
    <mergeCell ref="A3:A23"/>
    <mergeCell ref="A24:A4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61"/>
  <sheetViews>
    <sheetView showGridLines="0" workbookViewId="0">
      <pane ySplit="2" topLeftCell="A3" activePane="bottomLeft" state="frozen"/>
      <selection activeCell="P41" sqref="P41"/>
      <selection pane="bottomLeft" activeCell="P41" sqref="P41"/>
    </sheetView>
  </sheetViews>
  <sheetFormatPr defaultColWidth="8.5625" defaultRowHeight="15" customHeight="1"/>
  <cols>
    <col min="1" max="1" width="3.0625" style="318" customWidth="1"/>
    <col min="2" max="2" width="2.0625" style="324" customWidth="1"/>
    <col min="3" max="3" width="15.0625" style="318" customWidth="1"/>
    <col min="4" max="7" width="8.5625" style="318"/>
    <col min="8" max="8" width="13.5625" style="318" bestFit="1" customWidth="1"/>
    <col min="9" max="10" width="8.5625" style="318"/>
    <col min="11" max="11" width="10.8125" style="318" customWidth="1"/>
    <col min="12" max="16384" width="8.5625" style="318"/>
  </cols>
  <sheetData>
    <row r="1" spans="2:12" ht="21.75" customHeight="1">
      <c r="B1" s="320" t="s">
        <v>267</v>
      </c>
      <c r="C1" s="320"/>
      <c r="D1" s="321"/>
      <c r="E1" s="321"/>
      <c r="F1" s="321"/>
      <c r="G1" s="321"/>
      <c r="H1" s="321"/>
      <c r="I1" s="321"/>
      <c r="J1" s="321"/>
      <c r="K1" s="321"/>
      <c r="L1" s="321"/>
    </row>
    <row r="2" spans="2:12" ht="15" customHeight="1">
      <c r="B2" s="322"/>
      <c r="C2" s="322" t="s">
        <v>399</v>
      </c>
      <c r="D2" s="321"/>
      <c r="E2" s="321"/>
      <c r="F2" s="321"/>
      <c r="G2" s="321"/>
      <c r="H2" s="321"/>
      <c r="I2" s="321"/>
      <c r="J2" s="321"/>
      <c r="K2" s="323" t="s">
        <v>268</v>
      </c>
      <c r="L2" s="321"/>
    </row>
    <row r="4" spans="2:12" ht="15" customHeight="1">
      <c r="B4" s="324" t="s">
        <v>242</v>
      </c>
    </row>
    <row r="5" spans="2:12" ht="15" customHeight="1">
      <c r="C5" s="325" t="s">
        <v>211</v>
      </c>
    </row>
    <row r="6" spans="2:12" ht="15" customHeight="1">
      <c r="C6" s="325" t="s">
        <v>398</v>
      </c>
    </row>
    <row r="7" spans="2:12" ht="15" customHeight="1">
      <c r="C7" s="318" t="s">
        <v>204</v>
      </c>
    </row>
    <row r="8" spans="2:12" ht="15" customHeight="1">
      <c r="C8" s="325" t="s">
        <v>212</v>
      </c>
    </row>
    <row r="9" spans="2:12" ht="15" customHeight="1">
      <c r="C9" s="318" t="s">
        <v>205</v>
      </c>
    </row>
    <row r="10" spans="2:12" ht="15" customHeight="1">
      <c r="C10" s="318" t="s">
        <v>206</v>
      </c>
    </row>
    <row r="11" spans="2:12" ht="15" customHeight="1">
      <c r="C11" s="325" t="s">
        <v>213</v>
      </c>
    </row>
    <row r="12" spans="2:12" ht="15" customHeight="1">
      <c r="C12" s="318" t="s">
        <v>207</v>
      </c>
    </row>
    <row r="13" spans="2:12" ht="15" customHeight="1">
      <c r="C13" s="318" t="s">
        <v>208</v>
      </c>
    </row>
    <row r="14" spans="2:12" ht="15" customHeight="1">
      <c r="C14" s="318" t="s">
        <v>209</v>
      </c>
    </row>
    <row r="15" spans="2:12" ht="15" customHeight="1">
      <c r="C15" s="318" t="s">
        <v>516</v>
      </c>
    </row>
    <row r="16" spans="2:12" ht="15" customHeight="1">
      <c r="C16" s="318" t="s">
        <v>210</v>
      </c>
    </row>
    <row r="18" spans="2:11" ht="15" customHeight="1">
      <c r="B18" s="328" t="s">
        <v>397</v>
      </c>
      <c r="D18" s="319"/>
      <c r="E18" s="319"/>
      <c r="F18" s="319"/>
      <c r="G18" s="319"/>
      <c r="H18" s="330" t="s">
        <v>395</v>
      </c>
      <c r="I18" s="319"/>
      <c r="J18" s="319"/>
      <c r="K18" s="319"/>
    </row>
    <row r="19" spans="2:11" ht="15" customHeight="1">
      <c r="C19" s="1737" t="s">
        <v>214</v>
      </c>
      <c r="D19" s="1739" t="s">
        <v>396</v>
      </c>
      <c r="E19" s="1740"/>
      <c r="F19" s="1740"/>
      <c r="G19" s="1741"/>
      <c r="H19" s="1737" t="s">
        <v>129</v>
      </c>
      <c r="I19" s="319"/>
      <c r="J19" s="319"/>
      <c r="K19" s="319"/>
    </row>
    <row r="20" spans="2:11" ht="15" customHeight="1">
      <c r="C20" s="1738"/>
      <c r="D20" s="1739" t="s">
        <v>215</v>
      </c>
      <c r="E20" s="1741"/>
      <c r="F20" s="1739" t="s">
        <v>216</v>
      </c>
      <c r="G20" s="1741"/>
      <c r="H20" s="1738"/>
      <c r="I20" s="319"/>
      <c r="J20" s="319"/>
      <c r="K20" s="319"/>
    </row>
    <row r="21" spans="2:11" ht="15" customHeight="1">
      <c r="C21" s="326" t="s">
        <v>217</v>
      </c>
      <c r="D21" s="1742">
        <v>40000</v>
      </c>
      <c r="E21" s="1743"/>
      <c r="F21" s="1742">
        <v>10000</v>
      </c>
      <c r="G21" s="1743"/>
      <c r="H21" s="327" t="s">
        <v>218</v>
      </c>
      <c r="I21" s="319"/>
      <c r="J21" s="319"/>
      <c r="K21" s="319"/>
    </row>
    <row r="22" spans="2:11" ht="15" customHeight="1">
      <c r="C22" s="326" t="s">
        <v>282</v>
      </c>
      <c r="D22" s="1744">
        <v>50000</v>
      </c>
      <c r="E22" s="1745"/>
      <c r="F22" s="1742">
        <v>10000</v>
      </c>
      <c r="G22" s="1743"/>
      <c r="H22" s="327" t="s">
        <v>219</v>
      </c>
      <c r="I22" s="319"/>
      <c r="J22" s="319"/>
      <c r="K22" s="319"/>
    </row>
    <row r="23" spans="2:11" ht="15" customHeight="1">
      <c r="C23" s="319"/>
      <c r="D23" s="319"/>
      <c r="E23" s="319"/>
      <c r="F23" s="319"/>
      <c r="G23" s="319"/>
      <c r="H23" s="319"/>
      <c r="I23" s="319"/>
      <c r="J23" s="319"/>
      <c r="K23" s="319"/>
    </row>
    <row r="24" spans="2:11" ht="15" customHeight="1">
      <c r="B24" s="328" t="s">
        <v>400</v>
      </c>
      <c r="D24" s="319"/>
      <c r="E24" s="319"/>
      <c r="F24" s="319"/>
      <c r="G24" s="319"/>
      <c r="H24" s="319"/>
      <c r="I24" s="319"/>
      <c r="J24" s="319"/>
      <c r="K24" s="319"/>
    </row>
    <row r="25" spans="2:11" ht="15" customHeight="1">
      <c r="C25" s="329" t="s">
        <v>401</v>
      </c>
      <c r="D25" s="319"/>
      <c r="E25" s="319"/>
      <c r="F25" s="319"/>
      <c r="G25" s="319"/>
      <c r="H25" s="319"/>
      <c r="I25" s="319"/>
      <c r="J25" s="319"/>
      <c r="K25" s="319"/>
    </row>
    <row r="26" spans="2:11" ht="15" customHeight="1">
      <c r="C26" s="319" t="s">
        <v>402</v>
      </c>
      <c r="D26" s="319"/>
      <c r="E26" s="319"/>
      <c r="F26" s="319"/>
      <c r="G26" s="319"/>
      <c r="H26" s="319"/>
      <c r="I26" s="319"/>
      <c r="J26" s="319"/>
      <c r="K26" s="319"/>
    </row>
    <row r="27" spans="2:11" ht="15" customHeight="1">
      <c r="C27" s="319" t="s">
        <v>403</v>
      </c>
      <c r="D27" s="319"/>
      <c r="E27" s="319"/>
      <c r="F27" s="319"/>
      <c r="G27" s="319"/>
      <c r="H27" s="319"/>
      <c r="I27" s="319"/>
      <c r="J27" s="319"/>
      <c r="K27" s="319"/>
    </row>
    <row r="28" spans="2:11" ht="15" customHeight="1">
      <c r="C28" s="319" t="s">
        <v>404</v>
      </c>
      <c r="D28" s="319"/>
      <c r="E28" s="319"/>
      <c r="F28" s="319"/>
      <c r="G28" s="319"/>
      <c r="H28" s="319"/>
      <c r="I28" s="319"/>
      <c r="J28" s="319"/>
      <c r="K28" s="319"/>
    </row>
    <row r="29" spans="2:11" ht="15" customHeight="1">
      <c r="C29" s="319" t="s">
        <v>405</v>
      </c>
      <c r="D29" s="319"/>
      <c r="E29" s="319"/>
      <c r="F29" s="319"/>
      <c r="G29" s="319"/>
      <c r="H29" s="319"/>
      <c r="I29" s="319"/>
      <c r="J29" s="319"/>
      <c r="K29" s="319"/>
    </row>
    <row r="30" spans="2:11" ht="15" customHeight="1">
      <c r="C30" s="329" t="s">
        <v>406</v>
      </c>
      <c r="D30" s="319"/>
      <c r="E30" s="319"/>
      <c r="F30" s="319"/>
      <c r="G30" s="319"/>
      <c r="H30" s="319"/>
      <c r="I30" s="319"/>
      <c r="J30" s="319"/>
      <c r="K30" s="319"/>
    </row>
    <row r="31" spans="2:11" ht="15" customHeight="1">
      <c r="C31" s="1737" t="s">
        <v>214</v>
      </c>
      <c r="D31" s="1739" t="s">
        <v>220</v>
      </c>
      <c r="E31" s="1741"/>
      <c r="F31" s="1739" t="s">
        <v>221</v>
      </c>
      <c r="G31" s="1741"/>
      <c r="H31" s="1739" t="s">
        <v>222</v>
      </c>
      <c r="I31" s="1741"/>
      <c r="J31" s="1739" t="s">
        <v>223</v>
      </c>
      <c r="K31" s="1741"/>
    </row>
    <row r="32" spans="2:11" ht="15" customHeight="1">
      <c r="C32" s="1738"/>
      <c r="D32" s="326" t="s">
        <v>127</v>
      </c>
      <c r="E32" s="326" t="s">
        <v>224</v>
      </c>
      <c r="F32" s="326" t="s">
        <v>127</v>
      </c>
      <c r="G32" s="326" t="s">
        <v>224</v>
      </c>
      <c r="H32" s="326" t="s">
        <v>127</v>
      </c>
      <c r="I32" s="326" t="s">
        <v>224</v>
      </c>
      <c r="J32" s="326" t="s">
        <v>127</v>
      </c>
      <c r="K32" s="326" t="s">
        <v>224</v>
      </c>
    </row>
    <row r="33" spans="2:11" ht="15" customHeight="1">
      <c r="C33" s="326" t="s">
        <v>225</v>
      </c>
      <c r="D33" s="327">
        <v>120</v>
      </c>
      <c r="E33" s="327" t="s">
        <v>218</v>
      </c>
      <c r="F33" s="327">
        <v>120</v>
      </c>
      <c r="G33" s="327" t="s">
        <v>218</v>
      </c>
      <c r="H33" s="327">
        <v>110</v>
      </c>
      <c r="I33" s="327" t="s">
        <v>218</v>
      </c>
      <c r="J33" s="327">
        <v>15000</v>
      </c>
      <c r="K33" s="327" t="s">
        <v>218</v>
      </c>
    </row>
    <row r="34" spans="2:11" ht="15" customHeight="1">
      <c r="C34" s="326" t="s">
        <v>283</v>
      </c>
      <c r="D34" s="327">
        <v>80</v>
      </c>
      <c r="E34" s="327">
        <v>200</v>
      </c>
      <c r="F34" s="327">
        <v>80</v>
      </c>
      <c r="G34" s="327">
        <v>170</v>
      </c>
      <c r="H34" s="327">
        <v>70</v>
      </c>
      <c r="I34" s="327">
        <v>150</v>
      </c>
      <c r="J34" s="327">
        <v>10000</v>
      </c>
      <c r="K34" s="327">
        <v>17000</v>
      </c>
    </row>
    <row r="35" spans="2:11" ht="77.25" customHeight="1">
      <c r="C35" s="326" t="s">
        <v>226</v>
      </c>
      <c r="D35" s="1746" t="s">
        <v>227</v>
      </c>
      <c r="E35" s="1747"/>
      <c r="F35" s="1746" t="s">
        <v>228</v>
      </c>
      <c r="G35" s="1748"/>
      <c r="H35" s="1746" t="s">
        <v>229</v>
      </c>
      <c r="I35" s="1748"/>
      <c r="J35" s="1749"/>
      <c r="K35" s="1748"/>
    </row>
    <row r="36" spans="2:11" ht="39" customHeight="1">
      <c r="C36" s="326" t="s">
        <v>230</v>
      </c>
      <c r="D36" s="1746" t="s">
        <v>231</v>
      </c>
      <c r="E36" s="1747"/>
      <c r="F36" s="1746" t="s">
        <v>232</v>
      </c>
      <c r="G36" s="1748"/>
      <c r="H36" s="1749"/>
      <c r="I36" s="1748"/>
      <c r="J36" s="1749"/>
      <c r="K36" s="1748"/>
    </row>
    <row r="37" spans="2:11" ht="74.25" customHeight="1">
      <c r="C37" s="326" t="s">
        <v>233</v>
      </c>
      <c r="D37" s="1749" t="s">
        <v>234</v>
      </c>
      <c r="E37" s="1748"/>
      <c r="F37" s="1746" t="s">
        <v>235</v>
      </c>
      <c r="G37" s="1748"/>
      <c r="H37" s="1746" t="s">
        <v>236</v>
      </c>
      <c r="I37" s="1748"/>
      <c r="J37" s="1749" t="s">
        <v>237</v>
      </c>
      <c r="K37" s="1748"/>
    </row>
    <row r="38" spans="2:11" ht="47.25" customHeight="1">
      <c r="C38" s="326" t="s">
        <v>238</v>
      </c>
      <c r="D38" s="1746" t="s">
        <v>239</v>
      </c>
      <c r="E38" s="1747"/>
      <c r="F38" s="1746" t="s">
        <v>240</v>
      </c>
      <c r="G38" s="1748"/>
      <c r="H38" s="1749"/>
      <c r="I38" s="1748"/>
      <c r="J38" s="1749"/>
      <c r="K38" s="1748"/>
    </row>
    <row r="39" spans="2:11" ht="15" customHeight="1">
      <c r="C39" s="319"/>
      <c r="D39" s="319"/>
      <c r="E39" s="319"/>
      <c r="F39" s="319"/>
      <c r="G39" s="319"/>
      <c r="H39" s="319"/>
      <c r="I39" s="319"/>
      <c r="J39" s="319"/>
      <c r="K39" s="319"/>
    </row>
    <row r="40" spans="2:11" ht="15" customHeight="1">
      <c r="B40" s="328" t="s">
        <v>241</v>
      </c>
      <c r="C40" s="319"/>
      <c r="D40" s="319"/>
      <c r="E40" s="319"/>
      <c r="F40" s="319"/>
      <c r="G40" s="319"/>
      <c r="H40" s="319"/>
      <c r="I40" s="319"/>
      <c r="J40" s="319"/>
      <c r="K40" s="319"/>
    </row>
    <row r="41" spans="2:11" ht="30.75" customHeight="1">
      <c r="C41" s="1752" t="s">
        <v>407</v>
      </c>
      <c r="D41" s="1751"/>
      <c r="E41" s="1751"/>
      <c r="F41" s="1751"/>
      <c r="G41" s="1751"/>
      <c r="H41" s="1751"/>
      <c r="I41" s="1751"/>
      <c r="J41" s="1751"/>
      <c r="K41" s="1751"/>
    </row>
    <row r="42" spans="2:11" ht="15" customHeight="1">
      <c r="C42" s="329" t="s">
        <v>510</v>
      </c>
      <c r="D42" s="319"/>
      <c r="E42" s="319"/>
      <c r="F42" s="319"/>
      <c r="G42" s="319"/>
      <c r="H42" s="319"/>
      <c r="I42" s="319"/>
      <c r="J42" s="319"/>
      <c r="K42" s="319"/>
    </row>
    <row r="43" spans="2:11" ht="45.75" customHeight="1">
      <c r="C43" s="1750" t="s">
        <v>511</v>
      </c>
      <c r="D43" s="1751"/>
      <c r="E43" s="1751"/>
      <c r="F43" s="1751"/>
      <c r="G43" s="1751"/>
      <c r="H43" s="1751"/>
      <c r="I43" s="1751"/>
      <c r="J43" s="1751"/>
      <c r="K43" s="1751"/>
    </row>
    <row r="45" spans="2:11" ht="15" customHeight="1">
      <c r="B45" s="328" t="s">
        <v>243</v>
      </c>
      <c r="C45" s="319"/>
    </row>
    <row r="46" spans="2:11" ht="15" customHeight="1">
      <c r="C46" s="325" t="s">
        <v>408</v>
      </c>
    </row>
    <row r="47" spans="2:11" ht="15" customHeight="1">
      <c r="C47" s="318" t="s">
        <v>409</v>
      </c>
    </row>
    <row r="48" spans="2:11" ht="15" customHeight="1">
      <c r="C48" s="325" t="s">
        <v>410</v>
      </c>
    </row>
    <row r="61" spans="2:3" ht="15" customHeight="1">
      <c r="B61" s="328" t="s">
        <v>245</v>
      </c>
      <c r="C61" s="319"/>
    </row>
  </sheetData>
  <mergeCells count="32">
    <mergeCell ref="C43:K43"/>
    <mergeCell ref="D36:E36"/>
    <mergeCell ref="F36:G36"/>
    <mergeCell ref="H36:I36"/>
    <mergeCell ref="J36:K36"/>
    <mergeCell ref="D37:E37"/>
    <mergeCell ref="F37:G37"/>
    <mergeCell ref="H37:I37"/>
    <mergeCell ref="J37:K37"/>
    <mergeCell ref="D38:E38"/>
    <mergeCell ref="F38:G38"/>
    <mergeCell ref="H38:I38"/>
    <mergeCell ref="J38:K38"/>
    <mergeCell ref="C41:K41"/>
    <mergeCell ref="J31:K31"/>
    <mergeCell ref="D35:E35"/>
    <mergeCell ref="F35:G35"/>
    <mergeCell ref="H35:I35"/>
    <mergeCell ref="J35:K35"/>
    <mergeCell ref="C31:C32"/>
    <mergeCell ref="C19:C20"/>
    <mergeCell ref="D19:G19"/>
    <mergeCell ref="H19:H20"/>
    <mergeCell ref="D20:E20"/>
    <mergeCell ref="F20:G20"/>
    <mergeCell ref="D21:E21"/>
    <mergeCell ref="F21:G21"/>
    <mergeCell ref="D22:E22"/>
    <mergeCell ref="F22:G22"/>
    <mergeCell ref="D31:E31"/>
    <mergeCell ref="F31:G31"/>
    <mergeCell ref="H31:I31"/>
  </mergeCells>
  <phoneticPr fontId="1" type="noConversion"/>
  <hyperlinks>
    <hyperlink ref="K2" location="'4. 경비'!A1" display="경비 작성시트로 돌아가기"/>
  </hyperlinks>
  <printOptions horizontalCentered="1"/>
  <pageMargins left="0.23622047244094491" right="0.23622047244094491" top="0.47244094488188981" bottom="0.47244094488188981" header="0.31496062992125984" footer="0.31496062992125984"/>
  <pageSetup paperSize="9" scale="81" fitToHeight="10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8"/>
  <sheetViews>
    <sheetView zoomScale="130" zoomScaleNormal="130" workbookViewId="0">
      <selection activeCell="P22" sqref="P22"/>
    </sheetView>
  </sheetViews>
  <sheetFormatPr defaultRowHeight="16.899999999999999"/>
  <cols>
    <col min="2" max="2" width="2.5625" customWidth="1"/>
    <col min="3" max="3" width="12.8125" customWidth="1"/>
  </cols>
  <sheetData>
    <row r="1" spans="3:5" ht="8.5500000000000007" customHeight="1"/>
    <row r="2" spans="3:5">
      <c r="C2" s="659" t="s">
        <v>592</v>
      </c>
      <c r="D2" s="659" t="s">
        <v>593</v>
      </c>
    </row>
    <row r="3" spans="3:5">
      <c r="C3" s="660" t="s">
        <v>594</v>
      </c>
      <c r="D3" s="661">
        <v>1.7000000000000001E-4</v>
      </c>
      <c r="E3" t="s">
        <v>595</v>
      </c>
    </row>
    <row r="4" spans="3:5">
      <c r="C4" s="662" t="s">
        <v>596</v>
      </c>
      <c r="D4" s="661">
        <v>2.4599999999999999E-3</v>
      </c>
      <c r="E4" t="s">
        <v>597</v>
      </c>
    </row>
    <row r="5" spans="3:5">
      <c r="C5" s="662" t="s">
        <v>598</v>
      </c>
      <c r="D5" s="661">
        <v>2.1800000000000001E-3</v>
      </c>
      <c r="E5" t="s">
        <v>597</v>
      </c>
    </row>
    <row r="6" spans="3:5">
      <c r="C6" s="662" t="s">
        <v>599</v>
      </c>
      <c r="D6" s="661">
        <v>3.4099999999999998E-3</v>
      </c>
      <c r="E6" t="s">
        <v>597</v>
      </c>
    </row>
    <row r="7" spans="3:5">
      <c r="C7" s="662" t="s">
        <v>600</v>
      </c>
      <c r="D7" s="661">
        <v>5.0000000000000001E-3</v>
      </c>
    </row>
    <row r="8" spans="3:5">
      <c r="C8" s="662" t="s">
        <v>601</v>
      </c>
      <c r="D8" s="661">
        <v>2E-3</v>
      </c>
      <c r="E8" t="s">
        <v>597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BX135"/>
  <sheetViews>
    <sheetView showGridLines="0" zoomScale="130" zoomScaleNormal="130" workbookViewId="0">
      <pane xSplit="6" ySplit="3" topLeftCell="U4" activePane="bottomRight" state="frozen"/>
      <selection activeCell="Q25" sqref="Q25"/>
      <selection pane="topRight" activeCell="Q25" sqref="Q25"/>
      <selection pane="bottomLeft" activeCell="Q25" sqref="Q25"/>
      <selection pane="bottomRight" activeCell="Q25" sqref="Q25"/>
    </sheetView>
  </sheetViews>
  <sheetFormatPr defaultColWidth="8.5625" defaultRowHeight="13.15"/>
  <cols>
    <col min="1" max="1" width="1.5" style="10" customWidth="1"/>
    <col min="2" max="2" width="20" style="521" customWidth="1"/>
    <col min="3" max="3" width="11" style="522" hidden="1" customWidth="1"/>
    <col min="4" max="4" width="11" style="10" hidden="1" customWidth="1"/>
    <col min="5" max="6" width="11" style="10" customWidth="1"/>
    <col min="7" max="20" width="8.0625" style="13" customWidth="1"/>
    <col min="21" max="21" width="8.0625" style="549" customWidth="1"/>
    <col min="22" max="54" width="8.0625" style="13" customWidth="1"/>
    <col min="55" max="55" width="26.0625" style="10" customWidth="1"/>
    <col min="56" max="56" width="8.5625" style="10" customWidth="1"/>
    <col min="57" max="57" width="11" style="13" hidden="1" customWidth="1"/>
    <col min="58" max="60" width="9.0625" style="13" hidden="1" customWidth="1"/>
    <col min="61" max="61" width="11.0625" style="13" customWidth="1"/>
    <col min="62" max="64" width="9.0625" style="13" customWidth="1"/>
    <col min="65" max="65" width="12.3125" style="13" bestFit="1" customWidth="1"/>
    <col min="66" max="68" width="9.0625" style="13" customWidth="1"/>
    <col min="69" max="69" width="11.5625" style="13" customWidth="1"/>
    <col min="70" max="71" width="9.0625" style="13" customWidth="1"/>
    <col min="72" max="72" width="8.5625" style="10"/>
    <col min="73" max="73" width="9.0625" style="531" bestFit="1" customWidth="1"/>
    <col min="74" max="74" width="8.5625" style="531"/>
    <col min="75" max="16384" width="8.5625" style="10"/>
  </cols>
  <sheetData>
    <row r="1" spans="1:74">
      <c r="A1" s="712">
        <v>2507</v>
      </c>
    </row>
    <row r="2" spans="1:74">
      <c r="B2" s="521" t="s">
        <v>109</v>
      </c>
      <c r="E2" s="422" t="s">
        <v>450</v>
      </c>
      <c r="I2" s="763" t="s">
        <v>672</v>
      </c>
      <c r="BE2" s="13" t="s">
        <v>500</v>
      </c>
      <c r="BI2" s="13" t="s">
        <v>501</v>
      </c>
      <c r="BM2" s="13" t="s">
        <v>518</v>
      </c>
      <c r="BQ2" s="13" t="s">
        <v>502</v>
      </c>
    </row>
    <row r="3" spans="1:74" s="11" customFormat="1" ht="22.5" customHeight="1">
      <c r="B3" s="523" t="s">
        <v>86</v>
      </c>
      <c r="C3" s="524" t="s">
        <v>447</v>
      </c>
      <c r="D3" s="15" t="s">
        <v>448</v>
      </c>
      <c r="E3" s="14" t="s">
        <v>449</v>
      </c>
      <c r="F3" s="15" t="s">
        <v>83</v>
      </c>
      <c r="G3" s="21">
        <v>202501</v>
      </c>
      <c r="H3" s="22">
        <v>202502</v>
      </c>
      <c r="I3" s="23">
        <v>202503</v>
      </c>
      <c r="J3" s="22">
        <v>202504</v>
      </c>
      <c r="K3" s="22">
        <v>202505</v>
      </c>
      <c r="L3" s="22">
        <v>202506</v>
      </c>
      <c r="M3" s="22">
        <v>202507</v>
      </c>
      <c r="N3" s="22">
        <v>202508</v>
      </c>
      <c r="O3" s="22">
        <v>202509</v>
      </c>
      <c r="P3" s="22">
        <v>202510</v>
      </c>
      <c r="Q3" s="22">
        <v>202511</v>
      </c>
      <c r="R3" s="24">
        <v>202512</v>
      </c>
      <c r="S3" s="21">
        <v>202601</v>
      </c>
      <c r="T3" s="22">
        <v>202602</v>
      </c>
      <c r="U3" s="1198">
        <v>202603</v>
      </c>
      <c r="V3" s="23">
        <v>202604</v>
      </c>
      <c r="W3" s="22">
        <v>202605</v>
      </c>
      <c r="X3" s="22">
        <v>202606</v>
      </c>
      <c r="Y3" s="22">
        <v>202607</v>
      </c>
      <c r="Z3" s="22">
        <v>202608</v>
      </c>
      <c r="AA3" s="22">
        <v>202609</v>
      </c>
      <c r="AB3" s="22">
        <v>202610</v>
      </c>
      <c r="AC3" s="22">
        <v>202611</v>
      </c>
      <c r="AD3" s="24">
        <v>202612</v>
      </c>
      <c r="AE3" s="21">
        <v>202701</v>
      </c>
      <c r="AF3" s="22">
        <v>202702</v>
      </c>
      <c r="AG3" s="23">
        <v>202703</v>
      </c>
      <c r="AH3" s="22">
        <v>202704</v>
      </c>
      <c r="AI3" s="22">
        <v>202705</v>
      </c>
      <c r="AJ3" s="22">
        <v>202706</v>
      </c>
      <c r="AK3" s="22">
        <v>202707</v>
      </c>
      <c r="AL3" s="22">
        <v>202708</v>
      </c>
      <c r="AM3" s="22">
        <v>202709</v>
      </c>
      <c r="AN3" s="22">
        <v>202710</v>
      </c>
      <c r="AO3" s="22">
        <v>202711</v>
      </c>
      <c r="AP3" s="683">
        <v>202712</v>
      </c>
      <c r="AQ3" s="683">
        <v>202801</v>
      </c>
      <c r="AR3" s="683">
        <v>202802</v>
      </c>
      <c r="AS3" s="692">
        <v>202803</v>
      </c>
      <c r="AT3" s="683">
        <v>202804</v>
      </c>
      <c r="AU3" s="683">
        <v>202805</v>
      </c>
      <c r="AV3" s="683">
        <v>202806</v>
      </c>
      <c r="AW3" s="683">
        <v>202807</v>
      </c>
      <c r="AX3" s="683">
        <v>202808</v>
      </c>
      <c r="AY3" s="683">
        <v>202809</v>
      </c>
      <c r="AZ3" s="683">
        <v>202810</v>
      </c>
      <c r="BA3" s="683">
        <v>202811</v>
      </c>
      <c r="BB3" s="24">
        <v>202812</v>
      </c>
      <c r="BE3" s="475" t="s">
        <v>504</v>
      </c>
      <c r="BF3" s="489" t="s">
        <v>505</v>
      </c>
      <c r="BG3" s="490" t="s">
        <v>506</v>
      </c>
      <c r="BH3" s="476" t="s">
        <v>503</v>
      </c>
      <c r="BI3" s="475" t="s">
        <v>504</v>
      </c>
      <c r="BJ3" s="489" t="s">
        <v>505</v>
      </c>
      <c r="BK3" s="490" t="s">
        <v>506</v>
      </c>
      <c r="BL3" s="491" t="s">
        <v>503</v>
      </c>
      <c r="BM3" s="475" t="s">
        <v>504</v>
      </c>
      <c r="BN3" s="489" t="s">
        <v>505</v>
      </c>
      <c r="BO3" s="490" t="s">
        <v>506</v>
      </c>
      <c r="BP3" s="491" t="s">
        <v>503</v>
      </c>
      <c r="BQ3" s="475" t="s">
        <v>504</v>
      </c>
      <c r="BR3" s="489" t="s">
        <v>505</v>
      </c>
      <c r="BS3" s="490" t="s">
        <v>506</v>
      </c>
      <c r="BU3" s="532"/>
      <c r="BV3" s="532"/>
    </row>
    <row r="4" spans="1:74">
      <c r="A4" s="10" t="str">
        <f t="shared" ref="A4:A27" si="0">+B4&amp;E4</f>
        <v>MES실행그룹이사</v>
      </c>
      <c r="B4" s="523" t="s">
        <v>913</v>
      </c>
      <c r="C4" s="525" t="s">
        <v>12</v>
      </c>
      <c r="D4" s="15" t="s">
        <v>105</v>
      </c>
      <c r="E4" s="16" t="s">
        <v>12</v>
      </c>
      <c r="F4" s="15" t="s">
        <v>82</v>
      </c>
      <c r="G4" s="41">
        <v>9938407</v>
      </c>
      <c r="H4" s="42">
        <v>9938407</v>
      </c>
      <c r="I4" s="43">
        <v>10270494</v>
      </c>
      <c r="J4" s="42">
        <f t="shared" ref="J4:T4" si="1">I4</f>
        <v>10270494</v>
      </c>
      <c r="K4" s="42">
        <f t="shared" si="1"/>
        <v>10270494</v>
      </c>
      <c r="L4" s="42">
        <f t="shared" si="1"/>
        <v>10270494</v>
      </c>
      <c r="M4" s="42">
        <f t="shared" si="1"/>
        <v>10270494</v>
      </c>
      <c r="N4" s="42">
        <f t="shared" si="1"/>
        <v>10270494</v>
      </c>
      <c r="O4" s="42">
        <f t="shared" si="1"/>
        <v>10270494</v>
      </c>
      <c r="P4" s="42">
        <f t="shared" si="1"/>
        <v>10270494</v>
      </c>
      <c r="Q4" s="42">
        <f t="shared" si="1"/>
        <v>10270494</v>
      </c>
      <c r="R4" s="44">
        <f t="shared" si="1"/>
        <v>10270494</v>
      </c>
      <c r="S4" s="45">
        <v>10270494</v>
      </c>
      <c r="T4" s="42">
        <f t="shared" si="1"/>
        <v>10270494</v>
      </c>
      <c r="U4" s="541">
        <f t="shared" ref="U4:U35" si="2">ROUND(T4*105%,0)</f>
        <v>10784019</v>
      </c>
      <c r="V4" s="43"/>
      <c r="W4" s="42">
        <f t="shared" ref="W4:AF4" si="3">V4</f>
        <v>0</v>
      </c>
      <c r="X4" s="42">
        <f t="shared" si="3"/>
        <v>0</v>
      </c>
      <c r="Y4" s="42">
        <f t="shared" si="3"/>
        <v>0</v>
      </c>
      <c r="Z4" s="42">
        <f t="shared" si="3"/>
        <v>0</v>
      </c>
      <c r="AA4" s="42">
        <f t="shared" si="3"/>
        <v>0</v>
      </c>
      <c r="AB4" s="42">
        <f t="shared" si="3"/>
        <v>0</v>
      </c>
      <c r="AC4" s="42">
        <f t="shared" si="3"/>
        <v>0</v>
      </c>
      <c r="AD4" s="44">
        <f t="shared" si="3"/>
        <v>0</v>
      </c>
      <c r="AE4" s="41">
        <f t="shared" si="3"/>
        <v>0</v>
      </c>
      <c r="AF4" s="42">
        <f t="shared" si="3"/>
        <v>0</v>
      </c>
      <c r="AG4" s="43">
        <f t="shared" ref="AG4:AG35" si="4">ROUND(AF4*105%,0)</f>
        <v>0</v>
      </c>
      <c r="AH4" s="42">
        <f t="shared" ref="AH4:AO7" si="5">AG4</f>
        <v>0</v>
      </c>
      <c r="AI4" s="42">
        <f t="shared" si="5"/>
        <v>0</v>
      </c>
      <c r="AJ4" s="42">
        <f t="shared" si="5"/>
        <v>0</v>
      </c>
      <c r="AK4" s="42">
        <f t="shared" si="5"/>
        <v>0</v>
      </c>
      <c r="AL4" s="42">
        <f t="shared" si="5"/>
        <v>0</v>
      </c>
      <c r="AM4" s="42">
        <f t="shared" si="5"/>
        <v>0</v>
      </c>
      <c r="AN4" s="42">
        <f t="shared" si="5"/>
        <v>0</v>
      </c>
      <c r="AO4" s="42">
        <f>AN4</f>
        <v>0</v>
      </c>
      <c r="AP4" s="687">
        <f t="shared" ref="AP4:AR7" si="6">AO4</f>
        <v>0</v>
      </c>
      <c r="AQ4" s="687">
        <f t="shared" si="6"/>
        <v>0</v>
      </c>
      <c r="AR4" s="687">
        <f t="shared" si="6"/>
        <v>0</v>
      </c>
      <c r="AS4" s="696">
        <f t="shared" ref="AS4:AS35" si="7">ROUND(AR4*105%,0)</f>
        <v>0</v>
      </c>
      <c r="AT4" s="687">
        <f t="shared" ref="AT4:BB4" si="8">+AS4</f>
        <v>0</v>
      </c>
      <c r="AU4" s="687">
        <f t="shared" si="8"/>
        <v>0</v>
      </c>
      <c r="AV4" s="687">
        <f t="shared" si="8"/>
        <v>0</v>
      </c>
      <c r="AW4" s="687">
        <f t="shared" si="8"/>
        <v>0</v>
      </c>
      <c r="AX4" s="687">
        <f t="shared" si="8"/>
        <v>0</v>
      </c>
      <c r="AY4" s="687">
        <f t="shared" si="8"/>
        <v>0</v>
      </c>
      <c r="AZ4" s="687">
        <f t="shared" si="8"/>
        <v>0</v>
      </c>
      <c r="BA4" s="687">
        <f t="shared" si="8"/>
        <v>0</v>
      </c>
      <c r="BB4" s="44">
        <f t="shared" si="8"/>
        <v>0</v>
      </c>
      <c r="BC4" s="10" t="str">
        <f t="shared" ref="BC4:BC35" si="9">B4&amp;C4</f>
        <v>MES실행그룹이사</v>
      </c>
      <c r="BD4" s="10" t="str">
        <f>B4&amp;E4</f>
        <v>MES실행그룹이사</v>
      </c>
      <c r="BE4" s="41">
        <v>0</v>
      </c>
      <c r="BF4" s="42">
        <v>316160</v>
      </c>
      <c r="BG4" s="42">
        <v>12525801.5</v>
      </c>
      <c r="BH4" s="44">
        <v>59932.064593301438</v>
      </c>
      <c r="BI4" s="41">
        <v>0</v>
      </c>
      <c r="BJ4" s="42">
        <v>0</v>
      </c>
      <c r="BK4" s="44">
        <v>0</v>
      </c>
      <c r="BL4" s="495">
        <v>0</v>
      </c>
      <c r="BM4" s="41"/>
      <c r="BN4" s="42"/>
      <c r="BO4" s="44"/>
      <c r="BP4" s="495"/>
      <c r="BQ4" s="486" t="str">
        <f t="shared" ref="BQ4:BQ28" si="10">+IFERROR(BM4/BI4-1,"")</f>
        <v/>
      </c>
      <c r="BR4" s="480" t="str">
        <f t="shared" ref="BR4:BR28" si="11">+IFERROR(BN4/BJ4-1,"")</f>
        <v/>
      </c>
      <c r="BS4" s="472" t="str">
        <f t="shared" ref="BS4:BS28" si="12">+IFERROR(BO4/BK4-1,"")</f>
        <v/>
      </c>
      <c r="BT4" s="13"/>
    </row>
    <row r="5" spans="1:74">
      <c r="A5" s="10" t="str">
        <f t="shared" si="0"/>
        <v>MES실행그룹CL4(수석)</v>
      </c>
      <c r="B5" s="526" t="str">
        <f>+B4</f>
        <v>MES실행그룹</v>
      </c>
      <c r="C5" s="527" t="s">
        <v>246</v>
      </c>
      <c r="D5" s="18" t="s">
        <v>105</v>
      </c>
      <c r="E5" s="17" t="s">
        <v>445</v>
      </c>
      <c r="F5" s="18" t="s">
        <v>82</v>
      </c>
      <c r="G5" s="45">
        <v>9938407</v>
      </c>
      <c r="H5" s="46">
        <v>9938407</v>
      </c>
      <c r="I5" s="47">
        <v>10270494</v>
      </c>
      <c r="J5" s="46">
        <f t="shared" ref="J5:T5" si="13">I5</f>
        <v>10270494</v>
      </c>
      <c r="K5" s="46">
        <f t="shared" si="13"/>
        <v>10270494</v>
      </c>
      <c r="L5" s="46">
        <f t="shared" si="13"/>
        <v>10270494</v>
      </c>
      <c r="M5" s="46">
        <f t="shared" si="13"/>
        <v>10270494</v>
      </c>
      <c r="N5" s="46">
        <f t="shared" si="13"/>
        <v>10270494</v>
      </c>
      <c r="O5" s="46">
        <f t="shared" si="13"/>
        <v>10270494</v>
      </c>
      <c r="P5" s="46">
        <f t="shared" si="13"/>
        <v>10270494</v>
      </c>
      <c r="Q5" s="46">
        <f t="shared" si="13"/>
        <v>10270494</v>
      </c>
      <c r="R5" s="48">
        <f t="shared" si="13"/>
        <v>10270494</v>
      </c>
      <c r="S5" s="45">
        <v>10270494</v>
      </c>
      <c r="T5" s="46">
        <f t="shared" si="13"/>
        <v>10270494</v>
      </c>
      <c r="U5" s="550">
        <f t="shared" si="2"/>
        <v>10784019</v>
      </c>
      <c r="V5" s="47">
        <v>10661547</v>
      </c>
      <c r="W5" s="46">
        <f t="shared" ref="W5:AF5" si="14">V5</f>
        <v>10661547</v>
      </c>
      <c r="X5" s="46">
        <f t="shared" si="14"/>
        <v>10661547</v>
      </c>
      <c r="Y5" s="46">
        <f t="shared" si="14"/>
        <v>10661547</v>
      </c>
      <c r="Z5" s="46">
        <f t="shared" si="14"/>
        <v>10661547</v>
      </c>
      <c r="AA5" s="46">
        <f t="shared" si="14"/>
        <v>10661547</v>
      </c>
      <c r="AB5" s="46">
        <f t="shared" si="14"/>
        <v>10661547</v>
      </c>
      <c r="AC5" s="46">
        <f t="shared" si="14"/>
        <v>10661547</v>
      </c>
      <c r="AD5" s="48">
        <f t="shared" si="14"/>
        <v>10661547</v>
      </c>
      <c r="AE5" s="45">
        <f t="shared" si="14"/>
        <v>10661547</v>
      </c>
      <c r="AF5" s="46">
        <f t="shared" si="14"/>
        <v>10661547</v>
      </c>
      <c r="AG5" s="47">
        <f t="shared" si="4"/>
        <v>11194624</v>
      </c>
      <c r="AH5" s="46">
        <f t="shared" si="5"/>
        <v>11194624</v>
      </c>
      <c r="AI5" s="46">
        <f t="shared" si="5"/>
        <v>11194624</v>
      </c>
      <c r="AJ5" s="46">
        <f t="shared" si="5"/>
        <v>11194624</v>
      </c>
      <c r="AK5" s="46">
        <f t="shared" si="5"/>
        <v>11194624</v>
      </c>
      <c r="AL5" s="46">
        <f t="shared" si="5"/>
        <v>11194624</v>
      </c>
      <c r="AM5" s="46">
        <f t="shared" si="5"/>
        <v>11194624</v>
      </c>
      <c r="AN5" s="46">
        <f t="shared" si="5"/>
        <v>11194624</v>
      </c>
      <c r="AO5" s="46">
        <f t="shared" si="5"/>
        <v>11194624</v>
      </c>
      <c r="AP5" s="688">
        <f t="shared" si="6"/>
        <v>11194624</v>
      </c>
      <c r="AQ5" s="688">
        <f t="shared" si="6"/>
        <v>11194624</v>
      </c>
      <c r="AR5" s="688">
        <f t="shared" si="6"/>
        <v>11194624</v>
      </c>
      <c r="AS5" s="697">
        <f t="shared" si="7"/>
        <v>11754355</v>
      </c>
      <c r="AT5" s="688">
        <f t="shared" ref="AT5:BB5" si="15">+AS5</f>
        <v>11754355</v>
      </c>
      <c r="AU5" s="688">
        <f t="shared" si="15"/>
        <v>11754355</v>
      </c>
      <c r="AV5" s="688">
        <f t="shared" si="15"/>
        <v>11754355</v>
      </c>
      <c r="AW5" s="688">
        <f t="shared" si="15"/>
        <v>11754355</v>
      </c>
      <c r="AX5" s="688">
        <f t="shared" si="15"/>
        <v>11754355</v>
      </c>
      <c r="AY5" s="688">
        <f t="shared" si="15"/>
        <v>11754355</v>
      </c>
      <c r="AZ5" s="688">
        <f t="shared" si="15"/>
        <v>11754355</v>
      </c>
      <c r="BA5" s="688">
        <f t="shared" si="15"/>
        <v>11754355</v>
      </c>
      <c r="BB5" s="48">
        <f t="shared" si="15"/>
        <v>11754355</v>
      </c>
      <c r="BC5" s="10" t="str">
        <f t="shared" si="9"/>
        <v>MES실행그룹수석(CL4)</v>
      </c>
      <c r="BD5" s="10" t="str">
        <f>B5&amp;E5</f>
        <v>MES실행그룹CL4(수석)</v>
      </c>
      <c r="BE5" s="45">
        <v>0</v>
      </c>
      <c r="BF5" s="46">
        <v>292600</v>
      </c>
      <c r="BG5" s="46">
        <v>8630467.6699999999</v>
      </c>
      <c r="BH5" s="48">
        <v>41294.103684210524</v>
      </c>
      <c r="BI5" s="45">
        <v>7362411</v>
      </c>
      <c r="BJ5" s="46">
        <v>79414</v>
      </c>
      <c r="BK5" s="48">
        <v>9087905</v>
      </c>
      <c r="BL5" s="496">
        <v>43482.799043062201</v>
      </c>
      <c r="BM5" s="45"/>
      <c r="BN5" s="46"/>
      <c r="BO5" s="48"/>
      <c r="BP5" s="496"/>
      <c r="BQ5" s="487">
        <f t="shared" si="10"/>
        <v>-1</v>
      </c>
      <c r="BR5" s="481">
        <f t="shared" si="11"/>
        <v>-1</v>
      </c>
      <c r="BS5" s="473">
        <f t="shared" si="12"/>
        <v>-1</v>
      </c>
      <c r="BT5" s="13"/>
    </row>
    <row r="6" spans="1:74">
      <c r="A6" s="10" t="str">
        <f t="shared" si="0"/>
        <v>MES실행그룹CL3(책임-수석보)</v>
      </c>
      <c r="B6" s="526" t="str">
        <f>+B5</f>
        <v>MES실행그룹</v>
      </c>
      <c r="C6" s="527" t="s">
        <v>247</v>
      </c>
      <c r="D6" s="18" t="s">
        <v>105</v>
      </c>
      <c r="E6" s="17" t="s">
        <v>455</v>
      </c>
      <c r="F6" s="18" t="s">
        <v>459</v>
      </c>
      <c r="G6" s="45">
        <v>8461861</v>
      </c>
      <c r="H6" s="46">
        <v>8461861</v>
      </c>
      <c r="I6" s="47">
        <v>8484499</v>
      </c>
      <c r="J6" s="46">
        <f t="shared" ref="J6:T6" si="16">I6</f>
        <v>8484499</v>
      </c>
      <c r="K6" s="46">
        <f t="shared" si="16"/>
        <v>8484499</v>
      </c>
      <c r="L6" s="46">
        <f t="shared" si="16"/>
        <v>8484499</v>
      </c>
      <c r="M6" s="46">
        <f t="shared" si="16"/>
        <v>8484499</v>
      </c>
      <c r="N6" s="46">
        <f t="shared" si="16"/>
        <v>8484499</v>
      </c>
      <c r="O6" s="46">
        <f t="shared" si="16"/>
        <v>8484499</v>
      </c>
      <c r="P6" s="46">
        <f t="shared" si="16"/>
        <v>8484499</v>
      </c>
      <c r="Q6" s="46">
        <f t="shared" si="16"/>
        <v>8484499</v>
      </c>
      <c r="R6" s="48">
        <f t="shared" si="16"/>
        <v>8484499</v>
      </c>
      <c r="S6" s="45">
        <v>8484499</v>
      </c>
      <c r="T6" s="46">
        <f t="shared" si="16"/>
        <v>8484499</v>
      </c>
      <c r="U6" s="550">
        <f t="shared" si="2"/>
        <v>8908724</v>
      </c>
      <c r="V6" s="47">
        <v>9220418</v>
      </c>
      <c r="W6" s="46">
        <f t="shared" ref="W6:AF6" si="17">V6</f>
        <v>9220418</v>
      </c>
      <c r="X6" s="46">
        <f t="shared" si="17"/>
        <v>9220418</v>
      </c>
      <c r="Y6" s="46">
        <f t="shared" si="17"/>
        <v>9220418</v>
      </c>
      <c r="Z6" s="46">
        <f t="shared" si="17"/>
        <v>9220418</v>
      </c>
      <c r="AA6" s="46">
        <f t="shared" si="17"/>
        <v>9220418</v>
      </c>
      <c r="AB6" s="46">
        <f t="shared" si="17"/>
        <v>9220418</v>
      </c>
      <c r="AC6" s="46">
        <f t="shared" si="17"/>
        <v>9220418</v>
      </c>
      <c r="AD6" s="48">
        <f t="shared" si="17"/>
        <v>9220418</v>
      </c>
      <c r="AE6" s="45">
        <f t="shared" si="17"/>
        <v>9220418</v>
      </c>
      <c r="AF6" s="46">
        <f t="shared" si="17"/>
        <v>9220418</v>
      </c>
      <c r="AG6" s="47">
        <f t="shared" si="4"/>
        <v>9681439</v>
      </c>
      <c r="AH6" s="46">
        <f t="shared" si="5"/>
        <v>9681439</v>
      </c>
      <c r="AI6" s="46">
        <f t="shared" si="5"/>
        <v>9681439</v>
      </c>
      <c r="AJ6" s="46">
        <f t="shared" si="5"/>
        <v>9681439</v>
      </c>
      <c r="AK6" s="46">
        <f t="shared" si="5"/>
        <v>9681439</v>
      </c>
      <c r="AL6" s="46">
        <f t="shared" si="5"/>
        <v>9681439</v>
      </c>
      <c r="AM6" s="46">
        <f t="shared" si="5"/>
        <v>9681439</v>
      </c>
      <c r="AN6" s="46">
        <f t="shared" si="5"/>
        <v>9681439</v>
      </c>
      <c r="AO6" s="46">
        <f t="shared" si="5"/>
        <v>9681439</v>
      </c>
      <c r="AP6" s="688">
        <f t="shared" si="6"/>
        <v>9681439</v>
      </c>
      <c r="AQ6" s="688">
        <f t="shared" si="6"/>
        <v>9681439</v>
      </c>
      <c r="AR6" s="688">
        <f t="shared" si="6"/>
        <v>9681439</v>
      </c>
      <c r="AS6" s="697">
        <f t="shared" si="7"/>
        <v>10165511</v>
      </c>
      <c r="AT6" s="688">
        <f t="shared" ref="AT6:BB6" si="18">+AS6</f>
        <v>10165511</v>
      </c>
      <c r="AU6" s="688">
        <f t="shared" si="18"/>
        <v>10165511</v>
      </c>
      <c r="AV6" s="688">
        <f t="shared" si="18"/>
        <v>10165511</v>
      </c>
      <c r="AW6" s="688">
        <f t="shared" si="18"/>
        <v>10165511</v>
      </c>
      <c r="AX6" s="688">
        <f t="shared" si="18"/>
        <v>10165511</v>
      </c>
      <c r="AY6" s="688">
        <f t="shared" si="18"/>
        <v>10165511</v>
      </c>
      <c r="AZ6" s="688">
        <f t="shared" si="18"/>
        <v>10165511</v>
      </c>
      <c r="BA6" s="688">
        <f t="shared" si="18"/>
        <v>10165511</v>
      </c>
      <c r="BB6" s="48">
        <f t="shared" si="18"/>
        <v>10165511</v>
      </c>
      <c r="BC6" s="10" t="str">
        <f t="shared" si="9"/>
        <v>MES실행그룹수석보(CL3)</v>
      </c>
      <c r="BD6" s="10" t="str">
        <f>B6&amp;E6</f>
        <v>MES실행그룹CL3(책임-수석보)</v>
      </c>
      <c r="BE6" s="45">
        <v>0</v>
      </c>
      <c r="BF6" s="46">
        <v>270143.63636363635</v>
      </c>
      <c r="BG6" s="46">
        <v>6269613.582424243</v>
      </c>
      <c r="BH6" s="48">
        <v>29998.151112077718</v>
      </c>
      <c r="BI6" s="45">
        <v>4942971</v>
      </c>
      <c r="BJ6" s="46">
        <v>50438</v>
      </c>
      <c r="BK6" s="48">
        <v>6178035</v>
      </c>
      <c r="BL6" s="496">
        <v>29559.976076555024</v>
      </c>
      <c r="BM6" s="45"/>
      <c r="BN6" s="46"/>
      <c r="BO6" s="48"/>
      <c r="BP6" s="496"/>
      <c r="BQ6" s="487">
        <f t="shared" si="10"/>
        <v>-1</v>
      </c>
      <c r="BR6" s="481">
        <f t="shared" si="11"/>
        <v>-1</v>
      </c>
      <c r="BS6" s="473">
        <f t="shared" si="12"/>
        <v>-1</v>
      </c>
      <c r="BT6" s="13"/>
    </row>
    <row r="7" spans="1:74">
      <c r="A7" s="10" t="str">
        <f t="shared" si="0"/>
        <v>MES실행그룹CL2(사원-선임)</v>
      </c>
      <c r="B7" s="526" t="str">
        <f>+B6</f>
        <v>MES실행그룹</v>
      </c>
      <c r="C7" s="527" t="s">
        <v>248</v>
      </c>
      <c r="D7" s="18" t="s">
        <v>102</v>
      </c>
      <c r="E7" s="17" t="s">
        <v>457</v>
      </c>
      <c r="F7" s="18" t="s">
        <v>461</v>
      </c>
      <c r="G7" s="45">
        <v>5907805</v>
      </c>
      <c r="H7" s="46">
        <v>5907805</v>
      </c>
      <c r="I7" s="47">
        <v>5979777</v>
      </c>
      <c r="J7" s="46">
        <f t="shared" ref="J7:T7" si="19">I7</f>
        <v>5979777</v>
      </c>
      <c r="K7" s="46">
        <f t="shared" si="19"/>
        <v>5979777</v>
      </c>
      <c r="L7" s="46">
        <f t="shared" si="19"/>
        <v>5979777</v>
      </c>
      <c r="M7" s="46">
        <f t="shared" si="19"/>
        <v>5979777</v>
      </c>
      <c r="N7" s="46">
        <f t="shared" si="19"/>
        <v>5979777</v>
      </c>
      <c r="O7" s="46">
        <f t="shared" si="19"/>
        <v>5979777</v>
      </c>
      <c r="P7" s="46">
        <f t="shared" si="19"/>
        <v>5979777</v>
      </c>
      <c r="Q7" s="46">
        <f t="shared" si="19"/>
        <v>5979777</v>
      </c>
      <c r="R7" s="48">
        <f t="shared" si="19"/>
        <v>5979777</v>
      </c>
      <c r="S7" s="45">
        <v>5979777</v>
      </c>
      <c r="T7" s="46">
        <f t="shared" si="19"/>
        <v>5979777</v>
      </c>
      <c r="U7" s="550">
        <f t="shared" si="2"/>
        <v>6278766</v>
      </c>
      <c r="V7" s="47">
        <v>6022090</v>
      </c>
      <c r="W7" s="46">
        <f t="shared" ref="W7:AF7" si="20">V7</f>
        <v>6022090</v>
      </c>
      <c r="X7" s="46">
        <f t="shared" si="20"/>
        <v>6022090</v>
      </c>
      <c r="Y7" s="46">
        <f t="shared" si="20"/>
        <v>6022090</v>
      </c>
      <c r="Z7" s="46">
        <f t="shared" si="20"/>
        <v>6022090</v>
      </c>
      <c r="AA7" s="46">
        <f t="shared" si="20"/>
        <v>6022090</v>
      </c>
      <c r="AB7" s="46">
        <f t="shared" si="20"/>
        <v>6022090</v>
      </c>
      <c r="AC7" s="46">
        <f t="shared" si="20"/>
        <v>6022090</v>
      </c>
      <c r="AD7" s="48">
        <f t="shared" si="20"/>
        <v>6022090</v>
      </c>
      <c r="AE7" s="45">
        <f t="shared" si="20"/>
        <v>6022090</v>
      </c>
      <c r="AF7" s="46">
        <f t="shared" si="20"/>
        <v>6022090</v>
      </c>
      <c r="AG7" s="47">
        <f t="shared" si="4"/>
        <v>6323195</v>
      </c>
      <c r="AH7" s="46">
        <f t="shared" si="5"/>
        <v>6323195</v>
      </c>
      <c r="AI7" s="46">
        <f t="shared" si="5"/>
        <v>6323195</v>
      </c>
      <c r="AJ7" s="46">
        <f t="shared" si="5"/>
        <v>6323195</v>
      </c>
      <c r="AK7" s="46">
        <f t="shared" si="5"/>
        <v>6323195</v>
      </c>
      <c r="AL7" s="46">
        <f t="shared" si="5"/>
        <v>6323195</v>
      </c>
      <c r="AM7" s="46">
        <f t="shared" si="5"/>
        <v>6323195</v>
      </c>
      <c r="AN7" s="46">
        <f t="shared" si="5"/>
        <v>6323195</v>
      </c>
      <c r="AO7" s="46">
        <f t="shared" si="5"/>
        <v>6323195</v>
      </c>
      <c r="AP7" s="688">
        <f t="shared" si="6"/>
        <v>6323195</v>
      </c>
      <c r="AQ7" s="688">
        <f t="shared" si="6"/>
        <v>6323195</v>
      </c>
      <c r="AR7" s="688">
        <f t="shared" si="6"/>
        <v>6323195</v>
      </c>
      <c r="AS7" s="697">
        <f t="shared" si="7"/>
        <v>6639355</v>
      </c>
      <c r="AT7" s="688">
        <f t="shared" ref="AT7:BB7" si="21">+AS7</f>
        <v>6639355</v>
      </c>
      <c r="AU7" s="688">
        <f t="shared" si="21"/>
        <v>6639355</v>
      </c>
      <c r="AV7" s="688">
        <f t="shared" si="21"/>
        <v>6639355</v>
      </c>
      <c r="AW7" s="688">
        <f t="shared" si="21"/>
        <v>6639355</v>
      </c>
      <c r="AX7" s="688">
        <f t="shared" si="21"/>
        <v>6639355</v>
      </c>
      <c r="AY7" s="688">
        <f t="shared" si="21"/>
        <v>6639355</v>
      </c>
      <c r="AZ7" s="688">
        <f t="shared" si="21"/>
        <v>6639355</v>
      </c>
      <c r="BA7" s="688">
        <f t="shared" si="21"/>
        <v>6639355</v>
      </c>
      <c r="BB7" s="48">
        <f t="shared" si="21"/>
        <v>6639355</v>
      </c>
      <c r="BC7" s="10" t="str">
        <f t="shared" si="9"/>
        <v>MES실행그룹책임(CL3)</v>
      </c>
      <c r="BD7" s="10" t="str">
        <f>B7&amp;E7</f>
        <v>MES실행그룹CL2(사원-선임)</v>
      </c>
      <c r="BE7" s="45">
        <v>0</v>
      </c>
      <c r="BF7" s="46">
        <v>200691.76470588235</v>
      </c>
      <c r="BG7" s="46">
        <v>4710230.6678431379</v>
      </c>
      <c r="BH7" s="48">
        <v>22536.988841354727</v>
      </c>
      <c r="BI7" s="45">
        <v>3855991</v>
      </c>
      <c r="BJ7" s="46">
        <v>26494</v>
      </c>
      <c r="BK7" s="48">
        <v>4784841</v>
      </c>
      <c r="BL7" s="496">
        <v>22893.976076555024</v>
      </c>
      <c r="BM7" s="45"/>
      <c r="BN7" s="46"/>
      <c r="BO7" s="48"/>
      <c r="BP7" s="496"/>
      <c r="BQ7" s="487">
        <f t="shared" si="10"/>
        <v>-1</v>
      </c>
      <c r="BR7" s="481">
        <f t="shared" si="11"/>
        <v>-1</v>
      </c>
      <c r="BS7" s="473">
        <f t="shared" si="12"/>
        <v>-1</v>
      </c>
      <c r="BT7" s="13"/>
    </row>
    <row r="8" spans="1:74">
      <c r="A8" s="10" t="str">
        <f t="shared" si="0"/>
        <v>MES실행그룹</v>
      </c>
      <c r="B8" s="526" t="str">
        <f>+B7</f>
        <v>MES실행그룹</v>
      </c>
      <c r="C8" s="527" t="s">
        <v>249</v>
      </c>
      <c r="D8" s="18" t="s">
        <v>103</v>
      </c>
      <c r="E8" s="17"/>
      <c r="F8" s="18"/>
      <c r="G8" s="45"/>
      <c r="H8" s="46"/>
      <c r="I8" s="47">
        <f t="shared" ref="I8:I27" si="22">ROUND(H8*105%,0)</f>
        <v>0</v>
      </c>
      <c r="J8" s="46"/>
      <c r="K8" s="46"/>
      <c r="L8" s="46"/>
      <c r="M8" s="46"/>
      <c r="N8" s="46"/>
      <c r="O8" s="46"/>
      <c r="P8" s="46"/>
      <c r="Q8" s="46"/>
      <c r="R8" s="48"/>
      <c r="S8" s="45"/>
      <c r="T8" s="46"/>
      <c r="U8" s="550">
        <f t="shared" si="2"/>
        <v>0</v>
      </c>
      <c r="V8" s="47"/>
      <c r="W8" s="46"/>
      <c r="X8" s="46"/>
      <c r="Y8" s="46"/>
      <c r="Z8" s="46"/>
      <c r="AA8" s="46"/>
      <c r="AB8" s="46"/>
      <c r="AC8" s="46"/>
      <c r="AD8" s="48"/>
      <c r="AE8" s="45"/>
      <c r="AF8" s="46"/>
      <c r="AG8" s="47">
        <f t="shared" si="4"/>
        <v>0</v>
      </c>
      <c r="AH8" s="46"/>
      <c r="AI8" s="46"/>
      <c r="AJ8" s="46"/>
      <c r="AK8" s="46"/>
      <c r="AL8" s="46"/>
      <c r="AM8" s="46"/>
      <c r="AN8" s="46"/>
      <c r="AO8" s="46"/>
      <c r="AP8" s="688"/>
      <c r="AQ8" s="688"/>
      <c r="AR8" s="688"/>
      <c r="AS8" s="697">
        <f t="shared" si="7"/>
        <v>0</v>
      </c>
      <c r="AT8" s="688">
        <f t="shared" ref="AT8:BB8" si="23">+AS8</f>
        <v>0</v>
      </c>
      <c r="AU8" s="688">
        <f t="shared" si="23"/>
        <v>0</v>
      </c>
      <c r="AV8" s="688">
        <f t="shared" si="23"/>
        <v>0</v>
      </c>
      <c r="AW8" s="688">
        <f t="shared" si="23"/>
        <v>0</v>
      </c>
      <c r="AX8" s="688">
        <f t="shared" si="23"/>
        <v>0</v>
      </c>
      <c r="AY8" s="688">
        <f t="shared" si="23"/>
        <v>0</v>
      </c>
      <c r="AZ8" s="688">
        <f t="shared" si="23"/>
        <v>0</v>
      </c>
      <c r="BA8" s="688">
        <f t="shared" si="23"/>
        <v>0</v>
      </c>
      <c r="BB8" s="48">
        <f t="shared" si="23"/>
        <v>0</v>
      </c>
      <c r="BC8" s="10" t="str">
        <f t="shared" si="9"/>
        <v>MES실행그룹선임(CL2)</v>
      </c>
      <c r="BD8" s="10" t="s">
        <v>451</v>
      </c>
      <c r="BE8" s="45">
        <v>0</v>
      </c>
      <c r="BF8" s="46"/>
      <c r="BG8" s="46"/>
      <c r="BH8" s="48"/>
      <c r="BI8" s="45">
        <v>0</v>
      </c>
      <c r="BJ8" s="46">
        <v>0</v>
      </c>
      <c r="BK8" s="48">
        <v>0</v>
      </c>
      <c r="BL8" s="496"/>
      <c r="BM8" s="45"/>
      <c r="BN8" s="46"/>
      <c r="BO8" s="48"/>
      <c r="BP8" s="496"/>
      <c r="BQ8" s="487" t="str">
        <f t="shared" si="10"/>
        <v/>
      </c>
      <c r="BR8" s="481" t="str">
        <f t="shared" si="11"/>
        <v/>
      </c>
      <c r="BS8" s="473" t="str">
        <f t="shared" si="12"/>
        <v/>
      </c>
      <c r="BT8" s="13"/>
    </row>
    <row r="9" spans="1:74">
      <c r="A9" s="10" t="str">
        <f t="shared" si="0"/>
        <v>MES실행그룹</v>
      </c>
      <c r="B9" s="528" t="str">
        <f>+B8</f>
        <v>MES실행그룹</v>
      </c>
      <c r="C9" s="529" t="s">
        <v>250</v>
      </c>
      <c r="D9" s="20" t="s">
        <v>104</v>
      </c>
      <c r="E9" s="19"/>
      <c r="F9" s="20"/>
      <c r="G9" s="49"/>
      <c r="H9" s="50"/>
      <c r="I9" s="51">
        <f t="shared" si="22"/>
        <v>0</v>
      </c>
      <c r="J9" s="50"/>
      <c r="K9" s="50"/>
      <c r="L9" s="50"/>
      <c r="M9" s="50"/>
      <c r="N9" s="50"/>
      <c r="O9" s="50"/>
      <c r="P9" s="50"/>
      <c r="Q9" s="50"/>
      <c r="R9" s="52"/>
      <c r="S9" s="49"/>
      <c r="T9" s="50"/>
      <c r="U9" s="1199">
        <f t="shared" si="2"/>
        <v>0</v>
      </c>
      <c r="V9" s="51"/>
      <c r="W9" s="50"/>
      <c r="X9" s="50"/>
      <c r="Y9" s="50"/>
      <c r="Z9" s="50"/>
      <c r="AA9" s="50"/>
      <c r="AB9" s="50"/>
      <c r="AC9" s="50"/>
      <c r="AD9" s="52"/>
      <c r="AE9" s="49"/>
      <c r="AF9" s="50"/>
      <c r="AG9" s="51">
        <f t="shared" si="4"/>
        <v>0</v>
      </c>
      <c r="AH9" s="50"/>
      <c r="AI9" s="50"/>
      <c r="AJ9" s="50"/>
      <c r="AK9" s="50"/>
      <c r="AL9" s="50"/>
      <c r="AM9" s="50"/>
      <c r="AN9" s="50"/>
      <c r="AO9" s="50"/>
      <c r="AP9" s="689"/>
      <c r="AQ9" s="689"/>
      <c r="AR9" s="689"/>
      <c r="AS9" s="698">
        <f t="shared" si="7"/>
        <v>0</v>
      </c>
      <c r="AT9" s="689">
        <f t="shared" ref="AT9:BB9" si="24">+AS9</f>
        <v>0</v>
      </c>
      <c r="AU9" s="689">
        <f t="shared" si="24"/>
        <v>0</v>
      </c>
      <c r="AV9" s="689">
        <f t="shared" si="24"/>
        <v>0</v>
      </c>
      <c r="AW9" s="689">
        <f t="shared" si="24"/>
        <v>0</v>
      </c>
      <c r="AX9" s="689">
        <f t="shared" si="24"/>
        <v>0</v>
      </c>
      <c r="AY9" s="689">
        <f t="shared" si="24"/>
        <v>0</v>
      </c>
      <c r="AZ9" s="689">
        <f t="shared" si="24"/>
        <v>0</v>
      </c>
      <c r="BA9" s="689">
        <f t="shared" si="24"/>
        <v>0</v>
      </c>
      <c r="BB9" s="52">
        <f t="shared" si="24"/>
        <v>0</v>
      </c>
      <c r="BC9" s="10" t="str">
        <f t="shared" si="9"/>
        <v>MES실행그룹사원(CL1-CL2)</v>
      </c>
      <c r="BD9" s="10" t="s">
        <v>452</v>
      </c>
      <c r="BE9" s="49">
        <v>0</v>
      </c>
      <c r="BF9" s="50"/>
      <c r="BG9" s="50"/>
      <c r="BH9" s="52"/>
      <c r="BI9" s="49">
        <v>0</v>
      </c>
      <c r="BJ9" s="50">
        <v>0</v>
      </c>
      <c r="BK9" s="52">
        <v>0</v>
      </c>
      <c r="BL9" s="497"/>
      <c r="BM9" s="49"/>
      <c r="BN9" s="50"/>
      <c r="BO9" s="52"/>
      <c r="BP9" s="497"/>
      <c r="BQ9" s="488" t="str">
        <f t="shared" si="10"/>
        <v/>
      </c>
      <c r="BR9" s="482" t="str">
        <f t="shared" si="11"/>
        <v/>
      </c>
      <c r="BS9" s="474" t="str">
        <f t="shared" si="12"/>
        <v/>
      </c>
      <c r="BT9" s="13"/>
    </row>
    <row r="10" spans="1:74">
      <c r="A10" s="10" t="str">
        <f t="shared" si="0"/>
        <v>Remote Development Center이사</v>
      </c>
      <c r="B10" s="523" t="s">
        <v>914</v>
      </c>
      <c r="C10" s="525" t="s">
        <v>12</v>
      </c>
      <c r="D10" s="15" t="s">
        <v>105</v>
      </c>
      <c r="E10" s="16" t="s">
        <v>12</v>
      </c>
      <c r="F10" s="15" t="s">
        <v>82</v>
      </c>
      <c r="G10" s="25">
        <v>0</v>
      </c>
      <c r="H10" s="26">
        <v>0</v>
      </c>
      <c r="I10" s="27">
        <f t="shared" si="22"/>
        <v>0</v>
      </c>
      <c r="J10" s="26">
        <f t="shared" ref="J10:T10" si="25">I10</f>
        <v>0</v>
      </c>
      <c r="K10" s="26">
        <f t="shared" si="25"/>
        <v>0</v>
      </c>
      <c r="L10" s="26">
        <f t="shared" si="25"/>
        <v>0</v>
      </c>
      <c r="M10" s="26">
        <f t="shared" si="25"/>
        <v>0</v>
      </c>
      <c r="N10" s="26">
        <f t="shared" si="25"/>
        <v>0</v>
      </c>
      <c r="O10" s="26">
        <f t="shared" si="25"/>
        <v>0</v>
      </c>
      <c r="P10" s="26">
        <f t="shared" si="25"/>
        <v>0</v>
      </c>
      <c r="Q10" s="26">
        <f t="shared" si="25"/>
        <v>0</v>
      </c>
      <c r="R10" s="28">
        <f t="shared" si="25"/>
        <v>0</v>
      </c>
      <c r="S10" s="25">
        <f t="shared" si="25"/>
        <v>0</v>
      </c>
      <c r="T10" s="26">
        <f t="shared" si="25"/>
        <v>0</v>
      </c>
      <c r="U10" s="1200">
        <f t="shared" si="2"/>
        <v>0</v>
      </c>
      <c r="V10" s="27">
        <f t="shared" ref="V10:AF10" si="26">U10</f>
        <v>0</v>
      </c>
      <c r="W10" s="26">
        <f t="shared" si="26"/>
        <v>0</v>
      </c>
      <c r="X10" s="26">
        <f t="shared" si="26"/>
        <v>0</v>
      </c>
      <c r="Y10" s="26">
        <f t="shared" si="26"/>
        <v>0</v>
      </c>
      <c r="Z10" s="26">
        <f t="shared" si="26"/>
        <v>0</v>
      </c>
      <c r="AA10" s="26">
        <f t="shared" si="26"/>
        <v>0</v>
      </c>
      <c r="AB10" s="26">
        <f t="shared" si="26"/>
        <v>0</v>
      </c>
      <c r="AC10" s="26">
        <f t="shared" si="26"/>
        <v>0</v>
      </c>
      <c r="AD10" s="28">
        <f t="shared" si="26"/>
        <v>0</v>
      </c>
      <c r="AE10" s="25">
        <f t="shared" si="26"/>
        <v>0</v>
      </c>
      <c r="AF10" s="26">
        <f t="shared" si="26"/>
        <v>0</v>
      </c>
      <c r="AG10" s="27">
        <f t="shared" si="4"/>
        <v>0</v>
      </c>
      <c r="AH10" s="26">
        <f t="shared" ref="AH10:AO13" si="27">AG10</f>
        <v>0</v>
      </c>
      <c r="AI10" s="26">
        <f t="shared" si="27"/>
        <v>0</v>
      </c>
      <c r="AJ10" s="26">
        <f t="shared" si="27"/>
        <v>0</v>
      </c>
      <c r="AK10" s="26">
        <f t="shared" si="27"/>
        <v>0</v>
      </c>
      <c r="AL10" s="26">
        <f t="shared" si="27"/>
        <v>0</v>
      </c>
      <c r="AM10" s="26">
        <f t="shared" si="27"/>
        <v>0</v>
      </c>
      <c r="AN10" s="26">
        <f t="shared" si="27"/>
        <v>0</v>
      </c>
      <c r="AO10" s="26">
        <f t="shared" si="27"/>
        <v>0</v>
      </c>
      <c r="AP10" s="684">
        <f t="shared" ref="AP10:AP13" si="28">AO10</f>
        <v>0</v>
      </c>
      <c r="AQ10" s="684">
        <f t="shared" ref="AQ10:AQ13" si="29">AP10</f>
        <v>0</v>
      </c>
      <c r="AR10" s="684">
        <f t="shared" ref="AR10:AR13" si="30">AQ10</f>
        <v>0</v>
      </c>
      <c r="AS10" s="693">
        <f t="shared" si="7"/>
        <v>0</v>
      </c>
      <c r="AT10" s="684">
        <f t="shared" ref="AT10:BB10" si="31">+AS10</f>
        <v>0</v>
      </c>
      <c r="AU10" s="684">
        <f t="shared" si="31"/>
        <v>0</v>
      </c>
      <c r="AV10" s="684">
        <f t="shared" si="31"/>
        <v>0</v>
      </c>
      <c r="AW10" s="684">
        <f t="shared" si="31"/>
        <v>0</v>
      </c>
      <c r="AX10" s="684">
        <f t="shared" si="31"/>
        <v>0</v>
      </c>
      <c r="AY10" s="684">
        <f t="shared" si="31"/>
        <v>0</v>
      </c>
      <c r="AZ10" s="684">
        <f t="shared" si="31"/>
        <v>0</v>
      </c>
      <c r="BA10" s="684">
        <f t="shared" si="31"/>
        <v>0</v>
      </c>
      <c r="BB10" s="28">
        <f t="shared" si="31"/>
        <v>0</v>
      </c>
      <c r="BC10" s="10" t="str">
        <f t="shared" si="9"/>
        <v>Remote Development Center이사</v>
      </c>
      <c r="BD10" s="10" t="str">
        <f>B10&amp;E10</f>
        <v>Remote Development Center이사</v>
      </c>
      <c r="BE10" s="25">
        <v>0</v>
      </c>
      <c r="BF10" s="26">
        <v>316160</v>
      </c>
      <c r="BG10" s="26">
        <v>12525801.5</v>
      </c>
      <c r="BH10" s="28">
        <v>59932.064593301438</v>
      </c>
      <c r="BI10" s="25">
        <v>0</v>
      </c>
      <c r="BJ10" s="26">
        <v>0</v>
      </c>
      <c r="BK10" s="28">
        <v>0</v>
      </c>
      <c r="BL10" s="492">
        <v>0</v>
      </c>
      <c r="BM10" s="25"/>
      <c r="BN10" s="26"/>
      <c r="BO10" s="28"/>
      <c r="BP10" s="492"/>
      <c r="BQ10" s="483" t="str">
        <f t="shared" si="10"/>
        <v/>
      </c>
      <c r="BR10" s="477" t="str">
        <f t="shared" si="11"/>
        <v/>
      </c>
      <c r="BS10" s="469" t="str">
        <f t="shared" si="12"/>
        <v/>
      </c>
      <c r="BT10" s="13"/>
    </row>
    <row r="11" spans="1:74">
      <c r="A11" s="10" t="str">
        <f t="shared" si="0"/>
        <v>Remote Development CenterCL4(수석)</v>
      </c>
      <c r="B11" s="526" t="str">
        <f>+B10</f>
        <v>Remote Development Center</v>
      </c>
      <c r="C11" s="527" t="s">
        <v>246</v>
      </c>
      <c r="D11" s="18" t="s">
        <v>105</v>
      </c>
      <c r="E11" s="17" t="s">
        <v>496</v>
      </c>
      <c r="F11" s="18" t="s">
        <v>82</v>
      </c>
      <c r="G11" s="29">
        <v>9900562</v>
      </c>
      <c r="H11" s="30">
        <v>9900562</v>
      </c>
      <c r="I11" s="31">
        <v>9886099</v>
      </c>
      <c r="J11" s="30">
        <f t="shared" ref="J11:T11" si="32">I11</f>
        <v>9886099</v>
      </c>
      <c r="K11" s="30">
        <f t="shared" si="32"/>
        <v>9886099</v>
      </c>
      <c r="L11" s="30">
        <f t="shared" si="32"/>
        <v>9886099</v>
      </c>
      <c r="M11" s="30">
        <f t="shared" si="32"/>
        <v>9886099</v>
      </c>
      <c r="N11" s="32">
        <f t="shared" si="32"/>
        <v>9886099</v>
      </c>
      <c r="O11" s="32">
        <f t="shared" si="32"/>
        <v>9886099</v>
      </c>
      <c r="P11" s="30">
        <f t="shared" si="32"/>
        <v>9886099</v>
      </c>
      <c r="Q11" s="30">
        <f t="shared" si="32"/>
        <v>9886099</v>
      </c>
      <c r="R11" s="33">
        <f t="shared" si="32"/>
        <v>9886099</v>
      </c>
      <c r="S11" s="29">
        <f t="shared" si="32"/>
        <v>9886099</v>
      </c>
      <c r="T11" s="30">
        <f t="shared" si="32"/>
        <v>9886099</v>
      </c>
      <c r="U11" s="1201">
        <f t="shared" si="2"/>
        <v>10380404</v>
      </c>
      <c r="V11" s="31">
        <v>11244445</v>
      </c>
      <c r="W11" s="30">
        <f t="shared" ref="W11:AF11" si="33">V11</f>
        <v>11244445</v>
      </c>
      <c r="X11" s="30">
        <f t="shared" si="33"/>
        <v>11244445</v>
      </c>
      <c r="Y11" s="30">
        <f t="shared" si="33"/>
        <v>11244445</v>
      </c>
      <c r="Z11" s="32">
        <f t="shared" si="33"/>
        <v>11244445</v>
      </c>
      <c r="AA11" s="32">
        <f t="shared" si="33"/>
        <v>11244445</v>
      </c>
      <c r="AB11" s="30">
        <f t="shared" si="33"/>
        <v>11244445</v>
      </c>
      <c r="AC11" s="30">
        <f t="shared" si="33"/>
        <v>11244445</v>
      </c>
      <c r="AD11" s="33">
        <f t="shared" si="33"/>
        <v>11244445</v>
      </c>
      <c r="AE11" s="29">
        <f t="shared" si="33"/>
        <v>11244445</v>
      </c>
      <c r="AF11" s="30">
        <f t="shared" si="33"/>
        <v>11244445</v>
      </c>
      <c r="AG11" s="31">
        <f t="shared" si="4"/>
        <v>11806667</v>
      </c>
      <c r="AH11" s="30">
        <f t="shared" si="27"/>
        <v>11806667</v>
      </c>
      <c r="AI11" s="30">
        <f t="shared" si="27"/>
        <v>11806667</v>
      </c>
      <c r="AJ11" s="30">
        <f t="shared" si="27"/>
        <v>11806667</v>
      </c>
      <c r="AK11" s="30">
        <f t="shared" si="27"/>
        <v>11806667</v>
      </c>
      <c r="AL11" s="32">
        <f t="shared" si="27"/>
        <v>11806667</v>
      </c>
      <c r="AM11" s="32">
        <f t="shared" si="27"/>
        <v>11806667</v>
      </c>
      <c r="AN11" s="30">
        <f t="shared" si="27"/>
        <v>11806667</v>
      </c>
      <c r="AO11" s="30">
        <f t="shared" si="27"/>
        <v>11806667</v>
      </c>
      <c r="AP11" s="685">
        <f t="shared" si="28"/>
        <v>11806667</v>
      </c>
      <c r="AQ11" s="685">
        <f t="shared" si="29"/>
        <v>11806667</v>
      </c>
      <c r="AR11" s="685">
        <f t="shared" si="30"/>
        <v>11806667</v>
      </c>
      <c r="AS11" s="694">
        <f t="shared" si="7"/>
        <v>12397000</v>
      </c>
      <c r="AT11" s="685">
        <f t="shared" ref="AT11:BB11" si="34">+AS11</f>
        <v>12397000</v>
      </c>
      <c r="AU11" s="685">
        <f t="shared" si="34"/>
        <v>12397000</v>
      </c>
      <c r="AV11" s="685">
        <f t="shared" si="34"/>
        <v>12397000</v>
      </c>
      <c r="AW11" s="685">
        <f t="shared" si="34"/>
        <v>12397000</v>
      </c>
      <c r="AX11" s="685">
        <f t="shared" si="34"/>
        <v>12397000</v>
      </c>
      <c r="AY11" s="685">
        <f t="shared" si="34"/>
        <v>12397000</v>
      </c>
      <c r="AZ11" s="685">
        <f t="shared" si="34"/>
        <v>12397000</v>
      </c>
      <c r="BA11" s="685">
        <f t="shared" si="34"/>
        <v>12397000</v>
      </c>
      <c r="BB11" s="33">
        <f t="shared" si="34"/>
        <v>12397000</v>
      </c>
      <c r="BC11" s="10" t="str">
        <f t="shared" si="9"/>
        <v>Remote Development Center수석(CL4)</v>
      </c>
      <c r="BD11" s="10" t="str">
        <f>B11&amp;E11</f>
        <v>Remote Development CenterCL4(수석)</v>
      </c>
      <c r="BE11" s="29">
        <v>0</v>
      </c>
      <c r="BF11" s="30">
        <v>319966.84210526315</v>
      </c>
      <c r="BG11" s="30">
        <v>7928592.3950877218</v>
      </c>
      <c r="BH11" s="33">
        <v>37935.848780324028</v>
      </c>
      <c r="BI11" s="29">
        <v>6762186</v>
      </c>
      <c r="BJ11" s="30">
        <v>73006</v>
      </c>
      <c r="BK11" s="33">
        <v>8395555</v>
      </c>
      <c r="BL11" s="493">
        <v>40170.119617224882</v>
      </c>
      <c r="BM11" s="29"/>
      <c r="BN11" s="30"/>
      <c r="BO11" s="33"/>
      <c r="BP11" s="493"/>
      <c r="BQ11" s="484">
        <f t="shared" si="10"/>
        <v>-1</v>
      </c>
      <c r="BR11" s="478">
        <f t="shared" si="11"/>
        <v>-1</v>
      </c>
      <c r="BS11" s="470">
        <f t="shared" si="12"/>
        <v>-1</v>
      </c>
      <c r="BT11" s="13"/>
    </row>
    <row r="12" spans="1:74">
      <c r="A12" s="10" t="str">
        <f t="shared" si="0"/>
        <v>Remote Development CenterCL3(책임-수석보)</v>
      </c>
      <c r="B12" s="526" t="str">
        <f>+B11</f>
        <v>Remote Development Center</v>
      </c>
      <c r="C12" s="527" t="s">
        <v>247</v>
      </c>
      <c r="D12" s="18" t="s">
        <v>105</v>
      </c>
      <c r="E12" s="17" t="s">
        <v>495</v>
      </c>
      <c r="F12" s="18" t="s">
        <v>459</v>
      </c>
      <c r="G12" s="29">
        <v>8183120</v>
      </c>
      <c r="H12" s="30">
        <v>8183120</v>
      </c>
      <c r="I12" s="31">
        <v>8034763</v>
      </c>
      <c r="J12" s="30">
        <f t="shared" ref="J12:T12" si="35">I12</f>
        <v>8034763</v>
      </c>
      <c r="K12" s="30">
        <f t="shared" si="35"/>
        <v>8034763</v>
      </c>
      <c r="L12" s="30">
        <f t="shared" si="35"/>
        <v>8034763</v>
      </c>
      <c r="M12" s="30">
        <f t="shared" si="35"/>
        <v>8034763</v>
      </c>
      <c r="N12" s="34">
        <f t="shared" si="35"/>
        <v>8034763</v>
      </c>
      <c r="O12" s="32">
        <f t="shared" si="35"/>
        <v>8034763</v>
      </c>
      <c r="P12" s="30">
        <f t="shared" si="35"/>
        <v>8034763</v>
      </c>
      <c r="Q12" s="30">
        <f t="shared" si="35"/>
        <v>8034763</v>
      </c>
      <c r="R12" s="33">
        <f t="shared" si="35"/>
        <v>8034763</v>
      </c>
      <c r="S12" s="29">
        <f t="shared" si="35"/>
        <v>8034763</v>
      </c>
      <c r="T12" s="30">
        <f t="shared" si="35"/>
        <v>8034763</v>
      </c>
      <c r="U12" s="1201">
        <f t="shared" si="2"/>
        <v>8436501</v>
      </c>
      <c r="V12" s="31">
        <v>8480104</v>
      </c>
      <c r="W12" s="30">
        <f t="shared" ref="W12:AF12" si="36">V12</f>
        <v>8480104</v>
      </c>
      <c r="X12" s="30">
        <f t="shared" si="36"/>
        <v>8480104</v>
      </c>
      <c r="Y12" s="30">
        <f t="shared" si="36"/>
        <v>8480104</v>
      </c>
      <c r="Z12" s="34">
        <f t="shared" si="36"/>
        <v>8480104</v>
      </c>
      <c r="AA12" s="32">
        <f t="shared" si="36"/>
        <v>8480104</v>
      </c>
      <c r="AB12" s="30">
        <f t="shared" si="36"/>
        <v>8480104</v>
      </c>
      <c r="AC12" s="30">
        <f t="shared" si="36"/>
        <v>8480104</v>
      </c>
      <c r="AD12" s="33">
        <f t="shared" si="36"/>
        <v>8480104</v>
      </c>
      <c r="AE12" s="29">
        <f t="shared" si="36"/>
        <v>8480104</v>
      </c>
      <c r="AF12" s="30">
        <f t="shared" si="36"/>
        <v>8480104</v>
      </c>
      <c r="AG12" s="31">
        <f t="shared" si="4"/>
        <v>8904109</v>
      </c>
      <c r="AH12" s="30">
        <f t="shared" si="27"/>
        <v>8904109</v>
      </c>
      <c r="AI12" s="30">
        <f t="shared" si="27"/>
        <v>8904109</v>
      </c>
      <c r="AJ12" s="30">
        <f t="shared" si="27"/>
        <v>8904109</v>
      </c>
      <c r="AK12" s="30">
        <f t="shared" si="27"/>
        <v>8904109</v>
      </c>
      <c r="AL12" s="34">
        <f t="shared" si="27"/>
        <v>8904109</v>
      </c>
      <c r="AM12" s="32">
        <f t="shared" si="27"/>
        <v>8904109</v>
      </c>
      <c r="AN12" s="30">
        <f t="shared" si="27"/>
        <v>8904109</v>
      </c>
      <c r="AO12" s="30">
        <f t="shared" si="27"/>
        <v>8904109</v>
      </c>
      <c r="AP12" s="685">
        <f t="shared" si="28"/>
        <v>8904109</v>
      </c>
      <c r="AQ12" s="685">
        <f t="shared" si="29"/>
        <v>8904109</v>
      </c>
      <c r="AR12" s="685">
        <f t="shared" si="30"/>
        <v>8904109</v>
      </c>
      <c r="AS12" s="694">
        <f t="shared" si="7"/>
        <v>9349314</v>
      </c>
      <c r="AT12" s="685">
        <f t="shared" ref="AT12:BB12" si="37">+AS12</f>
        <v>9349314</v>
      </c>
      <c r="AU12" s="685">
        <f t="shared" si="37"/>
        <v>9349314</v>
      </c>
      <c r="AV12" s="685">
        <f t="shared" si="37"/>
        <v>9349314</v>
      </c>
      <c r="AW12" s="685">
        <f t="shared" si="37"/>
        <v>9349314</v>
      </c>
      <c r="AX12" s="685">
        <f t="shared" si="37"/>
        <v>9349314</v>
      </c>
      <c r="AY12" s="685">
        <f t="shared" si="37"/>
        <v>9349314</v>
      </c>
      <c r="AZ12" s="685">
        <f t="shared" si="37"/>
        <v>9349314</v>
      </c>
      <c r="BA12" s="685">
        <f t="shared" si="37"/>
        <v>9349314</v>
      </c>
      <c r="BB12" s="33">
        <f t="shared" si="37"/>
        <v>9349314</v>
      </c>
      <c r="BC12" s="10" t="str">
        <f t="shared" si="9"/>
        <v>Remote Development Center수석보(CL3)</v>
      </c>
      <c r="BD12" s="10" t="str">
        <f>B12&amp;E12</f>
        <v>Remote Development CenterCL3(책임-수석보)</v>
      </c>
      <c r="BE12" s="29">
        <v>0</v>
      </c>
      <c r="BF12" s="30">
        <v>374659.87012987008</v>
      </c>
      <c r="BG12" s="30">
        <v>6300584.4509956697</v>
      </c>
      <c r="BH12" s="33">
        <v>30146.337086103682</v>
      </c>
      <c r="BI12" s="29">
        <v>5283965</v>
      </c>
      <c r="BJ12" s="30">
        <v>53871</v>
      </c>
      <c r="BK12" s="33">
        <v>6579865</v>
      </c>
      <c r="BL12" s="493">
        <v>31482.607655502394</v>
      </c>
      <c r="BM12" s="29"/>
      <c r="BN12" s="30"/>
      <c r="BO12" s="33"/>
      <c r="BP12" s="493"/>
      <c r="BQ12" s="484">
        <f t="shared" si="10"/>
        <v>-1</v>
      </c>
      <c r="BR12" s="478">
        <f t="shared" si="11"/>
        <v>-1</v>
      </c>
      <c r="BS12" s="470">
        <f t="shared" si="12"/>
        <v>-1</v>
      </c>
      <c r="BT12" s="13"/>
    </row>
    <row r="13" spans="1:74">
      <c r="A13" s="10" t="str">
        <f t="shared" si="0"/>
        <v>Remote Development CenterCL2(사원-선임)</v>
      </c>
      <c r="B13" s="526" t="str">
        <f>+B12</f>
        <v>Remote Development Center</v>
      </c>
      <c r="C13" s="527" t="s">
        <v>248</v>
      </c>
      <c r="D13" s="18" t="s">
        <v>102</v>
      </c>
      <c r="E13" s="17" t="s">
        <v>494</v>
      </c>
      <c r="F13" s="18" t="s">
        <v>461</v>
      </c>
      <c r="G13" s="29">
        <v>5907805</v>
      </c>
      <c r="H13" s="30">
        <v>5907805</v>
      </c>
      <c r="I13" s="31">
        <v>5649708</v>
      </c>
      <c r="J13" s="30">
        <f t="shared" ref="J13:T13" si="38">I13</f>
        <v>5649708</v>
      </c>
      <c r="K13" s="30">
        <f t="shared" si="38"/>
        <v>5649708</v>
      </c>
      <c r="L13" s="30">
        <f t="shared" si="38"/>
        <v>5649708</v>
      </c>
      <c r="M13" s="30">
        <f t="shared" si="38"/>
        <v>5649708</v>
      </c>
      <c r="N13" s="34">
        <f t="shared" si="38"/>
        <v>5649708</v>
      </c>
      <c r="O13" s="32">
        <f t="shared" si="38"/>
        <v>5649708</v>
      </c>
      <c r="P13" s="30">
        <f t="shared" si="38"/>
        <v>5649708</v>
      </c>
      <c r="Q13" s="30">
        <f t="shared" si="38"/>
        <v>5649708</v>
      </c>
      <c r="R13" s="33">
        <f t="shared" si="38"/>
        <v>5649708</v>
      </c>
      <c r="S13" s="29">
        <f t="shared" si="38"/>
        <v>5649708</v>
      </c>
      <c r="T13" s="30">
        <f t="shared" si="38"/>
        <v>5649708</v>
      </c>
      <c r="U13" s="1201">
        <f t="shared" si="2"/>
        <v>5932193</v>
      </c>
      <c r="V13" s="31">
        <v>6022090</v>
      </c>
      <c r="W13" s="30">
        <f t="shared" ref="W13:AF13" si="39">V13</f>
        <v>6022090</v>
      </c>
      <c r="X13" s="30">
        <f t="shared" si="39"/>
        <v>6022090</v>
      </c>
      <c r="Y13" s="30">
        <f t="shared" si="39"/>
        <v>6022090</v>
      </c>
      <c r="Z13" s="34">
        <f t="shared" si="39"/>
        <v>6022090</v>
      </c>
      <c r="AA13" s="32">
        <f t="shared" si="39"/>
        <v>6022090</v>
      </c>
      <c r="AB13" s="30">
        <f t="shared" si="39"/>
        <v>6022090</v>
      </c>
      <c r="AC13" s="30">
        <f t="shared" si="39"/>
        <v>6022090</v>
      </c>
      <c r="AD13" s="33">
        <f t="shared" si="39"/>
        <v>6022090</v>
      </c>
      <c r="AE13" s="29">
        <f t="shared" si="39"/>
        <v>6022090</v>
      </c>
      <c r="AF13" s="30">
        <f t="shared" si="39"/>
        <v>6022090</v>
      </c>
      <c r="AG13" s="31">
        <f t="shared" si="4"/>
        <v>6323195</v>
      </c>
      <c r="AH13" s="30">
        <f t="shared" si="27"/>
        <v>6323195</v>
      </c>
      <c r="AI13" s="30">
        <f t="shared" si="27"/>
        <v>6323195</v>
      </c>
      <c r="AJ13" s="30">
        <f t="shared" si="27"/>
        <v>6323195</v>
      </c>
      <c r="AK13" s="30">
        <f t="shared" si="27"/>
        <v>6323195</v>
      </c>
      <c r="AL13" s="34">
        <f t="shared" si="27"/>
        <v>6323195</v>
      </c>
      <c r="AM13" s="32">
        <f t="shared" si="27"/>
        <v>6323195</v>
      </c>
      <c r="AN13" s="30">
        <f t="shared" si="27"/>
        <v>6323195</v>
      </c>
      <c r="AO13" s="30">
        <f t="shared" si="27"/>
        <v>6323195</v>
      </c>
      <c r="AP13" s="685">
        <f t="shared" si="28"/>
        <v>6323195</v>
      </c>
      <c r="AQ13" s="685">
        <f t="shared" si="29"/>
        <v>6323195</v>
      </c>
      <c r="AR13" s="685">
        <f t="shared" si="30"/>
        <v>6323195</v>
      </c>
      <c r="AS13" s="694">
        <f t="shared" si="7"/>
        <v>6639355</v>
      </c>
      <c r="AT13" s="685">
        <f t="shared" ref="AT13:BB13" si="40">+AS13</f>
        <v>6639355</v>
      </c>
      <c r="AU13" s="685">
        <f t="shared" si="40"/>
        <v>6639355</v>
      </c>
      <c r="AV13" s="685">
        <f t="shared" si="40"/>
        <v>6639355</v>
      </c>
      <c r="AW13" s="685">
        <f t="shared" si="40"/>
        <v>6639355</v>
      </c>
      <c r="AX13" s="685">
        <f t="shared" si="40"/>
        <v>6639355</v>
      </c>
      <c r="AY13" s="685">
        <f t="shared" si="40"/>
        <v>6639355</v>
      </c>
      <c r="AZ13" s="685">
        <f t="shared" si="40"/>
        <v>6639355</v>
      </c>
      <c r="BA13" s="685">
        <f t="shared" si="40"/>
        <v>6639355</v>
      </c>
      <c r="BB13" s="33">
        <f t="shared" si="40"/>
        <v>6639355</v>
      </c>
      <c r="BC13" s="10" t="str">
        <f t="shared" si="9"/>
        <v>Remote Development Center책임(CL3)</v>
      </c>
      <c r="BD13" s="10" t="str">
        <f>B13&amp;E13</f>
        <v>Remote Development CenterCL2(사원-선임)</v>
      </c>
      <c r="BE13" s="29">
        <v>0</v>
      </c>
      <c r="BF13" s="30">
        <v>221633.66666666669</v>
      </c>
      <c r="BG13" s="30">
        <v>4985212.2895555552</v>
      </c>
      <c r="BH13" s="33">
        <v>23852.69038064859</v>
      </c>
      <c r="BI13" s="29">
        <v>4172704</v>
      </c>
      <c r="BJ13" s="30">
        <v>28655</v>
      </c>
      <c r="BK13" s="33">
        <v>5129877</v>
      </c>
      <c r="BL13" s="493">
        <v>24544.866028708133</v>
      </c>
      <c r="BM13" s="29"/>
      <c r="BN13" s="30"/>
      <c r="BO13" s="33"/>
      <c r="BP13" s="493"/>
      <c r="BQ13" s="484">
        <f t="shared" si="10"/>
        <v>-1</v>
      </c>
      <c r="BR13" s="478">
        <f t="shared" si="11"/>
        <v>-1</v>
      </c>
      <c r="BS13" s="470">
        <f t="shared" si="12"/>
        <v>-1</v>
      </c>
      <c r="BT13" s="13"/>
    </row>
    <row r="14" spans="1:74">
      <c r="A14" s="10" t="str">
        <f t="shared" si="0"/>
        <v>Remote Development Center</v>
      </c>
      <c r="B14" s="526" t="str">
        <f>+B13</f>
        <v>Remote Development Center</v>
      </c>
      <c r="C14" s="527" t="s">
        <v>249</v>
      </c>
      <c r="D14" s="18" t="s">
        <v>103</v>
      </c>
      <c r="E14" s="17"/>
      <c r="F14" s="18"/>
      <c r="G14" s="29"/>
      <c r="H14" s="30"/>
      <c r="I14" s="31">
        <f t="shared" si="22"/>
        <v>0</v>
      </c>
      <c r="J14" s="30"/>
      <c r="K14" s="30"/>
      <c r="L14" s="30"/>
      <c r="M14" s="30"/>
      <c r="N14" s="34"/>
      <c r="O14" s="32"/>
      <c r="P14" s="30"/>
      <c r="Q14" s="30"/>
      <c r="R14" s="33"/>
      <c r="S14" s="29"/>
      <c r="T14" s="30"/>
      <c r="U14" s="1201">
        <f t="shared" si="2"/>
        <v>0</v>
      </c>
      <c r="V14" s="31"/>
      <c r="W14" s="30"/>
      <c r="X14" s="30"/>
      <c r="Y14" s="30"/>
      <c r="Z14" s="34"/>
      <c r="AA14" s="32"/>
      <c r="AB14" s="30"/>
      <c r="AC14" s="30"/>
      <c r="AD14" s="33"/>
      <c r="AE14" s="29"/>
      <c r="AF14" s="30"/>
      <c r="AG14" s="31">
        <f t="shared" si="4"/>
        <v>0</v>
      </c>
      <c r="AH14" s="30"/>
      <c r="AI14" s="30"/>
      <c r="AJ14" s="30"/>
      <c r="AK14" s="30"/>
      <c r="AL14" s="34"/>
      <c r="AM14" s="32"/>
      <c r="AN14" s="30"/>
      <c r="AO14" s="30"/>
      <c r="AP14" s="685"/>
      <c r="AQ14" s="685"/>
      <c r="AR14" s="685"/>
      <c r="AS14" s="694">
        <f t="shared" si="7"/>
        <v>0</v>
      </c>
      <c r="AT14" s="685">
        <f t="shared" ref="AT14:BB14" si="41">+AS14</f>
        <v>0</v>
      </c>
      <c r="AU14" s="685">
        <f t="shared" si="41"/>
        <v>0</v>
      </c>
      <c r="AV14" s="685">
        <f t="shared" si="41"/>
        <v>0</v>
      </c>
      <c r="AW14" s="685">
        <f t="shared" si="41"/>
        <v>0</v>
      </c>
      <c r="AX14" s="685">
        <f t="shared" si="41"/>
        <v>0</v>
      </c>
      <c r="AY14" s="685">
        <f t="shared" si="41"/>
        <v>0</v>
      </c>
      <c r="AZ14" s="685">
        <f t="shared" si="41"/>
        <v>0</v>
      </c>
      <c r="BA14" s="685">
        <f t="shared" si="41"/>
        <v>0</v>
      </c>
      <c r="BB14" s="33">
        <f t="shared" si="41"/>
        <v>0</v>
      </c>
      <c r="BC14" s="10" t="str">
        <f t="shared" si="9"/>
        <v>Remote Development Center선임(CL2)</v>
      </c>
      <c r="BE14" s="29">
        <v>0</v>
      </c>
      <c r="BF14" s="30"/>
      <c r="BG14" s="30"/>
      <c r="BH14" s="33"/>
      <c r="BI14" s="29">
        <v>0</v>
      </c>
      <c r="BJ14" s="30">
        <v>0</v>
      </c>
      <c r="BK14" s="33">
        <v>0</v>
      </c>
      <c r="BL14" s="493"/>
      <c r="BM14" s="29"/>
      <c r="BN14" s="30"/>
      <c r="BO14" s="33"/>
      <c r="BP14" s="493"/>
      <c r="BQ14" s="484" t="str">
        <f t="shared" si="10"/>
        <v/>
      </c>
      <c r="BR14" s="478" t="str">
        <f t="shared" si="11"/>
        <v/>
      </c>
      <c r="BS14" s="470" t="str">
        <f t="shared" si="12"/>
        <v/>
      </c>
      <c r="BT14" s="13"/>
    </row>
    <row r="15" spans="1:74">
      <c r="A15" s="10" t="str">
        <f t="shared" si="0"/>
        <v>Remote Development Center</v>
      </c>
      <c r="B15" s="528" t="str">
        <f>+B14</f>
        <v>Remote Development Center</v>
      </c>
      <c r="C15" s="529" t="s">
        <v>250</v>
      </c>
      <c r="D15" s="20" t="s">
        <v>104</v>
      </c>
      <c r="E15" s="19"/>
      <c r="F15" s="20"/>
      <c r="G15" s="35"/>
      <c r="H15" s="36"/>
      <c r="I15" s="37">
        <f t="shared" si="22"/>
        <v>0</v>
      </c>
      <c r="J15" s="36"/>
      <c r="K15" s="36"/>
      <c r="L15" s="36"/>
      <c r="M15" s="36"/>
      <c r="N15" s="38"/>
      <c r="O15" s="39"/>
      <c r="P15" s="36"/>
      <c r="Q15" s="36"/>
      <c r="R15" s="40"/>
      <c r="S15" s="35"/>
      <c r="T15" s="36"/>
      <c r="U15" s="1202">
        <f t="shared" si="2"/>
        <v>0</v>
      </c>
      <c r="V15" s="37"/>
      <c r="W15" s="36"/>
      <c r="X15" s="36"/>
      <c r="Y15" s="36"/>
      <c r="Z15" s="38"/>
      <c r="AA15" s="39"/>
      <c r="AB15" s="36"/>
      <c r="AC15" s="36"/>
      <c r="AD15" s="40"/>
      <c r="AE15" s="35"/>
      <c r="AF15" s="36"/>
      <c r="AG15" s="37">
        <f t="shared" si="4"/>
        <v>0</v>
      </c>
      <c r="AH15" s="36"/>
      <c r="AI15" s="36"/>
      <c r="AJ15" s="36"/>
      <c r="AK15" s="36"/>
      <c r="AL15" s="38"/>
      <c r="AM15" s="39"/>
      <c r="AN15" s="36"/>
      <c r="AO15" s="36"/>
      <c r="AP15" s="686"/>
      <c r="AQ15" s="686"/>
      <c r="AR15" s="686"/>
      <c r="AS15" s="695">
        <f t="shared" si="7"/>
        <v>0</v>
      </c>
      <c r="AT15" s="686">
        <f t="shared" ref="AT15:BB15" si="42">+AS15</f>
        <v>0</v>
      </c>
      <c r="AU15" s="686">
        <f t="shared" si="42"/>
        <v>0</v>
      </c>
      <c r="AV15" s="686">
        <f t="shared" si="42"/>
        <v>0</v>
      </c>
      <c r="AW15" s="686">
        <f t="shared" si="42"/>
        <v>0</v>
      </c>
      <c r="AX15" s="686">
        <f t="shared" si="42"/>
        <v>0</v>
      </c>
      <c r="AY15" s="686">
        <f t="shared" si="42"/>
        <v>0</v>
      </c>
      <c r="AZ15" s="686">
        <f t="shared" si="42"/>
        <v>0</v>
      </c>
      <c r="BA15" s="686">
        <f t="shared" si="42"/>
        <v>0</v>
      </c>
      <c r="BB15" s="40">
        <f t="shared" si="42"/>
        <v>0</v>
      </c>
      <c r="BC15" s="10" t="str">
        <f t="shared" si="9"/>
        <v>Remote Development Center사원(CL1-CL2)</v>
      </c>
      <c r="BE15" s="35">
        <v>0</v>
      </c>
      <c r="BF15" s="36"/>
      <c r="BG15" s="36"/>
      <c r="BH15" s="40"/>
      <c r="BI15" s="35">
        <v>0</v>
      </c>
      <c r="BJ15" s="36">
        <v>0</v>
      </c>
      <c r="BK15" s="40">
        <v>0</v>
      </c>
      <c r="BL15" s="494"/>
      <c r="BM15" s="35"/>
      <c r="BN15" s="36"/>
      <c r="BO15" s="40"/>
      <c r="BP15" s="494"/>
      <c r="BQ15" s="485" t="str">
        <f t="shared" si="10"/>
        <v/>
      </c>
      <c r="BR15" s="479" t="str">
        <f t="shared" si="11"/>
        <v/>
      </c>
      <c r="BS15" s="471" t="str">
        <f t="shared" si="12"/>
        <v/>
      </c>
      <c r="BT15" s="13"/>
    </row>
    <row r="16" spans="1:74">
      <c r="A16" s="10" t="str">
        <f t="shared" ref="A16:A21" si="43">+B16&amp;E16</f>
        <v>고객서비스그룹이사</v>
      </c>
      <c r="B16" s="523" t="s">
        <v>668</v>
      </c>
      <c r="C16" s="525" t="s">
        <v>12</v>
      </c>
      <c r="D16" s="15" t="s">
        <v>105</v>
      </c>
      <c r="E16" s="16" t="s">
        <v>12</v>
      </c>
      <c r="F16" s="15" t="s">
        <v>82</v>
      </c>
      <c r="G16" s="25">
        <v>14978639</v>
      </c>
      <c r="H16" s="26">
        <v>14978639</v>
      </c>
      <c r="I16" s="27">
        <v>12351854</v>
      </c>
      <c r="J16" s="26">
        <f t="shared" ref="J16:T16" si="44">I16</f>
        <v>12351854</v>
      </c>
      <c r="K16" s="26">
        <f t="shared" si="44"/>
        <v>12351854</v>
      </c>
      <c r="L16" s="26">
        <f t="shared" si="44"/>
        <v>12351854</v>
      </c>
      <c r="M16" s="26">
        <f t="shared" si="44"/>
        <v>12351854</v>
      </c>
      <c r="N16" s="26">
        <f t="shared" si="44"/>
        <v>12351854</v>
      </c>
      <c r="O16" s="26">
        <f t="shared" si="44"/>
        <v>12351854</v>
      </c>
      <c r="P16" s="26">
        <f t="shared" si="44"/>
        <v>12351854</v>
      </c>
      <c r="Q16" s="26">
        <f t="shared" si="44"/>
        <v>12351854</v>
      </c>
      <c r="R16" s="28">
        <f t="shared" si="44"/>
        <v>12351854</v>
      </c>
      <c r="S16" s="25">
        <f t="shared" si="44"/>
        <v>12351854</v>
      </c>
      <c r="T16" s="26">
        <f t="shared" si="44"/>
        <v>12351854</v>
      </c>
      <c r="U16" s="1200">
        <f t="shared" ref="U16:U21" si="45">ROUND(T16*105%,0)</f>
        <v>12969447</v>
      </c>
      <c r="V16" s="27"/>
      <c r="W16" s="26">
        <f t="shared" ref="W16:AF16" si="46">V16</f>
        <v>0</v>
      </c>
      <c r="X16" s="26">
        <f t="shared" si="46"/>
        <v>0</v>
      </c>
      <c r="Y16" s="26">
        <f t="shared" si="46"/>
        <v>0</v>
      </c>
      <c r="Z16" s="26">
        <f t="shared" si="46"/>
        <v>0</v>
      </c>
      <c r="AA16" s="26">
        <f t="shared" si="46"/>
        <v>0</v>
      </c>
      <c r="AB16" s="26">
        <f t="shared" si="46"/>
        <v>0</v>
      </c>
      <c r="AC16" s="26">
        <f t="shared" si="46"/>
        <v>0</v>
      </c>
      <c r="AD16" s="28">
        <f t="shared" si="46"/>
        <v>0</v>
      </c>
      <c r="AE16" s="25">
        <f t="shared" si="46"/>
        <v>0</v>
      </c>
      <c r="AF16" s="26">
        <f t="shared" si="46"/>
        <v>0</v>
      </c>
      <c r="AG16" s="27">
        <f t="shared" ref="AG16:AG21" si="47">ROUND(AF16*105%,0)</f>
        <v>0</v>
      </c>
      <c r="AH16" s="26">
        <f t="shared" ref="AH16:AO19" si="48">AG16</f>
        <v>0</v>
      </c>
      <c r="AI16" s="26">
        <f t="shared" si="48"/>
        <v>0</v>
      </c>
      <c r="AJ16" s="26">
        <f t="shared" si="48"/>
        <v>0</v>
      </c>
      <c r="AK16" s="26">
        <f t="shared" si="48"/>
        <v>0</v>
      </c>
      <c r="AL16" s="26">
        <f t="shared" si="48"/>
        <v>0</v>
      </c>
      <c r="AM16" s="26">
        <f t="shared" si="48"/>
        <v>0</v>
      </c>
      <c r="AN16" s="26">
        <f t="shared" si="48"/>
        <v>0</v>
      </c>
      <c r="AO16" s="26">
        <f t="shared" si="48"/>
        <v>0</v>
      </c>
      <c r="AP16" s="684">
        <f t="shared" ref="AP16:AP19" si="49">AO16</f>
        <v>0</v>
      </c>
      <c r="AQ16" s="684">
        <f t="shared" ref="AQ16:AQ19" si="50">AP16</f>
        <v>0</v>
      </c>
      <c r="AR16" s="684">
        <f t="shared" ref="AR16:AR19" si="51">AQ16</f>
        <v>0</v>
      </c>
      <c r="AS16" s="693">
        <f t="shared" ref="AS16:AS21" si="52">ROUND(AR16*105%,0)</f>
        <v>0</v>
      </c>
      <c r="AT16" s="684">
        <f t="shared" ref="AT16:BB16" si="53">+AS16</f>
        <v>0</v>
      </c>
      <c r="AU16" s="684">
        <f t="shared" si="53"/>
        <v>0</v>
      </c>
      <c r="AV16" s="684">
        <f t="shared" si="53"/>
        <v>0</v>
      </c>
      <c r="AW16" s="684">
        <f t="shared" si="53"/>
        <v>0</v>
      </c>
      <c r="AX16" s="684">
        <f t="shared" si="53"/>
        <v>0</v>
      </c>
      <c r="AY16" s="684">
        <f t="shared" si="53"/>
        <v>0</v>
      </c>
      <c r="AZ16" s="684">
        <f t="shared" si="53"/>
        <v>0</v>
      </c>
      <c r="BA16" s="684">
        <f t="shared" si="53"/>
        <v>0</v>
      </c>
      <c r="BB16" s="28">
        <f t="shared" si="53"/>
        <v>0</v>
      </c>
      <c r="BC16" s="10" t="str">
        <f t="shared" ref="BC16:BC21" si="54">B16&amp;C16</f>
        <v>고객서비스그룹이사</v>
      </c>
      <c r="BD16" s="10" t="str">
        <f>B16&amp;E16</f>
        <v>고객서비스그룹이사</v>
      </c>
      <c r="BE16" s="25">
        <v>9168090</v>
      </c>
      <c r="BF16" s="26">
        <v>380730</v>
      </c>
      <c r="BG16" s="26">
        <v>11283748.109999999</v>
      </c>
      <c r="BH16" s="28">
        <v>53989.225406698562</v>
      </c>
      <c r="BI16" s="25">
        <v>8996297</v>
      </c>
      <c r="BJ16" s="26">
        <v>19084</v>
      </c>
      <c r="BK16" s="28">
        <v>11100736</v>
      </c>
      <c r="BL16" s="492">
        <v>53113.569377990432</v>
      </c>
      <c r="BM16" s="25"/>
      <c r="BN16" s="26"/>
      <c r="BO16" s="28"/>
      <c r="BP16" s="492"/>
      <c r="BQ16" s="483">
        <f t="shared" ref="BQ16:BS21" si="55">+IFERROR(BM16/BI16-1,"")</f>
        <v>-1</v>
      </c>
      <c r="BR16" s="477">
        <f t="shared" si="55"/>
        <v>-1</v>
      </c>
      <c r="BS16" s="469">
        <f t="shared" si="55"/>
        <v>-1</v>
      </c>
      <c r="BT16" s="13"/>
    </row>
    <row r="17" spans="1:75">
      <c r="A17" s="10" t="str">
        <f t="shared" si="43"/>
        <v>고객서비스그룹CL4(수석)</v>
      </c>
      <c r="B17" s="526" t="str">
        <f>+B16</f>
        <v>고객서비스그룹</v>
      </c>
      <c r="C17" s="527" t="s">
        <v>246</v>
      </c>
      <c r="D17" s="18" t="s">
        <v>105</v>
      </c>
      <c r="E17" s="17" t="s">
        <v>517</v>
      </c>
      <c r="F17" s="18" t="s">
        <v>82</v>
      </c>
      <c r="G17" s="29">
        <v>11270217</v>
      </c>
      <c r="H17" s="30">
        <v>11270217</v>
      </c>
      <c r="I17" s="31">
        <v>12351854</v>
      </c>
      <c r="J17" s="30">
        <f t="shared" ref="J17:T17" si="56">I17</f>
        <v>12351854</v>
      </c>
      <c r="K17" s="30">
        <f t="shared" si="56"/>
        <v>12351854</v>
      </c>
      <c r="L17" s="30">
        <f t="shared" si="56"/>
        <v>12351854</v>
      </c>
      <c r="M17" s="30">
        <f t="shared" si="56"/>
        <v>12351854</v>
      </c>
      <c r="N17" s="32">
        <f t="shared" si="56"/>
        <v>12351854</v>
      </c>
      <c r="O17" s="32">
        <f t="shared" si="56"/>
        <v>12351854</v>
      </c>
      <c r="P17" s="30">
        <f t="shared" si="56"/>
        <v>12351854</v>
      </c>
      <c r="Q17" s="30">
        <f t="shared" si="56"/>
        <v>12351854</v>
      </c>
      <c r="R17" s="33">
        <f t="shared" si="56"/>
        <v>12351854</v>
      </c>
      <c r="S17" s="29">
        <f t="shared" si="56"/>
        <v>12351854</v>
      </c>
      <c r="T17" s="30">
        <f t="shared" si="56"/>
        <v>12351854</v>
      </c>
      <c r="U17" s="1201">
        <f t="shared" si="45"/>
        <v>12969447</v>
      </c>
      <c r="V17" s="31">
        <v>10432784</v>
      </c>
      <c r="W17" s="30">
        <f t="shared" ref="W17:AF17" si="57">V17</f>
        <v>10432784</v>
      </c>
      <c r="X17" s="30">
        <f t="shared" si="57"/>
        <v>10432784</v>
      </c>
      <c r="Y17" s="30">
        <f t="shared" si="57"/>
        <v>10432784</v>
      </c>
      <c r="Z17" s="32">
        <f t="shared" si="57"/>
        <v>10432784</v>
      </c>
      <c r="AA17" s="32">
        <f t="shared" si="57"/>
        <v>10432784</v>
      </c>
      <c r="AB17" s="30">
        <f t="shared" si="57"/>
        <v>10432784</v>
      </c>
      <c r="AC17" s="30">
        <f t="shared" si="57"/>
        <v>10432784</v>
      </c>
      <c r="AD17" s="33">
        <f t="shared" si="57"/>
        <v>10432784</v>
      </c>
      <c r="AE17" s="29">
        <f t="shared" si="57"/>
        <v>10432784</v>
      </c>
      <c r="AF17" s="30">
        <f t="shared" si="57"/>
        <v>10432784</v>
      </c>
      <c r="AG17" s="31">
        <f t="shared" si="47"/>
        <v>10954423</v>
      </c>
      <c r="AH17" s="30">
        <f t="shared" si="48"/>
        <v>10954423</v>
      </c>
      <c r="AI17" s="30">
        <f t="shared" si="48"/>
        <v>10954423</v>
      </c>
      <c r="AJ17" s="30">
        <f t="shared" si="48"/>
        <v>10954423</v>
      </c>
      <c r="AK17" s="30">
        <f t="shared" si="48"/>
        <v>10954423</v>
      </c>
      <c r="AL17" s="32">
        <f t="shared" si="48"/>
        <v>10954423</v>
      </c>
      <c r="AM17" s="32">
        <f t="shared" si="48"/>
        <v>10954423</v>
      </c>
      <c r="AN17" s="30">
        <f t="shared" si="48"/>
        <v>10954423</v>
      </c>
      <c r="AO17" s="30">
        <f t="shared" si="48"/>
        <v>10954423</v>
      </c>
      <c r="AP17" s="685">
        <f t="shared" si="49"/>
        <v>10954423</v>
      </c>
      <c r="AQ17" s="685">
        <f t="shared" si="50"/>
        <v>10954423</v>
      </c>
      <c r="AR17" s="685">
        <f t="shared" si="51"/>
        <v>10954423</v>
      </c>
      <c r="AS17" s="694">
        <f t="shared" si="52"/>
        <v>11502144</v>
      </c>
      <c r="AT17" s="685">
        <f t="shared" ref="AT17:BB17" si="58">+AS17</f>
        <v>11502144</v>
      </c>
      <c r="AU17" s="685">
        <f t="shared" si="58"/>
        <v>11502144</v>
      </c>
      <c r="AV17" s="685">
        <f t="shared" si="58"/>
        <v>11502144</v>
      </c>
      <c r="AW17" s="685">
        <f t="shared" si="58"/>
        <v>11502144</v>
      </c>
      <c r="AX17" s="685">
        <f t="shared" si="58"/>
        <v>11502144</v>
      </c>
      <c r="AY17" s="685">
        <f t="shared" si="58"/>
        <v>11502144</v>
      </c>
      <c r="AZ17" s="685">
        <f t="shared" si="58"/>
        <v>11502144</v>
      </c>
      <c r="BA17" s="685">
        <f t="shared" si="58"/>
        <v>11502144</v>
      </c>
      <c r="BB17" s="33">
        <f t="shared" si="58"/>
        <v>11502144</v>
      </c>
      <c r="BC17" s="10" t="str">
        <f t="shared" si="54"/>
        <v>고객서비스그룹수석(CL4)</v>
      </c>
      <c r="BD17" s="10" t="str">
        <f>B17&amp;E17</f>
        <v>고객서비스그룹CL4(수석)</v>
      </c>
      <c r="BE17" s="29">
        <v>7049270</v>
      </c>
      <c r="BF17" s="30">
        <v>407864.61538461538</v>
      </c>
      <c r="BG17" s="30">
        <v>8781733.4017948695</v>
      </c>
      <c r="BH17" s="33">
        <v>42017.863166482632</v>
      </c>
      <c r="BI17" s="29">
        <v>6819250</v>
      </c>
      <c r="BJ17" s="30">
        <v>73534</v>
      </c>
      <c r="BK17" s="33">
        <v>8291279</v>
      </c>
      <c r="BL17" s="493">
        <v>39671.191387559811</v>
      </c>
      <c r="BM17" s="29"/>
      <c r="BN17" s="30"/>
      <c r="BO17" s="33"/>
      <c r="BP17" s="493"/>
      <c r="BQ17" s="484">
        <f t="shared" si="55"/>
        <v>-1</v>
      </c>
      <c r="BR17" s="478">
        <f t="shared" si="55"/>
        <v>-1</v>
      </c>
      <c r="BS17" s="470">
        <f t="shared" si="55"/>
        <v>-1</v>
      </c>
      <c r="BT17" s="13"/>
    </row>
    <row r="18" spans="1:75">
      <c r="A18" s="10" t="str">
        <f t="shared" si="43"/>
        <v>고객서비스그룹CL3(책임-수석보)</v>
      </c>
      <c r="B18" s="526" t="str">
        <f>+B17</f>
        <v>고객서비스그룹</v>
      </c>
      <c r="C18" s="527" t="s">
        <v>247</v>
      </c>
      <c r="D18" s="18" t="s">
        <v>105</v>
      </c>
      <c r="E18" s="17" t="s">
        <v>455</v>
      </c>
      <c r="F18" s="18" t="s">
        <v>459</v>
      </c>
      <c r="G18" s="29">
        <v>7911457</v>
      </c>
      <c r="H18" s="30">
        <v>7911457</v>
      </c>
      <c r="I18" s="31">
        <v>7892693</v>
      </c>
      <c r="J18" s="30">
        <f t="shared" ref="J18:T18" si="59">I18</f>
        <v>7892693</v>
      </c>
      <c r="K18" s="30">
        <f t="shared" si="59"/>
        <v>7892693</v>
      </c>
      <c r="L18" s="30">
        <f t="shared" si="59"/>
        <v>7892693</v>
      </c>
      <c r="M18" s="30">
        <f t="shared" si="59"/>
        <v>7892693</v>
      </c>
      <c r="N18" s="34">
        <f t="shared" si="59"/>
        <v>7892693</v>
      </c>
      <c r="O18" s="32">
        <f t="shared" si="59"/>
        <v>7892693</v>
      </c>
      <c r="P18" s="30">
        <f t="shared" si="59"/>
        <v>7892693</v>
      </c>
      <c r="Q18" s="30">
        <f t="shared" si="59"/>
        <v>7892693</v>
      </c>
      <c r="R18" s="33">
        <f t="shared" si="59"/>
        <v>7892693</v>
      </c>
      <c r="S18" s="29">
        <f t="shared" si="59"/>
        <v>7892693</v>
      </c>
      <c r="T18" s="30">
        <f t="shared" si="59"/>
        <v>7892693</v>
      </c>
      <c r="U18" s="1201">
        <f t="shared" si="45"/>
        <v>8287328</v>
      </c>
      <c r="V18" s="31">
        <v>8019155</v>
      </c>
      <c r="W18" s="30">
        <f t="shared" ref="W18:AF18" si="60">V18</f>
        <v>8019155</v>
      </c>
      <c r="X18" s="30">
        <f t="shared" si="60"/>
        <v>8019155</v>
      </c>
      <c r="Y18" s="30">
        <f t="shared" si="60"/>
        <v>8019155</v>
      </c>
      <c r="Z18" s="34">
        <f t="shared" si="60"/>
        <v>8019155</v>
      </c>
      <c r="AA18" s="32">
        <f t="shared" si="60"/>
        <v>8019155</v>
      </c>
      <c r="AB18" s="30">
        <f t="shared" si="60"/>
        <v>8019155</v>
      </c>
      <c r="AC18" s="30">
        <f t="shared" si="60"/>
        <v>8019155</v>
      </c>
      <c r="AD18" s="33">
        <f t="shared" si="60"/>
        <v>8019155</v>
      </c>
      <c r="AE18" s="29">
        <f t="shared" si="60"/>
        <v>8019155</v>
      </c>
      <c r="AF18" s="30">
        <f t="shared" si="60"/>
        <v>8019155</v>
      </c>
      <c r="AG18" s="31">
        <f t="shared" si="47"/>
        <v>8420113</v>
      </c>
      <c r="AH18" s="30">
        <f t="shared" si="48"/>
        <v>8420113</v>
      </c>
      <c r="AI18" s="30">
        <f t="shared" si="48"/>
        <v>8420113</v>
      </c>
      <c r="AJ18" s="30">
        <f t="shared" si="48"/>
        <v>8420113</v>
      </c>
      <c r="AK18" s="30">
        <f t="shared" si="48"/>
        <v>8420113</v>
      </c>
      <c r="AL18" s="34">
        <f t="shared" si="48"/>
        <v>8420113</v>
      </c>
      <c r="AM18" s="32">
        <f t="shared" si="48"/>
        <v>8420113</v>
      </c>
      <c r="AN18" s="30">
        <f t="shared" si="48"/>
        <v>8420113</v>
      </c>
      <c r="AO18" s="30">
        <f t="shared" si="48"/>
        <v>8420113</v>
      </c>
      <c r="AP18" s="685">
        <f t="shared" si="49"/>
        <v>8420113</v>
      </c>
      <c r="AQ18" s="685">
        <f t="shared" si="50"/>
        <v>8420113</v>
      </c>
      <c r="AR18" s="685">
        <f t="shared" si="51"/>
        <v>8420113</v>
      </c>
      <c r="AS18" s="694">
        <f t="shared" si="52"/>
        <v>8841119</v>
      </c>
      <c r="AT18" s="685">
        <f t="shared" ref="AT18:BB18" si="61">+AS18</f>
        <v>8841119</v>
      </c>
      <c r="AU18" s="685">
        <f t="shared" si="61"/>
        <v>8841119</v>
      </c>
      <c r="AV18" s="685">
        <f t="shared" si="61"/>
        <v>8841119</v>
      </c>
      <c r="AW18" s="685">
        <f t="shared" si="61"/>
        <v>8841119</v>
      </c>
      <c r="AX18" s="685">
        <f t="shared" si="61"/>
        <v>8841119</v>
      </c>
      <c r="AY18" s="685">
        <f t="shared" si="61"/>
        <v>8841119</v>
      </c>
      <c r="AZ18" s="685">
        <f t="shared" si="61"/>
        <v>8841119</v>
      </c>
      <c r="BA18" s="685">
        <f t="shared" si="61"/>
        <v>8841119</v>
      </c>
      <c r="BB18" s="33">
        <f t="shared" si="61"/>
        <v>8841119</v>
      </c>
      <c r="BC18" s="10" t="str">
        <f t="shared" si="54"/>
        <v>고객서비스그룹수석보(CL3)</v>
      </c>
      <c r="BD18" s="10" t="str">
        <f>B18&amp;E18</f>
        <v>고객서비스그룹CL3(책임-수석보)</v>
      </c>
      <c r="BE18" s="29">
        <v>5346169</v>
      </c>
      <c r="BF18" s="30">
        <v>245017.14285714284</v>
      </c>
      <c r="BG18" s="30">
        <v>6630499.2028571432</v>
      </c>
      <c r="BH18" s="33">
        <v>31724.876568694464</v>
      </c>
      <c r="BI18" s="29">
        <v>5309581</v>
      </c>
      <c r="BJ18" s="30">
        <v>54138</v>
      </c>
      <c r="BK18" s="33">
        <v>6477890</v>
      </c>
      <c r="BL18" s="493">
        <v>30994.688995215311</v>
      </c>
      <c r="BM18" s="29"/>
      <c r="BN18" s="30"/>
      <c r="BO18" s="33"/>
      <c r="BP18" s="493"/>
      <c r="BQ18" s="484">
        <f t="shared" si="55"/>
        <v>-1</v>
      </c>
      <c r="BR18" s="478">
        <f t="shared" si="55"/>
        <v>-1</v>
      </c>
      <c r="BS18" s="470">
        <f t="shared" si="55"/>
        <v>-1</v>
      </c>
      <c r="BT18" s="13"/>
    </row>
    <row r="19" spans="1:75">
      <c r="A19" s="10" t="str">
        <f t="shared" si="43"/>
        <v>고객서비스그룹CL2(사원-선임)</v>
      </c>
      <c r="B19" s="526" t="str">
        <f>+B18</f>
        <v>고객서비스그룹</v>
      </c>
      <c r="C19" s="527" t="s">
        <v>248</v>
      </c>
      <c r="D19" s="18" t="s">
        <v>102</v>
      </c>
      <c r="E19" s="17" t="s">
        <v>457</v>
      </c>
      <c r="F19" s="18" t="s">
        <v>461</v>
      </c>
      <c r="G19" s="29">
        <v>6233478</v>
      </c>
      <c r="H19" s="30">
        <v>6233478</v>
      </c>
      <c r="I19" s="31">
        <v>5926520</v>
      </c>
      <c r="J19" s="30">
        <f t="shared" ref="J19:T19" si="62">I19</f>
        <v>5926520</v>
      </c>
      <c r="K19" s="30">
        <f t="shared" si="62"/>
        <v>5926520</v>
      </c>
      <c r="L19" s="30">
        <f t="shared" si="62"/>
        <v>5926520</v>
      </c>
      <c r="M19" s="30">
        <f t="shared" si="62"/>
        <v>5926520</v>
      </c>
      <c r="N19" s="34">
        <f t="shared" si="62"/>
        <v>5926520</v>
      </c>
      <c r="O19" s="32">
        <f t="shared" si="62"/>
        <v>5926520</v>
      </c>
      <c r="P19" s="30">
        <f t="shared" si="62"/>
        <v>5926520</v>
      </c>
      <c r="Q19" s="30">
        <f t="shared" si="62"/>
        <v>5926520</v>
      </c>
      <c r="R19" s="33">
        <f t="shared" si="62"/>
        <v>5926520</v>
      </c>
      <c r="S19" s="29">
        <f t="shared" si="62"/>
        <v>5926520</v>
      </c>
      <c r="T19" s="30">
        <f t="shared" si="62"/>
        <v>5926520</v>
      </c>
      <c r="U19" s="1201">
        <f t="shared" si="45"/>
        <v>6222846</v>
      </c>
      <c r="V19" s="31">
        <v>6330552</v>
      </c>
      <c r="W19" s="30">
        <f t="shared" ref="W19:AF19" si="63">V19</f>
        <v>6330552</v>
      </c>
      <c r="X19" s="30">
        <f t="shared" si="63"/>
        <v>6330552</v>
      </c>
      <c r="Y19" s="30">
        <f t="shared" si="63"/>
        <v>6330552</v>
      </c>
      <c r="Z19" s="34">
        <f t="shared" si="63"/>
        <v>6330552</v>
      </c>
      <c r="AA19" s="32">
        <f t="shared" si="63"/>
        <v>6330552</v>
      </c>
      <c r="AB19" s="30">
        <f t="shared" si="63"/>
        <v>6330552</v>
      </c>
      <c r="AC19" s="30">
        <f t="shared" si="63"/>
        <v>6330552</v>
      </c>
      <c r="AD19" s="33">
        <f t="shared" si="63"/>
        <v>6330552</v>
      </c>
      <c r="AE19" s="29">
        <f t="shared" si="63"/>
        <v>6330552</v>
      </c>
      <c r="AF19" s="30">
        <f t="shared" si="63"/>
        <v>6330552</v>
      </c>
      <c r="AG19" s="31">
        <f t="shared" si="47"/>
        <v>6647080</v>
      </c>
      <c r="AH19" s="30">
        <f t="shared" si="48"/>
        <v>6647080</v>
      </c>
      <c r="AI19" s="30">
        <f t="shared" si="48"/>
        <v>6647080</v>
      </c>
      <c r="AJ19" s="30">
        <f t="shared" si="48"/>
        <v>6647080</v>
      </c>
      <c r="AK19" s="30">
        <f t="shared" si="48"/>
        <v>6647080</v>
      </c>
      <c r="AL19" s="34">
        <f t="shared" si="48"/>
        <v>6647080</v>
      </c>
      <c r="AM19" s="32">
        <f t="shared" si="48"/>
        <v>6647080</v>
      </c>
      <c r="AN19" s="30">
        <f t="shared" si="48"/>
        <v>6647080</v>
      </c>
      <c r="AO19" s="30">
        <f t="shared" si="48"/>
        <v>6647080</v>
      </c>
      <c r="AP19" s="685">
        <f t="shared" si="49"/>
        <v>6647080</v>
      </c>
      <c r="AQ19" s="685">
        <f t="shared" si="50"/>
        <v>6647080</v>
      </c>
      <c r="AR19" s="685">
        <f t="shared" si="51"/>
        <v>6647080</v>
      </c>
      <c r="AS19" s="694">
        <f t="shared" si="52"/>
        <v>6979434</v>
      </c>
      <c r="AT19" s="685">
        <f t="shared" ref="AT19:BB19" si="64">+AS19</f>
        <v>6979434</v>
      </c>
      <c r="AU19" s="685">
        <f t="shared" si="64"/>
        <v>6979434</v>
      </c>
      <c r="AV19" s="685">
        <f t="shared" si="64"/>
        <v>6979434</v>
      </c>
      <c r="AW19" s="685">
        <f t="shared" si="64"/>
        <v>6979434</v>
      </c>
      <c r="AX19" s="685">
        <f t="shared" si="64"/>
        <v>6979434</v>
      </c>
      <c r="AY19" s="685">
        <f t="shared" si="64"/>
        <v>6979434</v>
      </c>
      <c r="AZ19" s="685">
        <f t="shared" si="64"/>
        <v>6979434</v>
      </c>
      <c r="BA19" s="685">
        <f t="shared" si="64"/>
        <v>6979434</v>
      </c>
      <c r="BB19" s="33">
        <f t="shared" si="64"/>
        <v>6979434</v>
      </c>
      <c r="BC19" s="10" t="str">
        <f t="shared" si="54"/>
        <v>고객서비스그룹책임(CL3)</v>
      </c>
      <c r="BD19" s="10" t="str">
        <f>B19&amp;E19</f>
        <v>고객서비스그룹CL2(사원-선임)</v>
      </c>
      <c r="BE19" s="29">
        <v>3720170</v>
      </c>
      <c r="BF19" s="30">
        <v>159295</v>
      </c>
      <c r="BG19" s="30">
        <v>4646975.5449999999</v>
      </c>
      <c r="BH19" s="33">
        <v>22234.332751196172</v>
      </c>
      <c r="BI19" s="29">
        <v>3760072</v>
      </c>
      <c r="BJ19" s="30">
        <v>25848</v>
      </c>
      <c r="BK19" s="33">
        <v>4777847</v>
      </c>
      <c r="BL19" s="493">
        <v>22860.511961722488</v>
      </c>
      <c r="BM19" s="29"/>
      <c r="BN19" s="30"/>
      <c r="BO19" s="33"/>
      <c r="BP19" s="493"/>
      <c r="BQ19" s="484">
        <f t="shared" si="55"/>
        <v>-1</v>
      </c>
      <c r="BR19" s="478">
        <f t="shared" si="55"/>
        <v>-1</v>
      </c>
      <c r="BS19" s="470">
        <f t="shared" si="55"/>
        <v>-1</v>
      </c>
      <c r="BT19" s="13"/>
    </row>
    <row r="20" spans="1:75">
      <c r="A20" s="10" t="str">
        <f t="shared" si="43"/>
        <v>고객서비스그룹</v>
      </c>
      <c r="B20" s="526" t="str">
        <f>+B19</f>
        <v>고객서비스그룹</v>
      </c>
      <c r="C20" s="527" t="s">
        <v>249</v>
      </c>
      <c r="D20" s="18" t="s">
        <v>103</v>
      </c>
      <c r="E20" s="17"/>
      <c r="F20" s="18"/>
      <c r="G20" s="29"/>
      <c r="H20" s="30"/>
      <c r="I20" s="31">
        <f>ROUND(H20*105%,0)</f>
        <v>0</v>
      </c>
      <c r="J20" s="30"/>
      <c r="K20" s="30"/>
      <c r="L20" s="30"/>
      <c r="M20" s="30"/>
      <c r="N20" s="34"/>
      <c r="O20" s="32"/>
      <c r="P20" s="30"/>
      <c r="Q20" s="30"/>
      <c r="R20" s="33"/>
      <c r="S20" s="29"/>
      <c r="T20" s="30"/>
      <c r="U20" s="1201">
        <f t="shared" si="45"/>
        <v>0</v>
      </c>
      <c r="V20" s="31"/>
      <c r="W20" s="30"/>
      <c r="X20" s="30"/>
      <c r="Y20" s="30"/>
      <c r="Z20" s="34"/>
      <c r="AA20" s="32"/>
      <c r="AB20" s="30"/>
      <c r="AC20" s="30"/>
      <c r="AD20" s="33"/>
      <c r="AE20" s="29"/>
      <c r="AF20" s="30"/>
      <c r="AG20" s="31">
        <f t="shared" si="47"/>
        <v>0</v>
      </c>
      <c r="AH20" s="30"/>
      <c r="AI20" s="30"/>
      <c r="AJ20" s="30"/>
      <c r="AK20" s="30"/>
      <c r="AL20" s="34"/>
      <c r="AM20" s="32"/>
      <c r="AN20" s="30"/>
      <c r="AO20" s="30"/>
      <c r="AP20" s="685"/>
      <c r="AQ20" s="685"/>
      <c r="AR20" s="685"/>
      <c r="AS20" s="694">
        <f t="shared" si="52"/>
        <v>0</v>
      </c>
      <c r="AT20" s="685">
        <f t="shared" ref="AT20:BB20" si="65">+AS20</f>
        <v>0</v>
      </c>
      <c r="AU20" s="685">
        <f t="shared" si="65"/>
        <v>0</v>
      </c>
      <c r="AV20" s="685">
        <f t="shared" si="65"/>
        <v>0</v>
      </c>
      <c r="AW20" s="685">
        <f t="shared" si="65"/>
        <v>0</v>
      </c>
      <c r="AX20" s="685">
        <f t="shared" si="65"/>
        <v>0</v>
      </c>
      <c r="AY20" s="685">
        <f t="shared" si="65"/>
        <v>0</v>
      </c>
      <c r="AZ20" s="685">
        <f t="shared" si="65"/>
        <v>0</v>
      </c>
      <c r="BA20" s="685">
        <f t="shared" si="65"/>
        <v>0</v>
      </c>
      <c r="BB20" s="33">
        <f t="shared" si="65"/>
        <v>0</v>
      </c>
      <c r="BC20" s="10" t="str">
        <f t="shared" si="54"/>
        <v>고객서비스그룹선임(CL2)</v>
      </c>
      <c r="BE20" s="29">
        <v>0</v>
      </c>
      <c r="BF20" s="30"/>
      <c r="BG20" s="30"/>
      <c r="BH20" s="33"/>
      <c r="BI20" s="29">
        <v>0</v>
      </c>
      <c r="BJ20" s="30">
        <v>0</v>
      </c>
      <c r="BK20" s="33">
        <v>0</v>
      </c>
      <c r="BL20" s="493"/>
      <c r="BM20" s="29"/>
      <c r="BN20" s="30"/>
      <c r="BO20" s="33"/>
      <c r="BP20" s="493"/>
      <c r="BQ20" s="484" t="str">
        <f t="shared" si="55"/>
        <v/>
      </c>
      <c r="BR20" s="478" t="str">
        <f t="shared" si="55"/>
        <v/>
      </c>
      <c r="BS20" s="470" t="str">
        <f t="shared" si="55"/>
        <v/>
      </c>
      <c r="BT20" s="13"/>
    </row>
    <row r="21" spans="1:75">
      <c r="A21" s="10" t="str">
        <f t="shared" si="43"/>
        <v>고객서비스그룹</v>
      </c>
      <c r="B21" s="528" t="str">
        <f>+B20</f>
        <v>고객서비스그룹</v>
      </c>
      <c r="C21" s="529" t="s">
        <v>250</v>
      </c>
      <c r="D21" s="20" t="s">
        <v>104</v>
      </c>
      <c r="E21" s="19"/>
      <c r="F21" s="20"/>
      <c r="G21" s="35"/>
      <c r="H21" s="36"/>
      <c r="I21" s="37">
        <f>ROUND(H21*105%,0)</f>
        <v>0</v>
      </c>
      <c r="J21" s="36"/>
      <c r="K21" s="36"/>
      <c r="L21" s="36"/>
      <c r="M21" s="36"/>
      <c r="N21" s="38"/>
      <c r="O21" s="39"/>
      <c r="P21" s="36"/>
      <c r="Q21" s="36"/>
      <c r="R21" s="40"/>
      <c r="S21" s="35"/>
      <c r="T21" s="36"/>
      <c r="U21" s="1202">
        <f t="shared" si="45"/>
        <v>0</v>
      </c>
      <c r="V21" s="37"/>
      <c r="W21" s="36"/>
      <c r="X21" s="36"/>
      <c r="Y21" s="36"/>
      <c r="Z21" s="38"/>
      <c r="AA21" s="39"/>
      <c r="AB21" s="36"/>
      <c r="AC21" s="36"/>
      <c r="AD21" s="40"/>
      <c r="AE21" s="35"/>
      <c r="AF21" s="36"/>
      <c r="AG21" s="37">
        <f t="shared" si="47"/>
        <v>0</v>
      </c>
      <c r="AH21" s="36"/>
      <c r="AI21" s="36"/>
      <c r="AJ21" s="36"/>
      <c r="AK21" s="36"/>
      <c r="AL21" s="38"/>
      <c r="AM21" s="39"/>
      <c r="AN21" s="36"/>
      <c r="AO21" s="36"/>
      <c r="AP21" s="686"/>
      <c r="AQ21" s="686"/>
      <c r="AR21" s="686"/>
      <c r="AS21" s="695">
        <f t="shared" si="52"/>
        <v>0</v>
      </c>
      <c r="AT21" s="686">
        <f t="shared" ref="AT21:BB21" si="66">+AS21</f>
        <v>0</v>
      </c>
      <c r="AU21" s="686">
        <f t="shared" si="66"/>
        <v>0</v>
      </c>
      <c r="AV21" s="686">
        <f t="shared" si="66"/>
        <v>0</v>
      </c>
      <c r="AW21" s="686">
        <f t="shared" si="66"/>
        <v>0</v>
      </c>
      <c r="AX21" s="686">
        <f t="shared" si="66"/>
        <v>0</v>
      </c>
      <c r="AY21" s="686">
        <f t="shared" si="66"/>
        <v>0</v>
      </c>
      <c r="AZ21" s="686">
        <f t="shared" si="66"/>
        <v>0</v>
      </c>
      <c r="BA21" s="686">
        <f t="shared" si="66"/>
        <v>0</v>
      </c>
      <c r="BB21" s="40">
        <f t="shared" si="66"/>
        <v>0</v>
      </c>
      <c r="BC21" s="10" t="str">
        <f t="shared" si="54"/>
        <v>고객서비스그룹사원(CL1-CL2)</v>
      </c>
      <c r="BE21" s="35">
        <v>0</v>
      </c>
      <c r="BF21" s="36"/>
      <c r="BG21" s="36"/>
      <c r="BH21" s="40"/>
      <c r="BI21" s="35">
        <v>0</v>
      </c>
      <c r="BJ21" s="36">
        <v>0</v>
      </c>
      <c r="BK21" s="40">
        <v>0</v>
      </c>
      <c r="BL21" s="494"/>
      <c r="BM21" s="35"/>
      <c r="BN21" s="36"/>
      <c r="BO21" s="40"/>
      <c r="BP21" s="494"/>
      <c r="BQ21" s="485" t="str">
        <f t="shared" si="55"/>
        <v/>
      </c>
      <c r="BR21" s="479" t="str">
        <f t="shared" si="55"/>
        <v/>
      </c>
      <c r="BS21" s="471" t="str">
        <f t="shared" si="55"/>
        <v/>
      </c>
      <c r="BT21" s="13"/>
    </row>
    <row r="22" spans="1:75">
      <c r="A22" s="10" t="str">
        <f t="shared" si="0"/>
        <v>설비자동화그룹이사</v>
      </c>
      <c r="B22" s="523" t="s">
        <v>915</v>
      </c>
      <c r="C22" s="525" t="s">
        <v>12</v>
      </c>
      <c r="D22" s="15" t="s">
        <v>105</v>
      </c>
      <c r="E22" s="16" t="s">
        <v>12</v>
      </c>
      <c r="F22" s="15" t="s">
        <v>82</v>
      </c>
      <c r="G22" s="41">
        <v>0</v>
      </c>
      <c r="H22" s="42">
        <v>0</v>
      </c>
      <c r="I22" s="43">
        <f t="shared" si="22"/>
        <v>0</v>
      </c>
      <c r="J22" s="42">
        <f t="shared" ref="J22:T22" si="67">I22</f>
        <v>0</v>
      </c>
      <c r="K22" s="42">
        <f t="shared" si="67"/>
        <v>0</v>
      </c>
      <c r="L22" s="42">
        <f t="shared" si="67"/>
        <v>0</v>
      </c>
      <c r="M22" s="42">
        <f t="shared" si="67"/>
        <v>0</v>
      </c>
      <c r="N22" s="42">
        <f t="shared" si="67"/>
        <v>0</v>
      </c>
      <c r="O22" s="42">
        <f t="shared" si="67"/>
        <v>0</v>
      </c>
      <c r="P22" s="42">
        <f t="shared" si="67"/>
        <v>0</v>
      </c>
      <c r="Q22" s="42">
        <f t="shared" si="67"/>
        <v>0</v>
      </c>
      <c r="R22" s="44">
        <f t="shared" si="67"/>
        <v>0</v>
      </c>
      <c r="S22" s="41">
        <f t="shared" si="67"/>
        <v>0</v>
      </c>
      <c r="T22" s="42">
        <f t="shared" si="67"/>
        <v>0</v>
      </c>
      <c r="U22" s="541">
        <f t="shared" si="2"/>
        <v>0</v>
      </c>
      <c r="V22" s="43">
        <f t="shared" ref="V22:AF22" si="68">U22</f>
        <v>0</v>
      </c>
      <c r="W22" s="42">
        <f t="shared" si="68"/>
        <v>0</v>
      </c>
      <c r="X22" s="42">
        <f t="shared" si="68"/>
        <v>0</v>
      </c>
      <c r="Y22" s="42">
        <f t="shared" si="68"/>
        <v>0</v>
      </c>
      <c r="Z22" s="42">
        <f t="shared" si="68"/>
        <v>0</v>
      </c>
      <c r="AA22" s="42">
        <f t="shared" si="68"/>
        <v>0</v>
      </c>
      <c r="AB22" s="42">
        <f t="shared" si="68"/>
        <v>0</v>
      </c>
      <c r="AC22" s="42">
        <f t="shared" si="68"/>
        <v>0</v>
      </c>
      <c r="AD22" s="44">
        <f t="shared" si="68"/>
        <v>0</v>
      </c>
      <c r="AE22" s="41">
        <f t="shared" si="68"/>
        <v>0</v>
      </c>
      <c r="AF22" s="42">
        <f t="shared" si="68"/>
        <v>0</v>
      </c>
      <c r="AG22" s="43">
        <f t="shared" si="4"/>
        <v>0</v>
      </c>
      <c r="AH22" s="42">
        <f t="shared" ref="AH22:AO26" si="69">AG22</f>
        <v>0</v>
      </c>
      <c r="AI22" s="42">
        <f t="shared" si="69"/>
        <v>0</v>
      </c>
      <c r="AJ22" s="42">
        <f t="shared" si="69"/>
        <v>0</v>
      </c>
      <c r="AK22" s="42">
        <f t="shared" si="69"/>
        <v>0</v>
      </c>
      <c r="AL22" s="42">
        <f t="shared" si="69"/>
        <v>0</v>
      </c>
      <c r="AM22" s="42">
        <f t="shared" si="69"/>
        <v>0</v>
      </c>
      <c r="AN22" s="42">
        <f t="shared" si="69"/>
        <v>0</v>
      </c>
      <c r="AO22" s="42">
        <f t="shared" si="69"/>
        <v>0</v>
      </c>
      <c r="AP22" s="687">
        <f t="shared" ref="AP22:AP26" si="70">AO22</f>
        <v>0</v>
      </c>
      <c r="AQ22" s="687">
        <f t="shared" ref="AQ22:AQ26" si="71">AP22</f>
        <v>0</v>
      </c>
      <c r="AR22" s="687">
        <f t="shared" ref="AR22:AR26" si="72">AQ22</f>
        <v>0</v>
      </c>
      <c r="AS22" s="696">
        <f t="shared" si="7"/>
        <v>0</v>
      </c>
      <c r="AT22" s="687">
        <f t="shared" ref="AT22:BB22" si="73">+AS22</f>
        <v>0</v>
      </c>
      <c r="AU22" s="687">
        <f t="shared" si="73"/>
        <v>0</v>
      </c>
      <c r="AV22" s="687">
        <f t="shared" si="73"/>
        <v>0</v>
      </c>
      <c r="AW22" s="687">
        <f t="shared" si="73"/>
        <v>0</v>
      </c>
      <c r="AX22" s="687">
        <f t="shared" si="73"/>
        <v>0</v>
      </c>
      <c r="AY22" s="687">
        <f t="shared" si="73"/>
        <v>0</v>
      </c>
      <c r="AZ22" s="687">
        <f t="shared" si="73"/>
        <v>0</v>
      </c>
      <c r="BA22" s="687">
        <f t="shared" si="73"/>
        <v>0</v>
      </c>
      <c r="BB22" s="44">
        <f t="shared" si="73"/>
        <v>0</v>
      </c>
      <c r="BC22" s="544" t="str">
        <f t="shared" si="9"/>
        <v>설비자동화그룹이사</v>
      </c>
      <c r="BD22" s="544" t="str">
        <f>B22&amp;E22</f>
        <v>설비자동화그룹이사</v>
      </c>
      <c r="BE22" s="41">
        <v>0</v>
      </c>
      <c r="BF22" s="42"/>
      <c r="BG22" s="42">
        <v>8760000</v>
      </c>
      <c r="BH22" s="44">
        <v>41913.875598086124</v>
      </c>
      <c r="BI22" s="41">
        <v>0</v>
      </c>
      <c r="BJ22" s="42">
        <v>0</v>
      </c>
      <c r="BK22" s="44">
        <v>9000000</v>
      </c>
      <c r="BL22" s="495">
        <v>43062.200956937799</v>
      </c>
      <c r="BM22" s="41"/>
      <c r="BN22" s="42"/>
      <c r="BO22" s="44"/>
      <c r="BP22" s="495"/>
      <c r="BQ22" s="486" t="str">
        <f t="shared" si="10"/>
        <v/>
      </c>
      <c r="BR22" s="480" t="str">
        <f t="shared" si="11"/>
        <v/>
      </c>
      <c r="BS22" s="472">
        <f t="shared" si="12"/>
        <v>-1</v>
      </c>
      <c r="BT22" s="549"/>
      <c r="BU22" s="539"/>
      <c r="BV22" s="539"/>
      <c r="BW22" s="544"/>
    </row>
    <row r="23" spans="1:75">
      <c r="A23" s="10" t="str">
        <f t="shared" si="0"/>
        <v>설비자동화그룹CL4(수석)</v>
      </c>
      <c r="B23" s="526" t="str">
        <f>+B22</f>
        <v>설비자동화그룹</v>
      </c>
      <c r="C23" s="527" t="s">
        <v>246</v>
      </c>
      <c r="D23" s="18" t="s">
        <v>110</v>
      </c>
      <c r="E23" s="17" t="s">
        <v>445</v>
      </c>
      <c r="F23" s="18" t="s">
        <v>82</v>
      </c>
      <c r="G23" s="45">
        <v>9637471</v>
      </c>
      <c r="H23" s="46">
        <v>9637471</v>
      </c>
      <c r="I23" s="47">
        <v>9610274</v>
      </c>
      <c r="J23" s="46">
        <f t="shared" ref="J23:T23" si="74">I23</f>
        <v>9610274</v>
      </c>
      <c r="K23" s="46">
        <f t="shared" si="74"/>
        <v>9610274</v>
      </c>
      <c r="L23" s="46">
        <f t="shared" si="74"/>
        <v>9610274</v>
      </c>
      <c r="M23" s="46">
        <f t="shared" si="74"/>
        <v>9610274</v>
      </c>
      <c r="N23" s="46">
        <f t="shared" si="74"/>
        <v>9610274</v>
      </c>
      <c r="O23" s="46">
        <f t="shared" si="74"/>
        <v>9610274</v>
      </c>
      <c r="P23" s="46">
        <f t="shared" si="74"/>
        <v>9610274</v>
      </c>
      <c r="Q23" s="46">
        <f t="shared" si="74"/>
        <v>9610274</v>
      </c>
      <c r="R23" s="48">
        <f t="shared" si="74"/>
        <v>9610274</v>
      </c>
      <c r="S23" s="45">
        <f t="shared" si="74"/>
        <v>9610274</v>
      </c>
      <c r="T23" s="46">
        <f t="shared" si="74"/>
        <v>9610274</v>
      </c>
      <c r="U23" s="550">
        <f t="shared" si="2"/>
        <v>10090788</v>
      </c>
      <c r="V23" s="47">
        <v>9905246</v>
      </c>
      <c r="W23" s="46">
        <f t="shared" ref="W23:AF23" si="75">V23</f>
        <v>9905246</v>
      </c>
      <c r="X23" s="46">
        <f t="shared" si="75"/>
        <v>9905246</v>
      </c>
      <c r="Y23" s="46">
        <f t="shared" si="75"/>
        <v>9905246</v>
      </c>
      <c r="Z23" s="46">
        <f t="shared" si="75"/>
        <v>9905246</v>
      </c>
      <c r="AA23" s="46">
        <f t="shared" si="75"/>
        <v>9905246</v>
      </c>
      <c r="AB23" s="46">
        <f t="shared" si="75"/>
        <v>9905246</v>
      </c>
      <c r="AC23" s="46">
        <f t="shared" si="75"/>
        <v>9905246</v>
      </c>
      <c r="AD23" s="48">
        <f t="shared" si="75"/>
        <v>9905246</v>
      </c>
      <c r="AE23" s="45">
        <f t="shared" si="75"/>
        <v>9905246</v>
      </c>
      <c r="AF23" s="46">
        <f t="shared" si="75"/>
        <v>9905246</v>
      </c>
      <c r="AG23" s="47">
        <f t="shared" si="4"/>
        <v>10400508</v>
      </c>
      <c r="AH23" s="46">
        <f t="shared" si="69"/>
        <v>10400508</v>
      </c>
      <c r="AI23" s="46">
        <f t="shared" si="69"/>
        <v>10400508</v>
      </c>
      <c r="AJ23" s="46">
        <f t="shared" si="69"/>
        <v>10400508</v>
      </c>
      <c r="AK23" s="46">
        <f t="shared" si="69"/>
        <v>10400508</v>
      </c>
      <c r="AL23" s="46">
        <f t="shared" si="69"/>
        <v>10400508</v>
      </c>
      <c r="AM23" s="46">
        <f t="shared" si="69"/>
        <v>10400508</v>
      </c>
      <c r="AN23" s="46">
        <f t="shared" si="69"/>
        <v>10400508</v>
      </c>
      <c r="AO23" s="46">
        <f t="shared" si="69"/>
        <v>10400508</v>
      </c>
      <c r="AP23" s="688">
        <f t="shared" si="70"/>
        <v>10400508</v>
      </c>
      <c r="AQ23" s="688">
        <f t="shared" si="71"/>
        <v>10400508</v>
      </c>
      <c r="AR23" s="688">
        <f t="shared" si="72"/>
        <v>10400508</v>
      </c>
      <c r="AS23" s="697">
        <f t="shared" si="7"/>
        <v>10920533</v>
      </c>
      <c r="AT23" s="688">
        <f t="shared" ref="AT23:BB23" si="76">+AS23</f>
        <v>10920533</v>
      </c>
      <c r="AU23" s="688">
        <f t="shared" si="76"/>
        <v>10920533</v>
      </c>
      <c r="AV23" s="688">
        <f t="shared" si="76"/>
        <v>10920533</v>
      </c>
      <c r="AW23" s="688">
        <f t="shared" si="76"/>
        <v>10920533</v>
      </c>
      <c r="AX23" s="688">
        <f t="shared" si="76"/>
        <v>10920533</v>
      </c>
      <c r="AY23" s="688">
        <f t="shared" si="76"/>
        <v>10920533</v>
      </c>
      <c r="AZ23" s="688">
        <f t="shared" si="76"/>
        <v>10920533</v>
      </c>
      <c r="BA23" s="688">
        <f t="shared" si="76"/>
        <v>10920533</v>
      </c>
      <c r="BB23" s="48">
        <f t="shared" si="76"/>
        <v>10920533</v>
      </c>
      <c r="BC23" s="544" t="str">
        <f t="shared" si="9"/>
        <v>설비자동화그룹수석(CL4)</v>
      </c>
      <c r="BD23" s="544" t="str">
        <f>B23&amp;E23</f>
        <v>설비자동화그룹CL4(수석)</v>
      </c>
      <c r="BE23" s="45">
        <v>0</v>
      </c>
      <c r="BF23" s="46"/>
      <c r="BG23" s="46">
        <v>8760000</v>
      </c>
      <c r="BH23" s="48">
        <v>41913.875598086124</v>
      </c>
      <c r="BI23" s="45">
        <v>0</v>
      </c>
      <c r="BJ23" s="46">
        <v>0</v>
      </c>
      <c r="BK23" s="48">
        <v>9000000</v>
      </c>
      <c r="BL23" s="496">
        <v>43062.200956937799</v>
      </c>
      <c r="BM23" s="45"/>
      <c r="BN23" s="46"/>
      <c r="BO23" s="48"/>
      <c r="BP23" s="496"/>
      <c r="BQ23" s="487" t="str">
        <f t="shared" si="10"/>
        <v/>
      </c>
      <c r="BR23" s="481" t="str">
        <f t="shared" si="11"/>
        <v/>
      </c>
      <c r="BS23" s="473">
        <f t="shared" si="12"/>
        <v>-1</v>
      </c>
      <c r="BT23" s="549"/>
      <c r="BU23" s="539"/>
      <c r="BV23" s="539"/>
      <c r="BW23" s="544"/>
    </row>
    <row r="24" spans="1:75">
      <c r="A24" s="10" t="str">
        <f t="shared" si="0"/>
        <v>설비자동화그룹CL3(책임-수석보)</v>
      </c>
      <c r="B24" s="526" t="str">
        <f>+B23</f>
        <v>설비자동화그룹</v>
      </c>
      <c r="C24" s="527" t="s">
        <v>247</v>
      </c>
      <c r="D24" s="18" t="s">
        <v>110</v>
      </c>
      <c r="E24" s="17" t="s">
        <v>455</v>
      </c>
      <c r="F24" s="18" t="s">
        <v>459</v>
      </c>
      <c r="G24" s="45">
        <v>7912010</v>
      </c>
      <c r="H24" s="46">
        <v>7912010</v>
      </c>
      <c r="I24" s="47">
        <v>7981745</v>
      </c>
      <c r="J24" s="46">
        <f t="shared" ref="J24:T24" si="77">I24</f>
        <v>7981745</v>
      </c>
      <c r="K24" s="46">
        <f t="shared" si="77"/>
        <v>7981745</v>
      </c>
      <c r="L24" s="46">
        <f t="shared" si="77"/>
        <v>7981745</v>
      </c>
      <c r="M24" s="46">
        <f t="shared" si="77"/>
        <v>7981745</v>
      </c>
      <c r="N24" s="46">
        <f t="shared" si="77"/>
        <v>7981745</v>
      </c>
      <c r="O24" s="46">
        <f t="shared" si="77"/>
        <v>7981745</v>
      </c>
      <c r="P24" s="46">
        <f t="shared" si="77"/>
        <v>7981745</v>
      </c>
      <c r="Q24" s="46">
        <f t="shared" si="77"/>
        <v>7981745</v>
      </c>
      <c r="R24" s="48">
        <f t="shared" si="77"/>
        <v>7981745</v>
      </c>
      <c r="S24" s="45">
        <f t="shared" si="77"/>
        <v>7981745</v>
      </c>
      <c r="T24" s="46">
        <f t="shared" si="77"/>
        <v>7981745</v>
      </c>
      <c r="U24" s="550">
        <f t="shared" si="2"/>
        <v>8380832</v>
      </c>
      <c r="V24" s="47">
        <v>8081423</v>
      </c>
      <c r="W24" s="46">
        <f t="shared" ref="W24:AF24" si="78">V24</f>
        <v>8081423</v>
      </c>
      <c r="X24" s="46">
        <f t="shared" si="78"/>
        <v>8081423</v>
      </c>
      <c r="Y24" s="46">
        <f t="shared" si="78"/>
        <v>8081423</v>
      </c>
      <c r="Z24" s="46">
        <f t="shared" si="78"/>
        <v>8081423</v>
      </c>
      <c r="AA24" s="46">
        <f t="shared" si="78"/>
        <v>8081423</v>
      </c>
      <c r="AB24" s="46">
        <f t="shared" si="78"/>
        <v>8081423</v>
      </c>
      <c r="AC24" s="46">
        <f t="shared" si="78"/>
        <v>8081423</v>
      </c>
      <c r="AD24" s="48">
        <f t="shared" si="78"/>
        <v>8081423</v>
      </c>
      <c r="AE24" s="45">
        <f t="shared" si="78"/>
        <v>8081423</v>
      </c>
      <c r="AF24" s="46">
        <f t="shared" si="78"/>
        <v>8081423</v>
      </c>
      <c r="AG24" s="47">
        <f t="shared" si="4"/>
        <v>8485494</v>
      </c>
      <c r="AH24" s="46">
        <f t="shared" si="69"/>
        <v>8485494</v>
      </c>
      <c r="AI24" s="46">
        <f t="shared" si="69"/>
        <v>8485494</v>
      </c>
      <c r="AJ24" s="46">
        <f t="shared" si="69"/>
        <v>8485494</v>
      </c>
      <c r="AK24" s="46">
        <f t="shared" si="69"/>
        <v>8485494</v>
      </c>
      <c r="AL24" s="46">
        <f t="shared" si="69"/>
        <v>8485494</v>
      </c>
      <c r="AM24" s="46">
        <f t="shared" si="69"/>
        <v>8485494</v>
      </c>
      <c r="AN24" s="46">
        <f t="shared" si="69"/>
        <v>8485494</v>
      </c>
      <c r="AO24" s="46">
        <f t="shared" si="69"/>
        <v>8485494</v>
      </c>
      <c r="AP24" s="688">
        <f t="shared" si="70"/>
        <v>8485494</v>
      </c>
      <c r="AQ24" s="688">
        <f t="shared" si="71"/>
        <v>8485494</v>
      </c>
      <c r="AR24" s="688">
        <f t="shared" si="72"/>
        <v>8485494</v>
      </c>
      <c r="AS24" s="697">
        <f t="shared" si="7"/>
        <v>8909769</v>
      </c>
      <c r="AT24" s="688">
        <f t="shared" ref="AT24:BB24" si="79">+AS24</f>
        <v>8909769</v>
      </c>
      <c r="AU24" s="688">
        <f t="shared" si="79"/>
        <v>8909769</v>
      </c>
      <c r="AV24" s="688">
        <f t="shared" si="79"/>
        <v>8909769</v>
      </c>
      <c r="AW24" s="688">
        <f t="shared" si="79"/>
        <v>8909769</v>
      </c>
      <c r="AX24" s="688">
        <f t="shared" si="79"/>
        <v>8909769</v>
      </c>
      <c r="AY24" s="688">
        <f t="shared" si="79"/>
        <v>8909769</v>
      </c>
      <c r="AZ24" s="688">
        <f t="shared" si="79"/>
        <v>8909769</v>
      </c>
      <c r="BA24" s="688">
        <f t="shared" si="79"/>
        <v>8909769</v>
      </c>
      <c r="BB24" s="48">
        <f t="shared" si="79"/>
        <v>8909769</v>
      </c>
      <c r="BC24" s="544" t="str">
        <f t="shared" si="9"/>
        <v>설비자동화그룹수석보(CL3)</v>
      </c>
      <c r="BD24" s="544" t="str">
        <f>B24&amp;E24</f>
        <v>설비자동화그룹CL3(책임-수석보)</v>
      </c>
      <c r="BE24" s="45">
        <v>0</v>
      </c>
      <c r="BF24" s="46"/>
      <c r="BG24" s="46">
        <v>8470000</v>
      </c>
      <c r="BH24" s="48">
        <v>40526.315789473687</v>
      </c>
      <c r="BI24" s="45">
        <v>0</v>
      </c>
      <c r="BJ24" s="46">
        <v>0</v>
      </c>
      <c r="BK24" s="48">
        <v>7640000</v>
      </c>
      <c r="BL24" s="496">
        <v>36555.023923444976</v>
      </c>
      <c r="BM24" s="45"/>
      <c r="BN24" s="46"/>
      <c r="BO24" s="48"/>
      <c r="BP24" s="496"/>
      <c r="BQ24" s="487" t="str">
        <f t="shared" si="10"/>
        <v/>
      </c>
      <c r="BR24" s="481" t="str">
        <f t="shared" si="11"/>
        <v/>
      </c>
      <c r="BS24" s="473">
        <f t="shared" si="12"/>
        <v>-1</v>
      </c>
      <c r="BT24" s="549"/>
      <c r="BU24" s="539"/>
      <c r="BV24" s="539"/>
      <c r="BW24" s="544"/>
    </row>
    <row r="25" spans="1:75">
      <c r="A25" s="10" t="str">
        <f t="shared" si="0"/>
        <v>설비자동화그룹CL2(사원-선임)</v>
      </c>
      <c r="B25" s="526" t="str">
        <f>+B24</f>
        <v>설비자동화그룹</v>
      </c>
      <c r="C25" s="527" t="s">
        <v>248</v>
      </c>
      <c r="D25" s="18" t="s">
        <v>111</v>
      </c>
      <c r="E25" s="17" t="s">
        <v>457</v>
      </c>
      <c r="F25" s="18" t="s">
        <v>461</v>
      </c>
      <c r="G25" s="45">
        <v>5800094</v>
      </c>
      <c r="H25" s="46">
        <v>5800094</v>
      </c>
      <c r="I25" s="47">
        <v>5655880</v>
      </c>
      <c r="J25" s="46">
        <f t="shared" ref="J25:T25" si="80">I25</f>
        <v>5655880</v>
      </c>
      <c r="K25" s="46">
        <f t="shared" si="80"/>
        <v>5655880</v>
      </c>
      <c r="L25" s="46">
        <f t="shared" si="80"/>
        <v>5655880</v>
      </c>
      <c r="M25" s="46">
        <f t="shared" si="80"/>
        <v>5655880</v>
      </c>
      <c r="N25" s="46">
        <f t="shared" si="80"/>
        <v>5655880</v>
      </c>
      <c r="O25" s="46">
        <f t="shared" si="80"/>
        <v>5655880</v>
      </c>
      <c r="P25" s="46">
        <f t="shared" si="80"/>
        <v>5655880</v>
      </c>
      <c r="Q25" s="46">
        <f t="shared" si="80"/>
        <v>5655880</v>
      </c>
      <c r="R25" s="48">
        <f t="shared" si="80"/>
        <v>5655880</v>
      </c>
      <c r="S25" s="45">
        <f t="shared" si="80"/>
        <v>5655880</v>
      </c>
      <c r="T25" s="46">
        <f t="shared" si="80"/>
        <v>5655880</v>
      </c>
      <c r="U25" s="550">
        <f t="shared" si="2"/>
        <v>5938674</v>
      </c>
      <c r="V25" s="47">
        <v>5825024</v>
      </c>
      <c r="W25" s="46">
        <f t="shared" ref="W25:AF25" si="81">V25</f>
        <v>5825024</v>
      </c>
      <c r="X25" s="46">
        <f t="shared" si="81"/>
        <v>5825024</v>
      </c>
      <c r="Y25" s="46">
        <f t="shared" si="81"/>
        <v>5825024</v>
      </c>
      <c r="Z25" s="46">
        <f t="shared" si="81"/>
        <v>5825024</v>
      </c>
      <c r="AA25" s="46">
        <f t="shared" si="81"/>
        <v>5825024</v>
      </c>
      <c r="AB25" s="46">
        <f t="shared" si="81"/>
        <v>5825024</v>
      </c>
      <c r="AC25" s="46">
        <f t="shared" si="81"/>
        <v>5825024</v>
      </c>
      <c r="AD25" s="48">
        <f t="shared" si="81"/>
        <v>5825024</v>
      </c>
      <c r="AE25" s="45">
        <f t="shared" si="81"/>
        <v>5825024</v>
      </c>
      <c r="AF25" s="46">
        <f t="shared" si="81"/>
        <v>5825024</v>
      </c>
      <c r="AG25" s="47">
        <f t="shared" si="4"/>
        <v>6116275</v>
      </c>
      <c r="AH25" s="46">
        <f t="shared" si="69"/>
        <v>6116275</v>
      </c>
      <c r="AI25" s="46">
        <f t="shared" si="69"/>
        <v>6116275</v>
      </c>
      <c r="AJ25" s="46">
        <f t="shared" si="69"/>
        <v>6116275</v>
      </c>
      <c r="AK25" s="46">
        <f t="shared" si="69"/>
        <v>6116275</v>
      </c>
      <c r="AL25" s="46">
        <f t="shared" si="69"/>
        <v>6116275</v>
      </c>
      <c r="AM25" s="46">
        <f t="shared" si="69"/>
        <v>6116275</v>
      </c>
      <c r="AN25" s="46">
        <f t="shared" si="69"/>
        <v>6116275</v>
      </c>
      <c r="AO25" s="46">
        <f t="shared" si="69"/>
        <v>6116275</v>
      </c>
      <c r="AP25" s="688">
        <f t="shared" si="70"/>
        <v>6116275</v>
      </c>
      <c r="AQ25" s="688">
        <f t="shared" si="71"/>
        <v>6116275</v>
      </c>
      <c r="AR25" s="688">
        <f t="shared" si="72"/>
        <v>6116275</v>
      </c>
      <c r="AS25" s="697">
        <f t="shared" si="7"/>
        <v>6422089</v>
      </c>
      <c r="AT25" s="688">
        <f t="shared" ref="AT25:BB25" si="82">+AS25</f>
        <v>6422089</v>
      </c>
      <c r="AU25" s="688">
        <f t="shared" si="82"/>
        <v>6422089</v>
      </c>
      <c r="AV25" s="688">
        <f t="shared" si="82"/>
        <v>6422089</v>
      </c>
      <c r="AW25" s="688">
        <f t="shared" si="82"/>
        <v>6422089</v>
      </c>
      <c r="AX25" s="688">
        <f t="shared" si="82"/>
        <v>6422089</v>
      </c>
      <c r="AY25" s="688">
        <f t="shared" si="82"/>
        <v>6422089</v>
      </c>
      <c r="AZ25" s="688">
        <f t="shared" si="82"/>
        <v>6422089</v>
      </c>
      <c r="BA25" s="688">
        <f t="shared" si="82"/>
        <v>6422089</v>
      </c>
      <c r="BB25" s="48">
        <f t="shared" si="82"/>
        <v>6422089</v>
      </c>
      <c r="BC25" s="544" t="str">
        <f t="shared" si="9"/>
        <v>설비자동화그룹책임(CL3)</v>
      </c>
      <c r="BD25" s="544" t="str">
        <f>B25&amp;E25</f>
        <v>설비자동화그룹CL2(사원-선임)</v>
      </c>
      <c r="BE25" s="45">
        <v>0</v>
      </c>
      <c r="BF25" s="46"/>
      <c r="BG25" s="46">
        <v>5662000</v>
      </c>
      <c r="BH25" s="48">
        <v>27090.909090909092</v>
      </c>
      <c r="BI25" s="45">
        <v>0</v>
      </c>
      <c r="BJ25" s="46">
        <v>0</v>
      </c>
      <c r="BK25" s="48">
        <v>5620000</v>
      </c>
      <c r="BL25" s="496">
        <v>26889.952153110047</v>
      </c>
      <c r="BM25" s="45"/>
      <c r="BN25" s="46"/>
      <c r="BO25" s="48"/>
      <c r="BP25" s="496"/>
      <c r="BQ25" s="487" t="str">
        <f t="shared" si="10"/>
        <v/>
      </c>
      <c r="BR25" s="481" t="str">
        <f t="shared" si="11"/>
        <v/>
      </c>
      <c r="BS25" s="473">
        <f t="shared" si="12"/>
        <v>-1</v>
      </c>
      <c r="BT25" s="549"/>
      <c r="BU25" s="539"/>
      <c r="BV25" s="539"/>
      <c r="BW25" s="544"/>
    </row>
    <row r="26" spans="1:75">
      <c r="A26" s="10" t="str">
        <f t="shared" si="0"/>
        <v>설비자동화그룹CL1</v>
      </c>
      <c r="B26" s="526" t="str">
        <f>+B25</f>
        <v>설비자동화그룹</v>
      </c>
      <c r="C26" s="527" t="s">
        <v>249</v>
      </c>
      <c r="D26" s="18" t="s">
        <v>112</v>
      </c>
      <c r="E26" s="17" t="s">
        <v>497</v>
      </c>
      <c r="F26" s="18" t="s">
        <v>498</v>
      </c>
      <c r="G26" s="45">
        <v>0</v>
      </c>
      <c r="H26" s="46">
        <v>0</v>
      </c>
      <c r="I26" s="47">
        <f t="shared" si="22"/>
        <v>0</v>
      </c>
      <c r="J26" s="46">
        <f t="shared" ref="J26:T26" si="83">I26</f>
        <v>0</v>
      </c>
      <c r="K26" s="46">
        <f t="shared" si="83"/>
        <v>0</v>
      </c>
      <c r="L26" s="46">
        <f t="shared" si="83"/>
        <v>0</v>
      </c>
      <c r="M26" s="46">
        <f t="shared" si="83"/>
        <v>0</v>
      </c>
      <c r="N26" s="46">
        <f t="shared" si="83"/>
        <v>0</v>
      </c>
      <c r="O26" s="46">
        <f t="shared" si="83"/>
        <v>0</v>
      </c>
      <c r="P26" s="46">
        <f t="shared" si="83"/>
        <v>0</v>
      </c>
      <c r="Q26" s="46">
        <f t="shared" si="83"/>
        <v>0</v>
      </c>
      <c r="R26" s="48">
        <f t="shared" si="83"/>
        <v>0</v>
      </c>
      <c r="S26" s="45">
        <f t="shared" si="83"/>
        <v>0</v>
      </c>
      <c r="T26" s="46">
        <f t="shared" si="83"/>
        <v>0</v>
      </c>
      <c r="U26" s="550">
        <f t="shared" si="2"/>
        <v>0</v>
      </c>
      <c r="V26" s="47">
        <f t="shared" ref="V26:AF26" si="84">U26</f>
        <v>0</v>
      </c>
      <c r="W26" s="46">
        <f t="shared" si="84"/>
        <v>0</v>
      </c>
      <c r="X26" s="46">
        <f t="shared" si="84"/>
        <v>0</v>
      </c>
      <c r="Y26" s="46">
        <f t="shared" si="84"/>
        <v>0</v>
      </c>
      <c r="Z26" s="46">
        <f t="shared" si="84"/>
        <v>0</v>
      </c>
      <c r="AA26" s="46">
        <f t="shared" si="84"/>
        <v>0</v>
      </c>
      <c r="AB26" s="46">
        <f t="shared" si="84"/>
        <v>0</v>
      </c>
      <c r="AC26" s="46">
        <f t="shared" si="84"/>
        <v>0</v>
      </c>
      <c r="AD26" s="48">
        <f t="shared" si="84"/>
        <v>0</v>
      </c>
      <c r="AE26" s="45">
        <f t="shared" si="84"/>
        <v>0</v>
      </c>
      <c r="AF26" s="46">
        <f t="shared" si="84"/>
        <v>0</v>
      </c>
      <c r="AG26" s="47">
        <f t="shared" si="4"/>
        <v>0</v>
      </c>
      <c r="AH26" s="46">
        <f t="shared" si="69"/>
        <v>0</v>
      </c>
      <c r="AI26" s="46">
        <f t="shared" si="69"/>
        <v>0</v>
      </c>
      <c r="AJ26" s="46">
        <f t="shared" si="69"/>
        <v>0</v>
      </c>
      <c r="AK26" s="46">
        <f t="shared" si="69"/>
        <v>0</v>
      </c>
      <c r="AL26" s="46">
        <f t="shared" si="69"/>
        <v>0</v>
      </c>
      <c r="AM26" s="46">
        <f t="shared" si="69"/>
        <v>0</v>
      </c>
      <c r="AN26" s="46">
        <f t="shared" si="69"/>
        <v>0</v>
      </c>
      <c r="AO26" s="46">
        <f t="shared" si="69"/>
        <v>0</v>
      </c>
      <c r="AP26" s="688">
        <f t="shared" si="70"/>
        <v>0</v>
      </c>
      <c r="AQ26" s="688">
        <f t="shared" si="71"/>
        <v>0</v>
      </c>
      <c r="AR26" s="688">
        <f t="shared" si="72"/>
        <v>0</v>
      </c>
      <c r="AS26" s="697">
        <f t="shared" si="7"/>
        <v>0</v>
      </c>
      <c r="AT26" s="688">
        <f t="shared" ref="AT26:BB26" si="85">+AS26</f>
        <v>0</v>
      </c>
      <c r="AU26" s="688">
        <f t="shared" si="85"/>
        <v>0</v>
      </c>
      <c r="AV26" s="688">
        <f t="shared" si="85"/>
        <v>0</v>
      </c>
      <c r="AW26" s="688">
        <f t="shared" si="85"/>
        <v>0</v>
      </c>
      <c r="AX26" s="688">
        <f t="shared" si="85"/>
        <v>0</v>
      </c>
      <c r="AY26" s="688">
        <f t="shared" si="85"/>
        <v>0</v>
      </c>
      <c r="AZ26" s="688">
        <f t="shared" si="85"/>
        <v>0</v>
      </c>
      <c r="BA26" s="688">
        <f t="shared" si="85"/>
        <v>0</v>
      </c>
      <c r="BB26" s="48">
        <f t="shared" si="85"/>
        <v>0</v>
      </c>
      <c r="BC26" s="544" t="str">
        <f t="shared" si="9"/>
        <v>설비자동화그룹선임(CL2)</v>
      </c>
      <c r="BD26" s="544" t="str">
        <f>B26&amp;E26</f>
        <v>설비자동화그룹CL1</v>
      </c>
      <c r="BE26" s="45">
        <v>0</v>
      </c>
      <c r="BF26" s="46"/>
      <c r="BG26" s="46"/>
      <c r="BH26" s="48"/>
      <c r="BI26" s="45">
        <v>0</v>
      </c>
      <c r="BJ26" s="46">
        <v>0</v>
      </c>
      <c r="BK26" s="48">
        <v>2600000</v>
      </c>
      <c r="BL26" s="496"/>
      <c r="BM26" s="45"/>
      <c r="BN26" s="46"/>
      <c r="BO26" s="48"/>
      <c r="BP26" s="496"/>
      <c r="BQ26" s="487" t="str">
        <f t="shared" si="10"/>
        <v/>
      </c>
      <c r="BR26" s="481" t="str">
        <f t="shared" si="11"/>
        <v/>
      </c>
      <c r="BS26" s="473">
        <f t="shared" si="12"/>
        <v>-1</v>
      </c>
      <c r="BT26" s="549"/>
      <c r="BU26" s="539"/>
      <c r="BV26" s="539"/>
      <c r="BW26" s="544"/>
    </row>
    <row r="27" spans="1:75">
      <c r="A27" s="10" t="str">
        <f t="shared" si="0"/>
        <v>설비자동화그룹</v>
      </c>
      <c r="B27" s="528" t="str">
        <f>+B26</f>
        <v>설비자동화그룹</v>
      </c>
      <c r="C27" s="529" t="s">
        <v>250</v>
      </c>
      <c r="D27" s="20" t="s">
        <v>104</v>
      </c>
      <c r="E27" s="19"/>
      <c r="F27" s="20"/>
      <c r="G27" s="49"/>
      <c r="H27" s="50"/>
      <c r="I27" s="51">
        <f t="shared" si="22"/>
        <v>0</v>
      </c>
      <c r="J27" s="50"/>
      <c r="K27" s="50"/>
      <c r="L27" s="50"/>
      <c r="M27" s="50"/>
      <c r="N27" s="50"/>
      <c r="O27" s="50"/>
      <c r="P27" s="50"/>
      <c r="Q27" s="50" t="s">
        <v>1119</v>
      </c>
      <c r="R27" s="52"/>
      <c r="S27" s="49"/>
      <c r="T27" s="50"/>
      <c r="U27" s="1199">
        <f t="shared" si="2"/>
        <v>0</v>
      </c>
      <c r="V27" s="51"/>
      <c r="W27" s="50"/>
      <c r="X27" s="50"/>
      <c r="Y27" s="50"/>
      <c r="Z27" s="50"/>
      <c r="AA27" s="50"/>
      <c r="AB27" s="50"/>
      <c r="AC27" s="50"/>
      <c r="AD27" s="52"/>
      <c r="AE27" s="49"/>
      <c r="AF27" s="50"/>
      <c r="AG27" s="51">
        <f t="shared" si="4"/>
        <v>0</v>
      </c>
      <c r="AH27" s="50"/>
      <c r="AI27" s="50"/>
      <c r="AJ27" s="50"/>
      <c r="AK27" s="50"/>
      <c r="AL27" s="50"/>
      <c r="AM27" s="50"/>
      <c r="AN27" s="50"/>
      <c r="AO27" s="50"/>
      <c r="AP27" s="689"/>
      <c r="AQ27" s="689"/>
      <c r="AR27" s="689"/>
      <c r="AS27" s="698">
        <f t="shared" si="7"/>
        <v>0</v>
      </c>
      <c r="AT27" s="689">
        <f t="shared" ref="AT27:BB27" si="86">+AS27</f>
        <v>0</v>
      </c>
      <c r="AU27" s="689">
        <f t="shared" si="86"/>
        <v>0</v>
      </c>
      <c r="AV27" s="689">
        <f t="shared" si="86"/>
        <v>0</v>
      </c>
      <c r="AW27" s="689">
        <f t="shared" si="86"/>
        <v>0</v>
      </c>
      <c r="AX27" s="689">
        <f t="shared" si="86"/>
        <v>0</v>
      </c>
      <c r="AY27" s="689">
        <f t="shared" si="86"/>
        <v>0</v>
      </c>
      <c r="AZ27" s="689">
        <f t="shared" si="86"/>
        <v>0</v>
      </c>
      <c r="BA27" s="689">
        <f t="shared" si="86"/>
        <v>0</v>
      </c>
      <c r="BB27" s="52">
        <f t="shared" si="86"/>
        <v>0</v>
      </c>
      <c r="BC27" s="544" t="str">
        <f t="shared" si="9"/>
        <v>설비자동화그룹사원(CL1-CL2)</v>
      </c>
      <c r="BD27" s="544" t="s">
        <v>452</v>
      </c>
      <c r="BE27" s="49">
        <v>0</v>
      </c>
      <c r="BF27" s="50"/>
      <c r="BG27" s="50"/>
      <c r="BH27" s="52"/>
      <c r="BI27" s="49">
        <v>0</v>
      </c>
      <c r="BJ27" s="50">
        <v>0</v>
      </c>
      <c r="BK27" s="52">
        <v>0</v>
      </c>
      <c r="BL27" s="497"/>
      <c r="BM27" s="49"/>
      <c r="BN27" s="50"/>
      <c r="BO27" s="52"/>
      <c r="BP27" s="497"/>
      <c r="BQ27" s="488" t="str">
        <f t="shared" si="10"/>
        <v/>
      </c>
      <c r="BR27" s="482" t="str">
        <f t="shared" si="11"/>
        <v/>
      </c>
      <c r="BS27" s="474" t="str">
        <f t="shared" si="12"/>
        <v/>
      </c>
      <c r="BT27" s="549"/>
      <c r="BU27" s="539"/>
      <c r="BV27" s="539"/>
      <c r="BW27" s="544"/>
    </row>
    <row r="28" spans="1:75">
      <c r="A28" s="10" t="str">
        <f t="shared" ref="A28:A33" si="87">+B28&amp;E28</f>
        <v>제조로보틱스그룹이사</v>
      </c>
      <c r="B28" s="523" t="s">
        <v>916</v>
      </c>
      <c r="C28" s="525" t="s">
        <v>12</v>
      </c>
      <c r="D28" s="15" t="s">
        <v>105</v>
      </c>
      <c r="E28" s="16" t="s">
        <v>12</v>
      </c>
      <c r="F28" s="15" t="s">
        <v>82</v>
      </c>
      <c r="G28" s="25">
        <v>11305971</v>
      </c>
      <c r="H28" s="42">
        <v>11305971</v>
      </c>
      <c r="I28" s="27">
        <v>10705566</v>
      </c>
      <c r="J28" s="26">
        <f t="shared" ref="J28:T28" si="88">I28</f>
        <v>10705566</v>
      </c>
      <c r="K28" s="26">
        <f t="shared" si="88"/>
        <v>10705566</v>
      </c>
      <c r="L28" s="26">
        <f t="shared" si="88"/>
        <v>10705566</v>
      </c>
      <c r="M28" s="26">
        <f t="shared" si="88"/>
        <v>10705566</v>
      </c>
      <c r="N28" s="26">
        <f t="shared" si="88"/>
        <v>10705566</v>
      </c>
      <c r="O28" s="26">
        <f t="shared" si="88"/>
        <v>10705566</v>
      </c>
      <c r="P28" s="26">
        <f t="shared" si="88"/>
        <v>10705566</v>
      </c>
      <c r="Q28" s="26">
        <f t="shared" si="88"/>
        <v>10705566</v>
      </c>
      <c r="R28" s="28">
        <f t="shared" si="88"/>
        <v>10705566</v>
      </c>
      <c r="S28" s="25">
        <v>10219900</v>
      </c>
      <c r="T28" s="26">
        <f t="shared" si="88"/>
        <v>10219900</v>
      </c>
      <c r="U28" s="1200">
        <f t="shared" si="2"/>
        <v>10730895</v>
      </c>
      <c r="V28" s="27"/>
      <c r="W28" s="26">
        <f t="shared" ref="W28:AF28" si="89">V28</f>
        <v>0</v>
      </c>
      <c r="X28" s="26">
        <f t="shared" si="89"/>
        <v>0</v>
      </c>
      <c r="Y28" s="26">
        <f t="shared" si="89"/>
        <v>0</v>
      </c>
      <c r="Z28" s="26">
        <f t="shared" si="89"/>
        <v>0</v>
      </c>
      <c r="AA28" s="26">
        <f t="shared" si="89"/>
        <v>0</v>
      </c>
      <c r="AB28" s="26">
        <f t="shared" si="89"/>
        <v>0</v>
      </c>
      <c r="AC28" s="26">
        <f t="shared" si="89"/>
        <v>0</v>
      </c>
      <c r="AD28" s="28">
        <f t="shared" si="89"/>
        <v>0</v>
      </c>
      <c r="AE28" s="25">
        <f t="shared" si="89"/>
        <v>0</v>
      </c>
      <c r="AF28" s="26">
        <f t="shared" si="89"/>
        <v>0</v>
      </c>
      <c r="AG28" s="27">
        <f t="shared" si="4"/>
        <v>0</v>
      </c>
      <c r="AH28" s="26">
        <f t="shared" ref="AH28:AO31" si="90">AG28</f>
        <v>0</v>
      </c>
      <c r="AI28" s="26">
        <f t="shared" si="90"/>
        <v>0</v>
      </c>
      <c r="AJ28" s="26">
        <f t="shared" si="90"/>
        <v>0</v>
      </c>
      <c r="AK28" s="26">
        <f t="shared" si="90"/>
        <v>0</v>
      </c>
      <c r="AL28" s="26">
        <f t="shared" si="90"/>
        <v>0</v>
      </c>
      <c r="AM28" s="26">
        <f t="shared" si="90"/>
        <v>0</v>
      </c>
      <c r="AN28" s="26">
        <f t="shared" si="90"/>
        <v>0</v>
      </c>
      <c r="AO28" s="26">
        <f t="shared" si="90"/>
        <v>0</v>
      </c>
      <c r="AP28" s="684">
        <f t="shared" ref="AP28:AP31" si="91">AO28</f>
        <v>0</v>
      </c>
      <c r="AQ28" s="684">
        <f t="shared" ref="AQ28:AQ31" si="92">AP28</f>
        <v>0</v>
      </c>
      <c r="AR28" s="684">
        <f t="shared" ref="AR28:AR31" si="93">AQ28</f>
        <v>0</v>
      </c>
      <c r="AS28" s="693">
        <f t="shared" si="7"/>
        <v>0</v>
      </c>
      <c r="AT28" s="684">
        <f t="shared" ref="AT28:BB28" si="94">+AS28</f>
        <v>0</v>
      </c>
      <c r="AU28" s="684">
        <f t="shared" si="94"/>
        <v>0</v>
      </c>
      <c r="AV28" s="684">
        <f t="shared" si="94"/>
        <v>0</v>
      </c>
      <c r="AW28" s="684">
        <f t="shared" si="94"/>
        <v>0</v>
      </c>
      <c r="AX28" s="684">
        <f t="shared" si="94"/>
        <v>0</v>
      </c>
      <c r="AY28" s="684">
        <f t="shared" si="94"/>
        <v>0</v>
      </c>
      <c r="AZ28" s="684">
        <f t="shared" si="94"/>
        <v>0</v>
      </c>
      <c r="BA28" s="684">
        <f t="shared" si="94"/>
        <v>0</v>
      </c>
      <c r="BB28" s="28">
        <f t="shared" si="94"/>
        <v>0</v>
      </c>
      <c r="BC28" s="10" t="str">
        <f t="shared" si="9"/>
        <v>제조로보틱스그룹이사</v>
      </c>
      <c r="BD28" s="10" t="str">
        <f>B28&amp;E28</f>
        <v>제조로보틱스그룹이사</v>
      </c>
      <c r="BE28" s="25">
        <v>10071670</v>
      </c>
      <c r="BF28" s="26">
        <v>316160</v>
      </c>
      <c r="BG28" s="26">
        <v>12525801.5</v>
      </c>
      <c r="BH28" s="28">
        <v>59932.064593301438</v>
      </c>
      <c r="BI28" s="25">
        <v>10416300</v>
      </c>
      <c r="BJ28" s="26">
        <v>22091</v>
      </c>
      <c r="BK28" s="28">
        <v>13076799</v>
      </c>
      <c r="BL28" s="492">
        <v>62568.416267942586</v>
      </c>
      <c r="BM28" s="25"/>
      <c r="BN28" s="26"/>
      <c r="BO28" s="28"/>
      <c r="BP28" s="492"/>
      <c r="BQ28" s="483">
        <f t="shared" si="10"/>
        <v>-1</v>
      </c>
      <c r="BR28" s="477">
        <f t="shared" si="11"/>
        <v>-1</v>
      </c>
      <c r="BS28" s="469">
        <f t="shared" si="12"/>
        <v>-1</v>
      </c>
      <c r="BT28" s="13"/>
    </row>
    <row r="29" spans="1:75">
      <c r="A29" s="10" t="str">
        <f t="shared" si="87"/>
        <v>제조로보틱스그룹CL4(수석)</v>
      </c>
      <c r="B29" s="526" t="str">
        <f>+B28</f>
        <v>제조로보틱스그룹</v>
      </c>
      <c r="C29" s="527" t="s">
        <v>246</v>
      </c>
      <c r="D29" s="18" t="s">
        <v>105</v>
      </c>
      <c r="E29" s="17" t="s">
        <v>496</v>
      </c>
      <c r="F29" s="18" t="s">
        <v>82</v>
      </c>
      <c r="G29" s="29">
        <v>11305971</v>
      </c>
      <c r="H29" s="30">
        <v>11305971</v>
      </c>
      <c r="I29" s="31">
        <v>10705566</v>
      </c>
      <c r="J29" s="30">
        <f t="shared" ref="J29:T29" si="95">I29</f>
        <v>10705566</v>
      </c>
      <c r="K29" s="30">
        <f t="shared" si="95"/>
        <v>10705566</v>
      </c>
      <c r="L29" s="30">
        <f t="shared" si="95"/>
        <v>10705566</v>
      </c>
      <c r="M29" s="30">
        <f t="shared" si="95"/>
        <v>10705566</v>
      </c>
      <c r="N29" s="32">
        <f t="shared" si="95"/>
        <v>10705566</v>
      </c>
      <c r="O29" s="32">
        <f t="shared" si="95"/>
        <v>10705566</v>
      </c>
      <c r="P29" s="30">
        <f t="shared" si="95"/>
        <v>10705566</v>
      </c>
      <c r="Q29" s="30">
        <f t="shared" si="95"/>
        <v>10705566</v>
      </c>
      <c r="R29" s="33">
        <f t="shared" si="95"/>
        <v>10705566</v>
      </c>
      <c r="S29" s="29">
        <v>10219900</v>
      </c>
      <c r="T29" s="30">
        <f t="shared" si="95"/>
        <v>10219900</v>
      </c>
      <c r="U29" s="1201">
        <f t="shared" si="2"/>
        <v>10730895</v>
      </c>
      <c r="V29" s="31">
        <v>10256554</v>
      </c>
      <c r="W29" s="30">
        <f t="shared" ref="W29:AF29" si="96">V29</f>
        <v>10256554</v>
      </c>
      <c r="X29" s="30">
        <f t="shared" si="96"/>
        <v>10256554</v>
      </c>
      <c r="Y29" s="30">
        <f t="shared" si="96"/>
        <v>10256554</v>
      </c>
      <c r="Z29" s="32">
        <f t="shared" si="96"/>
        <v>10256554</v>
      </c>
      <c r="AA29" s="32">
        <f t="shared" si="96"/>
        <v>10256554</v>
      </c>
      <c r="AB29" s="30">
        <f t="shared" si="96"/>
        <v>10256554</v>
      </c>
      <c r="AC29" s="30">
        <f t="shared" si="96"/>
        <v>10256554</v>
      </c>
      <c r="AD29" s="33">
        <f t="shared" si="96"/>
        <v>10256554</v>
      </c>
      <c r="AE29" s="29">
        <f t="shared" si="96"/>
        <v>10256554</v>
      </c>
      <c r="AF29" s="30">
        <f t="shared" si="96"/>
        <v>10256554</v>
      </c>
      <c r="AG29" s="31">
        <f t="shared" si="4"/>
        <v>10769382</v>
      </c>
      <c r="AH29" s="30">
        <f t="shared" si="90"/>
        <v>10769382</v>
      </c>
      <c r="AI29" s="30">
        <f t="shared" si="90"/>
        <v>10769382</v>
      </c>
      <c r="AJ29" s="30">
        <f t="shared" si="90"/>
        <v>10769382</v>
      </c>
      <c r="AK29" s="30">
        <f t="shared" si="90"/>
        <v>10769382</v>
      </c>
      <c r="AL29" s="32">
        <f t="shared" si="90"/>
        <v>10769382</v>
      </c>
      <c r="AM29" s="32">
        <f t="shared" si="90"/>
        <v>10769382</v>
      </c>
      <c r="AN29" s="30">
        <f t="shared" si="90"/>
        <v>10769382</v>
      </c>
      <c r="AO29" s="30">
        <f t="shared" si="90"/>
        <v>10769382</v>
      </c>
      <c r="AP29" s="685">
        <f t="shared" si="91"/>
        <v>10769382</v>
      </c>
      <c r="AQ29" s="685">
        <f t="shared" si="92"/>
        <v>10769382</v>
      </c>
      <c r="AR29" s="685">
        <f t="shared" si="93"/>
        <v>10769382</v>
      </c>
      <c r="AS29" s="694">
        <f t="shared" si="7"/>
        <v>11307851</v>
      </c>
      <c r="AT29" s="685">
        <f t="shared" ref="AT29:BB29" si="97">+AS29</f>
        <v>11307851</v>
      </c>
      <c r="AU29" s="685">
        <f t="shared" si="97"/>
        <v>11307851</v>
      </c>
      <c r="AV29" s="685">
        <f t="shared" si="97"/>
        <v>11307851</v>
      </c>
      <c r="AW29" s="685">
        <f t="shared" si="97"/>
        <v>11307851</v>
      </c>
      <c r="AX29" s="685">
        <f t="shared" si="97"/>
        <v>11307851</v>
      </c>
      <c r="AY29" s="685">
        <f t="shared" si="97"/>
        <v>11307851</v>
      </c>
      <c r="AZ29" s="685">
        <f t="shared" si="97"/>
        <v>11307851</v>
      </c>
      <c r="BA29" s="685">
        <f t="shared" si="97"/>
        <v>11307851</v>
      </c>
      <c r="BB29" s="33">
        <f t="shared" si="97"/>
        <v>11307851</v>
      </c>
      <c r="BC29" s="10" t="str">
        <f t="shared" si="9"/>
        <v>제조로보틱스그룹수석(CL4)</v>
      </c>
      <c r="BD29" s="10" t="str">
        <f>B29&amp;E29</f>
        <v>제조로보틱스그룹CL4(수석)</v>
      </c>
      <c r="BE29" s="29">
        <v>6481164</v>
      </c>
      <c r="BF29" s="30">
        <v>319966.84210526315</v>
      </c>
      <c r="BG29" s="30">
        <v>7928592.3950877218</v>
      </c>
      <c r="BH29" s="33">
        <v>37935.848780324028</v>
      </c>
      <c r="BI29" s="29">
        <v>6819033</v>
      </c>
      <c r="BJ29" s="30">
        <v>73578</v>
      </c>
      <c r="BK29" s="33">
        <v>8272488</v>
      </c>
      <c r="BL29" s="493">
        <v>39581.282296650716</v>
      </c>
      <c r="BM29" s="29"/>
      <c r="BN29" s="30"/>
      <c r="BO29" s="33"/>
      <c r="BP29" s="493"/>
      <c r="BQ29" s="484">
        <f t="shared" ref="BQ29:BQ111" si="98">+IFERROR(BM29/BI29-1,"")</f>
        <v>-1</v>
      </c>
      <c r="BR29" s="478">
        <f t="shared" ref="BR29:BR111" si="99">+IFERROR(BN29/BJ29-1,"")</f>
        <v>-1</v>
      </c>
      <c r="BS29" s="470">
        <f t="shared" ref="BS29:BS111" si="100">+IFERROR(BO29/BK29-1,"")</f>
        <v>-1</v>
      </c>
      <c r="BT29" s="13"/>
    </row>
    <row r="30" spans="1:75">
      <c r="A30" s="10" t="str">
        <f t="shared" si="87"/>
        <v>제조로보틱스그룹CL3(책임-수석보)</v>
      </c>
      <c r="B30" s="526" t="str">
        <f>+B29</f>
        <v>제조로보틱스그룹</v>
      </c>
      <c r="C30" s="527" t="s">
        <v>247</v>
      </c>
      <c r="D30" s="18" t="s">
        <v>105</v>
      </c>
      <c r="E30" s="17" t="s">
        <v>495</v>
      </c>
      <c r="F30" s="18" t="s">
        <v>459</v>
      </c>
      <c r="G30" s="29">
        <v>8015426</v>
      </c>
      <c r="H30" s="30">
        <v>8015426</v>
      </c>
      <c r="I30" s="31">
        <v>8260674</v>
      </c>
      <c r="J30" s="30">
        <f t="shared" ref="J30:T30" si="101">I30</f>
        <v>8260674</v>
      </c>
      <c r="K30" s="30">
        <f t="shared" si="101"/>
        <v>8260674</v>
      </c>
      <c r="L30" s="30">
        <f t="shared" si="101"/>
        <v>8260674</v>
      </c>
      <c r="M30" s="30">
        <f t="shared" si="101"/>
        <v>8260674</v>
      </c>
      <c r="N30" s="32">
        <f t="shared" si="101"/>
        <v>8260674</v>
      </c>
      <c r="O30" s="32">
        <f t="shared" si="101"/>
        <v>8260674</v>
      </c>
      <c r="P30" s="30">
        <f t="shared" si="101"/>
        <v>8260674</v>
      </c>
      <c r="Q30" s="30">
        <f t="shared" si="101"/>
        <v>8260674</v>
      </c>
      <c r="R30" s="33">
        <f t="shared" si="101"/>
        <v>8260674</v>
      </c>
      <c r="S30" s="29">
        <v>8070182</v>
      </c>
      <c r="T30" s="30">
        <f t="shared" si="101"/>
        <v>8070182</v>
      </c>
      <c r="U30" s="1201">
        <f t="shared" si="2"/>
        <v>8473691</v>
      </c>
      <c r="V30" s="31">
        <v>7851421</v>
      </c>
      <c r="W30" s="30">
        <f t="shared" ref="W30:AF30" si="102">V30</f>
        <v>7851421</v>
      </c>
      <c r="X30" s="30">
        <f t="shared" si="102"/>
        <v>7851421</v>
      </c>
      <c r="Y30" s="30">
        <f t="shared" si="102"/>
        <v>7851421</v>
      </c>
      <c r="Z30" s="34">
        <f t="shared" si="102"/>
        <v>7851421</v>
      </c>
      <c r="AA30" s="32">
        <f t="shared" si="102"/>
        <v>7851421</v>
      </c>
      <c r="AB30" s="30">
        <f t="shared" si="102"/>
        <v>7851421</v>
      </c>
      <c r="AC30" s="30">
        <f t="shared" si="102"/>
        <v>7851421</v>
      </c>
      <c r="AD30" s="33">
        <f t="shared" si="102"/>
        <v>7851421</v>
      </c>
      <c r="AE30" s="29">
        <f t="shared" si="102"/>
        <v>7851421</v>
      </c>
      <c r="AF30" s="30">
        <f t="shared" si="102"/>
        <v>7851421</v>
      </c>
      <c r="AG30" s="31">
        <f t="shared" si="4"/>
        <v>8243992</v>
      </c>
      <c r="AH30" s="30">
        <f t="shared" si="90"/>
        <v>8243992</v>
      </c>
      <c r="AI30" s="30">
        <f t="shared" si="90"/>
        <v>8243992</v>
      </c>
      <c r="AJ30" s="30">
        <f t="shared" si="90"/>
        <v>8243992</v>
      </c>
      <c r="AK30" s="30">
        <f t="shared" si="90"/>
        <v>8243992</v>
      </c>
      <c r="AL30" s="34">
        <f t="shared" si="90"/>
        <v>8243992</v>
      </c>
      <c r="AM30" s="32">
        <f t="shared" si="90"/>
        <v>8243992</v>
      </c>
      <c r="AN30" s="30">
        <f t="shared" si="90"/>
        <v>8243992</v>
      </c>
      <c r="AO30" s="30">
        <f t="shared" si="90"/>
        <v>8243992</v>
      </c>
      <c r="AP30" s="685">
        <f t="shared" si="91"/>
        <v>8243992</v>
      </c>
      <c r="AQ30" s="685">
        <f t="shared" si="92"/>
        <v>8243992</v>
      </c>
      <c r="AR30" s="685">
        <f t="shared" si="93"/>
        <v>8243992</v>
      </c>
      <c r="AS30" s="694">
        <f t="shared" si="7"/>
        <v>8656192</v>
      </c>
      <c r="AT30" s="685">
        <f t="shared" ref="AT30:BB30" si="103">+AS30</f>
        <v>8656192</v>
      </c>
      <c r="AU30" s="685">
        <f t="shared" si="103"/>
        <v>8656192</v>
      </c>
      <c r="AV30" s="685">
        <f t="shared" si="103"/>
        <v>8656192</v>
      </c>
      <c r="AW30" s="685">
        <f t="shared" si="103"/>
        <v>8656192</v>
      </c>
      <c r="AX30" s="685">
        <f t="shared" si="103"/>
        <v>8656192</v>
      </c>
      <c r="AY30" s="685">
        <f t="shared" si="103"/>
        <v>8656192</v>
      </c>
      <c r="AZ30" s="685">
        <f t="shared" si="103"/>
        <v>8656192</v>
      </c>
      <c r="BA30" s="685">
        <f t="shared" si="103"/>
        <v>8656192</v>
      </c>
      <c r="BB30" s="33">
        <f t="shared" si="103"/>
        <v>8656192</v>
      </c>
      <c r="BC30" s="10" t="str">
        <f t="shared" si="9"/>
        <v>제조로보틱스그룹수석보(CL3)</v>
      </c>
      <c r="BD30" s="10" t="str">
        <f>B30&amp;E30</f>
        <v>제조로보틱스그룹CL3(책임-수석보)</v>
      </c>
      <c r="BE30" s="29">
        <v>5123522</v>
      </c>
      <c r="BF30" s="30">
        <v>374659.87012987008</v>
      </c>
      <c r="BG30" s="30">
        <v>6300584.4509956697</v>
      </c>
      <c r="BH30" s="33">
        <v>30146.337086103682</v>
      </c>
      <c r="BI30" s="29">
        <v>5554016</v>
      </c>
      <c r="BJ30" s="30">
        <v>56625</v>
      </c>
      <c r="BK30" s="33">
        <v>6855946</v>
      </c>
      <c r="BL30" s="493">
        <v>32803.569377990432</v>
      </c>
      <c r="BM30" s="29"/>
      <c r="BN30" s="30"/>
      <c r="BO30" s="33"/>
      <c r="BP30" s="493"/>
      <c r="BQ30" s="484">
        <f t="shared" si="98"/>
        <v>-1</v>
      </c>
      <c r="BR30" s="478">
        <f t="shared" si="99"/>
        <v>-1</v>
      </c>
      <c r="BS30" s="470">
        <f t="shared" si="100"/>
        <v>-1</v>
      </c>
      <c r="BT30" s="13"/>
    </row>
    <row r="31" spans="1:75">
      <c r="A31" s="10" t="str">
        <f t="shared" si="87"/>
        <v>제조로보틱스그룹CL2(사원-선임)</v>
      </c>
      <c r="B31" s="526" t="str">
        <f>+B30</f>
        <v>제조로보틱스그룹</v>
      </c>
      <c r="C31" s="527" t="s">
        <v>248</v>
      </c>
      <c r="D31" s="18" t="s">
        <v>102</v>
      </c>
      <c r="E31" s="17" t="s">
        <v>494</v>
      </c>
      <c r="F31" s="18" t="s">
        <v>461</v>
      </c>
      <c r="G31" s="29">
        <v>6123535</v>
      </c>
      <c r="H31" s="30">
        <v>6123535</v>
      </c>
      <c r="I31" s="31">
        <v>5765288</v>
      </c>
      <c r="J31" s="30">
        <f t="shared" ref="J31:T31" si="104">I31</f>
        <v>5765288</v>
      </c>
      <c r="K31" s="30">
        <f t="shared" si="104"/>
        <v>5765288</v>
      </c>
      <c r="L31" s="30">
        <f t="shared" si="104"/>
        <v>5765288</v>
      </c>
      <c r="M31" s="30">
        <f t="shared" si="104"/>
        <v>5765288</v>
      </c>
      <c r="N31" s="32">
        <f t="shared" si="104"/>
        <v>5765288</v>
      </c>
      <c r="O31" s="32">
        <f t="shared" si="104"/>
        <v>5765288</v>
      </c>
      <c r="P31" s="30">
        <f t="shared" si="104"/>
        <v>5765288</v>
      </c>
      <c r="Q31" s="30">
        <f t="shared" si="104"/>
        <v>5765288</v>
      </c>
      <c r="R31" s="33">
        <f t="shared" si="104"/>
        <v>5765288</v>
      </c>
      <c r="S31" s="29">
        <v>6196404</v>
      </c>
      <c r="T31" s="30">
        <f t="shared" si="104"/>
        <v>6196404</v>
      </c>
      <c r="U31" s="1201">
        <f t="shared" si="2"/>
        <v>6506224</v>
      </c>
      <c r="V31" s="31">
        <v>5931038</v>
      </c>
      <c r="W31" s="30">
        <f t="shared" ref="W31:AF31" si="105">V31</f>
        <v>5931038</v>
      </c>
      <c r="X31" s="30">
        <f t="shared" si="105"/>
        <v>5931038</v>
      </c>
      <c r="Y31" s="30">
        <f t="shared" si="105"/>
        <v>5931038</v>
      </c>
      <c r="Z31" s="34">
        <f t="shared" si="105"/>
        <v>5931038</v>
      </c>
      <c r="AA31" s="32">
        <f t="shared" si="105"/>
        <v>5931038</v>
      </c>
      <c r="AB31" s="30">
        <f t="shared" si="105"/>
        <v>5931038</v>
      </c>
      <c r="AC31" s="30">
        <f t="shared" si="105"/>
        <v>5931038</v>
      </c>
      <c r="AD31" s="33">
        <f t="shared" si="105"/>
        <v>5931038</v>
      </c>
      <c r="AE31" s="29">
        <f t="shared" si="105"/>
        <v>5931038</v>
      </c>
      <c r="AF31" s="30">
        <f t="shared" si="105"/>
        <v>5931038</v>
      </c>
      <c r="AG31" s="31">
        <f t="shared" si="4"/>
        <v>6227590</v>
      </c>
      <c r="AH31" s="30">
        <f t="shared" si="90"/>
        <v>6227590</v>
      </c>
      <c r="AI31" s="30">
        <f t="shared" si="90"/>
        <v>6227590</v>
      </c>
      <c r="AJ31" s="30">
        <f t="shared" si="90"/>
        <v>6227590</v>
      </c>
      <c r="AK31" s="30">
        <f t="shared" si="90"/>
        <v>6227590</v>
      </c>
      <c r="AL31" s="34">
        <f t="shared" si="90"/>
        <v>6227590</v>
      </c>
      <c r="AM31" s="32">
        <f t="shared" si="90"/>
        <v>6227590</v>
      </c>
      <c r="AN31" s="30">
        <f t="shared" si="90"/>
        <v>6227590</v>
      </c>
      <c r="AO31" s="30">
        <f t="shared" si="90"/>
        <v>6227590</v>
      </c>
      <c r="AP31" s="685">
        <f t="shared" si="91"/>
        <v>6227590</v>
      </c>
      <c r="AQ31" s="685">
        <f t="shared" si="92"/>
        <v>6227590</v>
      </c>
      <c r="AR31" s="685">
        <f t="shared" si="93"/>
        <v>6227590</v>
      </c>
      <c r="AS31" s="694">
        <f t="shared" si="7"/>
        <v>6538970</v>
      </c>
      <c r="AT31" s="685">
        <f t="shared" ref="AT31:BB31" si="106">+AS31</f>
        <v>6538970</v>
      </c>
      <c r="AU31" s="685">
        <f t="shared" si="106"/>
        <v>6538970</v>
      </c>
      <c r="AV31" s="685">
        <f t="shared" si="106"/>
        <v>6538970</v>
      </c>
      <c r="AW31" s="685">
        <f t="shared" si="106"/>
        <v>6538970</v>
      </c>
      <c r="AX31" s="685">
        <f t="shared" si="106"/>
        <v>6538970</v>
      </c>
      <c r="AY31" s="685">
        <f t="shared" si="106"/>
        <v>6538970</v>
      </c>
      <c r="AZ31" s="685">
        <f t="shared" si="106"/>
        <v>6538970</v>
      </c>
      <c r="BA31" s="685">
        <f t="shared" si="106"/>
        <v>6538970</v>
      </c>
      <c r="BB31" s="33">
        <f t="shared" si="106"/>
        <v>6538970</v>
      </c>
      <c r="BC31" s="10" t="str">
        <f t="shared" si="9"/>
        <v>제조로보틱스그룹책임(CL3)</v>
      </c>
      <c r="BD31" s="10" t="str">
        <f>B31&amp;E31</f>
        <v>제조로보틱스그룹CL2(사원-선임)</v>
      </c>
      <c r="BE31" s="29">
        <v>4042490</v>
      </c>
      <c r="BF31" s="30">
        <v>221633.66666666669</v>
      </c>
      <c r="BG31" s="30">
        <v>4985212.2895555552</v>
      </c>
      <c r="BH31" s="33">
        <v>23852.69038064859</v>
      </c>
      <c r="BI31" s="29">
        <v>4401162</v>
      </c>
      <c r="BJ31" s="30">
        <v>30258</v>
      </c>
      <c r="BK31" s="33">
        <v>5447486</v>
      </c>
      <c r="BL31" s="493">
        <v>26064.526315789473</v>
      </c>
      <c r="BM31" s="29"/>
      <c r="BN31" s="30"/>
      <c r="BO31" s="33"/>
      <c r="BP31" s="493"/>
      <c r="BQ31" s="484">
        <f t="shared" si="98"/>
        <v>-1</v>
      </c>
      <c r="BR31" s="478">
        <f t="shared" si="99"/>
        <v>-1</v>
      </c>
      <c r="BS31" s="470">
        <f t="shared" si="100"/>
        <v>-1</v>
      </c>
      <c r="BT31" s="13"/>
    </row>
    <row r="32" spans="1:75">
      <c r="A32" s="10" t="str">
        <f t="shared" si="87"/>
        <v>제조로보틱스그룹</v>
      </c>
      <c r="B32" s="526" t="str">
        <f>+B31</f>
        <v>제조로보틱스그룹</v>
      </c>
      <c r="C32" s="527" t="s">
        <v>249</v>
      </c>
      <c r="D32" s="18" t="s">
        <v>103</v>
      </c>
      <c r="E32" s="17"/>
      <c r="F32" s="18"/>
      <c r="G32" s="29"/>
      <c r="H32" s="30"/>
      <c r="I32" s="31">
        <f>ROUND(H32*105%,0)</f>
        <v>0</v>
      </c>
      <c r="J32" s="30"/>
      <c r="K32" s="30"/>
      <c r="L32" s="30"/>
      <c r="M32" s="30"/>
      <c r="N32" s="34"/>
      <c r="O32" s="32"/>
      <c r="P32" s="30"/>
      <c r="Q32" s="30"/>
      <c r="R32" s="33"/>
      <c r="S32" s="29"/>
      <c r="T32" s="30"/>
      <c r="U32" s="1201">
        <f t="shared" si="2"/>
        <v>0</v>
      </c>
      <c r="V32" s="31"/>
      <c r="W32" s="30"/>
      <c r="X32" s="30"/>
      <c r="Y32" s="30"/>
      <c r="Z32" s="34"/>
      <c r="AA32" s="32"/>
      <c r="AB32" s="30"/>
      <c r="AC32" s="30"/>
      <c r="AD32" s="33"/>
      <c r="AE32" s="29"/>
      <c r="AF32" s="30"/>
      <c r="AG32" s="31">
        <f t="shared" si="4"/>
        <v>0</v>
      </c>
      <c r="AH32" s="30"/>
      <c r="AI32" s="30"/>
      <c r="AJ32" s="30"/>
      <c r="AK32" s="30"/>
      <c r="AL32" s="34"/>
      <c r="AM32" s="32"/>
      <c r="AN32" s="30"/>
      <c r="AO32" s="30"/>
      <c r="AP32" s="685"/>
      <c r="AQ32" s="685"/>
      <c r="AR32" s="685"/>
      <c r="AS32" s="694">
        <f t="shared" si="7"/>
        <v>0</v>
      </c>
      <c r="AT32" s="685">
        <f t="shared" ref="AT32:BB32" si="107">+AS32</f>
        <v>0</v>
      </c>
      <c r="AU32" s="685">
        <f t="shared" si="107"/>
        <v>0</v>
      </c>
      <c r="AV32" s="685">
        <f t="shared" si="107"/>
        <v>0</v>
      </c>
      <c r="AW32" s="685">
        <f t="shared" si="107"/>
        <v>0</v>
      </c>
      <c r="AX32" s="685">
        <f t="shared" si="107"/>
        <v>0</v>
      </c>
      <c r="AY32" s="685">
        <f t="shared" si="107"/>
        <v>0</v>
      </c>
      <c r="AZ32" s="685">
        <f t="shared" si="107"/>
        <v>0</v>
      </c>
      <c r="BA32" s="685">
        <f t="shared" si="107"/>
        <v>0</v>
      </c>
      <c r="BB32" s="33">
        <f t="shared" si="107"/>
        <v>0</v>
      </c>
      <c r="BC32" s="10" t="str">
        <f t="shared" si="9"/>
        <v>제조로보틱스그룹선임(CL2)</v>
      </c>
      <c r="BE32" s="29">
        <v>0</v>
      </c>
      <c r="BF32" s="30"/>
      <c r="BG32" s="30"/>
      <c r="BH32" s="33"/>
      <c r="BI32" s="29">
        <v>0</v>
      </c>
      <c r="BJ32" s="30">
        <v>0</v>
      </c>
      <c r="BK32" s="33">
        <v>0</v>
      </c>
      <c r="BL32" s="493"/>
      <c r="BM32" s="29"/>
      <c r="BN32" s="30"/>
      <c r="BO32" s="33"/>
      <c r="BP32" s="493"/>
      <c r="BQ32" s="484" t="str">
        <f t="shared" si="98"/>
        <v/>
      </c>
      <c r="BR32" s="478" t="str">
        <f t="shared" si="99"/>
        <v/>
      </c>
      <c r="BS32" s="470" t="str">
        <f t="shared" si="100"/>
        <v/>
      </c>
      <c r="BT32" s="13"/>
    </row>
    <row r="33" spans="1:76">
      <c r="A33" s="10" t="str">
        <f t="shared" si="87"/>
        <v>제조로보틱스그룹</v>
      </c>
      <c r="B33" s="528" t="str">
        <f>+B32</f>
        <v>제조로보틱스그룹</v>
      </c>
      <c r="C33" s="529" t="s">
        <v>250</v>
      </c>
      <c r="D33" s="20" t="s">
        <v>104</v>
      </c>
      <c r="E33" s="19"/>
      <c r="F33" s="20"/>
      <c r="G33" s="35"/>
      <c r="H33" s="36"/>
      <c r="I33" s="37">
        <f>ROUND(H33*105%,0)</f>
        <v>0</v>
      </c>
      <c r="J33" s="36"/>
      <c r="K33" s="36"/>
      <c r="L33" s="36"/>
      <c r="M33" s="36"/>
      <c r="N33" s="38"/>
      <c r="O33" s="39"/>
      <c r="P33" s="36"/>
      <c r="Q33" s="36"/>
      <c r="R33" s="40"/>
      <c r="S33" s="35"/>
      <c r="T33" s="36"/>
      <c r="U33" s="1202">
        <f t="shared" si="2"/>
        <v>0</v>
      </c>
      <c r="V33" s="37"/>
      <c r="W33" s="36"/>
      <c r="X33" s="36"/>
      <c r="Y33" s="36"/>
      <c r="Z33" s="38"/>
      <c r="AA33" s="39"/>
      <c r="AB33" s="36"/>
      <c r="AC33" s="36"/>
      <c r="AD33" s="40"/>
      <c r="AE33" s="35"/>
      <c r="AF33" s="36"/>
      <c r="AG33" s="37">
        <f t="shared" si="4"/>
        <v>0</v>
      </c>
      <c r="AH33" s="36"/>
      <c r="AI33" s="36"/>
      <c r="AJ33" s="36"/>
      <c r="AK33" s="36"/>
      <c r="AL33" s="38"/>
      <c r="AM33" s="39"/>
      <c r="AN33" s="36"/>
      <c r="AO33" s="36"/>
      <c r="AP33" s="686"/>
      <c r="AQ33" s="686"/>
      <c r="AR33" s="686"/>
      <c r="AS33" s="695">
        <f t="shared" si="7"/>
        <v>0</v>
      </c>
      <c r="AT33" s="686">
        <f t="shared" ref="AT33:BB33" si="108">+AS33</f>
        <v>0</v>
      </c>
      <c r="AU33" s="686">
        <f t="shared" si="108"/>
        <v>0</v>
      </c>
      <c r="AV33" s="686">
        <f t="shared" si="108"/>
        <v>0</v>
      </c>
      <c r="AW33" s="686">
        <f t="shared" si="108"/>
        <v>0</v>
      </c>
      <c r="AX33" s="686">
        <f t="shared" si="108"/>
        <v>0</v>
      </c>
      <c r="AY33" s="686">
        <f t="shared" si="108"/>
        <v>0</v>
      </c>
      <c r="AZ33" s="686">
        <f t="shared" si="108"/>
        <v>0</v>
      </c>
      <c r="BA33" s="686">
        <f t="shared" si="108"/>
        <v>0</v>
      </c>
      <c r="BB33" s="40">
        <f t="shared" si="108"/>
        <v>0</v>
      </c>
      <c r="BC33" s="10" t="str">
        <f t="shared" si="9"/>
        <v>제조로보틱스그룹사원(CL1-CL2)</v>
      </c>
      <c r="BE33" s="35">
        <v>0</v>
      </c>
      <c r="BF33" s="36"/>
      <c r="BG33" s="36"/>
      <c r="BH33" s="40"/>
      <c r="BI33" s="35">
        <v>0</v>
      </c>
      <c r="BJ33" s="36">
        <v>0</v>
      </c>
      <c r="BK33" s="40">
        <v>0</v>
      </c>
      <c r="BL33" s="494"/>
      <c r="BM33" s="35"/>
      <c r="BN33" s="36"/>
      <c r="BO33" s="40"/>
      <c r="BP33" s="494"/>
      <c r="BQ33" s="485" t="str">
        <f t="shared" si="98"/>
        <v/>
      </c>
      <c r="BR33" s="479" t="str">
        <f t="shared" si="99"/>
        <v/>
      </c>
      <c r="BS33" s="471" t="str">
        <f t="shared" si="100"/>
        <v/>
      </c>
      <c r="BT33" s="13"/>
    </row>
    <row r="34" spans="1:76">
      <c r="A34" s="10" t="str">
        <f t="shared" ref="A34:A39" si="109">+B34&amp;E34</f>
        <v>아키텍처그룹이사</v>
      </c>
      <c r="B34" s="523" t="s">
        <v>669</v>
      </c>
      <c r="C34" s="525" t="s">
        <v>12</v>
      </c>
      <c r="D34" s="15" t="s">
        <v>105</v>
      </c>
      <c r="E34" s="16" t="s">
        <v>12</v>
      </c>
      <c r="F34" s="15" t="s">
        <v>82</v>
      </c>
      <c r="G34" s="41">
        <v>9444361</v>
      </c>
      <c r="H34" s="42">
        <v>9444361</v>
      </c>
      <c r="I34" s="43">
        <v>10219093</v>
      </c>
      <c r="J34" s="42">
        <f t="shared" ref="J34:T34" si="110">I34</f>
        <v>10219093</v>
      </c>
      <c r="K34" s="42">
        <f t="shared" si="110"/>
        <v>10219093</v>
      </c>
      <c r="L34" s="42">
        <f t="shared" si="110"/>
        <v>10219093</v>
      </c>
      <c r="M34" s="42">
        <f t="shared" si="110"/>
        <v>10219093</v>
      </c>
      <c r="N34" s="42">
        <f t="shared" si="110"/>
        <v>10219093</v>
      </c>
      <c r="O34" s="42">
        <f t="shared" si="110"/>
        <v>10219093</v>
      </c>
      <c r="P34" s="42">
        <f t="shared" si="110"/>
        <v>10219093</v>
      </c>
      <c r="Q34" s="42">
        <f t="shared" si="110"/>
        <v>10219093</v>
      </c>
      <c r="R34" s="44">
        <f t="shared" si="110"/>
        <v>10219093</v>
      </c>
      <c r="S34" s="41">
        <f t="shared" si="110"/>
        <v>10219093</v>
      </c>
      <c r="T34" s="42">
        <f t="shared" si="110"/>
        <v>10219093</v>
      </c>
      <c r="U34" s="541">
        <f t="shared" si="2"/>
        <v>10730048</v>
      </c>
      <c r="V34" s="43"/>
      <c r="W34" s="42">
        <f t="shared" ref="W34:AF34" si="111">V34</f>
        <v>0</v>
      </c>
      <c r="X34" s="42">
        <f t="shared" si="111"/>
        <v>0</v>
      </c>
      <c r="Y34" s="42">
        <f t="shared" si="111"/>
        <v>0</v>
      </c>
      <c r="Z34" s="42">
        <f t="shared" si="111"/>
        <v>0</v>
      </c>
      <c r="AA34" s="42">
        <f t="shared" si="111"/>
        <v>0</v>
      </c>
      <c r="AB34" s="42">
        <f t="shared" si="111"/>
        <v>0</v>
      </c>
      <c r="AC34" s="42">
        <f t="shared" si="111"/>
        <v>0</v>
      </c>
      <c r="AD34" s="44">
        <f t="shared" si="111"/>
        <v>0</v>
      </c>
      <c r="AE34" s="41">
        <f t="shared" si="111"/>
        <v>0</v>
      </c>
      <c r="AF34" s="42">
        <f t="shared" si="111"/>
        <v>0</v>
      </c>
      <c r="AG34" s="43">
        <f t="shared" si="4"/>
        <v>0</v>
      </c>
      <c r="AH34" s="42">
        <f t="shared" ref="AH34:AO37" si="112">AG34</f>
        <v>0</v>
      </c>
      <c r="AI34" s="42">
        <f t="shared" si="112"/>
        <v>0</v>
      </c>
      <c r="AJ34" s="42">
        <f t="shared" si="112"/>
        <v>0</v>
      </c>
      <c r="AK34" s="42">
        <f t="shared" si="112"/>
        <v>0</v>
      </c>
      <c r="AL34" s="42">
        <f t="shared" si="112"/>
        <v>0</v>
      </c>
      <c r="AM34" s="42">
        <f t="shared" si="112"/>
        <v>0</v>
      </c>
      <c r="AN34" s="42">
        <f t="shared" si="112"/>
        <v>0</v>
      </c>
      <c r="AO34" s="42">
        <f t="shared" si="112"/>
        <v>0</v>
      </c>
      <c r="AP34" s="687">
        <f t="shared" ref="AP34:AP37" si="113">AO34</f>
        <v>0</v>
      </c>
      <c r="AQ34" s="687">
        <f t="shared" ref="AQ34:AQ37" si="114">AP34</f>
        <v>0</v>
      </c>
      <c r="AR34" s="687">
        <f t="shared" ref="AR34:AR37" si="115">AQ34</f>
        <v>0</v>
      </c>
      <c r="AS34" s="696">
        <f t="shared" si="7"/>
        <v>0</v>
      </c>
      <c r="AT34" s="687">
        <f t="shared" ref="AT34:BB34" si="116">+AS34</f>
        <v>0</v>
      </c>
      <c r="AU34" s="687">
        <f t="shared" si="116"/>
        <v>0</v>
      </c>
      <c r="AV34" s="687">
        <f t="shared" si="116"/>
        <v>0</v>
      </c>
      <c r="AW34" s="687">
        <f t="shared" si="116"/>
        <v>0</v>
      </c>
      <c r="AX34" s="687">
        <f t="shared" si="116"/>
        <v>0</v>
      </c>
      <c r="AY34" s="687">
        <f t="shared" si="116"/>
        <v>0</v>
      </c>
      <c r="AZ34" s="687">
        <f t="shared" si="116"/>
        <v>0</v>
      </c>
      <c r="BA34" s="687">
        <f t="shared" si="116"/>
        <v>0</v>
      </c>
      <c r="BB34" s="44">
        <f t="shared" si="116"/>
        <v>0</v>
      </c>
      <c r="BC34" s="10" t="str">
        <f t="shared" si="9"/>
        <v>아키텍처그룹이사</v>
      </c>
      <c r="BD34" s="10" t="str">
        <f>B34&amp;E34</f>
        <v>아키텍처그룹이사</v>
      </c>
      <c r="BE34" s="41">
        <v>7874670</v>
      </c>
      <c r="BF34" s="42">
        <v>4330</v>
      </c>
      <c r="BG34" s="42">
        <v>9557664.9900000002</v>
      </c>
      <c r="BH34" s="44">
        <v>45730.454497607658</v>
      </c>
      <c r="BI34" s="41">
        <v>8288602</v>
      </c>
      <c r="BJ34" s="42">
        <v>17597</v>
      </c>
      <c r="BK34" s="44">
        <v>10060988</v>
      </c>
      <c r="BL34" s="495">
        <v>48138.698564593302</v>
      </c>
      <c r="BM34" s="41"/>
      <c r="BN34" s="42"/>
      <c r="BO34" s="44"/>
      <c r="BP34" s="495"/>
      <c r="BQ34" s="486">
        <f t="shared" ref="BQ34:BQ39" si="117">+IFERROR(BM34/BI34-1,"")</f>
        <v>-1</v>
      </c>
      <c r="BR34" s="480">
        <f t="shared" si="99"/>
        <v>-1</v>
      </c>
      <c r="BS34" s="472">
        <f t="shared" si="100"/>
        <v>-1</v>
      </c>
      <c r="BT34" s="13"/>
    </row>
    <row r="35" spans="1:76">
      <c r="A35" s="10" t="str">
        <f t="shared" si="109"/>
        <v>아키텍처그룹CL4(수석)</v>
      </c>
      <c r="B35" s="526" t="str">
        <f>+B34</f>
        <v>아키텍처그룹</v>
      </c>
      <c r="C35" s="527" t="s">
        <v>246</v>
      </c>
      <c r="D35" s="18" t="s">
        <v>110</v>
      </c>
      <c r="E35" s="17" t="s">
        <v>445</v>
      </c>
      <c r="F35" s="18" t="s">
        <v>82</v>
      </c>
      <c r="G35" s="45">
        <v>9444361</v>
      </c>
      <c r="H35" s="46">
        <v>9444361</v>
      </c>
      <c r="I35" s="47">
        <v>10219093</v>
      </c>
      <c r="J35" s="46">
        <f t="shared" ref="J35:T35" si="118">I35</f>
        <v>10219093</v>
      </c>
      <c r="K35" s="46">
        <f t="shared" si="118"/>
        <v>10219093</v>
      </c>
      <c r="L35" s="46">
        <f t="shared" si="118"/>
        <v>10219093</v>
      </c>
      <c r="M35" s="46">
        <f t="shared" si="118"/>
        <v>10219093</v>
      </c>
      <c r="N35" s="46">
        <f t="shared" si="118"/>
        <v>10219093</v>
      </c>
      <c r="O35" s="46">
        <f t="shared" si="118"/>
        <v>10219093</v>
      </c>
      <c r="P35" s="46">
        <f t="shared" si="118"/>
        <v>10219093</v>
      </c>
      <c r="Q35" s="46">
        <f t="shared" si="118"/>
        <v>10219093</v>
      </c>
      <c r="R35" s="48">
        <f t="shared" si="118"/>
        <v>10219093</v>
      </c>
      <c r="S35" s="45">
        <f t="shared" si="118"/>
        <v>10219093</v>
      </c>
      <c r="T35" s="46">
        <f t="shared" si="118"/>
        <v>10219093</v>
      </c>
      <c r="U35" s="550">
        <f t="shared" si="2"/>
        <v>10730048</v>
      </c>
      <c r="V35" s="47">
        <v>9559340</v>
      </c>
      <c r="W35" s="46">
        <f t="shared" ref="W35:AF35" si="119">V35</f>
        <v>9559340</v>
      </c>
      <c r="X35" s="46">
        <f t="shared" si="119"/>
        <v>9559340</v>
      </c>
      <c r="Y35" s="46">
        <f t="shared" si="119"/>
        <v>9559340</v>
      </c>
      <c r="Z35" s="46">
        <f t="shared" si="119"/>
        <v>9559340</v>
      </c>
      <c r="AA35" s="46">
        <f t="shared" si="119"/>
        <v>9559340</v>
      </c>
      <c r="AB35" s="46">
        <f t="shared" si="119"/>
        <v>9559340</v>
      </c>
      <c r="AC35" s="46">
        <f t="shared" si="119"/>
        <v>9559340</v>
      </c>
      <c r="AD35" s="48">
        <f t="shared" si="119"/>
        <v>9559340</v>
      </c>
      <c r="AE35" s="45">
        <f t="shared" si="119"/>
        <v>9559340</v>
      </c>
      <c r="AF35" s="46">
        <f t="shared" si="119"/>
        <v>9559340</v>
      </c>
      <c r="AG35" s="47">
        <f t="shared" si="4"/>
        <v>10037307</v>
      </c>
      <c r="AH35" s="46">
        <f t="shared" si="112"/>
        <v>10037307</v>
      </c>
      <c r="AI35" s="46">
        <f t="shared" si="112"/>
        <v>10037307</v>
      </c>
      <c r="AJ35" s="46">
        <f t="shared" si="112"/>
        <v>10037307</v>
      </c>
      <c r="AK35" s="46">
        <f t="shared" si="112"/>
        <v>10037307</v>
      </c>
      <c r="AL35" s="46">
        <f t="shared" si="112"/>
        <v>10037307</v>
      </c>
      <c r="AM35" s="46">
        <f t="shared" si="112"/>
        <v>10037307</v>
      </c>
      <c r="AN35" s="46">
        <f t="shared" si="112"/>
        <v>10037307</v>
      </c>
      <c r="AO35" s="46">
        <f t="shared" si="112"/>
        <v>10037307</v>
      </c>
      <c r="AP35" s="688">
        <f t="shared" si="113"/>
        <v>10037307</v>
      </c>
      <c r="AQ35" s="688">
        <f t="shared" si="114"/>
        <v>10037307</v>
      </c>
      <c r="AR35" s="688">
        <f t="shared" si="115"/>
        <v>10037307</v>
      </c>
      <c r="AS35" s="697">
        <f t="shared" si="7"/>
        <v>10539172</v>
      </c>
      <c r="AT35" s="688">
        <f t="shared" ref="AT35:BB35" si="120">+AS35</f>
        <v>10539172</v>
      </c>
      <c r="AU35" s="688">
        <f t="shared" si="120"/>
        <v>10539172</v>
      </c>
      <c r="AV35" s="688">
        <f t="shared" si="120"/>
        <v>10539172</v>
      </c>
      <c r="AW35" s="688">
        <f t="shared" si="120"/>
        <v>10539172</v>
      </c>
      <c r="AX35" s="688">
        <f t="shared" si="120"/>
        <v>10539172</v>
      </c>
      <c r="AY35" s="688">
        <f t="shared" si="120"/>
        <v>10539172</v>
      </c>
      <c r="AZ35" s="688">
        <f t="shared" si="120"/>
        <v>10539172</v>
      </c>
      <c r="BA35" s="688">
        <f t="shared" si="120"/>
        <v>10539172</v>
      </c>
      <c r="BB35" s="48">
        <f t="shared" si="120"/>
        <v>10539172</v>
      </c>
      <c r="BC35" s="10" t="str">
        <f t="shared" si="9"/>
        <v>아키텍처그룹수석(CL4)</v>
      </c>
      <c r="BD35" s="10" t="str">
        <f>B35&amp;E35</f>
        <v>아키텍처그룹CL4(수석)</v>
      </c>
      <c r="BE35" s="45">
        <v>6488890</v>
      </c>
      <c r="BF35" s="46">
        <v>70945</v>
      </c>
      <c r="BG35" s="46">
        <v>8053230.6969999997</v>
      </c>
      <c r="BH35" s="48">
        <v>38532.20429186603</v>
      </c>
      <c r="BI35" s="45">
        <v>6693337</v>
      </c>
      <c r="BJ35" s="46">
        <v>72273</v>
      </c>
      <c r="BK35" s="48">
        <v>8238695</v>
      </c>
      <c r="BL35" s="496">
        <v>39419.593301435409</v>
      </c>
      <c r="BM35" s="45"/>
      <c r="BN35" s="46"/>
      <c r="BO35" s="48"/>
      <c r="BP35" s="496"/>
      <c r="BQ35" s="487">
        <f t="shared" si="117"/>
        <v>-1</v>
      </c>
      <c r="BR35" s="481">
        <f t="shared" si="99"/>
        <v>-1</v>
      </c>
      <c r="BS35" s="473">
        <f t="shared" si="100"/>
        <v>-1</v>
      </c>
      <c r="BT35" s="13"/>
    </row>
    <row r="36" spans="1:76">
      <c r="A36" s="10" t="str">
        <f t="shared" si="109"/>
        <v>아키텍처그룹CL3(책임-수석보)</v>
      </c>
      <c r="B36" s="526" t="str">
        <f>+B35</f>
        <v>아키텍처그룹</v>
      </c>
      <c r="C36" s="527" t="s">
        <v>247</v>
      </c>
      <c r="D36" s="18" t="s">
        <v>110</v>
      </c>
      <c r="E36" s="17" t="s">
        <v>455</v>
      </c>
      <c r="F36" s="18" t="s">
        <v>459</v>
      </c>
      <c r="G36" s="45">
        <v>8162382</v>
      </c>
      <c r="H36" s="46">
        <v>8162382</v>
      </c>
      <c r="I36" s="47">
        <v>8346296</v>
      </c>
      <c r="J36" s="46">
        <f t="shared" ref="J36:T36" si="121">I36</f>
        <v>8346296</v>
      </c>
      <c r="K36" s="46">
        <f t="shared" si="121"/>
        <v>8346296</v>
      </c>
      <c r="L36" s="46">
        <f t="shared" si="121"/>
        <v>8346296</v>
      </c>
      <c r="M36" s="46">
        <f t="shared" si="121"/>
        <v>8346296</v>
      </c>
      <c r="N36" s="46">
        <f t="shared" si="121"/>
        <v>8346296</v>
      </c>
      <c r="O36" s="46">
        <f t="shared" si="121"/>
        <v>8346296</v>
      </c>
      <c r="P36" s="46">
        <f t="shared" si="121"/>
        <v>8346296</v>
      </c>
      <c r="Q36" s="46">
        <f t="shared" si="121"/>
        <v>8346296</v>
      </c>
      <c r="R36" s="48">
        <f t="shared" si="121"/>
        <v>8346296</v>
      </c>
      <c r="S36" s="45">
        <v>8346296</v>
      </c>
      <c r="T36" s="46">
        <f t="shared" si="121"/>
        <v>8346296</v>
      </c>
      <c r="U36" s="550">
        <f t="shared" ref="U36:U133" si="122">ROUND(T36*105%,0)</f>
        <v>8763611</v>
      </c>
      <c r="V36" s="47">
        <v>8169346</v>
      </c>
      <c r="W36" s="46">
        <f t="shared" ref="W36:AF36" si="123">V36</f>
        <v>8169346</v>
      </c>
      <c r="X36" s="46">
        <f t="shared" si="123"/>
        <v>8169346</v>
      </c>
      <c r="Y36" s="46">
        <f t="shared" si="123"/>
        <v>8169346</v>
      </c>
      <c r="Z36" s="46">
        <f t="shared" si="123"/>
        <v>8169346</v>
      </c>
      <c r="AA36" s="46">
        <f t="shared" si="123"/>
        <v>8169346</v>
      </c>
      <c r="AB36" s="46">
        <f t="shared" si="123"/>
        <v>8169346</v>
      </c>
      <c r="AC36" s="46">
        <f t="shared" si="123"/>
        <v>8169346</v>
      </c>
      <c r="AD36" s="48">
        <f t="shared" si="123"/>
        <v>8169346</v>
      </c>
      <c r="AE36" s="45">
        <f t="shared" si="123"/>
        <v>8169346</v>
      </c>
      <c r="AF36" s="46">
        <f t="shared" si="123"/>
        <v>8169346</v>
      </c>
      <c r="AG36" s="47">
        <f t="shared" ref="AG36:AG133" si="124">ROUND(AF36*105%,0)</f>
        <v>8577813</v>
      </c>
      <c r="AH36" s="46">
        <f t="shared" si="112"/>
        <v>8577813</v>
      </c>
      <c r="AI36" s="46">
        <f t="shared" si="112"/>
        <v>8577813</v>
      </c>
      <c r="AJ36" s="46">
        <f t="shared" si="112"/>
        <v>8577813</v>
      </c>
      <c r="AK36" s="46">
        <f t="shared" si="112"/>
        <v>8577813</v>
      </c>
      <c r="AL36" s="46">
        <f t="shared" si="112"/>
        <v>8577813</v>
      </c>
      <c r="AM36" s="46">
        <f t="shared" si="112"/>
        <v>8577813</v>
      </c>
      <c r="AN36" s="46">
        <f t="shared" si="112"/>
        <v>8577813</v>
      </c>
      <c r="AO36" s="46">
        <f t="shared" si="112"/>
        <v>8577813</v>
      </c>
      <c r="AP36" s="688">
        <f t="shared" si="113"/>
        <v>8577813</v>
      </c>
      <c r="AQ36" s="688">
        <f t="shared" si="114"/>
        <v>8577813</v>
      </c>
      <c r="AR36" s="688">
        <f t="shared" si="115"/>
        <v>8577813</v>
      </c>
      <c r="AS36" s="697">
        <f t="shared" ref="AS36:AS133" si="125">ROUND(AR36*105%,0)</f>
        <v>9006704</v>
      </c>
      <c r="AT36" s="688">
        <f t="shared" ref="AT36:BB36" si="126">+AS36</f>
        <v>9006704</v>
      </c>
      <c r="AU36" s="688">
        <f t="shared" si="126"/>
        <v>9006704</v>
      </c>
      <c r="AV36" s="688">
        <f t="shared" si="126"/>
        <v>9006704</v>
      </c>
      <c r="AW36" s="688">
        <f t="shared" si="126"/>
        <v>9006704</v>
      </c>
      <c r="AX36" s="688">
        <f t="shared" si="126"/>
        <v>9006704</v>
      </c>
      <c r="AY36" s="688">
        <f t="shared" si="126"/>
        <v>9006704</v>
      </c>
      <c r="AZ36" s="688">
        <f t="shared" si="126"/>
        <v>9006704</v>
      </c>
      <c r="BA36" s="688">
        <f t="shared" si="126"/>
        <v>9006704</v>
      </c>
      <c r="BB36" s="48">
        <f t="shared" si="126"/>
        <v>9006704</v>
      </c>
      <c r="BC36" s="10" t="str">
        <f t="shared" ref="BC36:BC133" si="127">B36&amp;C36</f>
        <v>아키텍처그룹수석보(CL3)</v>
      </c>
      <c r="BD36" s="10" t="str">
        <f>B36&amp;E36</f>
        <v>아키텍처그룹CL3(책임-수석보)</v>
      </c>
      <c r="BE36" s="45">
        <v>4889208</v>
      </c>
      <c r="BF36" s="46">
        <v>71887.396449704131</v>
      </c>
      <c r="BG36" s="46">
        <v>6071404.3681065096</v>
      </c>
      <c r="BH36" s="48">
        <v>29049.781665581384</v>
      </c>
      <c r="BI36" s="45">
        <v>5162009</v>
      </c>
      <c r="BJ36" s="46">
        <v>52637</v>
      </c>
      <c r="BK36" s="48">
        <v>6350076</v>
      </c>
      <c r="BL36" s="496">
        <v>30383.138755980861</v>
      </c>
      <c r="BM36" s="45"/>
      <c r="BN36" s="46"/>
      <c r="BO36" s="48"/>
      <c r="BP36" s="496"/>
      <c r="BQ36" s="487">
        <f t="shared" si="117"/>
        <v>-1</v>
      </c>
      <c r="BR36" s="481">
        <f t="shared" si="99"/>
        <v>-1</v>
      </c>
      <c r="BS36" s="473">
        <f t="shared" si="100"/>
        <v>-1</v>
      </c>
      <c r="BT36" s="13"/>
    </row>
    <row r="37" spans="1:76">
      <c r="A37" s="10" t="str">
        <f t="shared" si="109"/>
        <v>아키텍처그룹CL2(사원-선임)</v>
      </c>
      <c r="B37" s="526" t="str">
        <f>+B36</f>
        <v>아키텍처그룹</v>
      </c>
      <c r="C37" s="527" t="s">
        <v>248</v>
      </c>
      <c r="D37" s="18" t="s">
        <v>111</v>
      </c>
      <c r="E37" s="17" t="s">
        <v>457</v>
      </c>
      <c r="F37" s="18" t="s">
        <v>461</v>
      </c>
      <c r="G37" s="45">
        <v>5974262</v>
      </c>
      <c r="H37" s="46">
        <v>5974262</v>
      </c>
      <c r="I37" s="47">
        <v>5273162</v>
      </c>
      <c r="J37" s="46">
        <f t="shared" ref="J37:T37" si="128">I37</f>
        <v>5273162</v>
      </c>
      <c r="K37" s="46">
        <f t="shared" si="128"/>
        <v>5273162</v>
      </c>
      <c r="L37" s="46">
        <f t="shared" si="128"/>
        <v>5273162</v>
      </c>
      <c r="M37" s="46">
        <f t="shared" si="128"/>
        <v>5273162</v>
      </c>
      <c r="N37" s="46">
        <f t="shared" si="128"/>
        <v>5273162</v>
      </c>
      <c r="O37" s="46">
        <f t="shared" si="128"/>
        <v>5273162</v>
      </c>
      <c r="P37" s="46">
        <f t="shared" si="128"/>
        <v>5273162</v>
      </c>
      <c r="Q37" s="46">
        <f t="shared" si="128"/>
        <v>5273162</v>
      </c>
      <c r="R37" s="48">
        <f t="shared" si="128"/>
        <v>5273162</v>
      </c>
      <c r="S37" s="45">
        <v>5273162</v>
      </c>
      <c r="T37" s="46">
        <f t="shared" si="128"/>
        <v>5273162</v>
      </c>
      <c r="U37" s="550">
        <f t="shared" si="122"/>
        <v>5536820</v>
      </c>
      <c r="V37" s="47">
        <v>5648334</v>
      </c>
      <c r="W37" s="46">
        <f t="shared" ref="W37:AF37" si="129">V37</f>
        <v>5648334</v>
      </c>
      <c r="X37" s="46">
        <f t="shared" si="129"/>
        <v>5648334</v>
      </c>
      <c r="Y37" s="46">
        <f t="shared" si="129"/>
        <v>5648334</v>
      </c>
      <c r="Z37" s="46">
        <f t="shared" si="129"/>
        <v>5648334</v>
      </c>
      <c r="AA37" s="46">
        <f t="shared" si="129"/>
        <v>5648334</v>
      </c>
      <c r="AB37" s="46">
        <f t="shared" si="129"/>
        <v>5648334</v>
      </c>
      <c r="AC37" s="46">
        <f t="shared" si="129"/>
        <v>5648334</v>
      </c>
      <c r="AD37" s="48">
        <f t="shared" si="129"/>
        <v>5648334</v>
      </c>
      <c r="AE37" s="45">
        <f t="shared" si="129"/>
        <v>5648334</v>
      </c>
      <c r="AF37" s="46">
        <f t="shared" si="129"/>
        <v>5648334</v>
      </c>
      <c r="AG37" s="47">
        <f t="shared" si="124"/>
        <v>5930751</v>
      </c>
      <c r="AH37" s="46">
        <f t="shared" si="112"/>
        <v>5930751</v>
      </c>
      <c r="AI37" s="46">
        <f t="shared" si="112"/>
        <v>5930751</v>
      </c>
      <c r="AJ37" s="46">
        <f t="shared" si="112"/>
        <v>5930751</v>
      </c>
      <c r="AK37" s="46">
        <f t="shared" si="112"/>
        <v>5930751</v>
      </c>
      <c r="AL37" s="46">
        <f t="shared" si="112"/>
        <v>5930751</v>
      </c>
      <c r="AM37" s="46">
        <f t="shared" si="112"/>
        <v>5930751</v>
      </c>
      <c r="AN37" s="46">
        <f t="shared" si="112"/>
        <v>5930751</v>
      </c>
      <c r="AO37" s="46">
        <f t="shared" si="112"/>
        <v>5930751</v>
      </c>
      <c r="AP37" s="688">
        <f t="shared" si="113"/>
        <v>5930751</v>
      </c>
      <c r="AQ37" s="688">
        <f t="shared" si="114"/>
        <v>5930751</v>
      </c>
      <c r="AR37" s="688">
        <f t="shared" si="115"/>
        <v>5930751</v>
      </c>
      <c r="AS37" s="697">
        <f t="shared" si="125"/>
        <v>6227289</v>
      </c>
      <c r="AT37" s="688">
        <f t="shared" ref="AT37:BB37" si="130">+AS37</f>
        <v>6227289</v>
      </c>
      <c r="AU37" s="688">
        <f t="shared" si="130"/>
        <v>6227289</v>
      </c>
      <c r="AV37" s="688">
        <f t="shared" si="130"/>
        <v>6227289</v>
      </c>
      <c r="AW37" s="688">
        <f t="shared" si="130"/>
        <v>6227289</v>
      </c>
      <c r="AX37" s="688">
        <f t="shared" si="130"/>
        <v>6227289</v>
      </c>
      <c r="AY37" s="688">
        <f t="shared" si="130"/>
        <v>6227289</v>
      </c>
      <c r="AZ37" s="688">
        <f t="shared" si="130"/>
        <v>6227289</v>
      </c>
      <c r="BA37" s="688">
        <f t="shared" si="130"/>
        <v>6227289</v>
      </c>
      <c r="BB37" s="48">
        <f t="shared" si="130"/>
        <v>6227289</v>
      </c>
      <c r="BC37" s="10" t="str">
        <f t="shared" si="127"/>
        <v>아키텍처그룹책임(CL3)</v>
      </c>
      <c r="BD37" s="10" t="str">
        <f>B37&amp;E37</f>
        <v>아키텍처그룹CL2(사원-선임)</v>
      </c>
      <c r="BE37" s="45">
        <v>3847945</v>
      </c>
      <c r="BF37" s="46">
        <v>40652.994011976043</v>
      </c>
      <c r="BG37" s="46">
        <v>4664545.6604191605</v>
      </c>
      <c r="BH37" s="48">
        <v>22318.400289086891</v>
      </c>
      <c r="BI37" s="45">
        <v>4119610</v>
      </c>
      <c r="BJ37" s="46">
        <v>28305</v>
      </c>
      <c r="BK37" s="48">
        <v>4954613</v>
      </c>
      <c r="BL37" s="496">
        <v>23706.282296650719</v>
      </c>
      <c r="BM37" s="45"/>
      <c r="BN37" s="46"/>
      <c r="BO37" s="48"/>
      <c r="BP37" s="496"/>
      <c r="BQ37" s="487">
        <f t="shared" si="117"/>
        <v>-1</v>
      </c>
      <c r="BR37" s="481">
        <f t="shared" si="99"/>
        <v>-1</v>
      </c>
      <c r="BS37" s="473">
        <f t="shared" si="100"/>
        <v>-1</v>
      </c>
      <c r="BT37" s="13"/>
    </row>
    <row r="38" spans="1:76">
      <c r="A38" s="10" t="str">
        <f t="shared" si="109"/>
        <v>아키텍처그룹</v>
      </c>
      <c r="B38" s="526" t="str">
        <f>+B37</f>
        <v>아키텍처그룹</v>
      </c>
      <c r="C38" s="527" t="s">
        <v>249</v>
      </c>
      <c r="D38" s="18" t="s">
        <v>112</v>
      </c>
      <c r="E38" s="17"/>
      <c r="F38" s="18"/>
      <c r="G38" s="45"/>
      <c r="H38" s="46"/>
      <c r="I38" s="47">
        <f t="shared" ref="I38:I39" si="131">ROUND(H38*105%,0)</f>
        <v>0</v>
      </c>
      <c r="J38" s="46"/>
      <c r="K38" s="46"/>
      <c r="L38" s="46"/>
      <c r="M38" s="46"/>
      <c r="N38" s="46"/>
      <c r="O38" s="46"/>
      <c r="P38" s="46"/>
      <c r="Q38" s="46"/>
      <c r="R38" s="48"/>
      <c r="S38" s="45"/>
      <c r="T38" s="46"/>
      <c r="U38" s="550">
        <f t="shared" si="122"/>
        <v>0</v>
      </c>
      <c r="V38" s="47"/>
      <c r="W38" s="46"/>
      <c r="X38" s="46"/>
      <c r="Y38" s="46"/>
      <c r="Z38" s="46"/>
      <c r="AA38" s="46"/>
      <c r="AB38" s="46"/>
      <c r="AC38" s="46"/>
      <c r="AD38" s="48"/>
      <c r="AE38" s="45"/>
      <c r="AF38" s="46"/>
      <c r="AG38" s="47">
        <f t="shared" si="124"/>
        <v>0</v>
      </c>
      <c r="AH38" s="46"/>
      <c r="AI38" s="46"/>
      <c r="AJ38" s="46"/>
      <c r="AK38" s="46"/>
      <c r="AL38" s="46"/>
      <c r="AM38" s="46"/>
      <c r="AN38" s="46"/>
      <c r="AO38" s="46"/>
      <c r="AP38" s="688"/>
      <c r="AQ38" s="688"/>
      <c r="AR38" s="688"/>
      <c r="AS38" s="697">
        <f t="shared" si="125"/>
        <v>0</v>
      </c>
      <c r="AT38" s="688">
        <f t="shared" ref="AT38:BB38" si="132">+AS38</f>
        <v>0</v>
      </c>
      <c r="AU38" s="688">
        <f t="shared" si="132"/>
        <v>0</v>
      </c>
      <c r="AV38" s="688">
        <f t="shared" si="132"/>
        <v>0</v>
      </c>
      <c r="AW38" s="688">
        <f t="shared" si="132"/>
        <v>0</v>
      </c>
      <c r="AX38" s="688">
        <f t="shared" si="132"/>
        <v>0</v>
      </c>
      <c r="AY38" s="688">
        <f t="shared" si="132"/>
        <v>0</v>
      </c>
      <c r="AZ38" s="688">
        <f t="shared" si="132"/>
        <v>0</v>
      </c>
      <c r="BA38" s="688">
        <f t="shared" si="132"/>
        <v>0</v>
      </c>
      <c r="BB38" s="48">
        <f t="shared" si="132"/>
        <v>0</v>
      </c>
      <c r="BC38" s="10" t="str">
        <f t="shared" si="127"/>
        <v>아키텍처그룹선임(CL2)</v>
      </c>
      <c r="BD38" s="10" t="s">
        <v>451</v>
      </c>
      <c r="BE38" s="45">
        <v>0</v>
      </c>
      <c r="BF38" s="46"/>
      <c r="BG38" s="46"/>
      <c r="BH38" s="48"/>
      <c r="BI38" s="45">
        <v>0</v>
      </c>
      <c r="BJ38" s="46">
        <v>0</v>
      </c>
      <c r="BK38" s="48">
        <v>0</v>
      </c>
      <c r="BL38" s="496"/>
      <c r="BM38" s="45"/>
      <c r="BN38" s="46"/>
      <c r="BO38" s="48"/>
      <c r="BP38" s="496"/>
      <c r="BQ38" s="487" t="str">
        <f t="shared" si="117"/>
        <v/>
      </c>
      <c r="BR38" s="481" t="str">
        <f t="shared" si="99"/>
        <v/>
      </c>
      <c r="BS38" s="473" t="str">
        <f t="shared" si="100"/>
        <v/>
      </c>
      <c r="BT38" s="13"/>
    </row>
    <row r="39" spans="1:76">
      <c r="A39" s="10" t="str">
        <f t="shared" si="109"/>
        <v>아키텍처그룹</v>
      </c>
      <c r="B39" s="528" t="str">
        <f>+B38</f>
        <v>아키텍처그룹</v>
      </c>
      <c r="C39" s="529" t="s">
        <v>250</v>
      </c>
      <c r="D39" s="20" t="s">
        <v>104</v>
      </c>
      <c r="E39" s="19"/>
      <c r="F39" s="20"/>
      <c r="G39" s="49"/>
      <c r="H39" s="50"/>
      <c r="I39" s="51">
        <f t="shared" si="131"/>
        <v>0</v>
      </c>
      <c r="J39" s="50"/>
      <c r="K39" s="50"/>
      <c r="L39" s="50"/>
      <c r="M39" s="50"/>
      <c r="N39" s="50"/>
      <c r="O39" s="50"/>
      <c r="P39" s="50"/>
      <c r="Q39" s="50"/>
      <c r="R39" s="52"/>
      <c r="S39" s="49"/>
      <c r="T39" s="50"/>
      <c r="U39" s="1199">
        <f t="shared" si="122"/>
        <v>0</v>
      </c>
      <c r="V39" s="51"/>
      <c r="W39" s="50"/>
      <c r="X39" s="50"/>
      <c r="Y39" s="50"/>
      <c r="Z39" s="50"/>
      <c r="AA39" s="50"/>
      <c r="AB39" s="50"/>
      <c r="AC39" s="50"/>
      <c r="AD39" s="52"/>
      <c r="AE39" s="49"/>
      <c r="AF39" s="50"/>
      <c r="AG39" s="51">
        <f t="shared" si="124"/>
        <v>0</v>
      </c>
      <c r="AH39" s="50"/>
      <c r="AI39" s="50"/>
      <c r="AJ39" s="50"/>
      <c r="AK39" s="50"/>
      <c r="AL39" s="50"/>
      <c r="AM39" s="50"/>
      <c r="AN39" s="50"/>
      <c r="AO39" s="50"/>
      <c r="AP39" s="689"/>
      <c r="AQ39" s="689"/>
      <c r="AR39" s="689"/>
      <c r="AS39" s="698">
        <f t="shared" si="125"/>
        <v>0</v>
      </c>
      <c r="AT39" s="689">
        <f t="shared" ref="AT39:BB39" si="133">+AS39</f>
        <v>0</v>
      </c>
      <c r="AU39" s="689">
        <f t="shared" si="133"/>
        <v>0</v>
      </c>
      <c r="AV39" s="689">
        <f t="shared" si="133"/>
        <v>0</v>
      </c>
      <c r="AW39" s="689">
        <f t="shared" si="133"/>
        <v>0</v>
      </c>
      <c r="AX39" s="689">
        <f t="shared" si="133"/>
        <v>0</v>
      </c>
      <c r="AY39" s="689">
        <f t="shared" si="133"/>
        <v>0</v>
      </c>
      <c r="AZ39" s="689">
        <f t="shared" si="133"/>
        <v>0</v>
      </c>
      <c r="BA39" s="689">
        <f t="shared" si="133"/>
        <v>0</v>
      </c>
      <c r="BB39" s="52">
        <f t="shared" si="133"/>
        <v>0</v>
      </c>
      <c r="BC39" s="10" t="str">
        <f t="shared" si="127"/>
        <v>아키텍처그룹사원(CL1-CL2)</v>
      </c>
      <c r="BD39" s="10" t="s">
        <v>452</v>
      </c>
      <c r="BE39" s="49">
        <v>0</v>
      </c>
      <c r="BF39" s="50"/>
      <c r="BG39" s="50"/>
      <c r="BH39" s="52"/>
      <c r="BI39" s="49">
        <v>0</v>
      </c>
      <c r="BJ39" s="50">
        <v>0</v>
      </c>
      <c r="BK39" s="52">
        <v>0</v>
      </c>
      <c r="BL39" s="497"/>
      <c r="BM39" s="49"/>
      <c r="BN39" s="50"/>
      <c r="BO39" s="52"/>
      <c r="BP39" s="497"/>
      <c r="BQ39" s="488" t="str">
        <f t="shared" si="117"/>
        <v/>
      </c>
      <c r="BR39" s="482" t="str">
        <f t="shared" si="99"/>
        <v/>
      </c>
      <c r="BS39" s="474" t="str">
        <f t="shared" si="100"/>
        <v/>
      </c>
      <c r="BT39" s="13"/>
    </row>
    <row r="40" spans="1:76">
      <c r="A40" s="10" t="str">
        <f t="shared" ref="A40:A75" si="134">+B40&amp;E40</f>
        <v>DS MES그룹이사</v>
      </c>
      <c r="B40" s="523" t="s">
        <v>1000</v>
      </c>
      <c r="C40" s="525" t="s">
        <v>12</v>
      </c>
      <c r="D40" s="15" t="s">
        <v>105</v>
      </c>
      <c r="E40" s="16" t="s">
        <v>12</v>
      </c>
      <c r="F40" s="15" t="s">
        <v>82</v>
      </c>
      <c r="G40" s="543">
        <v>0</v>
      </c>
      <c r="H40" s="541">
        <v>0</v>
      </c>
      <c r="I40" s="541">
        <f>ROUND(H40*105%,0)</f>
        <v>0</v>
      </c>
      <c r="J40" s="541">
        <f t="shared" ref="J40:T40" si="135">I40</f>
        <v>0</v>
      </c>
      <c r="K40" s="541">
        <f t="shared" si="135"/>
        <v>0</v>
      </c>
      <c r="L40" s="541">
        <f t="shared" si="135"/>
        <v>0</v>
      </c>
      <c r="M40" s="541">
        <f t="shared" si="135"/>
        <v>0</v>
      </c>
      <c r="N40" s="541">
        <f t="shared" si="135"/>
        <v>0</v>
      </c>
      <c r="O40" s="541">
        <f t="shared" si="135"/>
        <v>0</v>
      </c>
      <c r="P40" s="541">
        <f t="shared" si="135"/>
        <v>0</v>
      </c>
      <c r="Q40" s="541">
        <f t="shared" si="135"/>
        <v>0</v>
      </c>
      <c r="R40" s="542">
        <f t="shared" si="135"/>
        <v>0</v>
      </c>
      <c r="S40" s="543">
        <f t="shared" si="135"/>
        <v>0</v>
      </c>
      <c r="T40" s="541">
        <f t="shared" si="135"/>
        <v>0</v>
      </c>
      <c r="U40" s="541">
        <f>ROUND(T40*105%,0)</f>
        <v>0</v>
      </c>
      <c r="V40" s="43">
        <f t="shared" ref="V40:AF40" si="136">U40</f>
        <v>0</v>
      </c>
      <c r="W40" s="541">
        <f t="shared" si="136"/>
        <v>0</v>
      </c>
      <c r="X40" s="541">
        <f t="shared" si="136"/>
        <v>0</v>
      </c>
      <c r="Y40" s="541">
        <f t="shared" si="136"/>
        <v>0</v>
      </c>
      <c r="Z40" s="541">
        <f t="shared" si="136"/>
        <v>0</v>
      </c>
      <c r="AA40" s="541">
        <f t="shared" si="136"/>
        <v>0</v>
      </c>
      <c r="AB40" s="541">
        <f t="shared" si="136"/>
        <v>0</v>
      </c>
      <c r="AC40" s="541">
        <f t="shared" si="136"/>
        <v>0</v>
      </c>
      <c r="AD40" s="542">
        <f t="shared" si="136"/>
        <v>0</v>
      </c>
      <c r="AE40" s="543">
        <f t="shared" si="136"/>
        <v>0</v>
      </c>
      <c r="AF40" s="541">
        <f t="shared" si="136"/>
        <v>0</v>
      </c>
      <c r="AG40" s="541">
        <f>ROUND(AF40*105%,0)</f>
        <v>0</v>
      </c>
      <c r="AH40" s="541">
        <f t="shared" ref="AH40:AO43" si="137">AG40</f>
        <v>0</v>
      </c>
      <c r="AI40" s="541">
        <f t="shared" si="137"/>
        <v>0</v>
      </c>
      <c r="AJ40" s="541">
        <f t="shared" si="137"/>
        <v>0</v>
      </c>
      <c r="AK40" s="541">
        <f t="shared" si="137"/>
        <v>0</v>
      </c>
      <c r="AL40" s="541">
        <f t="shared" si="137"/>
        <v>0</v>
      </c>
      <c r="AM40" s="541">
        <f t="shared" si="137"/>
        <v>0</v>
      </c>
      <c r="AN40" s="541">
        <f t="shared" si="137"/>
        <v>0</v>
      </c>
      <c r="AO40" s="541">
        <f t="shared" si="137"/>
        <v>0</v>
      </c>
      <c r="AP40" s="690">
        <f t="shared" ref="AP40:AP43" si="138">AO40</f>
        <v>0</v>
      </c>
      <c r="AQ40" s="690">
        <f t="shared" ref="AQ40:AQ43" si="139">AP40</f>
        <v>0</v>
      </c>
      <c r="AR40" s="690">
        <f t="shared" ref="AR40:AR43" si="140">AQ40</f>
        <v>0</v>
      </c>
      <c r="AS40" s="696">
        <f t="shared" ref="AS40:AS71" si="141">ROUND(AR40*105%,0)</f>
        <v>0</v>
      </c>
      <c r="AT40" s="690">
        <f t="shared" ref="AT40:BB40" si="142">+AS40</f>
        <v>0</v>
      </c>
      <c r="AU40" s="690">
        <f t="shared" si="142"/>
        <v>0</v>
      </c>
      <c r="AV40" s="690">
        <f t="shared" si="142"/>
        <v>0</v>
      </c>
      <c r="AW40" s="690">
        <f t="shared" si="142"/>
        <v>0</v>
      </c>
      <c r="AX40" s="690">
        <f t="shared" si="142"/>
        <v>0</v>
      </c>
      <c r="AY40" s="690">
        <f t="shared" si="142"/>
        <v>0</v>
      </c>
      <c r="AZ40" s="690">
        <f t="shared" si="142"/>
        <v>0</v>
      </c>
      <c r="BA40" s="690">
        <f t="shared" si="142"/>
        <v>0</v>
      </c>
      <c r="BB40" s="542">
        <f t="shared" si="142"/>
        <v>0</v>
      </c>
      <c r="BC40" s="10" t="str">
        <f t="shared" ref="BC40:BC75" si="143">B40&amp;C40</f>
        <v>DS MES그룹이사</v>
      </c>
      <c r="BD40" s="544" t="str">
        <f t="shared" ref="BD40:BD49" si="144">B40&amp;E40</f>
        <v>DS MES그룹이사</v>
      </c>
      <c r="BE40" s="543"/>
      <c r="BF40" s="541"/>
      <c r="BG40" s="541"/>
      <c r="BH40" s="542"/>
      <c r="BI40" s="543"/>
      <c r="BJ40" s="541"/>
      <c r="BK40" s="542"/>
      <c r="BL40" s="545"/>
      <c r="BM40" s="543"/>
      <c r="BN40" s="541"/>
      <c r="BO40" s="542"/>
      <c r="BP40" s="545"/>
      <c r="BQ40" s="546"/>
      <c r="BR40" s="547"/>
      <c r="BS40" s="548"/>
      <c r="BT40" s="549"/>
      <c r="BU40" s="539"/>
      <c r="BV40" s="539"/>
      <c r="BW40" s="544"/>
      <c r="BX40" s="544"/>
    </row>
    <row r="41" spans="1:76">
      <c r="A41" s="10" t="str">
        <f t="shared" si="134"/>
        <v>DS MES그룹CL4(수석)</v>
      </c>
      <c r="B41" s="526" t="str">
        <f>B40</f>
        <v>DS MES그룹</v>
      </c>
      <c r="C41" s="527" t="s">
        <v>246</v>
      </c>
      <c r="D41" s="18" t="s">
        <v>105</v>
      </c>
      <c r="E41" s="17" t="s">
        <v>445</v>
      </c>
      <c r="F41" s="18" t="s">
        <v>82</v>
      </c>
      <c r="G41" s="552">
        <v>9707157</v>
      </c>
      <c r="H41" s="550">
        <v>9707157</v>
      </c>
      <c r="I41" s="550">
        <v>9592538</v>
      </c>
      <c r="J41" s="550">
        <v>9592538</v>
      </c>
      <c r="K41" s="550">
        <v>9592538</v>
      </c>
      <c r="L41" s="550">
        <v>9592538</v>
      </c>
      <c r="M41" s="550">
        <v>9592538</v>
      </c>
      <c r="N41" s="550">
        <v>9592538</v>
      </c>
      <c r="O41" s="550">
        <v>9592538</v>
      </c>
      <c r="P41" s="550">
        <v>9592538</v>
      </c>
      <c r="Q41" s="550">
        <v>9592538</v>
      </c>
      <c r="R41" s="551">
        <v>9592538</v>
      </c>
      <c r="S41" s="552">
        <v>9592538</v>
      </c>
      <c r="T41" s="550">
        <v>9592538</v>
      </c>
      <c r="U41" s="550">
        <f>ROUND(T41*105%,0)</f>
        <v>10072165</v>
      </c>
      <c r="V41" s="47">
        <v>9789485</v>
      </c>
      <c r="W41" s="550">
        <f t="shared" ref="W41:AF41" si="145">V41</f>
        <v>9789485</v>
      </c>
      <c r="X41" s="550">
        <f t="shared" si="145"/>
        <v>9789485</v>
      </c>
      <c r="Y41" s="550">
        <f t="shared" si="145"/>
        <v>9789485</v>
      </c>
      <c r="Z41" s="550">
        <f t="shared" si="145"/>
        <v>9789485</v>
      </c>
      <c r="AA41" s="550">
        <f t="shared" si="145"/>
        <v>9789485</v>
      </c>
      <c r="AB41" s="550">
        <f t="shared" si="145"/>
        <v>9789485</v>
      </c>
      <c r="AC41" s="550">
        <f t="shared" si="145"/>
        <v>9789485</v>
      </c>
      <c r="AD41" s="551">
        <f t="shared" si="145"/>
        <v>9789485</v>
      </c>
      <c r="AE41" s="552">
        <f t="shared" si="145"/>
        <v>9789485</v>
      </c>
      <c r="AF41" s="550">
        <f t="shared" si="145"/>
        <v>9789485</v>
      </c>
      <c r="AG41" s="550">
        <f>ROUND(AF41*105%,0)</f>
        <v>10278959</v>
      </c>
      <c r="AH41" s="550">
        <f t="shared" si="137"/>
        <v>10278959</v>
      </c>
      <c r="AI41" s="550">
        <f t="shared" si="137"/>
        <v>10278959</v>
      </c>
      <c r="AJ41" s="550">
        <f t="shared" si="137"/>
        <v>10278959</v>
      </c>
      <c r="AK41" s="550">
        <f t="shared" si="137"/>
        <v>10278959</v>
      </c>
      <c r="AL41" s="550">
        <f t="shared" si="137"/>
        <v>10278959</v>
      </c>
      <c r="AM41" s="550">
        <f t="shared" si="137"/>
        <v>10278959</v>
      </c>
      <c r="AN41" s="550">
        <f t="shared" si="137"/>
        <v>10278959</v>
      </c>
      <c r="AO41" s="550">
        <f t="shared" si="137"/>
        <v>10278959</v>
      </c>
      <c r="AP41" s="691">
        <f t="shared" si="138"/>
        <v>10278959</v>
      </c>
      <c r="AQ41" s="691">
        <f t="shared" si="139"/>
        <v>10278959</v>
      </c>
      <c r="AR41" s="691">
        <f t="shared" si="140"/>
        <v>10278959</v>
      </c>
      <c r="AS41" s="697">
        <f t="shared" si="141"/>
        <v>10792907</v>
      </c>
      <c r="AT41" s="691">
        <f t="shared" ref="AT41:BB41" si="146">+AS41</f>
        <v>10792907</v>
      </c>
      <c r="AU41" s="691">
        <f t="shared" si="146"/>
        <v>10792907</v>
      </c>
      <c r="AV41" s="691">
        <f t="shared" si="146"/>
        <v>10792907</v>
      </c>
      <c r="AW41" s="691">
        <f t="shared" si="146"/>
        <v>10792907</v>
      </c>
      <c r="AX41" s="691">
        <f t="shared" si="146"/>
        <v>10792907</v>
      </c>
      <c r="AY41" s="691">
        <f t="shared" si="146"/>
        <v>10792907</v>
      </c>
      <c r="AZ41" s="691">
        <f t="shared" si="146"/>
        <v>10792907</v>
      </c>
      <c r="BA41" s="691">
        <f t="shared" si="146"/>
        <v>10792907</v>
      </c>
      <c r="BB41" s="551">
        <f t="shared" si="146"/>
        <v>10792907</v>
      </c>
      <c r="BC41" s="10" t="str">
        <f t="shared" si="143"/>
        <v>DS MES그룹수석(CL4)</v>
      </c>
      <c r="BD41" s="544" t="str">
        <f t="shared" si="144"/>
        <v>DS MES그룹CL4(수석)</v>
      </c>
      <c r="BE41" s="552"/>
      <c r="BF41" s="550"/>
      <c r="BG41" s="550"/>
      <c r="BH41" s="551"/>
      <c r="BI41" s="552"/>
      <c r="BJ41" s="550"/>
      <c r="BK41" s="551"/>
      <c r="BL41" s="553"/>
      <c r="BM41" s="552"/>
      <c r="BN41" s="550"/>
      <c r="BO41" s="551"/>
      <c r="BP41" s="553"/>
      <c r="BQ41" s="554"/>
      <c r="BR41" s="555"/>
      <c r="BS41" s="556"/>
      <c r="BT41" s="549"/>
      <c r="BU41" s="539"/>
      <c r="BV41" s="539"/>
      <c r="BW41" s="544"/>
      <c r="BX41" s="544"/>
    </row>
    <row r="42" spans="1:76">
      <c r="A42" s="10" t="str">
        <f t="shared" si="134"/>
        <v>DS MES그룹CL3(책임-수석보)</v>
      </c>
      <c r="B42" s="526" t="str">
        <f>B41</f>
        <v>DS MES그룹</v>
      </c>
      <c r="C42" s="527" t="s">
        <v>247</v>
      </c>
      <c r="D42" s="18" t="s">
        <v>105</v>
      </c>
      <c r="E42" s="17" t="s">
        <v>455</v>
      </c>
      <c r="F42" s="18" t="s">
        <v>459</v>
      </c>
      <c r="G42" s="552">
        <v>7615473</v>
      </c>
      <c r="H42" s="550">
        <v>7615473</v>
      </c>
      <c r="I42" s="550">
        <v>7603252</v>
      </c>
      <c r="J42" s="550">
        <v>7603252</v>
      </c>
      <c r="K42" s="550">
        <v>7603252</v>
      </c>
      <c r="L42" s="550">
        <v>7603252</v>
      </c>
      <c r="M42" s="550">
        <v>7603252</v>
      </c>
      <c r="N42" s="550">
        <v>7603252</v>
      </c>
      <c r="O42" s="550">
        <v>7603252</v>
      </c>
      <c r="P42" s="550">
        <v>7603252</v>
      </c>
      <c r="Q42" s="550">
        <v>7603252</v>
      </c>
      <c r="R42" s="551">
        <v>7603252</v>
      </c>
      <c r="S42" s="552">
        <v>7603252</v>
      </c>
      <c r="T42" s="550">
        <v>7603252</v>
      </c>
      <c r="U42" s="550">
        <f>ROUND(T42*105%,0)</f>
        <v>7983415</v>
      </c>
      <c r="V42" s="47">
        <v>7903908</v>
      </c>
      <c r="W42" s="550">
        <f t="shared" ref="W42:AF42" si="147">V42</f>
        <v>7903908</v>
      </c>
      <c r="X42" s="550">
        <f t="shared" si="147"/>
        <v>7903908</v>
      </c>
      <c r="Y42" s="550">
        <f t="shared" si="147"/>
        <v>7903908</v>
      </c>
      <c r="Z42" s="550">
        <f t="shared" si="147"/>
        <v>7903908</v>
      </c>
      <c r="AA42" s="550">
        <f t="shared" si="147"/>
        <v>7903908</v>
      </c>
      <c r="AB42" s="550">
        <f t="shared" si="147"/>
        <v>7903908</v>
      </c>
      <c r="AC42" s="550">
        <f t="shared" si="147"/>
        <v>7903908</v>
      </c>
      <c r="AD42" s="551">
        <f t="shared" si="147"/>
        <v>7903908</v>
      </c>
      <c r="AE42" s="552">
        <f t="shared" si="147"/>
        <v>7903908</v>
      </c>
      <c r="AF42" s="550">
        <f t="shared" si="147"/>
        <v>7903908</v>
      </c>
      <c r="AG42" s="550">
        <f>ROUND(AF42*105%,0)</f>
        <v>8299103</v>
      </c>
      <c r="AH42" s="550">
        <f t="shared" si="137"/>
        <v>8299103</v>
      </c>
      <c r="AI42" s="550">
        <f t="shared" si="137"/>
        <v>8299103</v>
      </c>
      <c r="AJ42" s="550">
        <f t="shared" si="137"/>
        <v>8299103</v>
      </c>
      <c r="AK42" s="550">
        <f t="shared" si="137"/>
        <v>8299103</v>
      </c>
      <c r="AL42" s="550">
        <f t="shared" si="137"/>
        <v>8299103</v>
      </c>
      <c r="AM42" s="550">
        <f t="shared" si="137"/>
        <v>8299103</v>
      </c>
      <c r="AN42" s="550">
        <f t="shared" si="137"/>
        <v>8299103</v>
      </c>
      <c r="AO42" s="550">
        <f t="shared" si="137"/>
        <v>8299103</v>
      </c>
      <c r="AP42" s="691">
        <f t="shared" si="138"/>
        <v>8299103</v>
      </c>
      <c r="AQ42" s="691">
        <f t="shared" si="139"/>
        <v>8299103</v>
      </c>
      <c r="AR42" s="691">
        <f t="shared" si="140"/>
        <v>8299103</v>
      </c>
      <c r="AS42" s="697">
        <f t="shared" si="141"/>
        <v>8714058</v>
      </c>
      <c r="AT42" s="691">
        <f t="shared" ref="AT42:BB42" si="148">+AS42</f>
        <v>8714058</v>
      </c>
      <c r="AU42" s="691">
        <f t="shared" si="148"/>
        <v>8714058</v>
      </c>
      <c r="AV42" s="691">
        <f t="shared" si="148"/>
        <v>8714058</v>
      </c>
      <c r="AW42" s="691">
        <f t="shared" si="148"/>
        <v>8714058</v>
      </c>
      <c r="AX42" s="691">
        <f t="shared" si="148"/>
        <v>8714058</v>
      </c>
      <c r="AY42" s="691">
        <f t="shared" si="148"/>
        <v>8714058</v>
      </c>
      <c r="AZ42" s="691">
        <f t="shared" si="148"/>
        <v>8714058</v>
      </c>
      <c r="BA42" s="691">
        <f t="shared" si="148"/>
        <v>8714058</v>
      </c>
      <c r="BB42" s="551">
        <f t="shared" si="148"/>
        <v>8714058</v>
      </c>
      <c r="BC42" s="10" t="str">
        <f t="shared" si="143"/>
        <v>DS MES그룹수석보(CL3)</v>
      </c>
      <c r="BD42" s="544" t="str">
        <f t="shared" si="144"/>
        <v>DS MES그룹CL3(책임-수석보)</v>
      </c>
      <c r="BE42" s="552"/>
      <c r="BF42" s="550"/>
      <c r="BG42" s="550"/>
      <c r="BH42" s="551"/>
      <c r="BI42" s="552"/>
      <c r="BJ42" s="550"/>
      <c r="BK42" s="551"/>
      <c r="BL42" s="553"/>
      <c r="BM42" s="552"/>
      <c r="BN42" s="550"/>
      <c r="BO42" s="551"/>
      <c r="BP42" s="553"/>
      <c r="BQ42" s="554"/>
      <c r="BR42" s="555"/>
      <c r="BS42" s="556"/>
      <c r="BT42" s="549"/>
      <c r="BU42" s="539"/>
      <c r="BV42" s="539"/>
      <c r="BW42" s="544"/>
      <c r="BX42" s="544"/>
    </row>
    <row r="43" spans="1:76">
      <c r="A43" s="10" t="str">
        <f t="shared" si="134"/>
        <v>DS MES그룹CL2(사원-선임)</v>
      </c>
      <c r="B43" s="526" t="str">
        <f>B42</f>
        <v>DS MES그룹</v>
      </c>
      <c r="C43" s="527" t="s">
        <v>248</v>
      </c>
      <c r="D43" s="18" t="s">
        <v>102</v>
      </c>
      <c r="E43" s="17" t="s">
        <v>457</v>
      </c>
      <c r="F43" s="18" t="s">
        <v>461</v>
      </c>
      <c r="G43" s="552">
        <v>6063852</v>
      </c>
      <c r="H43" s="550">
        <v>6063852</v>
      </c>
      <c r="I43" s="550">
        <v>5899969</v>
      </c>
      <c r="J43" s="550">
        <v>5899969</v>
      </c>
      <c r="K43" s="550">
        <v>5899969</v>
      </c>
      <c r="L43" s="550">
        <v>5899969</v>
      </c>
      <c r="M43" s="550">
        <v>5899969</v>
      </c>
      <c r="N43" s="550">
        <v>5899969</v>
      </c>
      <c r="O43" s="550">
        <v>5899969</v>
      </c>
      <c r="P43" s="550">
        <v>5899969</v>
      </c>
      <c r="Q43" s="550">
        <v>5899969</v>
      </c>
      <c r="R43" s="551">
        <v>5899969</v>
      </c>
      <c r="S43" s="552">
        <v>5899969</v>
      </c>
      <c r="T43" s="550">
        <v>5899969</v>
      </c>
      <c r="U43" s="550">
        <f>ROUND(T43*105%,0)</f>
        <v>6194967</v>
      </c>
      <c r="V43" s="47">
        <v>6112648</v>
      </c>
      <c r="W43" s="550">
        <f t="shared" ref="W43:AF43" si="149">V43</f>
        <v>6112648</v>
      </c>
      <c r="X43" s="550">
        <f t="shared" si="149"/>
        <v>6112648</v>
      </c>
      <c r="Y43" s="550">
        <f t="shared" si="149"/>
        <v>6112648</v>
      </c>
      <c r="Z43" s="550">
        <f t="shared" si="149"/>
        <v>6112648</v>
      </c>
      <c r="AA43" s="550">
        <f t="shared" si="149"/>
        <v>6112648</v>
      </c>
      <c r="AB43" s="550">
        <f t="shared" si="149"/>
        <v>6112648</v>
      </c>
      <c r="AC43" s="550">
        <f t="shared" si="149"/>
        <v>6112648</v>
      </c>
      <c r="AD43" s="551">
        <f t="shared" si="149"/>
        <v>6112648</v>
      </c>
      <c r="AE43" s="552">
        <f t="shared" si="149"/>
        <v>6112648</v>
      </c>
      <c r="AF43" s="550">
        <f t="shared" si="149"/>
        <v>6112648</v>
      </c>
      <c r="AG43" s="550">
        <f>ROUND(AF43*105%,0)</f>
        <v>6418280</v>
      </c>
      <c r="AH43" s="550">
        <f t="shared" si="137"/>
        <v>6418280</v>
      </c>
      <c r="AI43" s="550">
        <f t="shared" si="137"/>
        <v>6418280</v>
      </c>
      <c r="AJ43" s="550">
        <f t="shared" si="137"/>
        <v>6418280</v>
      </c>
      <c r="AK43" s="550">
        <f t="shared" si="137"/>
        <v>6418280</v>
      </c>
      <c r="AL43" s="550">
        <f t="shared" si="137"/>
        <v>6418280</v>
      </c>
      <c r="AM43" s="550">
        <f t="shared" si="137"/>
        <v>6418280</v>
      </c>
      <c r="AN43" s="550">
        <f t="shared" si="137"/>
        <v>6418280</v>
      </c>
      <c r="AO43" s="550">
        <f t="shared" si="137"/>
        <v>6418280</v>
      </c>
      <c r="AP43" s="691">
        <f t="shared" si="138"/>
        <v>6418280</v>
      </c>
      <c r="AQ43" s="691">
        <f t="shared" si="139"/>
        <v>6418280</v>
      </c>
      <c r="AR43" s="691">
        <f t="shared" si="140"/>
        <v>6418280</v>
      </c>
      <c r="AS43" s="697">
        <f t="shared" si="141"/>
        <v>6739194</v>
      </c>
      <c r="AT43" s="691">
        <f t="shared" ref="AT43:BB43" si="150">+AS43</f>
        <v>6739194</v>
      </c>
      <c r="AU43" s="691">
        <f t="shared" si="150"/>
        <v>6739194</v>
      </c>
      <c r="AV43" s="691">
        <f t="shared" si="150"/>
        <v>6739194</v>
      </c>
      <c r="AW43" s="691">
        <f t="shared" si="150"/>
        <v>6739194</v>
      </c>
      <c r="AX43" s="691">
        <f t="shared" si="150"/>
        <v>6739194</v>
      </c>
      <c r="AY43" s="691">
        <f t="shared" si="150"/>
        <v>6739194</v>
      </c>
      <c r="AZ43" s="691">
        <f t="shared" si="150"/>
        <v>6739194</v>
      </c>
      <c r="BA43" s="691">
        <f t="shared" si="150"/>
        <v>6739194</v>
      </c>
      <c r="BB43" s="551">
        <f t="shared" si="150"/>
        <v>6739194</v>
      </c>
      <c r="BC43" s="10" t="str">
        <f t="shared" si="143"/>
        <v>DS MES그룹책임(CL3)</v>
      </c>
      <c r="BD43" s="544" t="str">
        <f t="shared" si="144"/>
        <v>DS MES그룹CL2(사원-선임)</v>
      </c>
      <c r="BE43" s="552"/>
      <c r="BF43" s="550"/>
      <c r="BG43" s="550"/>
      <c r="BH43" s="551"/>
      <c r="BI43" s="552"/>
      <c r="BJ43" s="550"/>
      <c r="BK43" s="551"/>
      <c r="BL43" s="553"/>
      <c r="BM43" s="552"/>
      <c r="BN43" s="550"/>
      <c r="BO43" s="551"/>
      <c r="BP43" s="553"/>
      <c r="BQ43" s="554"/>
      <c r="BR43" s="555"/>
      <c r="BS43" s="556"/>
      <c r="BT43" s="549"/>
      <c r="BU43" s="539"/>
      <c r="BV43" s="539"/>
      <c r="BW43" s="544"/>
      <c r="BX43" s="544"/>
    </row>
    <row r="44" spans="1:76">
      <c r="A44" s="10" t="str">
        <f t="shared" si="134"/>
        <v>DS MES그룹</v>
      </c>
      <c r="B44" s="526" t="str">
        <f>B43</f>
        <v>DS MES그룹</v>
      </c>
      <c r="C44" s="527" t="s">
        <v>249</v>
      </c>
      <c r="D44" s="18" t="s">
        <v>103</v>
      </c>
      <c r="E44" s="17"/>
      <c r="F44" s="18"/>
      <c r="G44" s="45"/>
      <c r="H44" s="46"/>
      <c r="I44" s="47"/>
      <c r="J44" s="46"/>
      <c r="K44" s="46"/>
      <c r="L44" s="46"/>
      <c r="M44" s="46"/>
      <c r="N44" s="46"/>
      <c r="O44" s="46"/>
      <c r="P44" s="46"/>
      <c r="Q44" s="46"/>
      <c r="R44" s="48"/>
      <c r="S44" s="45"/>
      <c r="T44" s="46"/>
      <c r="U44" s="550"/>
      <c r="V44" s="47"/>
      <c r="W44" s="46"/>
      <c r="X44" s="46"/>
      <c r="Y44" s="46"/>
      <c r="Z44" s="46"/>
      <c r="AA44" s="46"/>
      <c r="AB44" s="46"/>
      <c r="AC44" s="46"/>
      <c r="AD44" s="48"/>
      <c r="AE44" s="45"/>
      <c r="AF44" s="46"/>
      <c r="AG44" s="47"/>
      <c r="AH44" s="46"/>
      <c r="AI44" s="46"/>
      <c r="AJ44" s="46"/>
      <c r="AK44" s="46"/>
      <c r="AL44" s="46"/>
      <c r="AM44" s="46"/>
      <c r="AN44" s="46"/>
      <c r="AO44" s="46"/>
      <c r="AP44" s="688"/>
      <c r="AQ44" s="688"/>
      <c r="AR44" s="688"/>
      <c r="AS44" s="697">
        <f t="shared" si="141"/>
        <v>0</v>
      </c>
      <c r="AT44" s="688">
        <f t="shared" ref="AT44:BB44" si="151">+AS44</f>
        <v>0</v>
      </c>
      <c r="AU44" s="688">
        <f t="shared" si="151"/>
        <v>0</v>
      </c>
      <c r="AV44" s="688">
        <f t="shared" si="151"/>
        <v>0</v>
      </c>
      <c r="AW44" s="688">
        <f t="shared" si="151"/>
        <v>0</v>
      </c>
      <c r="AX44" s="688">
        <f t="shared" si="151"/>
        <v>0</v>
      </c>
      <c r="AY44" s="688">
        <f t="shared" si="151"/>
        <v>0</v>
      </c>
      <c r="AZ44" s="688">
        <f t="shared" si="151"/>
        <v>0</v>
      </c>
      <c r="BA44" s="688">
        <f t="shared" si="151"/>
        <v>0</v>
      </c>
      <c r="BB44" s="48">
        <f t="shared" si="151"/>
        <v>0</v>
      </c>
      <c r="BC44" s="10" t="str">
        <f t="shared" si="143"/>
        <v>DS MES그룹선임(CL2)</v>
      </c>
      <c r="BD44" s="544" t="str">
        <f t="shared" si="144"/>
        <v>DS MES그룹</v>
      </c>
      <c r="BE44" s="45"/>
      <c r="BF44" s="46"/>
      <c r="BG44" s="46"/>
      <c r="BH44" s="48"/>
      <c r="BI44" s="45"/>
      <c r="BJ44" s="46"/>
      <c r="BK44" s="48"/>
      <c r="BL44" s="496"/>
      <c r="BM44" s="45"/>
      <c r="BN44" s="46"/>
      <c r="BO44" s="48"/>
      <c r="BP44" s="496"/>
      <c r="BQ44" s="487"/>
      <c r="BR44" s="481"/>
      <c r="BS44" s="473"/>
      <c r="BT44" s="13"/>
    </row>
    <row r="45" spans="1:76">
      <c r="A45" s="10" t="str">
        <f t="shared" si="134"/>
        <v>DS MES그룹</v>
      </c>
      <c r="B45" s="528" t="str">
        <f>B44</f>
        <v>DS MES그룹</v>
      </c>
      <c r="C45" s="529" t="s">
        <v>250</v>
      </c>
      <c r="D45" s="20" t="s">
        <v>104</v>
      </c>
      <c r="E45" s="19"/>
      <c r="F45" s="20"/>
      <c r="G45" s="49"/>
      <c r="H45" s="50"/>
      <c r="I45" s="51"/>
      <c r="J45" s="50"/>
      <c r="K45" s="50"/>
      <c r="L45" s="50"/>
      <c r="M45" s="50"/>
      <c r="N45" s="50"/>
      <c r="O45" s="50"/>
      <c r="P45" s="50"/>
      <c r="Q45" s="50"/>
      <c r="R45" s="52"/>
      <c r="S45" s="49"/>
      <c r="T45" s="50"/>
      <c r="U45" s="1199"/>
      <c r="V45" s="51"/>
      <c r="W45" s="50"/>
      <c r="X45" s="50"/>
      <c r="Y45" s="50"/>
      <c r="Z45" s="50"/>
      <c r="AA45" s="50"/>
      <c r="AB45" s="50"/>
      <c r="AC45" s="50"/>
      <c r="AD45" s="52"/>
      <c r="AE45" s="49"/>
      <c r="AF45" s="50"/>
      <c r="AG45" s="51"/>
      <c r="AH45" s="50"/>
      <c r="AI45" s="50"/>
      <c r="AJ45" s="50"/>
      <c r="AK45" s="50"/>
      <c r="AL45" s="50"/>
      <c r="AM45" s="50"/>
      <c r="AN45" s="50"/>
      <c r="AO45" s="50"/>
      <c r="AP45" s="689"/>
      <c r="AQ45" s="689"/>
      <c r="AR45" s="689"/>
      <c r="AS45" s="698">
        <f t="shared" si="141"/>
        <v>0</v>
      </c>
      <c r="AT45" s="689">
        <f t="shared" ref="AT45:BB45" si="152">+AS45</f>
        <v>0</v>
      </c>
      <c r="AU45" s="689">
        <f t="shared" si="152"/>
        <v>0</v>
      </c>
      <c r="AV45" s="689">
        <f t="shared" si="152"/>
        <v>0</v>
      </c>
      <c r="AW45" s="689">
        <f t="shared" si="152"/>
        <v>0</v>
      </c>
      <c r="AX45" s="689">
        <f t="shared" si="152"/>
        <v>0</v>
      </c>
      <c r="AY45" s="689">
        <f t="shared" si="152"/>
        <v>0</v>
      </c>
      <c r="AZ45" s="689">
        <f t="shared" si="152"/>
        <v>0</v>
      </c>
      <c r="BA45" s="689">
        <f t="shared" si="152"/>
        <v>0</v>
      </c>
      <c r="BB45" s="52">
        <f t="shared" si="152"/>
        <v>0</v>
      </c>
      <c r="BC45" s="10" t="str">
        <f t="shared" si="143"/>
        <v>DS MES그룹사원(CL1-CL2)</v>
      </c>
      <c r="BD45" s="544" t="str">
        <f t="shared" si="144"/>
        <v>DS MES그룹</v>
      </c>
      <c r="BE45" s="49"/>
      <c r="BF45" s="50"/>
      <c r="BG45" s="50"/>
      <c r="BH45" s="52"/>
      <c r="BI45" s="49"/>
      <c r="BJ45" s="50"/>
      <c r="BK45" s="52"/>
      <c r="BL45" s="497"/>
      <c r="BM45" s="49"/>
      <c r="BN45" s="50"/>
      <c r="BO45" s="52"/>
      <c r="BP45" s="497"/>
      <c r="BQ45" s="488"/>
      <c r="BR45" s="482"/>
      <c r="BS45" s="474"/>
      <c r="BT45" s="13"/>
    </row>
    <row r="46" spans="1:76">
      <c r="A46" s="10" t="str">
        <f t="shared" si="134"/>
        <v>DX/부품MES그룹이사</v>
      </c>
      <c r="B46" s="523" t="s">
        <v>1001</v>
      </c>
      <c r="C46" s="525" t="s">
        <v>12</v>
      </c>
      <c r="D46" s="15" t="s">
        <v>105</v>
      </c>
      <c r="E46" s="16" t="s">
        <v>12</v>
      </c>
      <c r="F46" s="15" t="s">
        <v>82</v>
      </c>
      <c r="G46" s="41">
        <v>11706372</v>
      </c>
      <c r="H46" s="42">
        <v>11706372</v>
      </c>
      <c r="I46" s="43"/>
      <c r="J46" s="42">
        <f t="shared" ref="J46:T46" si="153">I46</f>
        <v>0</v>
      </c>
      <c r="K46" s="42">
        <f t="shared" si="153"/>
        <v>0</v>
      </c>
      <c r="L46" s="42">
        <f t="shared" si="153"/>
        <v>0</v>
      </c>
      <c r="M46" s="42">
        <f t="shared" si="153"/>
        <v>0</v>
      </c>
      <c r="N46" s="42">
        <f t="shared" si="153"/>
        <v>0</v>
      </c>
      <c r="O46" s="42">
        <f t="shared" si="153"/>
        <v>0</v>
      </c>
      <c r="P46" s="42">
        <f t="shared" si="153"/>
        <v>0</v>
      </c>
      <c r="Q46" s="42">
        <f t="shared" si="153"/>
        <v>0</v>
      </c>
      <c r="R46" s="44">
        <f t="shared" si="153"/>
        <v>0</v>
      </c>
      <c r="S46" s="41">
        <f t="shared" si="153"/>
        <v>0</v>
      </c>
      <c r="T46" s="42">
        <f t="shared" si="153"/>
        <v>0</v>
      </c>
      <c r="U46" s="541">
        <f t="shared" ref="U46:U55" si="154">ROUND(T46*105%,0)</f>
        <v>0</v>
      </c>
      <c r="V46" s="43">
        <f t="shared" ref="V46:AF46" si="155">U46</f>
        <v>0</v>
      </c>
      <c r="W46" s="42">
        <f t="shared" si="155"/>
        <v>0</v>
      </c>
      <c r="X46" s="42">
        <f t="shared" si="155"/>
        <v>0</v>
      </c>
      <c r="Y46" s="42">
        <f t="shared" si="155"/>
        <v>0</v>
      </c>
      <c r="Z46" s="42">
        <f t="shared" si="155"/>
        <v>0</v>
      </c>
      <c r="AA46" s="42">
        <f t="shared" si="155"/>
        <v>0</v>
      </c>
      <c r="AB46" s="42">
        <f t="shared" si="155"/>
        <v>0</v>
      </c>
      <c r="AC46" s="42">
        <f t="shared" si="155"/>
        <v>0</v>
      </c>
      <c r="AD46" s="44">
        <f t="shared" si="155"/>
        <v>0</v>
      </c>
      <c r="AE46" s="41">
        <f t="shared" si="155"/>
        <v>0</v>
      </c>
      <c r="AF46" s="42">
        <f t="shared" si="155"/>
        <v>0</v>
      </c>
      <c r="AG46" s="43">
        <f t="shared" ref="AG46:AG55" si="156">ROUND(AF46*105%,0)</f>
        <v>0</v>
      </c>
      <c r="AH46" s="42">
        <f t="shared" ref="AH46:AO49" si="157">AG46</f>
        <v>0</v>
      </c>
      <c r="AI46" s="42">
        <f t="shared" si="157"/>
        <v>0</v>
      </c>
      <c r="AJ46" s="42">
        <f t="shared" si="157"/>
        <v>0</v>
      </c>
      <c r="AK46" s="42">
        <f t="shared" si="157"/>
        <v>0</v>
      </c>
      <c r="AL46" s="42">
        <f t="shared" si="157"/>
        <v>0</v>
      </c>
      <c r="AM46" s="42">
        <f t="shared" si="157"/>
        <v>0</v>
      </c>
      <c r="AN46" s="42">
        <f t="shared" si="157"/>
        <v>0</v>
      </c>
      <c r="AO46" s="42">
        <f t="shared" si="157"/>
        <v>0</v>
      </c>
      <c r="AP46" s="687">
        <f t="shared" ref="AP46:AP49" si="158">AO46</f>
        <v>0</v>
      </c>
      <c r="AQ46" s="687">
        <f t="shared" ref="AQ46:AQ49" si="159">AP46</f>
        <v>0</v>
      </c>
      <c r="AR46" s="687">
        <f t="shared" ref="AR46:AR49" si="160">AQ46</f>
        <v>0</v>
      </c>
      <c r="AS46" s="696">
        <f t="shared" si="141"/>
        <v>0</v>
      </c>
      <c r="AT46" s="687">
        <f t="shared" ref="AT46:BB46" si="161">+AS46</f>
        <v>0</v>
      </c>
      <c r="AU46" s="687">
        <f t="shared" si="161"/>
        <v>0</v>
      </c>
      <c r="AV46" s="687">
        <f t="shared" si="161"/>
        <v>0</v>
      </c>
      <c r="AW46" s="687">
        <f t="shared" si="161"/>
        <v>0</v>
      </c>
      <c r="AX46" s="687">
        <f t="shared" si="161"/>
        <v>0</v>
      </c>
      <c r="AY46" s="687">
        <f t="shared" si="161"/>
        <v>0</v>
      </c>
      <c r="AZ46" s="687">
        <f t="shared" si="161"/>
        <v>0</v>
      </c>
      <c r="BA46" s="687">
        <f t="shared" si="161"/>
        <v>0</v>
      </c>
      <c r="BB46" s="44">
        <f t="shared" si="161"/>
        <v>0</v>
      </c>
      <c r="BC46" s="10" t="str">
        <f t="shared" si="143"/>
        <v>DX/부품MES그룹이사</v>
      </c>
      <c r="BD46" s="10" t="str">
        <f t="shared" si="144"/>
        <v>DX/부품MES그룹이사</v>
      </c>
      <c r="BE46" s="41">
        <v>7878445</v>
      </c>
      <c r="BF46" s="42">
        <v>13612.5</v>
      </c>
      <c r="BG46" s="42">
        <v>9685386.4666666668</v>
      </c>
      <c r="BH46" s="44">
        <v>46341.562041467303</v>
      </c>
      <c r="BI46" s="41">
        <v>7856297</v>
      </c>
      <c r="BJ46" s="42">
        <v>16663</v>
      </c>
      <c r="BK46" s="44">
        <v>9555069</v>
      </c>
      <c r="BL46" s="495">
        <v>45718.033492822964</v>
      </c>
      <c r="BM46" s="41"/>
      <c r="BN46" s="42"/>
      <c r="BO46" s="44"/>
      <c r="BP46" s="495"/>
      <c r="BQ46" s="486">
        <f t="shared" ref="BQ46:BS51" si="162">+IFERROR(BM46/BI46-1,"")</f>
        <v>-1</v>
      </c>
      <c r="BR46" s="480">
        <f t="shared" si="162"/>
        <v>-1</v>
      </c>
      <c r="BS46" s="472">
        <f t="shared" si="162"/>
        <v>-1</v>
      </c>
      <c r="BT46" s="13"/>
    </row>
    <row r="47" spans="1:76">
      <c r="A47" s="10" t="str">
        <f t="shared" si="134"/>
        <v>DX/부품MES그룹CL4(수석)</v>
      </c>
      <c r="B47" s="526" t="str">
        <f>+B46</f>
        <v>DX/부품MES그룹</v>
      </c>
      <c r="C47" s="527" t="s">
        <v>246</v>
      </c>
      <c r="D47" s="18" t="s">
        <v>110</v>
      </c>
      <c r="E47" s="17" t="s">
        <v>445</v>
      </c>
      <c r="F47" s="18" t="s">
        <v>82</v>
      </c>
      <c r="G47" s="45">
        <v>9557768</v>
      </c>
      <c r="H47" s="46">
        <v>9557768</v>
      </c>
      <c r="I47" s="47">
        <v>9434115</v>
      </c>
      <c r="J47" s="46">
        <f t="shared" ref="J47:T47" si="163">I47</f>
        <v>9434115</v>
      </c>
      <c r="K47" s="46">
        <f t="shared" si="163"/>
        <v>9434115</v>
      </c>
      <c r="L47" s="46">
        <f t="shared" si="163"/>
        <v>9434115</v>
      </c>
      <c r="M47" s="46">
        <f t="shared" si="163"/>
        <v>9434115</v>
      </c>
      <c r="N47" s="46">
        <f t="shared" si="163"/>
        <v>9434115</v>
      </c>
      <c r="O47" s="46">
        <f t="shared" si="163"/>
        <v>9434115</v>
      </c>
      <c r="P47" s="46">
        <f t="shared" si="163"/>
        <v>9434115</v>
      </c>
      <c r="Q47" s="46">
        <f t="shared" si="163"/>
        <v>9434115</v>
      </c>
      <c r="R47" s="48">
        <f t="shared" si="163"/>
        <v>9434115</v>
      </c>
      <c r="S47" s="45">
        <f t="shared" si="163"/>
        <v>9434115</v>
      </c>
      <c r="T47" s="46">
        <f t="shared" si="163"/>
        <v>9434115</v>
      </c>
      <c r="U47" s="550">
        <f t="shared" si="154"/>
        <v>9905821</v>
      </c>
      <c r="V47" s="47">
        <v>10030958</v>
      </c>
      <c r="W47" s="46">
        <f t="shared" ref="W47:AF47" si="164">V47</f>
        <v>10030958</v>
      </c>
      <c r="X47" s="46">
        <f t="shared" si="164"/>
        <v>10030958</v>
      </c>
      <c r="Y47" s="46">
        <f t="shared" si="164"/>
        <v>10030958</v>
      </c>
      <c r="Z47" s="46">
        <f t="shared" si="164"/>
        <v>10030958</v>
      </c>
      <c r="AA47" s="46">
        <f t="shared" si="164"/>
        <v>10030958</v>
      </c>
      <c r="AB47" s="46">
        <f t="shared" si="164"/>
        <v>10030958</v>
      </c>
      <c r="AC47" s="46">
        <f t="shared" si="164"/>
        <v>10030958</v>
      </c>
      <c r="AD47" s="48">
        <f t="shared" si="164"/>
        <v>10030958</v>
      </c>
      <c r="AE47" s="45">
        <f t="shared" si="164"/>
        <v>10030958</v>
      </c>
      <c r="AF47" s="46">
        <f t="shared" si="164"/>
        <v>10030958</v>
      </c>
      <c r="AG47" s="47">
        <f t="shared" si="156"/>
        <v>10532506</v>
      </c>
      <c r="AH47" s="46">
        <f t="shared" si="157"/>
        <v>10532506</v>
      </c>
      <c r="AI47" s="46">
        <f t="shared" si="157"/>
        <v>10532506</v>
      </c>
      <c r="AJ47" s="46">
        <f t="shared" si="157"/>
        <v>10532506</v>
      </c>
      <c r="AK47" s="46">
        <f t="shared" si="157"/>
        <v>10532506</v>
      </c>
      <c r="AL47" s="46">
        <f t="shared" si="157"/>
        <v>10532506</v>
      </c>
      <c r="AM47" s="46">
        <f t="shared" si="157"/>
        <v>10532506</v>
      </c>
      <c r="AN47" s="46">
        <f t="shared" si="157"/>
        <v>10532506</v>
      </c>
      <c r="AO47" s="46">
        <f t="shared" si="157"/>
        <v>10532506</v>
      </c>
      <c r="AP47" s="688">
        <f t="shared" si="158"/>
        <v>10532506</v>
      </c>
      <c r="AQ47" s="688">
        <f t="shared" si="159"/>
        <v>10532506</v>
      </c>
      <c r="AR47" s="688">
        <f t="shared" si="160"/>
        <v>10532506</v>
      </c>
      <c r="AS47" s="697">
        <f t="shared" si="141"/>
        <v>11059131</v>
      </c>
      <c r="AT47" s="688">
        <f t="shared" ref="AT47:BB47" si="165">+AS47</f>
        <v>11059131</v>
      </c>
      <c r="AU47" s="688">
        <f t="shared" si="165"/>
        <v>11059131</v>
      </c>
      <c r="AV47" s="688">
        <f t="shared" si="165"/>
        <v>11059131</v>
      </c>
      <c r="AW47" s="688">
        <f t="shared" si="165"/>
        <v>11059131</v>
      </c>
      <c r="AX47" s="688">
        <f t="shared" si="165"/>
        <v>11059131</v>
      </c>
      <c r="AY47" s="688">
        <f t="shared" si="165"/>
        <v>11059131</v>
      </c>
      <c r="AZ47" s="688">
        <f t="shared" si="165"/>
        <v>11059131</v>
      </c>
      <c r="BA47" s="688">
        <f t="shared" si="165"/>
        <v>11059131</v>
      </c>
      <c r="BB47" s="48">
        <f t="shared" si="165"/>
        <v>11059131</v>
      </c>
      <c r="BC47" s="10" t="str">
        <f t="shared" si="143"/>
        <v>DX/부품MES그룹수석(CL4)</v>
      </c>
      <c r="BD47" s="10" t="str">
        <f t="shared" si="144"/>
        <v>DX/부품MES그룹CL4(수석)</v>
      </c>
      <c r="BE47" s="45">
        <v>6454591</v>
      </c>
      <c r="BF47" s="46">
        <v>166466.36363636365</v>
      </c>
      <c r="BG47" s="46">
        <v>7944863.6572727282</v>
      </c>
      <c r="BH47" s="48">
        <v>38013.701709438894</v>
      </c>
      <c r="BI47" s="45">
        <v>6733938</v>
      </c>
      <c r="BJ47" s="46">
        <v>72703</v>
      </c>
      <c r="BK47" s="48">
        <v>8427393</v>
      </c>
      <c r="BL47" s="496">
        <v>40322.454545454544</v>
      </c>
      <c r="BM47" s="45"/>
      <c r="BN47" s="46"/>
      <c r="BO47" s="48"/>
      <c r="BP47" s="496"/>
      <c r="BQ47" s="487">
        <f t="shared" si="162"/>
        <v>-1</v>
      </c>
      <c r="BR47" s="481">
        <f t="shared" si="162"/>
        <v>-1</v>
      </c>
      <c r="BS47" s="473">
        <f t="shared" si="162"/>
        <v>-1</v>
      </c>
      <c r="BT47" s="13"/>
    </row>
    <row r="48" spans="1:76">
      <c r="A48" s="10" t="str">
        <f t="shared" si="134"/>
        <v>DX/부품MES그룹CL3(책임-수석보)</v>
      </c>
      <c r="B48" s="526" t="str">
        <f>+B47</f>
        <v>DX/부품MES그룹</v>
      </c>
      <c r="C48" s="527" t="s">
        <v>247</v>
      </c>
      <c r="D48" s="18" t="s">
        <v>110</v>
      </c>
      <c r="E48" s="17" t="s">
        <v>455</v>
      </c>
      <c r="F48" s="18" t="s">
        <v>459</v>
      </c>
      <c r="G48" s="45">
        <v>7550735</v>
      </c>
      <c r="H48" s="46">
        <v>7550735</v>
      </c>
      <c r="I48" s="47">
        <v>8212751</v>
      </c>
      <c r="J48" s="46">
        <f t="shared" ref="J48:T48" si="166">I48</f>
        <v>8212751</v>
      </c>
      <c r="K48" s="46">
        <f t="shared" si="166"/>
        <v>8212751</v>
      </c>
      <c r="L48" s="46">
        <f t="shared" si="166"/>
        <v>8212751</v>
      </c>
      <c r="M48" s="46">
        <f t="shared" si="166"/>
        <v>8212751</v>
      </c>
      <c r="N48" s="46">
        <f t="shared" si="166"/>
        <v>8212751</v>
      </c>
      <c r="O48" s="46">
        <f t="shared" si="166"/>
        <v>8212751</v>
      </c>
      <c r="P48" s="46">
        <f t="shared" si="166"/>
        <v>8212751</v>
      </c>
      <c r="Q48" s="46">
        <f t="shared" si="166"/>
        <v>8212751</v>
      </c>
      <c r="R48" s="48">
        <f t="shared" si="166"/>
        <v>8212751</v>
      </c>
      <c r="S48" s="45">
        <f t="shared" si="166"/>
        <v>8212751</v>
      </c>
      <c r="T48" s="46">
        <f t="shared" si="166"/>
        <v>8212751</v>
      </c>
      <c r="U48" s="550">
        <f t="shared" si="154"/>
        <v>8623389</v>
      </c>
      <c r="V48" s="47">
        <v>8062770</v>
      </c>
      <c r="W48" s="46">
        <f t="shared" ref="W48:AF48" si="167">V48</f>
        <v>8062770</v>
      </c>
      <c r="X48" s="46">
        <f t="shared" si="167"/>
        <v>8062770</v>
      </c>
      <c r="Y48" s="46">
        <f t="shared" si="167"/>
        <v>8062770</v>
      </c>
      <c r="Z48" s="46">
        <f t="shared" si="167"/>
        <v>8062770</v>
      </c>
      <c r="AA48" s="46">
        <f t="shared" si="167"/>
        <v>8062770</v>
      </c>
      <c r="AB48" s="46">
        <f t="shared" si="167"/>
        <v>8062770</v>
      </c>
      <c r="AC48" s="46">
        <f t="shared" si="167"/>
        <v>8062770</v>
      </c>
      <c r="AD48" s="48">
        <f t="shared" si="167"/>
        <v>8062770</v>
      </c>
      <c r="AE48" s="45">
        <f t="shared" si="167"/>
        <v>8062770</v>
      </c>
      <c r="AF48" s="46">
        <f t="shared" si="167"/>
        <v>8062770</v>
      </c>
      <c r="AG48" s="47">
        <f t="shared" si="156"/>
        <v>8465909</v>
      </c>
      <c r="AH48" s="46">
        <f t="shared" si="157"/>
        <v>8465909</v>
      </c>
      <c r="AI48" s="46">
        <f t="shared" si="157"/>
        <v>8465909</v>
      </c>
      <c r="AJ48" s="46">
        <f t="shared" si="157"/>
        <v>8465909</v>
      </c>
      <c r="AK48" s="46">
        <f t="shared" si="157"/>
        <v>8465909</v>
      </c>
      <c r="AL48" s="46">
        <f t="shared" si="157"/>
        <v>8465909</v>
      </c>
      <c r="AM48" s="46">
        <f t="shared" si="157"/>
        <v>8465909</v>
      </c>
      <c r="AN48" s="46">
        <f t="shared" si="157"/>
        <v>8465909</v>
      </c>
      <c r="AO48" s="46">
        <f t="shared" si="157"/>
        <v>8465909</v>
      </c>
      <c r="AP48" s="688">
        <f t="shared" si="158"/>
        <v>8465909</v>
      </c>
      <c r="AQ48" s="688">
        <f t="shared" si="159"/>
        <v>8465909</v>
      </c>
      <c r="AR48" s="688">
        <f t="shared" si="160"/>
        <v>8465909</v>
      </c>
      <c r="AS48" s="697">
        <f t="shared" si="141"/>
        <v>8889204</v>
      </c>
      <c r="AT48" s="688">
        <f t="shared" ref="AT48:BB48" si="168">+AS48</f>
        <v>8889204</v>
      </c>
      <c r="AU48" s="688">
        <f t="shared" si="168"/>
        <v>8889204</v>
      </c>
      <c r="AV48" s="688">
        <f t="shared" si="168"/>
        <v>8889204</v>
      </c>
      <c r="AW48" s="688">
        <f t="shared" si="168"/>
        <v>8889204</v>
      </c>
      <c r="AX48" s="688">
        <f t="shared" si="168"/>
        <v>8889204</v>
      </c>
      <c r="AY48" s="688">
        <f t="shared" si="168"/>
        <v>8889204</v>
      </c>
      <c r="AZ48" s="688">
        <f t="shared" si="168"/>
        <v>8889204</v>
      </c>
      <c r="BA48" s="688">
        <f t="shared" si="168"/>
        <v>8889204</v>
      </c>
      <c r="BB48" s="48">
        <f t="shared" si="168"/>
        <v>8889204</v>
      </c>
      <c r="BC48" s="10" t="str">
        <f t="shared" si="143"/>
        <v>DX/부품MES그룹수석보(CL3)</v>
      </c>
      <c r="BD48" s="10" t="str">
        <f t="shared" si="144"/>
        <v>DX/부품MES그룹CL3(책임-수석보)</v>
      </c>
      <c r="BE48" s="45">
        <v>4986116</v>
      </c>
      <c r="BF48" s="46">
        <v>145874.01869158878</v>
      </c>
      <c r="BG48" s="46">
        <v>6198752.6260903412</v>
      </c>
      <c r="BH48" s="48">
        <v>29659.103474116466</v>
      </c>
      <c r="BI48" s="45">
        <v>5261861</v>
      </c>
      <c r="BJ48" s="46">
        <v>53655</v>
      </c>
      <c r="BK48" s="48">
        <v>6566168</v>
      </c>
      <c r="BL48" s="496">
        <v>31417.071770334929</v>
      </c>
      <c r="BM48" s="45"/>
      <c r="BN48" s="46"/>
      <c r="BO48" s="48"/>
      <c r="BP48" s="496"/>
      <c r="BQ48" s="487">
        <f t="shared" si="162"/>
        <v>-1</v>
      </c>
      <c r="BR48" s="481">
        <f t="shared" si="162"/>
        <v>-1</v>
      </c>
      <c r="BS48" s="473">
        <f t="shared" si="162"/>
        <v>-1</v>
      </c>
      <c r="BT48" s="13"/>
    </row>
    <row r="49" spans="1:76">
      <c r="A49" s="10" t="str">
        <f t="shared" si="134"/>
        <v>DX/부품MES그룹CL2(사원-선임)</v>
      </c>
      <c r="B49" s="526" t="str">
        <f>+B48</f>
        <v>DX/부품MES그룹</v>
      </c>
      <c r="C49" s="527" t="s">
        <v>248</v>
      </c>
      <c r="D49" s="18" t="s">
        <v>111</v>
      </c>
      <c r="E49" s="17" t="s">
        <v>457</v>
      </c>
      <c r="F49" s="18" t="s">
        <v>461</v>
      </c>
      <c r="G49" s="45">
        <v>6055241</v>
      </c>
      <c r="H49" s="46">
        <v>6055241</v>
      </c>
      <c r="I49" s="47">
        <v>5372603</v>
      </c>
      <c r="J49" s="46">
        <f t="shared" ref="J49:T49" si="169">I49</f>
        <v>5372603</v>
      </c>
      <c r="K49" s="46">
        <f t="shared" si="169"/>
        <v>5372603</v>
      </c>
      <c r="L49" s="46">
        <f t="shared" si="169"/>
        <v>5372603</v>
      </c>
      <c r="M49" s="46">
        <f t="shared" si="169"/>
        <v>5372603</v>
      </c>
      <c r="N49" s="46">
        <f t="shared" si="169"/>
        <v>5372603</v>
      </c>
      <c r="O49" s="46">
        <f t="shared" si="169"/>
        <v>5372603</v>
      </c>
      <c r="P49" s="46">
        <f t="shared" si="169"/>
        <v>5372603</v>
      </c>
      <c r="Q49" s="46">
        <f t="shared" si="169"/>
        <v>5372603</v>
      </c>
      <c r="R49" s="48">
        <f t="shared" si="169"/>
        <v>5372603</v>
      </c>
      <c r="S49" s="45">
        <f t="shared" si="169"/>
        <v>5372603</v>
      </c>
      <c r="T49" s="46">
        <f t="shared" si="169"/>
        <v>5372603</v>
      </c>
      <c r="U49" s="550">
        <f t="shared" si="154"/>
        <v>5641233</v>
      </c>
      <c r="V49" s="47">
        <v>6394965</v>
      </c>
      <c r="W49" s="46">
        <f t="shared" ref="W49:AF49" si="170">V49</f>
        <v>6394965</v>
      </c>
      <c r="X49" s="46">
        <f t="shared" si="170"/>
        <v>6394965</v>
      </c>
      <c r="Y49" s="46">
        <f t="shared" si="170"/>
        <v>6394965</v>
      </c>
      <c r="Z49" s="46">
        <f t="shared" si="170"/>
        <v>6394965</v>
      </c>
      <c r="AA49" s="46">
        <f t="shared" si="170"/>
        <v>6394965</v>
      </c>
      <c r="AB49" s="46">
        <f t="shared" si="170"/>
        <v>6394965</v>
      </c>
      <c r="AC49" s="46">
        <f t="shared" si="170"/>
        <v>6394965</v>
      </c>
      <c r="AD49" s="48">
        <f t="shared" si="170"/>
        <v>6394965</v>
      </c>
      <c r="AE49" s="45">
        <f t="shared" si="170"/>
        <v>6394965</v>
      </c>
      <c r="AF49" s="46">
        <f t="shared" si="170"/>
        <v>6394965</v>
      </c>
      <c r="AG49" s="47">
        <f t="shared" si="156"/>
        <v>6714713</v>
      </c>
      <c r="AH49" s="46">
        <f t="shared" si="157"/>
        <v>6714713</v>
      </c>
      <c r="AI49" s="46">
        <f t="shared" si="157"/>
        <v>6714713</v>
      </c>
      <c r="AJ49" s="46">
        <f t="shared" si="157"/>
        <v>6714713</v>
      </c>
      <c r="AK49" s="46">
        <f t="shared" si="157"/>
        <v>6714713</v>
      </c>
      <c r="AL49" s="46">
        <f t="shared" si="157"/>
        <v>6714713</v>
      </c>
      <c r="AM49" s="46">
        <f t="shared" si="157"/>
        <v>6714713</v>
      </c>
      <c r="AN49" s="46">
        <f t="shared" si="157"/>
        <v>6714713</v>
      </c>
      <c r="AO49" s="46">
        <f t="shared" si="157"/>
        <v>6714713</v>
      </c>
      <c r="AP49" s="688">
        <f t="shared" si="158"/>
        <v>6714713</v>
      </c>
      <c r="AQ49" s="688">
        <f t="shared" si="159"/>
        <v>6714713</v>
      </c>
      <c r="AR49" s="688">
        <f t="shared" si="160"/>
        <v>6714713</v>
      </c>
      <c r="AS49" s="697">
        <f t="shared" si="141"/>
        <v>7050449</v>
      </c>
      <c r="AT49" s="688">
        <f t="shared" ref="AT49:BB49" si="171">+AS49</f>
        <v>7050449</v>
      </c>
      <c r="AU49" s="688">
        <f t="shared" si="171"/>
        <v>7050449</v>
      </c>
      <c r="AV49" s="688">
        <f t="shared" si="171"/>
        <v>7050449</v>
      </c>
      <c r="AW49" s="688">
        <f t="shared" si="171"/>
        <v>7050449</v>
      </c>
      <c r="AX49" s="688">
        <f t="shared" si="171"/>
        <v>7050449</v>
      </c>
      <c r="AY49" s="688">
        <f t="shared" si="171"/>
        <v>7050449</v>
      </c>
      <c r="AZ49" s="688">
        <f t="shared" si="171"/>
        <v>7050449</v>
      </c>
      <c r="BA49" s="688">
        <f t="shared" si="171"/>
        <v>7050449</v>
      </c>
      <c r="BB49" s="48">
        <f t="shared" si="171"/>
        <v>7050449</v>
      </c>
      <c r="BC49" s="10" t="str">
        <f t="shared" si="143"/>
        <v>DX/부품MES그룹책임(CL3)</v>
      </c>
      <c r="BD49" s="10" t="str">
        <f t="shared" si="144"/>
        <v>DX/부품MES그룹CL2(사원-선임)</v>
      </c>
      <c r="BE49" s="45">
        <v>3906582</v>
      </c>
      <c r="BF49" s="46">
        <v>93036.065573770495</v>
      </c>
      <c r="BG49" s="46">
        <v>4796790.964043715</v>
      </c>
      <c r="BH49" s="48">
        <v>22951.152938008207</v>
      </c>
      <c r="BI49" s="45">
        <v>4046116</v>
      </c>
      <c r="BJ49" s="46">
        <v>27774</v>
      </c>
      <c r="BK49" s="48">
        <v>4926198</v>
      </c>
      <c r="BL49" s="496">
        <v>23570.325358851675</v>
      </c>
      <c r="BM49" s="45"/>
      <c r="BN49" s="46"/>
      <c r="BO49" s="48"/>
      <c r="BP49" s="496"/>
      <c r="BQ49" s="487">
        <f t="shared" si="162"/>
        <v>-1</v>
      </c>
      <c r="BR49" s="481">
        <f t="shared" si="162"/>
        <v>-1</v>
      </c>
      <c r="BS49" s="473">
        <f t="shared" si="162"/>
        <v>-1</v>
      </c>
      <c r="BT49" s="13"/>
    </row>
    <row r="50" spans="1:76">
      <c r="A50" s="10" t="str">
        <f t="shared" si="134"/>
        <v>DX/부품MES그룹</v>
      </c>
      <c r="B50" s="526" t="str">
        <f>+B49</f>
        <v>DX/부품MES그룹</v>
      </c>
      <c r="C50" s="527" t="s">
        <v>249</v>
      </c>
      <c r="D50" s="18" t="s">
        <v>112</v>
      </c>
      <c r="E50" s="17"/>
      <c r="F50" s="18"/>
      <c r="G50" s="45"/>
      <c r="H50" s="46"/>
      <c r="I50" s="47">
        <f>ROUND(H50*105%,0)</f>
        <v>0</v>
      </c>
      <c r="J50" s="46"/>
      <c r="K50" s="46"/>
      <c r="L50" s="46"/>
      <c r="M50" s="46"/>
      <c r="N50" s="46"/>
      <c r="O50" s="46"/>
      <c r="P50" s="46"/>
      <c r="Q50" s="46"/>
      <c r="R50" s="48"/>
      <c r="S50" s="45"/>
      <c r="T50" s="46"/>
      <c r="U50" s="550">
        <f t="shared" si="154"/>
        <v>0</v>
      </c>
      <c r="V50" s="47"/>
      <c r="W50" s="46"/>
      <c r="X50" s="46"/>
      <c r="Y50" s="46"/>
      <c r="Z50" s="46"/>
      <c r="AA50" s="46"/>
      <c r="AB50" s="46"/>
      <c r="AC50" s="46"/>
      <c r="AD50" s="48"/>
      <c r="AE50" s="45"/>
      <c r="AF50" s="46"/>
      <c r="AG50" s="47">
        <f t="shared" si="156"/>
        <v>0</v>
      </c>
      <c r="AH50" s="46"/>
      <c r="AI50" s="46"/>
      <c r="AJ50" s="46"/>
      <c r="AK50" s="46"/>
      <c r="AL50" s="46"/>
      <c r="AM50" s="46"/>
      <c r="AN50" s="46"/>
      <c r="AO50" s="46"/>
      <c r="AP50" s="688"/>
      <c r="AQ50" s="688"/>
      <c r="AR50" s="688"/>
      <c r="AS50" s="697">
        <f t="shared" si="141"/>
        <v>0</v>
      </c>
      <c r="AT50" s="688">
        <f t="shared" ref="AT50:BB50" si="172">+AS50</f>
        <v>0</v>
      </c>
      <c r="AU50" s="688">
        <f t="shared" si="172"/>
        <v>0</v>
      </c>
      <c r="AV50" s="688">
        <f t="shared" si="172"/>
        <v>0</v>
      </c>
      <c r="AW50" s="688">
        <f t="shared" si="172"/>
        <v>0</v>
      </c>
      <c r="AX50" s="688">
        <f t="shared" si="172"/>
        <v>0</v>
      </c>
      <c r="AY50" s="688">
        <f t="shared" si="172"/>
        <v>0</v>
      </c>
      <c r="AZ50" s="688">
        <f t="shared" si="172"/>
        <v>0</v>
      </c>
      <c r="BA50" s="688">
        <f t="shared" si="172"/>
        <v>0</v>
      </c>
      <c r="BB50" s="48">
        <f t="shared" si="172"/>
        <v>0</v>
      </c>
      <c r="BC50" s="10" t="str">
        <f t="shared" si="143"/>
        <v>DX/부품MES그룹선임(CL2)</v>
      </c>
      <c r="BD50" s="10" t="s">
        <v>451</v>
      </c>
      <c r="BE50" s="45">
        <v>0</v>
      </c>
      <c r="BF50" s="46"/>
      <c r="BG50" s="46"/>
      <c r="BH50" s="48"/>
      <c r="BI50" s="45">
        <v>0</v>
      </c>
      <c r="BJ50" s="46">
        <v>0</v>
      </c>
      <c r="BK50" s="48">
        <v>0</v>
      </c>
      <c r="BL50" s="496"/>
      <c r="BM50" s="45"/>
      <c r="BN50" s="46"/>
      <c r="BO50" s="48"/>
      <c r="BP50" s="496"/>
      <c r="BQ50" s="487" t="str">
        <f t="shared" si="162"/>
        <v/>
      </c>
      <c r="BR50" s="481" t="str">
        <f t="shared" si="162"/>
        <v/>
      </c>
      <c r="BS50" s="473" t="str">
        <f t="shared" si="162"/>
        <v/>
      </c>
      <c r="BT50" s="13"/>
    </row>
    <row r="51" spans="1:76">
      <c r="A51" s="10" t="str">
        <f t="shared" si="134"/>
        <v>DX/부품MES그룹</v>
      </c>
      <c r="B51" s="528" t="str">
        <f>+B50</f>
        <v>DX/부품MES그룹</v>
      </c>
      <c r="C51" s="529" t="s">
        <v>250</v>
      </c>
      <c r="D51" s="20" t="s">
        <v>104</v>
      </c>
      <c r="E51" s="19"/>
      <c r="F51" s="20"/>
      <c r="G51" s="49"/>
      <c r="H51" s="50"/>
      <c r="I51" s="51">
        <f>ROUND(H51*105%,0)</f>
        <v>0</v>
      </c>
      <c r="J51" s="50"/>
      <c r="K51" s="50"/>
      <c r="L51" s="50"/>
      <c r="M51" s="50"/>
      <c r="N51" s="50"/>
      <c r="O51" s="50"/>
      <c r="P51" s="50"/>
      <c r="Q51" s="50"/>
      <c r="R51" s="52"/>
      <c r="S51" s="49"/>
      <c r="T51" s="50"/>
      <c r="U51" s="1199">
        <f t="shared" si="154"/>
        <v>0</v>
      </c>
      <c r="V51" s="51"/>
      <c r="W51" s="50"/>
      <c r="X51" s="50"/>
      <c r="Y51" s="50"/>
      <c r="Z51" s="50"/>
      <c r="AA51" s="50"/>
      <c r="AB51" s="50"/>
      <c r="AC51" s="50"/>
      <c r="AD51" s="52"/>
      <c r="AE51" s="49"/>
      <c r="AF51" s="50"/>
      <c r="AG51" s="51">
        <f t="shared" si="156"/>
        <v>0</v>
      </c>
      <c r="AH51" s="50"/>
      <c r="AI51" s="50"/>
      <c r="AJ51" s="50"/>
      <c r="AK51" s="50"/>
      <c r="AL51" s="50"/>
      <c r="AM51" s="50"/>
      <c r="AN51" s="50"/>
      <c r="AO51" s="50"/>
      <c r="AP51" s="689"/>
      <c r="AQ51" s="689"/>
      <c r="AR51" s="689"/>
      <c r="AS51" s="698">
        <f t="shared" si="141"/>
        <v>0</v>
      </c>
      <c r="AT51" s="689">
        <f t="shared" ref="AT51:BB51" si="173">+AS51</f>
        <v>0</v>
      </c>
      <c r="AU51" s="689">
        <f t="shared" si="173"/>
        <v>0</v>
      </c>
      <c r="AV51" s="689">
        <f t="shared" si="173"/>
        <v>0</v>
      </c>
      <c r="AW51" s="689">
        <f t="shared" si="173"/>
        <v>0</v>
      </c>
      <c r="AX51" s="689">
        <f t="shared" si="173"/>
        <v>0</v>
      </c>
      <c r="AY51" s="689">
        <f t="shared" si="173"/>
        <v>0</v>
      </c>
      <c r="AZ51" s="689">
        <f t="shared" si="173"/>
        <v>0</v>
      </c>
      <c r="BA51" s="689">
        <f t="shared" si="173"/>
        <v>0</v>
      </c>
      <c r="BB51" s="52">
        <f t="shared" si="173"/>
        <v>0</v>
      </c>
      <c r="BC51" s="10" t="str">
        <f t="shared" si="143"/>
        <v>DX/부품MES그룹사원(CL1-CL2)</v>
      </c>
      <c r="BD51" s="10" t="s">
        <v>452</v>
      </c>
      <c r="BE51" s="49">
        <v>0</v>
      </c>
      <c r="BF51" s="50"/>
      <c r="BG51" s="50"/>
      <c r="BH51" s="52"/>
      <c r="BI51" s="49">
        <v>0</v>
      </c>
      <c r="BJ51" s="50">
        <v>0</v>
      </c>
      <c r="BK51" s="52">
        <v>0</v>
      </c>
      <c r="BL51" s="497"/>
      <c r="BM51" s="49"/>
      <c r="BN51" s="50"/>
      <c r="BO51" s="52"/>
      <c r="BP51" s="497"/>
      <c r="BQ51" s="488" t="str">
        <f t="shared" si="162"/>
        <v/>
      </c>
      <c r="BR51" s="482" t="str">
        <f t="shared" si="162"/>
        <v/>
      </c>
      <c r="BS51" s="474" t="str">
        <f t="shared" si="162"/>
        <v/>
      </c>
      <c r="BT51" s="13"/>
    </row>
    <row r="52" spans="1:76">
      <c r="A52" s="10" t="str">
        <f t="shared" si="134"/>
        <v>DS IT그룹이사</v>
      </c>
      <c r="B52" s="523" t="s">
        <v>1003</v>
      </c>
      <c r="C52" s="525" t="s">
        <v>12</v>
      </c>
      <c r="D52" s="15" t="s">
        <v>105</v>
      </c>
      <c r="E52" s="16" t="s">
        <v>12</v>
      </c>
      <c r="F52" s="15" t="s">
        <v>82</v>
      </c>
      <c r="G52" s="543">
        <v>0</v>
      </c>
      <c r="H52" s="541">
        <v>0</v>
      </c>
      <c r="I52" s="541">
        <f>ROUND(H52*105%,0)</f>
        <v>0</v>
      </c>
      <c r="J52" s="541">
        <f t="shared" ref="J52:T52" si="174">I52</f>
        <v>0</v>
      </c>
      <c r="K52" s="541">
        <f t="shared" si="174"/>
        <v>0</v>
      </c>
      <c r="L52" s="541">
        <f t="shared" si="174"/>
        <v>0</v>
      </c>
      <c r="M52" s="541">
        <f t="shared" si="174"/>
        <v>0</v>
      </c>
      <c r="N52" s="541">
        <f t="shared" si="174"/>
        <v>0</v>
      </c>
      <c r="O52" s="541">
        <f t="shared" si="174"/>
        <v>0</v>
      </c>
      <c r="P52" s="541">
        <f t="shared" si="174"/>
        <v>0</v>
      </c>
      <c r="Q52" s="541">
        <f t="shared" si="174"/>
        <v>0</v>
      </c>
      <c r="R52" s="542">
        <f t="shared" si="174"/>
        <v>0</v>
      </c>
      <c r="S52" s="543">
        <f t="shared" si="174"/>
        <v>0</v>
      </c>
      <c r="T52" s="541">
        <f t="shared" si="174"/>
        <v>0</v>
      </c>
      <c r="U52" s="541">
        <f t="shared" si="154"/>
        <v>0</v>
      </c>
      <c r="V52" s="43">
        <f t="shared" ref="V52:AF52" si="175">U52</f>
        <v>0</v>
      </c>
      <c r="W52" s="541">
        <f t="shared" si="175"/>
        <v>0</v>
      </c>
      <c r="X52" s="541">
        <f t="shared" si="175"/>
        <v>0</v>
      </c>
      <c r="Y52" s="541">
        <f t="shared" si="175"/>
        <v>0</v>
      </c>
      <c r="Z52" s="541">
        <f t="shared" si="175"/>
        <v>0</v>
      </c>
      <c r="AA52" s="541">
        <f t="shared" si="175"/>
        <v>0</v>
      </c>
      <c r="AB52" s="541">
        <f t="shared" si="175"/>
        <v>0</v>
      </c>
      <c r="AC52" s="541">
        <f t="shared" si="175"/>
        <v>0</v>
      </c>
      <c r="AD52" s="542">
        <f t="shared" si="175"/>
        <v>0</v>
      </c>
      <c r="AE52" s="543">
        <f t="shared" si="175"/>
        <v>0</v>
      </c>
      <c r="AF52" s="541">
        <f t="shared" si="175"/>
        <v>0</v>
      </c>
      <c r="AG52" s="541">
        <f t="shared" si="156"/>
        <v>0</v>
      </c>
      <c r="AH52" s="541">
        <f t="shared" ref="AH52:AO55" si="176">AG52</f>
        <v>0</v>
      </c>
      <c r="AI52" s="541">
        <f t="shared" si="176"/>
        <v>0</v>
      </c>
      <c r="AJ52" s="541">
        <f t="shared" si="176"/>
        <v>0</v>
      </c>
      <c r="AK52" s="541">
        <f t="shared" si="176"/>
        <v>0</v>
      </c>
      <c r="AL52" s="541">
        <f t="shared" si="176"/>
        <v>0</v>
      </c>
      <c r="AM52" s="541">
        <f t="shared" si="176"/>
        <v>0</v>
      </c>
      <c r="AN52" s="541">
        <f t="shared" si="176"/>
        <v>0</v>
      </c>
      <c r="AO52" s="541">
        <f t="shared" si="176"/>
        <v>0</v>
      </c>
      <c r="AP52" s="690">
        <f t="shared" ref="AP52:AP55" si="177">AO52</f>
        <v>0</v>
      </c>
      <c r="AQ52" s="690">
        <f t="shared" ref="AQ52:AQ55" si="178">AP52</f>
        <v>0</v>
      </c>
      <c r="AR52" s="690">
        <f t="shared" ref="AR52:AR55" si="179">AQ52</f>
        <v>0</v>
      </c>
      <c r="AS52" s="696">
        <f t="shared" si="141"/>
        <v>0</v>
      </c>
      <c r="AT52" s="690">
        <f t="shared" ref="AT52:BB52" si="180">+AS52</f>
        <v>0</v>
      </c>
      <c r="AU52" s="690">
        <f t="shared" si="180"/>
        <v>0</v>
      </c>
      <c r="AV52" s="690">
        <f t="shared" si="180"/>
        <v>0</v>
      </c>
      <c r="AW52" s="690">
        <f t="shared" si="180"/>
        <v>0</v>
      </c>
      <c r="AX52" s="690">
        <f t="shared" si="180"/>
        <v>0</v>
      </c>
      <c r="AY52" s="690">
        <f t="shared" si="180"/>
        <v>0</v>
      </c>
      <c r="AZ52" s="690">
        <f t="shared" si="180"/>
        <v>0</v>
      </c>
      <c r="BA52" s="690">
        <f t="shared" si="180"/>
        <v>0</v>
      </c>
      <c r="BB52" s="542">
        <f t="shared" si="180"/>
        <v>0</v>
      </c>
      <c r="BC52" s="10" t="str">
        <f t="shared" si="143"/>
        <v>DS IT그룹이사</v>
      </c>
      <c r="BD52" s="544" t="str">
        <f t="shared" ref="BD52:BD61" si="181">B52&amp;E52</f>
        <v>DS IT그룹이사</v>
      </c>
      <c r="BE52" s="543"/>
      <c r="BF52" s="541"/>
      <c r="BG52" s="541"/>
      <c r="BH52" s="542"/>
      <c r="BI52" s="543"/>
      <c r="BJ52" s="541"/>
      <c r="BK52" s="542"/>
      <c r="BL52" s="545"/>
      <c r="BM52" s="543"/>
      <c r="BN52" s="541"/>
      <c r="BO52" s="542"/>
      <c r="BP52" s="545"/>
      <c r="BQ52" s="546"/>
      <c r="BR52" s="547"/>
      <c r="BS52" s="548"/>
      <c r="BT52" s="549"/>
      <c r="BU52" s="539"/>
      <c r="BV52" s="539"/>
      <c r="BW52" s="544"/>
      <c r="BX52" s="544"/>
    </row>
    <row r="53" spans="1:76">
      <c r="A53" s="10" t="str">
        <f t="shared" si="134"/>
        <v>DS IT그룹CL4(수석)</v>
      </c>
      <c r="B53" s="526" t="str">
        <f>+B52</f>
        <v>DS IT그룹</v>
      </c>
      <c r="C53" s="527" t="s">
        <v>246</v>
      </c>
      <c r="D53" s="18" t="s">
        <v>105</v>
      </c>
      <c r="E53" s="17" t="s">
        <v>445</v>
      </c>
      <c r="F53" s="18" t="s">
        <v>82</v>
      </c>
      <c r="G53" s="552">
        <v>9412469</v>
      </c>
      <c r="H53" s="550">
        <v>9412469</v>
      </c>
      <c r="I53" s="550">
        <v>9468000</v>
      </c>
      <c r="J53" s="550">
        <v>9468000</v>
      </c>
      <c r="K53" s="550">
        <v>9468000</v>
      </c>
      <c r="L53" s="550">
        <v>9468000</v>
      </c>
      <c r="M53" s="550">
        <v>9468000</v>
      </c>
      <c r="N53" s="550">
        <v>9468000</v>
      </c>
      <c r="O53" s="550">
        <v>9468000</v>
      </c>
      <c r="P53" s="550">
        <v>9468000</v>
      </c>
      <c r="Q53" s="550">
        <v>9468000</v>
      </c>
      <c r="R53" s="551">
        <v>9468000</v>
      </c>
      <c r="S53" s="552">
        <v>9468000</v>
      </c>
      <c r="T53" s="550">
        <v>9468000</v>
      </c>
      <c r="U53" s="550">
        <f t="shared" si="154"/>
        <v>9941400</v>
      </c>
      <c r="V53" s="47">
        <v>9853878</v>
      </c>
      <c r="W53" s="550">
        <f t="shared" ref="W53:AF53" si="182">V53</f>
        <v>9853878</v>
      </c>
      <c r="X53" s="550">
        <f t="shared" si="182"/>
        <v>9853878</v>
      </c>
      <c r="Y53" s="550">
        <f t="shared" si="182"/>
        <v>9853878</v>
      </c>
      <c r="Z53" s="550">
        <f t="shared" si="182"/>
        <v>9853878</v>
      </c>
      <c r="AA53" s="550">
        <f t="shared" si="182"/>
        <v>9853878</v>
      </c>
      <c r="AB53" s="550">
        <f t="shared" si="182"/>
        <v>9853878</v>
      </c>
      <c r="AC53" s="550">
        <f t="shared" si="182"/>
        <v>9853878</v>
      </c>
      <c r="AD53" s="551">
        <f t="shared" si="182"/>
        <v>9853878</v>
      </c>
      <c r="AE53" s="552">
        <f t="shared" si="182"/>
        <v>9853878</v>
      </c>
      <c r="AF53" s="550">
        <f t="shared" si="182"/>
        <v>9853878</v>
      </c>
      <c r="AG53" s="550">
        <f t="shared" si="156"/>
        <v>10346572</v>
      </c>
      <c r="AH53" s="550">
        <f t="shared" si="176"/>
        <v>10346572</v>
      </c>
      <c r="AI53" s="550">
        <f t="shared" si="176"/>
        <v>10346572</v>
      </c>
      <c r="AJ53" s="550">
        <f t="shared" si="176"/>
        <v>10346572</v>
      </c>
      <c r="AK53" s="550">
        <f t="shared" si="176"/>
        <v>10346572</v>
      </c>
      <c r="AL53" s="550">
        <f t="shared" si="176"/>
        <v>10346572</v>
      </c>
      <c r="AM53" s="550">
        <f t="shared" si="176"/>
        <v>10346572</v>
      </c>
      <c r="AN53" s="550">
        <f t="shared" si="176"/>
        <v>10346572</v>
      </c>
      <c r="AO53" s="550">
        <f t="shared" si="176"/>
        <v>10346572</v>
      </c>
      <c r="AP53" s="691">
        <f t="shared" si="177"/>
        <v>10346572</v>
      </c>
      <c r="AQ53" s="691">
        <f t="shared" si="178"/>
        <v>10346572</v>
      </c>
      <c r="AR53" s="691">
        <f t="shared" si="179"/>
        <v>10346572</v>
      </c>
      <c r="AS53" s="697">
        <f t="shared" si="141"/>
        <v>10863901</v>
      </c>
      <c r="AT53" s="691">
        <f t="shared" ref="AT53:BB53" si="183">+AS53</f>
        <v>10863901</v>
      </c>
      <c r="AU53" s="691">
        <f t="shared" si="183"/>
        <v>10863901</v>
      </c>
      <c r="AV53" s="691">
        <f t="shared" si="183"/>
        <v>10863901</v>
      </c>
      <c r="AW53" s="691">
        <f t="shared" si="183"/>
        <v>10863901</v>
      </c>
      <c r="AX53" s="691">
        <f t="shared" si="183"/>
        <v>10863901</v>
      </c>
      <c r="AY53" s="691">
        <f t="shared" si="183"/>
        <v>10863901</v>
      </c>
      <c r="AZ53" s="691">
        <f t="shared" si="183"/>
        <v>10863901</v>
      </c>
      <c r="BA53" s="691">
        <f t="shared" si="183"/>
        <v>10863901</v>
      </c>
      <c r="BB53" s="551">
        <f t="shared" si="183"/>
        <v>10863901</v>
      </c>
      <c r="BC53" s="10" t="str">
        <f t="shared" si="143"/>
        <v>DS IT그룹수석(CL4)</v>
      </c>
      <c r="BD53" s="544" t="str">
        <f t="shared" si="181"/>
        <v>DS IT그룹CL4(수석)</v>
      </c>
      <c r="BE53" s="552"/>
      <c r="BF53" s="550"/>
      <c r="BG53" s="550"/>
      <c r="BH53" s="551"/>
      <c r="BI53" s="552"/>
      <c r="BJ53" s="550"/>
      <c r="BK53" s="551"/>
      <c r="BL53" s="553"/>
      <c r="BM53" s="552"/>
      <c r="BN53" s="550"/>
      <c r="BO53" s="551"/>
      <c r="BP53" s="553"/>
      <c r="BQ53" s="554"/>
      <c r="BR53" s="555"/>
      <c r="BS53" s="556"/>
      <c r="BT53" s="549"/>
      <c r="BU53" s="539"/>
      <c r="BV53" s="539"/>
      <c r="BW53" s="544"/>
      <c r="BX53" s="544"/>
    </row>
    <row r="54" spans="1:76">
      <c r="A54" s="10" t="str">
        <f t="shared" si="134"/>
        <v>DS IT그룹CL3(책임-수석보)</v>
      </c>
      <c r="B54" s="526" t="str">
        <f>+B53</f>
        <v>DS IT그룹</v>
      </c>
      <c r="C54" s="527" t="s">
        <v>247</v>
      </c>
      <c r="D54" s="18" t="s">
        <v>105</v>
      </c>
      <c r="E54" s="17" t="s">
        <v>455</v>
      </c>
      <c r="F54" s="18" t="s">
        <v>459</v>
      </c>
      <c r="G54" s="552">
        <v>7647311</v>
      </c>
      <c r="H54" s="550">
        <v>7647311</v>
      </c>
      <c r="I54" s="550">
        <v>7595231</v>
      </c>
      <c r="J54" s="550">
        <v>7595231</v>
      </c>
      <c r="K54" s="550">
        <v>7595231</v>
      </c>
      <c r="L54" s="550">
        <v>7595231</v>
      </c>
      <c r="M54" s="550">
        <v>7595231</v>
      </c>
      <c r="N54" s="550">
        <v>7595231</v>
      </c>
      <c r="O54" s="550">
        <v>7595231</v>
      </c>
      <c r="P54" s="550">
        <v>7595231</v>
      </c>
      <c r="Q54" s="550">
        <v>7595231</v>
      </c>
      <c r="R54" s="551">
        <v>7595231</v>
      </c>
      <c r="S54" s="552">
        <v>7595231</v>
      </c>
      <c r="T54" s="550">
        <v>7595231</v>
      </c>
      <c r="U54" s="550">
        <f t="shared" si="154"/>
        <v>7974993</v>
      </c>
      <c r="V54" s="47">
        <v>8023032</v>
      </c>
      <c r="W54" s="550">
        <f t="shared" ref="W54:AF54" si="184">V54</f>
        <v>8023032</v>
      </c>
      <c r="X54" s="550">
        <f t="shared" si="184"/>
        <v>8023032</v>
      </c>
      <c r="Y54" s="550">
        <f t="shared" si="184"/>
        <v>8023032</v>
      </c>
      <c r="Z54" s="550">
        <f t="shared" si="184"/>
        <v>8023032</v>
      </c>
      <c r="AA54" s="550">
        <f t="shared" si="184"/>
        <v>8023032</v>
      </c>
      <c r="AB54" s="550">
        <f t="shared" si="184"/>
        <v>8023032</v>
      </c>
      <c r="AC54" s="550">
        <f t="shared" si="184"/>
        <v>8023032</v>
      </c>
      <c r="AD54" s="551">
        <f t="shared" si="184"/>
        <v>8023032</v>
      </c>
      <c r="AE54" s="552">
        <f t="shared" si="184"/>
        <v>8023032</v>
      </c>
      <c r="AF54" s="550">
        <f t="shared" si="184"/>
        <v>8023032</v>
      </c>
      <c r="AG54" s="550">
        <f t="shared" si="156"/>
        <v>8424184</v>
      </c>
      <c r="AH54" s="550">
        <f t="shared" si="176"/>
        <v>8424184</v>
      </c>
      <c r="AI54" s="550">
        <f t="shared" si="176"/>
        <v>8424184</v>
      </c>
      <c r="AJ54" s="550">
        <f t="shared" si="176"/>
        <v>8424184</v>
      </c>
      <c r="AK54" s="550">
        <f t="shared" si="176"/>
        <v>8424184</v>
      </c>
      <c r="AL54" s="550">
        <f t="shared" si="176"/>
        <v>8424184</v>
      </c>
      <c r="AM54" s="550">
        <f t="shared" si="176"/>
        <v>8424184</v>
      </c>
      <c r="AN54" s="550">
        <f t="shared" si="176"/>
        <v>8424184</v>
      </c>
      <c r="AO54" s="550">
        <f t="shared" si="176"/>
        <v>8424184</v>
      </c>
      <c r="AP54" s="691">
        <f t="shared" si="177"/>
        <v>8424184</v>
      </c>
      <c r="AQ54" s="691">
        <f t="shared" si="178"/>
        <v>8424184</v>
      </c>
      <c r="AR54" s="691">
        <f t="shared" si="179"/>
        <v>8424184</v>
      </c>
      <c r="AS54" s="697">
        <f t="shared" si="141"/>
        <v>8845393</v>
      </c>
      <c r="AT54" s="691">
        <f t="shared" ref="AT54:BB54" si="185">+AS54</f>
        <v>8845393</v>
      </c>
      <c r="AU54" s="691">
        <f t="shared" si="185"/>
        <v>8845393</v>
      </c>
      <c r="AV54" s="691">
        <f t="shared" si="185"/>
        <v>8845393</v>
      </c>
      <c r="AW54" s="691">
        <f t="shared" si="185"/>
        <v>8845393</v>
      </c>
      <c r="AX54" s="691">
        <f t="shared" si="185"/>
        <v>8845393</v>
      </c>
      <c r="AY54" s="691">
        <f t="shared" si="185"/>
        <v>8845393</v>
      </c>
      <c r="AZ54" s="691">
        <f t="shared" si="185"/>
        <v>8845393</v>
      </c>
      <c r="BA54" s="691">
        <f t="shared" si="185"/>
        <v>8845393</v>
      </c>
      <c r="BB54" s="551">
        <f t="shared" si="185"/>
        <v>8845393</v>
      </c>
      <c r="BC54" s="10" t="str">
        <f t="shared" si="143"/>
        <v>DS IT그룹수석보(CL3)</v>
      </c>
      <c r="BD54" s="544" t="str">
        <f t="shared" si="181"/>
        <v>DS IT그룹CL3(책임-수석보)</v>
      </c>
      <c r="BE54" s="552"/>
      <c r="BF54" s="550"/>
      <c r="BG54" s="550"/>
      <c r="BH54" s="551"/>
      <c r="BI54" s="552"/>
      <c r="BJ54" s="550"/>
      <c r="BK54" s="551"/>
      <c r="BL54" s="553"/>
      <c r="BM54" s="552"/>
      <c r="BN54" s="550"/>
      <c r="BO54" s="551"/>
      <c r="BP54" s="553"/>
      <c r="BQ54" s="554"/>
      <c r="BR54" s="555"/>
      <c r="BS54" s="556"/>
      <c r="BT54" s="549"/>
      <c r="BU54" s="539"/>
      <c r="BV54" s="539"/>
      <c r="BW54" s="544"/>
      <c r="BX54" s="544"/>
    </row>
    <row r="55" spans="1:76">
      <c r="A55" s="10" t="str">
        <f t="shared" si="134"/>
        <v>DS IT그룹CL2(사원-선임)</v>
      </c>
      <c r="B55" s="526" t="str">
        <f>+B54</f>
        <v>DS IT그룹</v>
      </c>
      <c r="C55" s="527" t="s">
        <v>248</v>
      </c>
      <c r="D55" s="18" t="s">
        <v>102</v>
      </c>
      <c r="E55" s="17" t="s">
        <v>457</v>
      </c>
      <c r="F55" s="18" t="s">
        <v>461</v>
      </c>
      <c r="G55" s="552">
        <v>5818851</v>
      </c>
      <c r="H55" s="550">
        <v>5818851</v>
      </c>
      <c r="I55" s="550">
        <v>5605916</v>
      </c>
      <c r="J55" s="550">
        <v>5605916</v>
      </c>
      <c r="K55" s="550">
        <v>5605916</v>
      </c>
      <c r="L55" s="550">
        <v>5605916</v>
      </c>
      <c r="M55" s="550">
        <v>5605916</v>
      </c>
      <c r="N55" s="550">
        <v>5605916</v>
      </c>
      <c r="O55" s="550">
        <v>5605916</v>
      </c>
      <c r="P55" s="550">
        <v>5605916</v>
      </c>
      <c r="Q55" s="550">
        <v>5605916</v>
      </c>
      <c r="R55" s="551">
        <v>5605916</v>
      </c>
      <c r="S55" s="552">
        <v>5605916</v>
      </c>
      <c r="T55" s="550">
        <v>5605916</v>
      </c>
      <c r="U55" s="550">
        <f t="shared" si="154"/>
        <v>5886212</v>
      </c>
      <c r="V55" s="47">
        <v>5952897</v>
      </c>
      <c r="W55" s="550">
        <f t="shared" ref="W55:AF55" si="186">V55</f>
        <v>5952897</v>
      </c>
      <c r="X55" s="550">
        <f t="shared" si="186"/>
        <v>5952897</v>
      </c>
      <c r="Y55" s="550">
        <f t="shared" si="186"/>
        <v>5952897</v>
      </c>
      <c r="Z55" s="550">
        <f t="shared" si="186"/>
        <v>5952897</v>
      </c>
      <c r="AA55" s="550">
        <f t="shared" si="186"/>
        <v>5952897</v>
      </c>
      <c r="AB55" s="550">
        <f t="shared" si="186"/>
        <v>5952897</v>
      </c>
      <c r="AC55" s="550">
        <f t="shared" si="186"/>
        <v>5952897</v>
      </c>
      <c r="AD55" s="551">
        <f t="shared" si="186"/>
        <v>5952897</v>
      </c>
      <c r="AE55" s="552">
        <f t="shared" si="186"/>
        <v>5952897</v>
      </c>
      <c r="AF55" s="550">
        <f t="shared" si="186"/>
        <v>5952897</v>
      </c>
      <c r="AG55" s="550">
        <f t="shared" si="156"/>
        <v>6250542</v>
      </c>
      <c r="AH55" s="550">
        <f t="shared" si="176"/>
        <v>6250542</v>
      </c>
      <c r="AI55" s="550">
        <f t="shared" si="176"/>
        <v>6250542</v>
      </c>
      <c r="AJ55" s="550">
        <f t="shared" si="176"/>
        <v>6250542</v>
      </c>
      <c r="AK55" s="550">
        <f t="shared" si="176"/>
        <v>6250542</v>
      </c>
      <c r="AL55" s="550">
        <f t="shared" si="176"/>
        <v>6250542</v>
      </c>
      <c r="AM55" s="550">
        <f t="shared" si="176"/>
        <v>6250542</v>
      </c>
      <c r="AN55" s="550">
        <f t="shared" si="176"/>
        <v>6250542</v>
      </c>
      <c r="AO55" s="550">
        <f t="shared" si="176"/>
        <v>6250542</v>
      </c>
      <c r="AP55" s="691">
        <f t="shared" si="177"/>
        <v>6250542</v>
      </c>
      <c r="AQ55" s="691">
        <f t="shared" si="178"/>
        <v>6250542</v>
      </c>
      <c r="AR55" s="691">
        <f t="shared" si="179"/>
        <v>6250542</v>
      </c>
      <c r="AS55" s="697">
        <f t="shared" si="141"/>
        <v>6563069</v>
      </c>
      <c r="AT55" s="691">
        <f t="shared" ref="AT55:BB55" si="187">+AS55</f>
        <v>6563069</v>
      </c>
      <c r="AU55" s="691">
        <f t="shared" si="187"/>
        <v>6563069</v>
      </c>
      <c r="AV55" s="691">
        <f t="shared" si="187"/>
        <v>6563069</v>
      </c>
      <c r="AW55" s="691">
        <f t="shared" si="187"/>
        <v>6563069</v>
      </c>
      <c r="AX55" s="691">
        <f t="shared" si="187"/>
        <v>6563069</v>
      </c>
      <c r="AY55" s="691">
        <f t="shared" si="187"/>
        <v>6563069</v>
      </c>
      <c r="AZ55" s="691">
        <f t="shared" si="187"/>
        <v>6563069</v>
      </c>
      <c r="BA55" s="691">
        <f t="shared" si="187"/>
        <v>6563069</v>
      </c>
      <c r="BB55" s="551">
        <f t="shared" si="187"/>
        <v>6563069</v>
      </c>
      <c r="BC55" s="10" t="str">
        <f t="shared" si="143"/>
        <v>DS IT그룹책임(CL3)</v>
      </c>
      <c r="BD55" s="544" t="str">
        <f t="shared" si="181"/>
        <v>DS IT그룹CL2(사원-선임)</v>
      </c>
      <c r="BE55" s="552"/>
      <c r="BF55" s="550"/>
      <c r="BG55" s="550"/>
      <c r="BH55" s="551"/>
      <c r="BI55" s="552"/>
      <c r="BJ55" s="550"/>
      <c r="BK55" s="551"/>
      <c r="BL55" s="553"/>
      <c r="BM55" s="552"/>
      <c r="BN55" s="550"/>
      <c r="BO55" s="551"/>
      <c r="BP55" s="553"/>
      <c r="BQ55" s="554"/>
      <c r="BR55" s="555"/>
      <c r="BS55" s="556"/>
      <c r="BT55" s="549"/>
      <c r="BU55" s="539"/>
      <c r="BV55" s="539"/>
      <c r="BW55" s="544"/>
      <c r="BX55" s="544"/>
    </row>
    <row r="56" spans="1:76">
      <c r="A56" s="10" t="str">
        <f t="shared" si="134"/>
        <v>DS IT그룹</v>
      </c>
      <c r="B56" s="526" t="str">
        <f>+B55</f>
        <v>DS IT그룹</v>
      </c>
      <c r="C56" s="527" t="s">
        <v>249</v>
      </c>
      <c r="D56" s="18" t="s">
        <v>103</v>
      </c>
      <c r="E56" s="17"/>
      <c r="F56" s="18"/>
      <c r="G56" s="45"/>
      <c r="H56" s="46"/>
      <c r="I56" s="47"/>
      <c r="J56" s="46"/>
      <c r="K56" s="46"/>
      <c r="L56" s="46"/>
      <c r="M56" s="46"/>
      <c r="N56" s="46"/>
      <c r="O56" s="46"/>
      <c r="P56" s="46"/>
      <c r="Q56" s="46"/>
      <c r="R56" s="48"/>
      <c r="S56" s="45"/>
      <c r="T56" s="46"/>
      <c r="U56" s="550"/>
      <c r="V56" s="47"/>
      <c r="W56" s="46"/>
      <c r="X56" s="46"/>
      <c r="Y56" s="46"/>
      <c r="Z56" s="46"/>
      <c r="AA56" s="46"/>
      <c r="AB56" s="46"/>
      <c r="AC56" s="46"/>
      <c r="AD56" s="48"/>
      <c r="AE56" s="45"/>
      <c r="AF56" s="46"/>
      <c r="AG56" s="47"/>
      <c r="AH56" s="46"/>
      <c r="AI56" s="46"/>
      <c r="AJ56" s="46"/>
      <c r="AK56" s="46"/>
      <c r="AL56" s="46"/>
      <c r="AM56" s="46"/>
      <c r="AN56" s="46"/>
      <c r="AO56" s="46"/>
      <c r="AP56" s="688"/>
      <c r="AQ56" s="688"/>
      <c r="AR56" s="688"/>
      <c r="AS56" s="697">
        <f t="shared" si="141"/>
        <v>0</v>
      </c>
      <c r="AT56" s="688">
        <f t="shared" ref="AT56:BB56" si="188">+AS56</f>
        <v>0</v>
      </c>
      <c r="AU56" s="688">
        <f t="shared" si="188"/>
        <v>0</v>
      </c>
      <c r="AV56" s="688">
        <f t="shared" si="188"/>
        <v>0</v>
      </c>
      <c r="AW56" s="688">
        <f t="shared" si="188"/>
        <v>0</v>
      </c>
      <c r="AX56" s="688">
        <f t="shared" si="188"/>
        <v>0</v>
      </c>
      <c r="AY56" s="688">
        <f t="shared" si="188"/>
        <v>0</v>
      </c>
      <c r="AZ56" s="688">
        <f t="shared" si="188"/>
        <v>0</v>
      </c>
      <c r="BA56" s="688">
        <f t="shared" si="188"/>
        <v>0</v>
      </c>
      <c r="BB56" s="48">
        <f t="shared" si="188"/>
        <v>0</v>
      </c>
      <c r="BC56" s="10" t="str">
        <f t="shared" si="143"/>
        <v>DS IT그룹선임(CL2)</v>
      </c>
      <c r="BD56" s="544" t="str">
        <f t="shared" si="181"/>
        <v>DS IT그룹</v>
      </c>
      <c r="BE56" s="45"/>
      <c r="BF56" s="46"/>
      <c r="BG56" s="46"/>
      <c r="BH56" s="48"/>
      <c r="BI56" s="45"/>
      <c r="BJ56" s="46"/>
      <c r="BK56" s="48"/>
      <c r="BL56" s="496"/>
      <c r="BM56" s="45"/>
      <c r="BN56" s="46"/>
      <c r="BO56" s="48"/>
      <c r="BP56" s="496"/>
      <c r="BQ56" s="487"/>
      <c r="BR56" s="481"/>
      <c r="BS56" s="473"/>
      <c r="BT56" s="13"/>
    </row>
    <row r="57" spans="1:76">
      <c r="A57" s="10" t="str">
        <f t="shared" si="134"/>
        <v>DS IT그룹</v>
      </c>
      <c r="B57" s="528" t="str">
        <f>+B56</f>
        <v>DS IT그룹</v>
      </c>
      <c r="C57" s="529" t="s">
        <v>250</v>
      </c>
      <c r="D57" s="20" t="s">
        <v>104</v>
      </c>
      <c r="E57" s="19"/>
      <c r="F57" s="20"/>
      <c r="G57" s="49"/>
      <c r="H57" s="50"/>
      <c r="I57" s="51"/>
      <c r="J57" s="50"/>
      <c r="K57" s="50"/>
      <c r="L57" s="50"/>
      <c r="M57" s="50"/>
      <c r="N57" s="50"/>
      <c r="O57" s="50"/>
      <c r="P57" s="50"/>
      <c r="Q57" s="50"/>
      <c r="R57" s="52"/>
      <c r="S57" s="49"/>
      <c r="T57" s="50"/>
      <c r="U57" s="1199"/>
      <c r="V57" s="51"/>
      <c r="W57" s="50"/>
      <c r="X57" s="50"/>
      <c r="Y57" s="50"/>
      <c r="Z57" s="50"/>
      <c r="AA57" s="50"/>
      <c r="AB57" s="50"/>
      <c r="AC57" s="50"/>
      <c r="AD57" s="52"/>
      <c r="AE57" s="49"/>
      <c r="AF57" s="50"/>
      <c r="AG57" s="51"/>
      <c r="AH57" s="50"/>
      <c r="AI57" s="50"/>
      <c r="AJ57" s="50"/>
      <c r="AK57" s="50"/>
      <c r="AL57" s="50"/>
      <c r="AM57" s="50"/>
      <c r="AN57" s="50"/>
      <c r="AO57" s="50"/>
      <c r="AP57" s="689"/>
      <c r="AQ57" s="689"/>
      <c r="AR57" s="689"/>
      <c r="AS57" s="698">
        <f t="shared" si="141"/>
        <v>0</v>
      </c>
      <c r="AT57" s="689">
        <f t="shared" ref="AT57:BB57" si="189">+AS57</f>
        <v>0</v>
      </c>
      <c r="AU57" s="689">
        <f t="shared" si="189"/>
        <v>0</v>
      </c>
      <c r="AV57" s="689">
        <f t="shared" si="189"/>
        <v>0</v>
      </c>
      <c r="AW57" s="689">
        <f t="shared" si="189"/>
        <v>0</v>
      </c>
      <c r="AX57" s="689">
        <f t="shared" si="189"/>
        <v>0</v>
      </c>
      <c r="AY57" s="689">
        <f t="shared" si="189"/>
        <v>0</v>
      </c>
      <c r="AZ57" s="689">
        <f t="shared" si="189"/>
        <v>0</v>
      </c>
      <c r="BA57" s="689">
        <f t="shared" si="189"/>
        <v>0</v>
      </c>
      <c r="BB57" s="52">
        <f t="shared" si="189"/>
        <v>0</v>
      </c>
      <c r="BC57" s="10" t="str">
        <f t="shared" si="143"/>
        <v>DS IT그룹사원(CL1-CL2)</v>
      </c>
      <c r="BD57" s="544" t="str">
        <f t="shared" si="181"/>
        <v>DS IT그룹</v>
      </c>
      <c r="BE57" s="49"/>
      <c r="BF57" s="50"/>
      <c r="BG57" s="50"/>
      <c r="BH57" s="52"/>
      <c r="BI57" s="49"/>
      <c r="BJ57" s="50"/>
      <c r="BK57" s="52"/>
      <c r="BL57" s="497"/>
      <c r="BM57" s="49"/>
      <c r="BN57" s="50"/>
      <c r="BO57" s="52"/>
      <c r="BP57" s="497"/>
      <c r="BQ57" s="488"/>
      <c r="BR57" s="482"/>
      <c r="BS57" s="474"/>
      <c r="BT57" s="13"/>
    </row>
    <row r="58" spans="1:76">
      <c r="A58" s="10" t="str">
        <f t="shared" si="134"/>
        <v>제조 IT그룹이사</v>
      </c>
      <c r="B58" s="523" t="s">
        <v>1004</v>
      </c>
      <c r="C58" s="525" t="s">
        <v>12</v>
      </c>
      <c r="D58" s="15" t="s">
        <v>105</v>
      </c>
      <c r="E58" s="16" t="s">
        <v>12</v>
      </c>
      <c r="F58" s="15" t="s">
        <v>82</v>
      </c>
      <c r="G58" s="41">
        <v>9800048</v>
      </c>
      <c r="H58" s="42">
        <v>9800048</v>
      </c>
      <c r="I58" s="43">
        <v>18138394</v>
      </c>
      <c r="J58" s="42">
        <f t="shared" ref="J58:T58" si="190">I58</f>
        <v>18138394</v>
      </c>
      <c r="K58" s="42">
        <f t="shared" si="190"/>
        <v>18138394</v>
      </c>
      <c r="L58" s="42">
        <f t="shared" si="190"/>
        <v>18138394</v>
      </c>
      <c r="M58" s="42">
        <f t="shared" si="190"/>
        <v>18138394</v>
      </c>
      <c r="N58" s="42">
        <f t="shared" si="190"/>
        <v>18138394</v>
      </c>
      <c r="O58" s="42">
        <f t="shared" si="190"/>
        <v>18138394</v>
      </c>
      <c r="P58" s="42">
        <f t="shared" si="190"/>
        <v>18138394</v>
      </c>
      <c r="Q58" s="42">
        <f t="shared" si="190"/>
        <v>18138394</v>
      </c>
      <c r="R58" s="44">
        <v>9434115</v>
      </c>
      <c r="S58" s="41">
        <v>9434115</v>
      </c>
      <c r="T58" s="42">
        <f t="shared" si="190"/>
        <v>9434115</v>
      </c>
      <c r="U58" s="541">
        <f t="shared" ref="U58:U73" si="191">ROUND(T58*105%,0)</f>
        <v>9905821</v>
      </c>
      <c r="V58" s="43"/>
      <c r="W58" s="42">
        <f t="shared" ref="W58:AF58" si="192">V58</f>
        <v>0</v>
      </c>
      <c r="X58" s="42">
        <f t="shared" si="192"/>
        <v>0</v>
      </c>
      <c r="Y58" s="42">
        <f t="shared" si="192"/>
        <v>0</v>
      </c>
      <c r="Z58" s="42">
        <f t="shared" si="192"/>
        <v>0</v>
      </c>
      <c r="AA58" s="42">
        <f t="shared" si="192"/>
        <v>0</v>
      </c>
      <c r="AB58" s="42">
        <f t="shared" si="192"/>
        <v>0</v>
      </c>
      <c r="AC58" s="42">
        <f t="shared" si="192"/>
        <v>0</v>
      </c>
      <c r="AD58" s="44">
        <f t="shared" si="192"/>
        <v>0</v>
      </c>
      <c r="AE58" s="41">
        <f t="shared" si="192"/>
        <v>0</v>
      </c>
      <c r="AF58" s="42">
        <f t="shared" si="192"/>
        <v>0</v>
      </c>
      <c r="AG58" s="43">
        <f t="shared" ref="AG58:AG73" si="193">ROUND(AF58*105%,0)</f>
        <v>0</v>
      </c>
      <c r="AH58" s="42">
        <f t="shared" ref="AH58:AO61" si="194">AG58</f>
        <v>0</v>
      </c>
      <c r="AI58" s="42">
        <f t="shared" si="194"/>
        <v>0</v>
      </c>
      <c r="AJ58" s="42">
        <f t="shared" si="194"/>
        <v>0</v>
      </c>
      <c r="AK58" s="42">
        <f t="shared" si="194"/>
        <v>0</v>
      </c>
      <c r="AL58" s="42">
        <f t="shared" si="194"/>
        <v>0</v>
      </c>
      <c r="AM58" s="42">
        <f t="shared" si="194"/>
        <v>0</v>
      </c>
      <c r="AN58" s="42">
        <f t="shared" si="194"/>
        <v>0</v>
      </c>
      <c r="AO58" s="42">
        <f t="shared" si="194"/>
        <v>0</v>
      </c>
      <c r="AP58" s="687">
        <f t="shared" ref="AP58:AP61" si="195">AO58</f>
        <v>0</v>
      </c>
      <c r="AQ58" s="687">
        <f t="shared" ref="AQ58:AQ61" si="196">AP58</f>
        <v>0</v>
      </c>
      <c r="AR58" s="687">
        <f t="shared" ref="AR58:AR61" si="197">AQ58</f>
        <v>0</v>
      </c>
      <c r="AS58" s="696">
        <f t="shared" si="141"/>
        <v>0</v>
      </c>
      <c r="AT58" s="687">
        <f t="shared" ref="AT58:BB58" si="198">+AS58</f>
        <v>0</v>
      </c>
      <c r="AU58" s="687">
        <f t="shared" si="198"/>
        <v>0</v>
      </c>
      <c r="AV58" s="687">
        <f t="shared" si="198"/>
        <v>0</v>
      </c>
      <c r="AW58" s="687">
        <f t="shared" si="198"/>
        <v>0</v>
      </c>
      <c r="AX58" s="687">
        <f t="shared" si="198"/>
        <v>0</v>
      </c>
      <c r="AY58" s="687">
        <f t="shared" si="198"/>
        <v>0</v>
      </c>
      <c r="AZ58" s="687">
        <f t="shared" si="198"/>
        <v>0</v>
      </c>
      <c r="BA58" s="687">
        <f t="shared" si="198"/>
        <v>0</v>
      </c>
      <c r="BB58" s="44">
        <f t="shared" si="198"/>
        <v>0</v>
      </c>
      <c r="BC58" s="10" t="str">
        <f t="shared" si="143"/>
        <v>제조 IT그룹이사</v>
      </c>
      <c r="BD58" s="10" t="str">
        <f t="shared" si="181"/>
        <v>제조 IT그룹이사</v>
      </c>
      <c r="BE58" s="41">
        <v>0</v>
      </c>
      <c r="BF58" s="42"/>
      <c r="BG58" s="42"/>
      <c r="BH58" s="44"/>
      <c r="BI58" s="41">
        <v>0</v>
      </c>
      <c r="BJ58" s="42">
        <v>0</v>
      </c>
      <c r="BK58" s="44">
        <v>10188618</v>
      </c>
      <c r="BL58" s="495"/>
      <c r="BM58" s="41"/>
      <c r="BN58" s="42"/>
      <c r="BO58" s="44"/>
      <c r="BP58" s="495"/>
      <c r="BQ58" s="486" t="str">
        <f t="shared" ref="BQ58:BQ69" si="199">+IFERROR(BM58/BI58-1,"")</f>
        <v/>
      </c>
      <c r="BR58" s="480" t="str">
        <f t="shared" ref="BR58:BR69" si="200">+IFERROR(BN58/BJ58-1,"")</f>
        <v/>
      </c>
      <c r="BS58" s="472">
        <f t="shared" ref="BS58:BS69" si="201">+IFERROR(BO58/BK58-1,"")</f>
        <v>-1</v>
      </c>
      <c r="BT58" s="13"/>
    </row>
    <row r="59" spans="1:76">
      <c r="A59" s="10" t="str">
        <f t="shared" si="134"/>
        <v>제조 IT그룹CL4(수석)</v>
      </c>
      <c r="B59" s="526" t="str">
        <f>+B58</f>
        <v>제조 IT그룹</v>
      </c>
      <c r="C59" s="527" t="s">
        <v>246</v>
      </c>
      <c r="D59" s="18" t="s">
        <v>110</v>
      </c>
      <c r="E59" s="17" t="s">
        <v>445</v>
      </c>
      <c r="F59" s="18" t="s">
        <v>82</v>
      </c>
      <c r="G59" s="45">
        <v>9956502</v>
      </c>
      <c r="H59" s="46">
        <v>9956502</v>
      </c>
      <c r="I59" s="47">
        <v>10803245</v>
      </c>
      <c r="J59" s="46">
        <f t="shared" ref="J59:T59" si="202">I59</f>
        <v>10803245</v>
      </c>
      <c r="K59" s="46">
        <f t="shared" si="202"/>
        <v>10803245</v>
      </c>
      <c r="L59" s="46">
        <f t="shared" si="202"/>
        <v>10803245</v>
      </c>
      <c r="M59" s="46">
        <f t="shared" si="202"/>
        <v>10803245</v>
      </c>
      <c r="N59" s="46">
        <f t="shared" si="202"/>
        <v>10803245</v>
      </c>
      <c r="O59" s="46">
        <f t="shared" si="202"/>
        <v>10803245</v>
      </c>
      <c r="P59" s="46">
        <f t="shared" si="202"/>
        <v>10803245</v>
      </c>
      <c r="Q59" s="46">
        <f t="shared" si="202"/>
        <v>10803245</v>
      </c>
      <c r="R59" s="48">
        <v>9434115</v>
      </c>
      <c r="S59" s="45">
        <f t="shared" si="202"/>
        <v>9434115</v>
      </c>
      <c r="T59" s="46">
        <f t="shared" si="202"/>
        <v>9434115</v>
      </c>
      <c r="U59" s="550">
        <f t="shared" si="191"/>
        <v>9905821</v>
      </c>
      <c r="V59" s="47">
        <v>9896990</v>
      </c>
      <c r="W59" s="46">
        <f t="shared" ref="W59:AF59" si="203">V59</f>
        <v>9896990</v>
      </c>
      <c r="X59" s="46">
        <f t="shared" si="203"/>
        <v>9896990</v>
      </c>
      <c r="Y59" s="46">
        <f t="shared" si="203"/>
        <v>9896990</v>
      </c>
      <c r="Z59" s="46">
        <f t="shared" si="203"/>
        <v>9896990</v>
      </c>
      <c r="AA59" s="46">
        <f t="shared" si="203"/>
        <v>9896990</v>
      </c>
      <c r="AB59" s="46">
        <f t="shared" si="203"/>
        <v>9896990</v>
      </c>
      <c r="AC59" s="46">
        <f t="shared" si="203"/>
        <v>9896990</v>
      </c>
      <c r="AD59" s="48">
        <f t="shared" si="203"/>
        <v>9896990</v>
      </c>
      <c r="AE59" s="45">
        <f t="shared" si="203"/>
        <v>9896990</v>
      </c>
      <c r="AF59" s="46">
        <f t="shared" si="203"/>
        <v>9896990</v>
      </c>
      <c r="AG59" s="47">
        <f t="shared" si="193"/>
        <v>10391840</v>
      </c>
      <c r="AH59" s="46">
        <f t="shared" si="194"/>
        <v>10391840</v>
      </c>
      <c r="AI59" s="46">
        <f t="shared" si="194"/>
        <v>10391840</v>
      </c>
      <c r="AJ59" s="46">
        <f t="shared" si="194"/>
        <v>10391840</v>
      </c>
      <c r="AK59" s="46">
        <f t="shared" si="194"/>
        <v>10391840</v>
      </c>
      <c r="AL59" s="46">
        <f t="shared" si="194"/>
        <v>10391840</v>
      </c>
      <c r="AM59" s="46">
        <f t="shared" si="194"/>
        <v>10391840</v>
      </c>
      <c r="AN59" s="46">
        <f t="shared" si="194"/>
        <v>10391840</v>
      </c>
      <c r="AO59" s="46">
        <f t="shared" si="194"/>
        <v>10391840</v>
      </c>
      <c r="AP59" s="688">
        <f t="shared" si="195"/>
        <v>10391840</v>
      </c>
      <c r="AQ59" s="688">
        <f t="shared" si="196"/>
        <v>10391840</v>
      </c>
      <c r="AR59" s="688">
        <f t="shared" si="197"/>
        <v>10391840</v>
      </c>
      <c r="AS59" s="697">
        <f t="shared" si="141"/>
        <v>10911432</v>
      </c>
      <c r="AT59" s="688">
        <f t="shared" ref="AT59:BB59" si="204">+AS59</f>
        <v>10911432</v>
      </c>
      <c r="AU59" s="688">
        <f t="shared" si="204"/>
        <v>10911432</v>
      </c>
      <c r="AV59" s="688">
        <f t="shared" si="204"/>
        <v>10911432</v>
      </c>
      <c r="AW59" s="688">
        <f t="shared" si="204"/>
        <v>10911432</v>
      </c>
      <c r="AX59" s="688">
        <f t="shared" si="204"/>
        <v>10911432</v>
      </c>
      <c r="AY59" s="688">
        <f t="shared" si="204"/>
        <v>10911432</v>
      </c>
      <c r="AZ59" s="688">
        <f t="shared" si="204"/>
        <v>10911432</v>
      </c>
      <c r="BA59" s="688">
        <f t="shared" si="204"/>
        <v>10911432</v>
      </c>
      <c r="BB59" s="48">
        <f t="shared" si="204"/>
        <v>10911432</v>
      </c>
      <c r="BC59" s="10" t="str">
        <f t="shared" si="143"/>
        <v>제조 IT그룹수석(CL4)</v>
      </c>
      <c r="BD59" s="10" t="str">
        <f t="shared" si="181"/>
        <v>제조 IT그룹CL4(수석)</v>
      </c>
      <c r="BE59" s="45">
        <v>6352130</v>
      </c>
      <c r="BF59" s="46">
        <v>170490</v>
      </c>
      <c r="BG59" s="46">
        <v>7772551.9700000007</v>
      </c>
      <c r="BH59" s="48">
        <v>37189.243875598091</v>
      </c>
      <c r="BI59" s="45">
        <v>6502497</v>
      </c>
      <c r="BJ59" s="46">
        <v>70199</v>
      </c>
      <c r="BK59" s="48">
        <v>7923091</v>
      </c>
      <c r="BL59" s="496">
        <v>37909.526315789473</v>
      </c>
      <c r="BM59" s="45"/>
      <c r="BN59" s="46"/>
      <c r="BO59" s="48"/>
      <c r="BP59" s="496"/>
      <c r="BQ59" s="487">
        <f t="shared" si="199"/>
        <v>-1</v>
      </c>
      <c r="BR59" s="481">
        <f t="shared" si="200"/>
        <v>-1</v>
      </c>
      <c r="BS59" s="473">
        <f t="shared" si="201"/>
        <v>-1</v>
      </c>
      <c r="BT59" s="13"/>
    </row>
    <row r="60" spans="1:76">
      <c r="A60" s="10" t="str">
        <f t="shared" si="134"/>
        <v>제조 IT그룹CL3(책임-수석보)</v>
      </c>
      <c r="B60" s="526" t="str">
        <f>+B59</f>
        <v>제조 IT그룹</v>
      </c>
      <c r="C60" s="527" t="s">
        <v>247</v>
      </c>
      <c r="D60" s="18" t="s">
        <v>110</v>
      </c>
      <c r="E60" s="17" t="s">
        <v>455</v>
      </c>
      <c r="F60" s="18" t="s">
        <v>459</v>
      </c>
      <c r="G60" s="45">
        <v>7994733</v>
      </c>
      <c r="H60" s="46">
        <v>7994733</v>
      </c>
      <c r="I60" s="47">
        <v>9012224</v>
      </c>
      <c r="J60" s="46">
        <f t="shared" ref="J60:T60" si="205">I60</f>
        <v>9012224</v>
      </c>
      <c r="K60" s="46">
        <f t="shared" si="205"/>
        <v>9012224</v>
      </c>
      <c r="L60" s="46">
        <f t="shared" si="205"/>
        <v>9012224</v>
      </c>
      <c r="M60" s="46">
        <f t="shared" si="205"/>
        <v>9012224</v>
      </c>
      <c r="N60" s="46">
        <f t="shared" si="205"/>
        <v>9012224</v>
      </c>
      <c r="O60" s="46">
        <f t="shared" si="205"/>
        <v>9012224</v>
      </c>
      <c r="P60" s="46">
        <f t="shared" si="205"/>
        <v>9012224</v>
      </c>
      <c r="Q60" s="46">
        <f t="shared" si="205"/>
        <v>9012224</v>
      </c>
      <c r="R60" s="48">
        <v>8088382</v>
      </c>
      <c r="S60" s="45">
        <f t="shared" si="205"/>
        <v>8088382</v>
      </c>
      <c r="T60" s="46">
        <f t="shared" si="205"/>
        <v>8088382</v>
      </c>
      <c r="U60" s="550">
        <f t="shared" si="191"/>
        <v>8492801</v>
      </c>
      <c r="V60" s="47">
        <v>8030168</v>
      </c>
      <c r="W60" s="46">
        <f t="shared" ref="W60:AF60" si="206">V60</f>
        <v>8030168</v>
      </c>
      <c r="X60" s="46">
        <f t="shared" si="206"/>
        <v>8030168</v>
      </c>
      <c r="Y60" s="46">
        <f t="shared" si="206"/>
        <v>8030168</v>
      </c>
      <c r="Z60" s="46">
        <f t="shared" si="206"/>
        <v>8030168</v>
      </c>
      <c r="AA60" s="46">
        <f t="shared" si="206"/>
        <v>8030168</v>
      </c>
      <c r="AB60" s="46">
        <f t="shared" si="206"/>
        <v>8030168</v>
      </c>
      <c r="AC60" s="46">
        <f t="shared" si="206"/>
        <v>8030168</v>
      </c>
      <c r="AD60" s="48">
        <f t="shared" si="206"/>
        <v>8030168</v>
      </c>
      <c r="AE60" s="45">
        <f t="shared" si="206"/>
        <v>8030168</v>
      </c>
      <c r="AF60" s="46">
        <f t="shared" si="206"/>
        <v>8030168</v>
      </c>
      <c r="AG60" s="47">
        <f t="shared" si="193"/>
        <v>8431676</v>
      </c>
      <c r="AH60" s="46">
        <f t="shared" si="194"/>
        <v>8431676</v>
      </c>
      <c r="AI60" s="46">
        <f t="shared" si="194"/>
        <v>8431676</v>
      </c>
      <c r="AJ60" s="46">
        <f t="shared" si="194"/>
        <v>8431676</v>
      </c>
      <c r="AK60" s="46">
        <f t="shared" si="194"/>
        <v>8431676</v>
      </c>
      <c r="AL60" s="46">
        <f t="shared" si="194"/>
        <v>8431676</v>
      </c>
      <c r="AM60" s="46">
        <f t="shared" si="194"/>
        <v>8431676</v>
      </c>
      <c r="AN60" s="46">
        <f t="shared" si="194"/>
        <v>8431676</v>
      </c>
      <c r="AO60" s="46">
        <f t="shared" si="194"/>
        <v>8431676</v>
      </c>
      <c r="AP60" s="688">
        <f t="shared" si="195"/>
        <v>8431676</v>
      </c>
      <c r="AQ60" s="688">
        <f t="shared" si="196"/>
        <v>8431676</v>
      </c>
      <c r="AR60" s="688">
        <f t="shared" si="197"/>
        <v>8431676</v>
      </c>
      <c r="AS60" s="697">
        <f t="shared" si="141"/>
        <v>8853260</v>
      </c>
      <c r="AT60" s="688">
        <f t="shared" ref="AT60:BB60" si="207">+AS60</f>
        <v>8853260</v>
      </c>
      <c r="AU60" s="688">
        <f t="shared" si="207"/>
        <v>8853260</v>
      </c>
      <c r="AV60" s="688">
        <f t="shared" si="207"/>
        <v>8853260</v>
      </c>
      <c r="AW60" s="688">
        <f t="shared" si="207"/>
        <v>8853260</v>
      </c>
      <c r="AX60" s="688">
        <f t="shared" si="207"/>
        <v>8853260</v>
      </c>
      <c r="AY60" s="688">
        <f t="shared" si="207"/>
        <v>8853260</v>
      </c>
      <c r="AZ60" s="688">
        <f t="shared" si="207"/>
        <v>8853260</v>
      </c>
      <c r="BA60" s="688">
        <f t="shared" si="207"/>
        <v>8853260</v>
      </c>
      <c r="BB60" s="48">
        <f t="shared" si="207"/>
        <v>8853260</v>
      </c>
      <c r="BC60" s="10" t="str">
        <f t="shared" si="143"/>
        <v>제조 IT그룹수석보(CL3)</v>
      </c>
      <c r="BD60" s="10" t="str">
        <f t="shared" si="181"/>
        <v>제조 IT그룹CL3(책임-수석보)</v>
      </c>
      <c r="BE60" s="45">
        <v>4965432</v>
      </c>
      <c r="BF60" s="46">
        <v>6455</v>
      </c>
      <c r="BG60" s="46">
        <v>6224451.1989682522</v>
      </c>
      <c r="BH60" s="48">
        <v>29782.063152958144</v>
      </c>
      <c r="BI60" s="45">
        <v>5220357</v>
      </c>
      <c r="BJ60" s="46">
        <v>53262</v>
      </c>
      <c r="BK60" s="48">
        <v>6443126</v>
      </c>
      <c r="BL60" s="496">
        <v>30828.354066985645</v>
      </c>
      <c r="BM60" s="45"/>
      <c r="BN60" s="46"/>
      <c r="BO60" s="48"/>
      <c r="BP60" s="496"/>
      <c r="BQ60" s="487">
        <f t="shared" si="199"/>
        <v>-1</v>
      </c>
      <c r="BR60" s="481">
        <f t="shared" si="200"/>
        <v>-1</v>
      </c>
      <c r="BS60" s="473">
        <f t="shared" si="201"/>
        <v>-1</v>
      </c>
      <c r="BT60" s="13"/>
    </row>
    <row r="61" spans="1:76">
      <c r="A61" s="10" t="str">
        <f t="shared" si="134"/>
        <v>제조 IT그룹CL2(사원-선임)</v>
      </c>
      <c r="B61" s="526" t="str">
        <f>+B60</f>
        <v>제조 IT그룹</v>
      </c>
      <c r="C61" s="527" t="s">
        <v>248</v>
      </c>
      <c r="D61" s="18" t="s">
        <v>111</v>
      </c>
      <c r="E61" s="17" t="s">
        <v>457</v>
      </c>
      <c r="F61" s="18" t="s">
        <v>461</v>
      </c>
      <c r="G61" s="45">
        <v>6243355</v>
      </c>
      <c r="H61" s="46">
        <v>6243355</v>
      </c>
      <c r="I61" s="47">
        <v>6115226</v>
      </c>
      <c r="J61" s="46">
        <f t="shared" ref="J61:T61" si="208">I61</f>
        <v>6115226</v>
      </c>
      <c r="K61" s="46">
        <f t="shared" si="208"/>
        <v>6115226</v>
      </c>
      <c r="L61" s="46">
        <f t="shared" si="208"/>
        <v>6115226</v>
      </c>
      <c r="M61" s="46">
        <f t="shared" si="208"/>
        <v>6115226</v>
      </c>
      <c r="N61" s="46">
        <f t="shared" si="208"/>
        <v>6115226</v>
      </c>
      <c r="O61" s="46">
        <f t="shared" si="208"/>
        <v>6115226</v>
      </c>
      <c r="P61" s="46">
        <f t="shared" si="208"/>
        <v>6115226</v>
      </c>
      <c r="Q61" s="46">
        <f t="shared" si="208"/>
        <v>6115226</v>
      </c>
      <c r="R61" s="48">
        <v>6115226</v>
      </c>
      <c r="S61" s="45">
        <f t="shared" si="208"/>
        <v>6115226</v>
      </c>
      <c r="T61" s="46">
        <f t="shared" si="208"/>
        <v>6115226</v>
      </c>
      <c r="U61" s="550">
        <f t="shared" si="191"/>
        <v>6420987</v>
      </c>
      <c r="V61" s="47">
        <v>6127419</v>
      </c>
      <c r="W61" s="46">
        <f t="shared" ref="W61:AF61" si="209">V61</f>
        <v>6127419</v>
      </c>
      <c r="X61" s="46">
        <f t="shared" si="209"/>
        <v>6127419</v>
      </c>
      <c r="Y61" s="46">
        <f t="shared" si="209"/>
        <v>6127419</v>
      </c>
      <c r="Z61" s="46">
        <f t="shared" si="209"/>
        <v>6127419</v>
      </c>
      <c r="AA61" s="46">
        <f t="shared" si="209"/>
        <v>6127419</v>
      </c>
      <c r="AB61" s="46">
        <f t="shared" si="209"/>
        <v>6127419</v>
      </c>
      <c r="AC61" s="46">
        <f t="shared" si="209"/>
        <v>6127419</v>
      </c>
      <c r="AD61" s="48">
        <f t="shared" si="209"/>
        <v>6127419</v>
      </c>
      <c r="AE61" s="45">
        <f t="shared" si="209"/>
        <v>6127419</v>
      </c>
      <c r="AF61" s="46">
        <f t="shared" si="209"/>
        <v>6127419</v>
      </c>
      <c r="AG61" s="47">
        <f t="shared" si="193"/>
        <v>6433790</v>
      </c>
      <c r="AH61" s="46">
        <f t="shared" si="194"/>
        <v>6433790</v>
      </c>
      <c r="AI61" s="46">
        <f t="shared" si="194"/>
        <v>6433790</v>
      </c>
      <c r="AJ61" s="46">
        <f t="shared" si="194"/>
        <v>6433790</v>
      </c>
      <c r="AK61" s="46">
        <f t="shared" si="194"/>
        <v>6433790</v>
      </c>
      <c r="AL61" s="46">
        <f t="shared" si="194"/>
        <v>6433790</v>
      </c>
      <c r="AM61" s="46">
        <f t="shared" si="194"/>
        <v>6433790</v>
      </c>
      <c r="AN61" s="46">
        <f t="shared" si="194"/>
        <v>6433790</v>
      </c>
      <c r="AO61" s="46">
        <f t="shared" si="194"/>
        <v>6433790</v>
      </c>
      <c r="AP61" s="688">
        <f t="shared" si="195"/>
        <v>6433790</v>
      </c>
      <c r="AQ61" s="688">
        <f t="shared" si="196"/>
        <v>6433790</v>
      </c>
      <c r="AR61" s="688">
        <f t="shared" si="197"/>
        <v>6433790</v>
      </c>
      <c r="AS61" s="697">
        <f t="shared" si="141"/>
        <v>6755480</v>
      </c>
      <c r="AT61" s="688">
        <f t="shared" ref="AT61:BB61" si="210">+AS61</f>
        <v>6755480</v>
      </c>
      <c r="AU61" s="688">
        <f t="shared" si="210"/>
        <v>6755480</v>
      </c>
      <c r="AV61" s="688">
        <f t="shared" si="210"/>
        <v>6755480</v>
      </c>
      <c r="AW61" s="688">
        <f t="shared" si="210"/>
        <v>6755480</v>
      </c>
      <c r="AX61" s="688">
        <f t="shared" si="210"/>
        <v>6755480</v>
      </c>
      <c r="AY61" s="688">
        <f t="shared" si="210"/>
        <v>6755480</v>
      </c>
      <c r="AZ61" s="688">
        <f t="shared" si="210"/>
        <v>6755480</v>
      </c>
      <c r="BA61" s="688">
        <f t="shared" si="210"/>
        <v>6755480</v>
      </c>
      <c r="BB61" s="48">
        <f t="shared" si="210"/>
        <v>6755480</v>
      </c>
      <c r="BC61" s="10" t="str">
        <f t="shared" si="143"/>
        <v>제조 IT그룹책임(CL3)</v>
      </c>
      <c r="BD61" s="10" t="str">
        <f t="shared" si="181"/>
        <v>제조 IT그룹CL2(사원-선임)</v>
      </c>
      <c r="BE61" s="45">
        <v>3857788</v>
      </c>
      <c r="BF61" s="46">
        <v>5751.707317073171</v>
      </c>
      <c r="BG61" s="46">
        <v>4684116.5999999996</v>
      </c>
      <c r="BH61" s="48">
        <v>22412.041148325356</v>
      </c>
      <c r="BI61" s="45">
        <v>4039698</v>
      </c>
      <c r="BJ61" s="46">
        <v>27752</v>
      </c>
      <c r="BK61" s="48">
        <v>4845685</v>
      </c>
      <c r="BL61" s="496">
        <v>23185.095693779906</v>
      </c>
      <c r="BM61" s="45"/>
      <c r="BN61" s="46"/>
      <c r="BO61" s="48"/>
      <c r="BP61" s="496"/>
      <c r="BQ61" s="487">
        <f t="shared" si="199"/>
        <v>-1</v>
      </c>
      <c r="BR61" s="481">
        <f t="shared" si="200"/>
        <v>-1</v>
      </c>
      <c r="BS61" s="473">
        <f t="shared" si="201"/>
        <v>-1</v>
      </c>
      <c r="BT61" s="13"/>
    </row>
    <row r="62" spans="1:76">
      <c r="A62" s="10" t="str">
        <f t="shared" si="134"/>
        <v>제조 IT그룹</v>
      </c>
      <c r="B62" s="526" t="str">
        <f>+B61</f>
        <v>제조 IT그룹</v>
      </c>
      <c r="C62" s="527" t="s">
        <v>249</v>
      </c>
      <c r="D62" s="18" t="s">
        <v>112</v>
      </c>
      <c r="E62" s="17"/>
      <c r="F62" s="18"/>
      <c r="G62" s="45"/>
      <c r="H62" s="46"/>
      <c r="I62" s="47">
        <f>ROUND(H62*105%,0)</f>
        <v>0</v>
      </c>
      <c r="J62" s="46"/>
      <c r="K62" s="46"/>
      <c r="L62" s="46"/>
      <c r="M62" s="46"/>
      <c r="N62" s="46"/>
      <c r="O62" s="46"/>
      <c r="P62" s="46"/>
      <c r="Q62" s="46"/>
      <c r="R62" s="48"/>
      <c r="S62" s="45"/>
      <c r="T62" s="46"/>
      <c r="U62" s="550">
        <f t="shared" si="191"/>
        <v>0</v>
      </c>
      <c r="V62" s="47"/>
      <c r="W62" s="46"/>
      <c r="X62" s="46"/>
      <c r="Y62" s="46"/>
      <c r="Z62" s="46"/>
      <c r="AA62" s="46"/>
      <c r="AB62" s="46"/>
      <c r="AC62" s="46"/>
      <c r="AD62" s="48"/>
      <c r="AE62" s="45"/>
      <c r="AF62" s="46"/>
      <c r="AG62" s="47">
        <f t="shared" si="193"/>
        <v>0</v>
      </c>
      <c r="AH62" s="46"/>
      <c r="AI62" s="46"/>
      <c r="AJ62" s="46"/>
      <c r="AK62" s="46"/>
      <c r="AL62" s="46"/>
      <c r="AM62" s="46"/>
      <c r="AN62" s="46"/>
      <c r="AO62" s="46"/>
      <c r="AP62" s="688"/>
      <c r="AQ62" s="688"/>
      <c r="AR62" s="688"/>
      <c r="AS62" s="697">
        <f t="shared" si="141"/>
        <v>0</v>
      </c>
      <c r="AT62" s="688">
        <f t="shared" ref="AT62:BB62" si="211">+AS62</f>
        <v>0</v>
      </c>
      <c r="AU62" s="688">
        <f t="shared" si="211"/>
        <v>0</v>
      </c>
      <c r="AV62" s="688">
        <f t="shared" si="211"/>
        <v>0</v>
      </c>
      <c r="AW62" s="688">
        <f t="shared" si="211"/>
        <v>0</v>
      </c>
      <c r="AX62" s="688">
        <f t="shared" si="211"/>
        <v>0</v>
      </c>
      <c r="AY62" s="688">
        <f t="shared" si="211"/>
        <v>0</v>
      </c>
      <c r="AZ62" s="688">
        <f t="shared" si="211"/>
        <v>0</v>
      </c>
      <c r="BA62" s="688">
        <f t="shared" si="211"/>
        <v>0</v>
      </c>
      <c r="BB62" s="48">
        <f t="shared" si="211"/>
        <v>0</v>
      </c>
      <c r="BC62" s="10" t="str">
        <f t="shared" si="143"/>
        <v>제조 IT그룹선임(CL2)</v>
      </c>
      <c r="BD62" s="10" t="s">
        <v>451</v>
      </c>
      <c r="BE62" s="45">
        <v>0</v>
      </c>
      <c r="BF62" s="46"/>
      <c r="BG62" s="46"/>
      <c r="BH62" s="48"/>
      <c r="BI62" s="45">
        <v>0</v>
      </c>
      <c r="BJ62" s="46">
        <v>0</v>
      </c>
      <c r="BK62" s="48">
        <v>0</v>
      </c>
      <c r="BL62" s="496"/>
      <c r="BM62" s="45"/>
      <c r="BN62" s="46"/>
      <c r="BO62" s="48"/>
      <c r="BP62" s="496"/>
      <c r="BQ62" s="487" t="str">
        <f t="shared" si="199"/>
        <v/>
      </c>
      <c r="BR62" s="481" t="str">
        <f t="shared" si="200"/>
        <v/>
      </c>
      <c r="BS62" s="473" t="str">
        <f t="shared" si="201"/>
        <v/>
      </c>
      <c r="BT62" s="13"/>
    </row>
    <row r="63" spans="1:76">
      <c r="A63" s="10" t="str">
        <f t="shared" si="134"/>
        <v>제조 IT그룹</v>
      </c>
      <c r="B63" s="528" t="str">
        <f>+B62</f>
        <v>제조 IT그룹</v>
      </c>
      <c r="C63" s="529" t="s">
        <v>250</v>
      </c>
      <c r="D63" s="20" t="s">
        <v>104</v>
      </c>
      <c r="E63" s="19"/>
      <c r="F63" s="20"/>
      <c r="G63" s="49"/>
      <c r="H63" s="50"/>
      <c r="I63" s="51">
        <f>ROUND(H63*105%,0)</f>
        <v>0</v>
      </c>
      <c r="J63" s="50"/>
      <c r="K63" s="50"/>
      <c r="L63" s="50"/>
      <c r="M63" s="50"/>
      <c r="N63" s="50"/>
      <c r="O63" s="50"/>
      <c r="P63" s="50"/>
      <c r="Q63" s="50"/>
      <c r="R63" s="52"/>
      <c r="S63" s="49"/>
      <c r="T63" s="50"/>
      <c r="U63" s="1199">
        <f t="shared" si="191"/>
        <v>0</v>
      </c>
      <c r="V63" s="51"/>
      <c r="W63" s="50"/>
      <c r="X63" s="50"/>
      <c r="Y63" s="50"/>
      <c r="Z63" s="50"/>
      <c r="AA63" s="50"/>
      <c r="AB63" s="50"/>
      <c r="AC63" s="50"/>
      <c r="AD63" s="52"/>
      <c r="AE63" s="49"/>
      <c r="AF63" s="50"/>
      <c r="AG63" s="51">
        <f t="shared" si="193"/>
        <v>0</v>
      </c>
      <c r="AH63" s="50"/>
      <c r="AI63" s="50"/>
      <c r="AJ63" s="50"/>
      <c r="AK63" s="50"/>
      <c r="AL63" s="50"/>
      <c r="AM63" s="50"/>
      <c r="AN63" s="50"/>
      <c r="AO63" s="50"/>
      <c r="AP63" s="689"/>
      <c r="AQ63" s="689"/>
      <c r="AR63" s="689"/>
      <c r="AS63" s="698">
        <f t="shared" si="141"/>
        <v>0</v>
      </c>
      <c r="AT63" s="689">
        <f t="shared" ref="AT63:BB68" si="212">+AS63</f>
        <v>0</v>
      </c>
      <c r="AU63" s="689">
        <f t="shared" si="212"/>
        <v>0</v>
      </c>
      <c r="AV63" s="689">
        <f t="shared" si="212"/>
        <v>0</v>
      </c>
      <c r="AW63" s="689">
        <f t="shared" si="212"/>
        <v>0</v>
      </c>
      <c r="AX63" s="689">
        <f t="shared" si="212"/>
        <v>0</v>
      </c>
      <c r="AY63" s="689">
        <f t="shared" si="212"/>
        <v>0</v>
      </c>
      <c r="AZ63" s="689">
        <f t="shared" si="212"/>
        <v>0</v>
      </c>
      <c r="BA63" s="689">
        <f t="shared" si="212"/>
        <v>0</v>
      </c>
      <c r="BB63" s="52">
        <f t="shared" si="212"/>
        <v>0</v>
      </c>
      <c r="BC63" s="10" t="str">
        <f t="shared" si="143"/>
        <v>제조 IT그룹사원(CL1-CL2)</v>
      </c>
      <c r="BD63" s="10" t="s">
        <v>452</v>
      </c>
      <c r="BE63" s="49">
        <v>0</v>
      </c>
      <c r="BF63" s="50"/>
      <c r="BG63" s="50"/>
      <c r="BH63" s="52"/>
      <c r="BI63" s="49">
        <v>0</v>
      </c>
      <c r="BJ63" s="50">
        <v>0</v>
      </c>
      <c r="BK63" s="52">
        <v>0</v>
      </c>
      <c r="BL63" s="497"/>
      <c r="BM63" s="49"/>
      <c r="BN63" s="50"/>
      <c r="BO63" s="52"/>
      <c r="BP63" s="497"/>
      <c r="BQ63" s="488" t="str">
        <f t="shared" si="199"/>
        <v/>
      </c>
      <c r="BR63" s="482" t="str">
        <f t="shared" si="200"/>
        <v/>
      </c>
      <c r="BS63" s="474" t="str">
        <f t="shared" si="201"/>
        <v/>
      </c>
      <c r="BT63" s="13"/>
    </row>
    <row r="64" spans="1:76">
      <c r="A64" s="10" t="str">
        <f t="shared" si="134"/>
        <v>서비스/EPC IT그룹이사</v>
      </c>
      <c r="B64" s="523" t="s">
        <v>1005</v>
      </c>
      <c r="C64" s="525" t="s">
        <v>12</v>
      </c>
      <c r="D64" s="15" t="s">
        <v>105</v>
      </c>
      <c r="E64" s="16" t="s">
        <v>12</v>
      </c>
      <c r="F64" s="15" t="s">
        <v>82</v>
      </c>
      <c r="G64" s="41">
        <v>9800048</v>
      </c>
      <c r="H64" s="42">
        <v>9800048</v>
      </c>
      <c r="I64" s="43">
        <v>18138394</v>
      </c>
      <c r="J64" s="42">
        <f t="shared" ref="J64:J67" si="213">I64</f>
        <v>18138394</v>
      </c>
      <c r="K64" s="42">
        <f t="shared" ref="K64:K67" si="214">J64</f>
        <v>18138394</v>
      </c>
      <c r="L64" s="42">
        <f t="shared" ref="L64:L67" si="215">K64</f>
        <v>18138394</v>
      </c>
      <c r="M64" s="42">
        <f t="shared" ref="M64:M67" si="216">L64</f>
        <v>18138394</v>
      </c>
      <c r="N64" s="42">
        <f t="shared" ref="N64:N67" si="217">M64</f>
        <v>18138394</v>
      </c>
      <c r="O64" s="42">
        <f t="shared" ref="O64:O67" si="218">N64</f>
        <v>18138394</v>
      </c>
      <c r="P64" s="42">
        <f t="shared" ref="P64:P67" si="219">O64</f>
        <v>18138394</v>
      </c>
      <c r="Q64" s="42">
        <f t="shared" ref="Q64:Q67" si="220">P64</f>
        <v>18138394</v>
      </c>
      <c r="R64" s="44"/>
      <c r="S64" s="41">
        <f t="shared" ref="S64:S67" si="221">R64</f>
        <v>0</v>
      </c>
      <c r="T64" s="42">
        <f t="shared" ref="T64:T67" si="222">S64</f>
        <v>0</v>
      </c>
      <c r="U64" s="541">
        <f t="shared" si="191"/>
        <v>0</v>
      </c>
      <c r="V64" s="43">
        <f t="shared" ref="V64" si="223">U64</f>
        <v>0</v>
      </c>
      <c r="W64" s="42">
        <f t="shared" ref="W64:W67" si="224">V64</f>
        <v>0</v>
      </c>
      <c r="X64" s="42">
        <f t="shared" ref="X64:X67" si="225">W64</f>
        <v>0</v>
      </c>
      <c r="Y64" s="42">
        <f t="shared" ref="Y64:Y67" si="226">X64</f>
        <v>0</v>
      </c>
      <c r="Z64" s="42">
        <f t="shared" ref="Z64:Z67" si="227">Y64</f>
        <v>0</v>
      </c>
      <c r="AA64" s="42">
        <f t="shared" ref="AA64:AA67" si="228">Z64</f>
        <v>0</v>
      </c>
      <c r="AB64" s="42">
        <f t="shared" ref="AB64:AB67" si="229">AA64</f>
        <v>0</v>
      </c>
      <c r="AC64" s="42">
        <f t="shared" ref="AC64:AC67" si="230">AB64</f>
        <v>0</v>
      </c>
      <c r="AD64" s="44">
        <f t="shared" ref="AD64:AD67" si="231">AC64</f>
        <v>0</v>
      </c>
      <c r="AE64" s="41">
        <f t="shared" ref="AE64:AE67" si="232">AD64</f>
        <v>0</v>
      </c>
      <c r="AF64" s="42">
        <f t="shared" ref="AF64:AF67" si="233">AE64</f>
        <v>0</v>
      </c>
      <c r="AG64" s="43">
        <f t="shared" si="193"/>
        <v>0</v>
      </c>
      <c r="AH64" s="42">
        <f t="shared" ref="AH64:AH67" si="234">AG64</f>
        <v>0</v>
      </c>
      <c r="AI64" s="42">
        <f t="shared" ref="AI64:AI67" si="235">AH64</f>
        <v>0</v>
      </c>
      <c r="AJ64" s="42">
        <f t="shared" ref="AJ64:AJ67" si="236">AI64</f>
        <v>0</v>
      </c>
      <c r="AK64" s="42">
        <f t="shared" ref="AK64:AK67" si="237">AJ64</f>
        <v>0</v>
      </c>
      <c r="AL64" s="42">
        <f t="shared" ref="AL64:AL67" si="238">AK64</f>
        <v>0</v>
      </c>
      <c r="AM64" s="42">
        <f t="shared" ref="AM64:AM67" si="239">AL64</f>
        <v>0</v>
      </c>
      <c r="AN64" s="42">
        <f t="shared" ref="AN64:AN67" si="240">AM64</f>
        <v>0</v>
      </c>
      <c r="AO64" s="42">
        <f t="shared" ref="AO64:AO67" si="241">AN64</f>
        <v>0</v>
      </c>
      <c r="AP64" s="687">
        <f t="shared" ref="AP64:AP67" si="242">AO64</f>
        <v>0</v>
      </c>
      <c r="AQ64" s="687">
        <f t="shared" ref="AQ64:AQ67" si="243">AP64</f>
        <v>0</v>
      </c>
      <c r="AR64" s="687">
        <f t="shared" ref="AR64:AR67" si="244">AQ64</f>
        <v>0</v>
      </c>
      <c r="AS64" s="696">
        <f t="shared" si="141"/>
        <v>0</v>
      </c>
      <c r="AT64" s="687">
        <f t="shared" si="212"/>
        <v>0</v>
      </c>
      <c r="AU64" s="687">
        <f t="shared" si="212"/>
        <v>0</v>
      </c>
      <c r="AV64" s="687">
        <f t="shared" si="212"/>
        <v>0</v>
      </c>
      <c r="AW64" s="687">
        <f t="shared" si="212"/>
        <v>0</v>
      </c>
      <c r="AX64" s="687">
        <f t="shared" si="212"/>
        <v>0</v>
      </c>
      <c r="AY64" s="687">
        <f t="shared" si="212"/>
        <v>0</v>
      </c>
      <c r="AZ64" s="687">
        <f t="shared" si="212"/>
        <v>0</v>
      </c>
      <c r="BA64" s="687">
        <f t="shared" si="212"/>
        <v>0</v>
      </c>
      <c r="BB64" s="44">
        <f t="shared" si="212"/>
        <v>0</v>
      </c>
      <c r="BC64" s="10" t="str">
        <f t="shared" si="143"/>
        <v>서비스/EPC IT그룹이사</v>
      </c>
      <c r="BD64" s="10" t="str">
        <f>B64&amp;E64</f>
        <v>서비스/EPC IT그룹이사</v>
      </c>
      <c r="BE64" s="41">
        <v>0</v>
      </c>
      <c r="BF64" s="42"/>
      <c r="BG64" s="42"/>
      <c r="BH64" s="44"/>
      <c r="BI64" s="41">
        <v>0</v>
      </c>
      <c r="BJ64" s="42">
        <v>0</v>
      </c>
      <c r="BK64" s="44">
        <v>10188618</v>
      </c>
      <c r="BL64" s="495"/>
      <c r="BM64" s="41"/>
      <c r="BN64" s="42"/>
      <c r="BO64" s="44"/>
      <c r="BP64" s="495"/>
      <c r="BQ64" s="486" t="str">
        <f t="shared" si="199"/>
        <v/>
      </c>
      <c r="BR64" s="480" t="str">
        <f t="shared" si="200"/>
        <v/>
      </c>
      <c r="BS64" s="472">
        <f t="shared" si="201"/>
        <v>-1</v>
      </c>
      <c r="BT64" s="13"/>
    </row>
    <row r="65" spans="1:76">
      <c r="A65" s="10" t="str">
        <f t="shared" si="134"/>
        <v>서비스/EPC IT그룹CL4(수석)</v>
      </c>
      <c r="B65" s="526" t="str">
        <f>+B64</f>
        <v>서비스/EPC IT그룹</v>
      </c>
      <c r="C65" s="527" t="s">
        <v>246</v>
      </c>
      <c r="D65" s="18" t="s">
        <v>105</v>
      </c>
      <c r="E65" s="17" t="s">
        <v>445</v>
      </c>
      <c r="F65" s="18" t="s">
        <v>82</v>
      </c>
      <c r="G65" s="45">
        <v>9956502</v>
      </c>
      <c r="H65" s="46">
        <v>9956502</v>
      </c>
      <c r="I65" s="47">
        <v>10803245</v>
      </c>
      <c r="J65" s="46">
        <f t="shared" si="213"/>
        <v>10803245</v>
      </c>
      <c r="K65" s="46">
        <f t="shared" si="214"/>
        <v>10803245</v>
      </c>
      <c r="L65" s="46">
        <f t="shared" si="215"/>
        <v>10803245</v>
      </c>
      <c r="M65" s="46">
        <f t="shared" si="216"/>
        <v>10803245</v>
      </c>
      <c r="N65" s="46">
        <f t="shared" si="217"/>
        <v>10803245</v>
      </c>
      <c r="O65" s="46">
        <f t="shared" si="218"/>
        <v>10803245</v>
      </c>
      <c r="P65" s="46">
        <f t="shared" si="219"/>
        <v>10803245</v>
      </c>
      <c r="Q65" s="46">
        <f t="shared" si="220"/>
        <v>10803245</v>
      </c>
      <c r="R65" s="48">
        <v>9964530</v>
      </c>
      <c r="S65" s="45">
        <f t="shared" si="221"/>
        <v>9964530</v>
      </c>
      <c r="T65" s="46">
        <f t="shared" si="222"/>
        <v>9964530</v>
      </c>
      <c r="U65" s="550">
        <f t="shared" si="191"/>
        <v>10462757</v>
      </c>
      <c r="V65" s="47">
        <v>9953097</v>
      </c>
      <c r="W65" s="46">
        <f t="shared" si="224"/>
        <v>9953097</v>
      </c>
      <c r="X65" s="46">
        <f t="shared" si="225"/>
        <v>9953097</v>
      </c>
      <c r="Y65" s="46">
        <f t="shared" si="226"/>
        <v>9953097</v>
      </c>
      <c r="Z65" s="46">
        <f t="shared" si="227"/>
        <v>9953097</v>
      </c>
      <c r="AA65" s="46">
        <f t="shared" si="228"/>
        <v>9953097</v>
      </c>
      <c r="AB65" s="46">
        <f t="shared" si="229"/>
        <v>9953097</v>
      </c>
      <c r="AC65" s="46">
        <f t="shared" si="230"/>
        <v>9953097</v>
      </c>
      <c r="AD65" s="48">
        <f t="shared" si="231"/>
        <v>9953097</v>
      </c>
      <c r="AE65" s="45">
        <f t="shared" si="232"/>
        <v>9953097</v>
      </c>
      <c r="AF65" s="46">
        <f t="shared" si="233"/>
        <v>9953097</v>
      </c>
      <c r="AG65" s="47">
        <f t="shared" si="193"/>
        <v>10450752</v>
      </c>
      <c r="AH65" s="46">
        <f t="shared" si="234"/>
        <v>10450752</v>
      </c>
      <c r="AI65" s="46">
        <f t="shared" si="235"/>
        <v>10450752</v>
      </c>
      <c r="AJ65" s="46">
        <f t="shared" si="236"/>
        <v>10450752</v>
      </c>
      <c r="AK65" s="46">
        <f t="shared" si="237"/>
        <v>10450752</v>
      </c>
      <c r="AL65" s="46">
        <f t="shared" si="238"/>
        <v>10450752</v>
      </c>
      <c r="AM65" s="46">
        <f t="shared" si="239"/>
        <v>10450752</v>
      </c>
      <c r="AN65" s="46">
        <f t="shared" si="240"/>
        <v>10450752</v>
      </c>
      <c r="AO65" s="46">
        <f t="shared" si="241"/>
        <v>10450752</v>
      </c>
      <c r="AP65" s="688">
        <f t="shared" si="242"/>
        <v>10450752</v>
      </c>
      <c r="AQ65" s="688">
        <f t="shared" si="243"/>
        <v>10450752</v>
      </c>
      <c r="AR65" s="688">
        <f t="shared" si="244"/>
        <v>10450752</v>
      </c>
      <c r="AS65" s="697">
        <f t="shared" si="141"/>
        <v>10973290</v>
      </c>
      <c r="AT65" s="688">
        <f t="shared" si="212"/>
        <v>10973290</v>
      </c>
      <c r="AU65" s="688">
        <f t="shared" si="212"/>
        <v>10973290</v>
      </c>
      <c r="AV65" s="688">
        <f t="shared" si="212"/>
        <v>10973290</v>
      </c>
      <c r="AW65" s="688">
        <f t="shared" si="212"/>
        <v>10973290</v>
      </c>
      <c r="AX65" s="688">
        <f t="shared" si="212"/>
        <v>10973290</v>
      </c>
      <c r="AY65" s="688">
        <f t="shared" si="212"/>
        <v>10973290</v>
      </c>
      <c r="AZ65" s="688">
        <f t="shared" si="212"/>
        <v>10973290</v>
      </c>
      <c r="BA65" s="688">
        <f t="shared" si="212"/>
        <v>10973290</v>
      </c>
      <c r="BB65" s="48">
        <f t="shared" si="212"/>
        <v>10973290</v>
      </c>
      <c r="BC65" s="10" t="str">
        <f t="shared" si="143"/>
        <v>서비스/EPC IT그룹수석(CL4)</v>
      </c>
      <c r="BD65" s="10" t="str">
        <f>B65&amp;E65</f>
        <v>서비스/EPC IT그룹CL4(수석)</v>
      </c>
      <c r="BE65" s="45">
        <v>6352130</v>
      </c>
      <c r="BF65" s="46">
        <v>170490</v>
      </c>
      <c r="BG65" s="46">
        <v>7772551.9700000007</v>
      </c>
      <c r="BH65" s="48">
        <v>37189.243875598091</v>
      </c>
      <c r="BI65" s="45">
        <v>6502497</v>
      </c>
      <c r="BJ65" s="46">
        <v>70199</v>
      </c>
      <c r="BK65" s="48">
        <v>7923091</v>
      </c>
      <c r="BL65" s="496">
        <v>37909.526315789473</v>
      </c>
      <c r="BM65" s="45"/>
      <c r="BN65" s="46"/>
      <c r="BO65" s="48"/>
      <c r="BP65" s="496"/>
      <c r="BQ65" s="487">
        <f t="shared" si="199"/>
        <v>-1</v>
      </c>
      <c r="BR65" s="481">
        <f t="shared" si="200"/>
        <v>-1</v>
      </c>
      <c r="BS65" s="473">
        <f t="shared" si="201"/>
        <v>-1</v>
      </c>
      <c r="BT65" s="13"/>
    </row>
    <row r="66" spans="1:76">
      <c r="A66" s="10" t="str">
        <f t="shared" si="134"/>
        <v>서비스/EPC IT그룹CL3(책임-수석보)</v>
      </c>
      <c r="B66" s="526" t="str">
        <f>+B65</f>
        <v>서비스/EPC IT그룹</v>
      </c>
      <c r="C66" s="527" t="s">
        <v>247</v>
      </c>
      <c r="D66" s="18" t="s">
        <v>105</v>
      </c>
      <c r="E66" s="17" t="s">
        <v>455</v>
      </c>
      <c r="F66" s="18" t="s">
        <v>459</v>
      </c>
      <c r="G66" s="45">
        <v>7994733</v>
      </c>
      <c r="H66" s="46">
        <v>7994733</v>
      </c>
      <c r="I66" s="47">
        <v>9012224</v>
      </c>
      <c r="J66" s="46">
        <f t="shared" si="213"/>
        <v>9012224</v>
      </c>
      <c r="K66" s="46">
        <f t="shared" si="214"/>
        <v>9012224</v>
      </c>
      <c r="L66" s="46">
        <f t="shared" si="215"/>
        <v>9012224</v>
      </c>
      <c r="M66" s="46">
        <f t="shared" si="216"/>
        <v>9012224</v>
      </c>
      <c r="N66" s="46">
        <f t="shared" si="217"/>
        <v>9012224</v>
      </c>
      <c r="O66" s="46">
        <f t="shared" si="218"/>
        <v>9012224</v>
      </c>
      <c r="P66" s="46">
        <f t="shared" si="219"/>
        <v>9012224</v>
      </c>
      <c r="Q66" s="46">
        <f t="shared" si="220"/>
        <v>9012224</v>
      </c>
      <c r="R66" s="48">
        <v>8003790</v>
      </c>
      <c r="S66" s="45">
        <f t="shared" si="221"/>
        <v>8003790</v>
      </c>
      <c r="T66" s="46">
        <f t="shared" si="222"/>
        <v>8003790</v>
      </c>
      <c r="U66" s="550">
        <f t="shared" si="191"/>
        <v>8403980</v>
      </c>
      <c r="V66" s="47">
        <v>8118924</v>
      </c>
      <c r="W66" s="46">
        <f t="shared" si="224"/>
        <v>8118924</v>
      </c>
      <c r="X66" s="46">
        <f t="shared" si="225"/>
        <v>8118924</v>
      </c>
      <c r="Y66" s="46">
        <f t="shared" si="226"/>
        <v>8118924</v>
      </c>
      <c r="Z66" s="46">
        <f t="shared" si="227"/>
        <v>8118924</v>
      </c>
      <c r="AA66" s="46">
        <f t="shared" si="228"/>
        <v>8118924</v>
      </c>
      <c r="AB66" s="46">
        <f t="shared" si="229"/>
        <v>8118924</v>
      </c>
      <c r="AC66" s="46">
        <f t="shared" si="230"/>
        <v>8118924</v>
      </c>
      <c r="AD66" s="48">
        <f t="shared" si="231"/>
        <v>8118924</v>
      </c>
      <c r="AE66" s="45">
        <f t="shared" si="232"/>
        <v>8118924</v>
      </c>
      <c r="AF66" s="46">
        <f t="shared" si="233"/>
        <v>8118924</v>
      </c>
      <c r="AG66" s="47">
        <f t="shared" si="193"/>
        <v>8524870</v>
      </c>
      <c r="AH66" s="46">
        <f t="shared" si="234"/>
        <v>8524870</v>
      </c>
      <c r="AI66" s="46">
        <f t="shared" si="235"/>
        <v>8524870</v>
      </c>
      <c r="AJ66" s="46">
        <f t="shared" si="236"/>
        <v>8524870</v>
      </c>
      <c r="AK66" s="46">
        <f t="shared" si="237"/>
        <v>8524870</v>
      </c>
      <c r="AL66" s="46">
        <f t="shared" si="238"/>
        <v>8524870</v>
      </c>
      <c r="AM66" s="46">
        <f t="shared" si="239"/>
        <v>8524870</v>
      </c>
      <c r="AN66" s="46">
        <f t="shared" si="240"/>
        <v>8524870</v>
      </c>
      <c r="AO66" s="46">
        <f t="shared" si="241"/>
        <v>8524870</v>
      </c>
      <c r="AP66" s="688">
        <f t="shared" si="242"/>
        <v>8524870</v>
      </c>
      <c r="AQ66" s="688">
        <f t="shared" si="243"/>
        <v>8524870</v>
      </c>
      <c r="AR66" s="688">
        <f t="shared" si="244"/>
        <v>8524870</v>
      </c>
      <c r="AS66" s="697">
        <f t="shared" si="141"/>
        <v>8951114</v>
      </c>
      <c r="AT66" s="688">
        <f t="shared" si="212"/>
        <v>8951114</v>
      </c>
      <c r="AU66" s="688">
        <f t="shared" si="212"/>
        <v>8951114</v>
      </c>
      <c r="AV66" s="688">
        <f t="shared" si="212"/>
        <v>8951114</v>
      </c>
      <c r="AW66" s="688">
        <f t="shared" si="212"/>
        <v>8951114</v>
      </c>
      <c r="AX66" s="688">
        <f t="shared" si="212"/>
        <v>8951114</v>
      </c>
      <c r="AY66" s="688">
        <f t="shared" si="212"/>
        <v>8951114</v>
      </c>
      <c r="AZ66" s="688">
        <f t="shared" si="212"/>
        <v>8951114</v>
      </c>
      <c r="BA66" s="688">
        <f t="shared" si="212"/>
        <v>8951114</v>
      </c>
      <c r="BB66" s="48">
        <f t="shared" si="212"/>
        <v>8951114</v>
      </c>
      <c r="BC66" s="10" t="str">
        <f t="shared" si="143"/>
        <v>서비스/EPC IT그룹수석보(CL3)</v>
      </c>
      <c r="BD66" s="10" t="str">
        <f>B66&amp;E66</f>
        <v>서비스/EPC IT그룹CL3(책임-수석보)</v>
      </c>
      <c r="BE66" s="45">
        <v>4965432</v>
      </c>
      <c r="BF66" s="46">
        <v>6455</v>
      </c>
      <c r="BG66" s="46">
        <v>6224451.1989682522</v>
      </c>
      <c r="BH66" s="48">
        <v>29782.063152958144</v>
      </c>
      <c r="BI66" s="45">
        <v>5220357</v>
      </c>
      <c r="BJ66" s="46">
        <v>53262</v>
      </c>
      <c r="BK66" s="48">
        <v>6443126</v>
      </c>
      <c r="BL66" s="496">
        <v>30828.354066985645</v>
      </c>
      <c r="BM66" s="45"/>
      <c r="BN66" s="46"/>
      <c r="BO66" s="48"/>
      <c r="BP66" s="496"/>
      <c r="BQ66" s="487">
        <f t="shared" si="199"/>
        <v>-1</v>
      </c>
      <c r="BR66" s="481">
        <f t="shared" si="200"/>
        <v>-1</v>
      </c>
      <c r="BS66" s="473">
        <f t="shared" si="201"/>
        <v>-1</v>
      </c>
      <c r="BT66" s="13"/>
    </row>
    <row r="67" spans="1:76">
      <c r="A67" s="10" t="str">
        <f t="shared" si="134"/>
        <v>서비스/EPC IT그룹CL2(사원-선임)</v>
      </c>
      <c r="B67" s="526" t="str">
        <f>+B66</f>
        <v>서비스/EPC IT그룹</v>
      </c>
      <c r="C67" s="527" t="s">
        <v>248</v>
      </c>
      <c r="D67" s="18" t="s">
        <v>102</v>
      </c>
      <c r="E67" s="17" t="s">
        <v>457</v>
      </c>
      <c r="F67" s="18" t="s">
        <v>461</v>
      </c>
      <c r="G67" s="45">
        <v>6243355</v>
      </c>
      <c r="H67" s="46">
        <v>6243355</v>
      </c>
      <c r="I67" s="47">
        <v>6115226</v>
      </c>
      <c r="J67" s="46">
        <f t="shared" si="213"/>
        <v>6115226</v>
      </c>
      <c r="K67" s="46">
        <f t="shared" si="214"/>
        <v>6115226</v>
      </c>
      <c r="L67" s="46">
        <f t="shared" si="215"/>
        <v>6115226</v>
      </c>
      <c r="M67" s="46">
        <f t="shared" si="216"/>
        <v>6115226</v>
      </c>
      <c r="N67" s="46">
        <f t="shared" si="217"/>
        <v>6115226</v>
      </c>
      <c r="O67" s="46">
        <f t="shared" si="218"/>
        <v>6115226</v>
      </c>
      <c r="P67" s="46">
        <f t="shared" si="219"/>
        <v>6115226</v>
      </c>
      <c r="Q67" s="46">
        <f t="shared" si="220"/>
        <v>6115226</v>
      </c>
      <c r="R67" s="48">
        <v>6405910</v>
      </c>
      <c r="S67" s="45">
        <f t="shared" si="221"/>
        <v>6405910</v>
      </c>
      <c r="T67" s="46">
        <f t="shared" si="222"/>
        <v>6405910</v>
      </c>
      <c r="U67" s="550">
        <f t="shared" si="191"/>
        <v>6726206</v>
      </c>
      <c r="V67" s="47">
        <v>6026704</v>
      </c>
      <c r="W67" s="46">
        <f t="shared" si="224"/>
        <v>6026704</v>
      </c>
      <c r="X67" s="46">
        <f t="shared" si="225"/>
        <v>6026704</v>
      </c>
      <c r="Y67" s="46">
        <f t="shared" si="226"/>
        <v>6026704</v>
      </c>
      <c r="Z67" s="46">
        <f t="shared" si="227"/>
        <v>6026704</v>
      </c>
      <c r="AA67" s="46">
        <f t="shared" si="228"/>
        <v>6026704</v>
      </c>
      <c r="AB67" s="46">
        <f t="shared" si="229"/>
        <v>6026704</v>
      </c>
      <c r="AC67" s="46">
        <f t="shared" si="230"/>
        <v>6026704</v>
      </c>
      <c r="AD67" s="48">
        <f t="shared" si="231"/>
        <v>6026704</v>
      </c>
      <c r="AE67" s="45">
        <f t="shared" si="232"/>
        <v>6026704</v>
      </c>
      <c r="AF67" s="46">
        <f t="shared" si="233"/>
        <v>6026704</v>
      </c>
      <c r="AG67" s="47">
        <f t="shared" si="193"/>
        <v>6328039</v>
      </c>
      <c r="AH67" s="46">
        <f t="shared" si="234"/>
        <v>6328039</v>
      </c>
      <c r="AI67" s="46">
        <f t="shared" si="235"/>
        <v>6328039</v>
      </c>
      <c r="AJ67" s="46">
        <f t="shared" si="236"/>
        <v>6328039</v>
      </c>
      <c r="AK67" s="46">
        <f t="shared" si="237"/>
        <v>6328039</v>
      </c>
      <c r="AL67" s="46">
        <f t="shared" si="238"/>
        <v>6328039</v>
      </c>
      <c r="AM67" s="46">
        <f t="shared" si="239"/>
        <v>6328039</v>
      </c>
      <c r="AN67" s="46">
        <f t="shared" si="240"/>
        <v>6328039</v>
      </c>
      <c r="AO67" s="46">
        <f t="shared" si="241"/>
        <v>6328039</v>
      </c>
      <c r="AP67" s="688">
        <f t="shared" si="242"/>
        <v>6328039</v>
      </c>
      <c r="AQ67" s="688">
        <f t="shared" si="243"/>
        <v>6328039</v>
      </c>
      <c r="AR67" s="688">
        <f t="shared" si="244"/>
        <v>6328039</v>
      </c>
      <c r="AS67" s="697">
        <f t="shared" si="141"/>
        <v>6644441</v>
      </c>
      <c r="AT67" s="688">
        <f t="shared" si="212"/>
        <v>6644441</v>
      </c>
      <c r="AU67" s="688">
        <f t="shared" si="212"/>
        <v>6644441</v>
      </c>
      <c r="AV67" s="688">
        <f t="shared" si="212"/>
        <v>6644441</v>
      </c>
      <c r="AW67" s="688">
        <f t="shared" si="212"/>
        <v>6644441</v>
      </c>
      <c r="AX67" s="688">
        <f t="shared" si="212"/>
        <v>6644441</v>
      </c>
      <c r="AY67" s="688">
        <f t="shared" si="212"/>
        <v>6644441</v>
      </c>
      <c r="AZ67" s="688">
        <f t="shared" si="212"/>
        <v>6644441</v>
      </c>
      <c r="BA67" s="688">
        <f t="shared" si="212"/>
        <v>6644441</v>
      </c>
      <c r="BB67" s="48">
        <f t="shared" si="212"/>
        <v>6644441</v>
      </c>
      <c r="BC67" s="10" t="str">
        <f t="shared" si="143"/>
        <v>서비스/EPC IT그룹책임(CL3)</v>
      </c>
      <c r="BD67" s="10" t="str">
        <f>B67&amp;E67</f>
        <v>서비스/EPC IT그룹CL2(사원-선임)</v>
      </c>
      <c r="BE67" s="45">
        <v>3857788</v>
      </c>
      <c r="BF67" s="46">
        <v>5751.707317073171</v>
      </c>
      <c r="BG67" s="46">
        <v>4684116.5999999996</v>
      </c>
      <c r="BH67" s="48">
        <v>22412.041148325356</v>
      </c>
      <c r="BI67" s="45">
        <v>4039698</v>
      </c>
      <c r="BJ67" s="46">
        <v>27752</v>
      </c>
      <c r="BK67" s="48">
        <v>4845685</v>
      </c>
      <c r="BL67" s="496">
        <v>23185.095693779906</v>
      </c>
      <c r="BM67" s="45"/>
      <c r="BN67" s="46"/>
      <c r="BO67" s="48"/>
      <c r="BP67" s="496"/>
      <c r="BQ67" s="487">
        <f t="shared" si="199"/>
        <v>-1</v>
      </c>
      <c r="BR67" s="481">
        <f t="shared" si="200"/>
        <v>-1</v>
      </c>
      <c r="BS67" s="473">
        <f t="shared" si="201"/>
        <v>-1</v>
      </c>
      <c r="BT67" s="13"/>
    </row>
    <row r="68" spans="1:76">
      <c r="A68" s="10" t="str">
        <f t="shared" si="134"/>
        <v>서비스/EPC IT그룹</v>
      </c>
      <c r="B68" s="526" t="str">
        <f>+B67</f>
        <v>서비스/EPC IT그룹</v>
      </c>
      <c r="C68" s="527" t="s">
        <v>249</v>
      </c>
      <c r="D68" s="18" t="s">
        <v>103</v>
      </c>
      <c r="E68" s="17"/>
      <c r="F68" s="18"/>
      <c r="G68" s="45"/>
      <c r="H68" s="46"/>
      <c r="I68" s="47">
        <f>ROUND(H68*105%,0)</f>
        <v>0</v>
      </c>
      <c r="J68" s="46"/>
      <c r="K68" s="46"/>
      <c r="L68" s="46"/>
      <c r="M68" s="46"/>
      <c r="N68" s="46"/>
      <c r="O68" s="46"/>
      <c r="P68" s="46"/>
      <c r="Q68" s="46"/>
      <c r="R68" s="48"/>
      <c r="S68" s="45"/>
      <c r="T68" s="46"/>
      <c r="U68" s="550">
        <f t="shared" si="191"/>
        <v>0</v>
      </c>
      <c r="V68" s="47"/>
      <c r="W68" s="46"/>
      <c r="X68" s="46"/>
      <c r="Y68" s="46"/>
      <c r="Z68" s="46"/>
      <c r="AA68" s="46"/>
      <c r="AB68" s="46"/>
      <c r="AC68" s="46"/>
      <c r="AD68" s="48"/>
      <c r="AE68" s="45"/>
      <c r="AF68" s="46"/>
      <c r="AG68" s="47">
        <f t="shared" si="193"/>
        <v>0</v>
      </c>
      <c r="AH68" s="46"/>
      <c r="AI68" s="46"/>
      <c r="AJ68" s="46"/>
      <c r="AK68" s="46"/>
      <c r="AL68" s="46"/>
      <c r="AM68" s="46"/>
      <c r="AN68" s="46"/>
      <c r="AO68" s="46"/>
      <c r="AP68" s="688"/>
      <c r="AQ68" s="688"/>
      <c r="AR68" s="688"/>
      <c r="AS68" s="697">
        <f t="shared" si="141"/>
        <v>0</v>
      </c>
      <c r="AT68" s="688">
        <f t="shared" si="212"/>
        <v>0</v>
      </c>
      <c r="AU68" s="688">
        <f t="shared" si="212"/>
        <v>0</v>
      </c>
      <c r="AV68" s="688">
        <f t="shared" si="212"/>
        <v>0</v>
      </c>
      <c r="AW68" s="688">
        <f t="shared" si="212"/>
        <v>0</v>
      </c>
      <c r="AX68" s="688">
        <f t="shared" si="212"/>
        <v>0</v>
      </c>
      <c r="AY68" s="688">
        <f t="shared" si="212"/>
        <v>0</v>
      </c>
      <c r="AZ68" s="688">
        <f t="shared" si="212"/>
        <v>0</v>
      </c>
      <c r="BA68" s="688">
        <f t="shared" si="212"/>
        <v>0</v>
      </c>
      <c r="BB68" s="48">
        <f t="shared" si="212"/>
        <v>0</v>
      </c>
      <c r="BC68" s="10" t="str">
        <f t="shared" si="143"/>
        <v>서비스/EPC IT그룹선임(CL2)</v>
      </c>
      <c r="BD68" s="10" t="s">
        <v>451</v>
      </c>
      <c r="BE68" s="45">
        <v>0</v>
      </c>
      <c r="BF68" s="46"/>
      <c r="BG68" s="46"/>
      <c r="BH68" s="48"/>
      <c r="BI68" s="45">
        <v>0</v>
      </c>
      <c r="BJ68" s="46">
        <v>0</v>
      </c>
      <c r="BK68" s="48">
        <v>0</v>
      </c>
      <c r="BL68" s="496"/>
      <c r="BM68" s="45"/>
      <c r="BN68" s="46"/>
      <c r="BO68" s="48"/>
      <c r="BP68" s="496"/>
      <c r="BQ68" s="487" t="str">
        <f t="shared" si="199"/>
        <v/>
      </c>
      <c r="BR68" s="481" t="str">
        <f t="shared" si="200"/>
        <v/>
      </c>
      <c r="BS68" s="473" t="str">
        <f t="shared" si="201"/>
        <v/>
      </c>
      <c r="BT68" s="13"/>
    </row>
    <row r="69" spans="1:76">
      <c r="A69" s="10" t="str">
        <f t="shared" si="134"/>
        <v>서비스/EPC IT그룹</v>
      </c>
      <c r="B69" s="528" t="str">
        <f>+B68</f>
        <v>서비스/EPC IT그룹</v>
      </c>
      <c r="C69" s="529" t="s">
        <v>250</v>
      </c>
      <c r="D69" s="20" t="s">
        <v>104</v>
      </c>
      <c r="E69" s="19"/>
      <c r="F69" s="20"/>
      <c r="G69" s="49"/>
      <c r="H69" s="50"/>
      <c r="I69" s="51">
        <f>ROUND(H69*105%,0)</f>
        <v>0</v>
      </c>
      <c r="J69" s="50"/>
      <c r="K69" s="50"/>
      <c r="L69" s="50"/>
      <c r="M69" s="50"/>
      <c r="N69" s="50"/>
      <c r="O69" s="50"/>
      <c r="P69" s="50"/>
      <c r="Q69" s="50"/>
      <c r="R69" s="52"/>
      <c r="S69" s="49"/>
      <c r="T69" s="50"/>
      <c r="U69" s="1199">
        <f t="shared" si="191"/>
        <v>0</v>
      </c>
      <c r="V69" s="51"/>
      <c r="W69" s="50"/>
      <c r="X69" s="50"/>
      <c r="Y69" s="50"/>
      <c r="Z69" s="50"/>
      <c r="AA69" s="50"/>
      <c r="AB69" s="50"/>
      <c r="AC69" s="50"/>
      <c r="AD69" s="52"/>
      <c r="AE69" s="49"/>
      <c r="AF69" s="50"/>
      <c r="AG69" s="51">
        <f t="shared" si="193"/>
        <v>0</v>
      </c>
      <c r="AH69" s="50"/>
      <c r="AI69" s="50"/>
      <c r="AJ69" s="50"/>
      <c r="AK69" s="50"/>
      <c r="AL69" s="50"/>
      <c r="AM69" s="50"/>
      <c r="AN69" s="50"/>
      <c r="AO69" s="50"/>
      <c r="AP69" s="689"/>
      <c r="AQ69" s="689"/>
      <c r="AR69" s="689"/>
      <c r="AS69" s="698">
        <f t="shared" si="141"/>
        <v>0</v>
      </c>
      <c r="AT69" s="689">
        <f t="shared" ref="AT69" si="245">+AS69</f>
        <v>0</v>
      </c>
      <c r="AU69" s="689">
        <f t="shared" ref="AU69" si="246">+AT69</f>
        <v>0</v>
      </c>
      <c r="AV69" s="689">
        <f t="shared" ref="AV69" si="247">+AU69</f>
        <v>0</v>
      </c>
      <c r="AW69" s="689">
        <f t="shared" ref="AW69" si="248">+AV69</f>
        <v>0</v>
      </c>
      <c r="AX69" s="689">
        <f t="shared" ref="AX69" si="249">+AW69</f>
        <v>0</v>
      </c>
      <c r="AY69" s="689">
        <f t="shared" ref="AY69" si="250">+AX69</f>
        <v>0</v>
      </c>
      <c r="AZ69" s="689">
        <f t="shared" ref="AZ69" si="251">+AY69</f>
        <v>0</v>
      </c>
      <c r="BA69" s="689">
        <f t="shared" ref="BA69" si="252">+AZ69</f>
        <v>0</v>
      </c>
      <c r="BB69" s="52">
        <f t="shared" ref="BB69" si="253">+BA69</f>
        <v>0</v>
      </c>
      <c r="BC69" s="10" t="str">
        <f t="shared" si="143"/>
        <v>서비스/EPC IT그룹사원(CL1-CL2)</v>
      </c>
      <c r="BD69" s="10" t="s">
        <v>451</v>
      </c>
      <c r="BE69" s="49">
        <v>0</v>
      </c>
      <c r="BF69" s="50"/>
      <c r="BG69" s="50"/>
      <c r="BH69" s="52"/>
      <c r="BI69" s="49">
        <v>0</v>
      </c>
      <c r="BJ69" s="50">
        <v>0</v>
      </c>
      <c r="BK69" s="52">
        <v>0</v>
      </c>
      <c r="BL69" s="497"/>
      <c r="BM69" s="49"/>
      <c r="BN69" s="50"/>
      <c r="BO69" s="52"/>
      <c r="BP69" s="497"/>
      <c r="BQ69" s="488" t="str">
        <f t="shared" si="199"/>
        <v/>
      </c>
      <c r="BR69" s="482" t="str">
        <f t="shared" si="200"/>
        <v/>
      </c>
      <c r="BS69" s="474" t="str">
        <f t="shared" si="201"/>
        <v/>
      </c>
      <c r="BT69" s="13"/>
    </row>
    <row r="70" spans="1:76">
      <c r="A70" s="10" t="str">
        <f t="shared" si="134"/>
        <v>MSP실행그룹이사</v>
      </c>
      <c r="B70" s="523" t="s">
        <v>1006</v>
      </c>
      <c r="C70" s="525" t="s">
        <v>12</v>
      </c>
      <c r="D70" s="15" t="s">
        <v>105</v>
      </c>
      <c r="E70" s="16" t="s">
        <v>12</v>
      </c>
      <c r="F70" s="15" t="s">
        <v>82</v>
      </c>
      <c r="G70" s="543">
        <v>0</v>
      </c>
      <c r="H70" s="541">
        <v>0</v>
      </c>
      <c r="I70" s="541">
        <f>ROUND(H70*105%,0)</f>
        <v>0</v>
      </c>
      <c r="J70" s="541">
        <f t="shared" ref="J70:T70" si="254">I70</f>
        <v>0</v>
      </c>
      <c r="K70" s="541">
        <f t="shared" si="254"/>
        <v>0</v>
      </c>
      <c r="L70" s="541">
        <f t="shared" si="254"/>
        <v>0</v>
      </c>
      <c r="M70" s="541">
        <f t="shared" si="254"/>
        <v>0</v>
      </c>
      <c r="N70" s="541">
        <f t="shared" si="254"/>
        <v>0</v>
      </c>
      <c r="O70" s="541">
        <f t="shared" si="254"/>
        <v>0</v>
      </c>
      <c r="P70" s="541">
        <f t="shared" si="254"/>
        <v>0</v>
      </c>
      <c r="Q70" s="541">
        <f t="shared" si="254"/>
        <v>0</v>
      </c>
      <c r="R70" s="542">
        <f t="shared" si="254"/>
        <v>0</v>
      </c>
      <c r="S70" s="543">
        <f t="shared" si="254"/>
        <v>0</v>
      </c>
      <c r="T70" s="541">
        <f t="shared" si="254"/>
        <v>0</v>
      </c>
      <c r="U70" s="541">
        <f t="shared" si="191"/>
        <v>0</v>
      </c>
      <c r="V70" s="43">
        <f t="shared" ref="V70:AF70" si="255">U70</f>
        <v>0</v>
      </c>
      <c r="W70" s="541">
        <f t="shared" si="255"/>
        <v>0</v>
      </c>
      <c r="X70" s="541">
        <f t="shared" si="255"/>
        <v>0</v>
      </c>
      <c r="Y70" s="541">
        <f t="shared" si="255"/>
        <v>0</v>
      </c>
      <c r="Z70" s="541">
        <f t="shared" si="255"/>
        <v>0</v>
      </c>
      <c r="AA70" s="541">
        <f t="shared" si="255"/>
        <v>0</v>
      </c>
      <c r="AB70" s="541">
        <f t="shared" si="255"/>
        <v>0</v>
      </c>
      <c r="AC70" s="541">
        <f t="shared" si="255"/>
        <v>0</v>
      </c>
      <c r="AD70" s="542">
        <f t="shared" si="255"/>
        <v>0</v>
      </c>
      <c r="AE70" s="543">
        <f t="shared" si="255"/>
        <v>0</v>
      </c>
      <c r="AF70" s="541">
        <f t="shared" si="255"/>
        <v>0</v>
      </c>
      <c r="AG70" s="541">
        <f t="shared" si="193"/>
        <v>0</v>
      </c>
      <c r="AH70" s="541">
        <f t="shared" ref="AH70:AO73" si="256">AG70</f>
        <v>0</v>
      </c>
      <c r="AI70" s="541">
        <f t="shared" si="256"/>
        <v>0</v>
      </c>
      <c r="AJ70" s="541">
        <f t="shared" si="256"/>
        <v>0</v>
      </c>
      <c r="AK70" s="541">
        <f t="shared" si="256"/>
        <v>0</v>
      </c>
      <c r="AL70" s="541">
        <f t="shared" si="256"/>
        <v>0</v>
      </c>
      <c r="AM70" s="541">
        <f t="shared" si="256"/>
        <v>0</v>
      </c>
      <c r="AN70" s="541">
        <f t="shared" si="256"/>
        <v>0</v>
      </c>
      <c r="AO70" s="541">
        <f t="shared" si="256"/>
        <v>0</v>
      </c>
      <c r="AP70" s="690">
        <f t="shared" ref="AP70:AP73" si="257">AO70</f>
        <v>0</v>
      </c>
      <c r="AQ70" s="690">
        <f t="shared" ref="AQ70:AQ73" si="258">AP70</f>
        <v>0</v>
      </c>
      <c r="AR70" s="690">
        <f t="shared" ref="AR70:AR73" si="259">AQ70</f>
        <v>0</v>
      </c>
      <c r="AS70" s="696">
        <f t="shared" si="141"/>
        <v>0</v>
      </c>
      <c r="AT70" s="690">
        <f t="shared" ref="AT70:BB70" si="260">+AS70</f>
        <v>0</v>
      </c>
      <c r="AU70" s="690">
        <f t="shared" si="260"/>
        <v>0</v>
      </c>
      <c r="AV70" s="690">
        <f t="shared" si="260"/>
        <v>0</v>
      </c>
      <c r="AW70" s="690">
        <f t="shared" si="260"/>
        <v>0</v>
      </c>
      <c r="AX70" s="690">
        <f t="shared" si="260"/>
        <v>0</v>
      </c>
      <c r="AY70" s="690">
        <f t="shared" si="260"/>
        <v>0</v>
      </c>
      <c r="AZ70" s="690">
        <f t="shared" si="260"/>
        <v>0</v>
      </c>
      <c r="BA70" s="690">
        <f t="shared" si="260"/>
        <v>0</v>
      </c>
      <c r="BB70" s="542">
        <f t="shared" si="260"/>
        <v>0</v>
      </c>
      <c r="BC70" s="10" t="str">
        <f t="shared" si="143"/>
        <v>MSP실행그룹이사</v>
      </c>
      <c r="BD70" s="544" t="str">
        <f t="shared" ref="BD70:BD75" si="261">B70&amp;E70</f>
        <v>MSP실행그룹이사</v>
      </c>
      <c r="BE70" s="543"/>
      <c r="BF70" s="541"/>
      <c r="BG70" s="541"/>
      <c r="BH70" s="542"/>
      <c r="BI70" s="543"/>
      <c r="BJ70" s="541"/>
      <c r="BK70" s="542"/>
      <c r="BL70" s="545"/>
      <c r="BM70" s="543"/>
      <c r="BN70" s="541"/>
      <c r="BO70" s="542"/>
      <c r="BP70" s="545"/>
      <c r="BQ70" s="546"/>
      <c r="BR70" s="547"/>
      <c r="BS70" s="548"/>
      <c r="BT70" s="549"/>
      <c r="BU70" s="539"/>
      <c r="BV70" s="539"/>
      <c r="BW70" s="544"/>
      <c r="BX70" s="544"/>
    </row>
    <row r="71" spans="1:76">
      <c r="A71" s="10" t="str">
        <f t="shared" si="134"/>
        <v>MSP실행그룹CL4(수석)</v>
      </c>
      <c r="B71" s="526" t="str">
        <f>B70</f>
        <v>MSP실행그룹</v>
      </c>
      <c r="C71" s="527" t="s">
        <v>246</v>
      </c>
      <c r="D71" s="18" t="s">
        <v>105</v>
      </c>
      <c r="E71" s="17" t="s">
        <v>445</v>
      </c>
      <c r="F71" s="18" t="s">
        <v>82</v>
      </c>
      <c r="G71" s="552">
        <v>10182234</v>
      </c>
      <c r="H71" s="550">
        <v>10182234</v>
      </c>
      <c r="I71" s="550">
        <v>9905294</v>
      </c>
      <c r="J71" s="550">
        <f t="shared" ref="J71:T71" si="262">I71</f>
        <v>9905294</v>
      </c>
      <c r="K71" s="550">
        <f t="shared" si="262"/>
        <v>9905294</v>
      </c>
      <c r="L71" s="550">
        <f t="shared" si="262"/>
        <v>9905294</v>
      </c>
      <c r="M71" s="550">
        <f t="shared" si="262"/>
        <v>9905294</v>
      </c>
      <c r="N71" s="550">
        <f t="shared" si="262"/>
        <v>9905294</v>
      </c>
      <c r="O71" s="550">
        <f t="shared" si="262"/>
        <v>9905294</v>
      </c>
      <c r="P71" s="550">
        <f t="shared" si="262"/>
        <v>9905294</v>
      </c>
      <c r="Q71" s="550">
        <f t="shared" si="262"/>
        <v>9905294</v>
      </c>
      <c r="R71" s="551">
        <f t="shared" si="262"/>
        <v>9905294</v>
      </c>
      <c r="S71" s="552">
        <f t="shared" si="262"/>
        <v>9905294</v>
      </c>
      <c r="T71" s="550">
        <f t="shared" si="262"/>
        <v>9905294</v>
      </c>
      <c r="U71" s="550">
        <f t="shared" si="191"/>
        <v>10400559</v>
      </c>
      <c r="V71" s="47">
        <v>10888546</v>
      </c>
      <c r="W71" s="550">
        <f t="shared" ref="W71:AF71" si="263">V71</f>
        <v>10888546</v>
      </c>
      <c r="X71" s="550">
        <f t="shared" si="263"/>
        <v>10888546</v>
      </c>
      <c r="Y71" s="550">
        <f t="shared" si="263"/>
        <v>10888546</v>
      </c>
      <c r="Z71" s="550">
        <f t="shared" si="263"/>
        <v>10888546</v>
      </c>
      <c r="AA71" s="550">
        <f t="shared" si="263"/>
        <v>10888546</v>
      </c>
      <c r="AB71" s="550">
        <f t="shared" si="263"/>
        <v>10888546</v>
      </c>
      <c r="AC71" s="550">
        <f t="shared" si="263"/>
        <v>10888546</v>
      </c>
      <c r="AD71" s="551">
        <f t="shared" si="263"/>
        <v>10888546</v>
      </c>
      <c r="AE71" s="552">
        <f t="shared" si="263"/>
        <v>10888546</v>
      </c>
      <c r="AF71" s="550">
        <f t="shared" si="263"/>
        <v>10888546</v>
      </c>
      <c r="AG71" s="550">
        <f t="shared" si="193"/>
        <v>11432973</v>
      </c>
      <c r="AH71" s="550">
        <f t="shared" si="256"/>
        <v>11432973</v>
      </c>
      <c r="AI71" s="550">
        <f t="shared" si="256"/>
        <v>11432973</v>
      </c>
      <c r="AJ71" s="550">
        <f t="shared" si="256"/>
        <v>11432973</v>
      </c>
      <c r="AK71" s="550">
        <f t="shared" si="256"/>
        <v>11432973</v>
      </c>
      <c r="AL71" s="550">
        <f t="shared" si="256"/>
        <v>11432973</v>
      </c>
      <c r="AM71" s="550">
        <f t="shared" si="256"/>
        <v>11432973</v>
      </c>
      <c r="AN71" s="550">
        <f t="shared" si="256"/>
        <v>11432973</v>
      </c>
      <c r="AO71" s="550">
        <f t="shared" si="256"/>
        <v>11432973</v>
      </c>
      <c r="AP71" s="691">
        <f t="shared" si="257"/>
        <v>11432973</v>
      </c>
      <c r="AQ71" s="691">
        <f t="shared" si="258"/>
        <v>11432973</v>
      </c>
      <c r="AR71" s="691">
        <f t="shared" si="259"/>
        <v>11432973</v>
      </c>
      <c r="AS71" s="697">
        <f t="shared" si="141"/>
        <v>12004622</v>
      </c>
      <c r="AT71" s="691">
        <f t="shared" ref="AT71:BB71" si="264">+AS71</f>
        <v>12004622</v>
      </c>
      <c r="AU71" s="691">
        <f t="shared" si="264"/>
        <v>12004622</v>
      </c>
      <c r="AV71" s="691">
        <f t="shared" si="264"/>
        <v>12004622</v>
      </c>
      <c r="AW71" s="691">
        <f t="shared" si="264"/>
        <v>12004622</v>
      </c>
      <c r="AX71" s="691">
        <f t="shared" si="264"/>
        <v>12004622</v>
      </c>
      <c r="AY71" s="691">
        <f t="shared" si="264"/>
        <v>12004622</v>
      </c>
      <c r="AZ71" s="691">
        <f t="shared" si="264"/>
        <v>12004622</v>
      </c>
      <c r="BA71" s="691">
        <f t="shared" si="264"/>
        <v>12004622</v>
      </c>
      <c r="BB71" s="551">
        <f t="shared" si="264"/>
        <v>12004622</v>
      </c>
      <c r="BC71" s="10" t="str">
        <f t="shared" si="143"/>
        <v>MSP실행그룹수석(CL4)</v>
      </c>
      <c r="BD71" s="544" t="str">
        <f t="shared" si="261"/>
        <v>MSP실행그룹CL4(수석)</v>
      </c>
      <c r="BE71" s="552"/>
      <c r="BF71" s="550"/>
      <c r="BG71" s="550"/>
      <c r="BH71" s="551"/>
      <c r="BI71" s="552"/>
      <c r="BJ71" s="550"/>
      <c r="BK71" s="551"/>
      <c r="BL71" s="553"/>
      <c r="BM71" s="552"/>
      <c r="BN71" s="550"/>
      <c r="BO71" s="551"/>
      <c r="BP71" s="553"/>
      <c r="BQ71" s="554"/>
      <c r="BR71" s="555"/>
      <c r="BS71" s="556"/>
      <c r="BT71" s="549"/>
      <c r="BU71" s="539"/>
      <c r="BV71" s="539"/>
      <c r="BW71" s="544"/>
      <c r="BX71" s="544"/>
    </row>
    <row r="72" spans="1:76">
      <c r="A72" s="10" t="str">
        <f t="shared" si="134"/>
        <v>MSP실행그룹CL3(책임-수석보)</v>
      </c>
      <c r="B72" s="526" t="str">
        <f>B71</f>
        <v>MSP실행그룹</v>
      </c>
      <c r="C72" s="527" t="s">
        <v>247</v>
      </c>
      <c r="D72" s="18" t="s">
        <v>105</v>
      </c>
      <c r="E72" s="17" t="s">
        <v>455</v>
      </c>
      <c r="F72" s="18" t="s">
        <v>459</v>
      </c>
      <c r="G72" s="552">
        <v>7967941</v>
      </c>
      <c r="H72" s="550">
        <v>7967941</v>
      </c>
      <c r="I72" s="550">
        <v>8212751</v>
      </c>
      <c r="J72" s="550">
        <f t="shared" ref="J72:T72" si="265">I72</f>
        <v>8212751</v>
      </c>
      <c r="K72" s="550">
        <f t="shared" si="265"/>
        <v>8212751</v>
      </c>
      <c r="L72" s="550">
        <f t="shared" si="265"/>
        <v>8212751</v>
      </c>
      <c r="M72" s="550">
        <f t="shared" si="265"/>
        <v>8212751</v>
      </c>
      <c r="N72" s="550">
        <f t="shared" si="265"/>
        <v>8212751</v>
      </c>
      <c r="O72" s="550">
        <f t="shared" si="265"/>
        <v>8212751</v>
      </c>
      <c r="P72" s="550">
        <f t="shared" si="265"/>
        <v>8212751</v>
      </c>
      <c r="Q72" s="550">
        <f t="shared" si="265"/>
        <v>8212751</v>
      </c>
      <c r="R72" s="551">
        <f t="shared" si="265"/>
        <v>8212751</v>
      </c>
      <c r="S72" s="552">
        <f t="shared" si="265"/>
        <v>8212751</v>
      </c>
      <c r="T72" s="550">
        <f t="shared" si="265"/>
        <v>8212751</v>
      </c>
      <c r="U72" s="550">
        <f t="shared" si="191"/>
        <v>8623389</v>
      </c>
      <c r="V72" s="47">
        <v>8459085</v>
      </c>
      <c r="W72" s="550">
        <f t="shared" ref="W72:AF72" si="266">V72</f>
        <v>8459085</v>
      </c>
      <c r="X72" s="550">
        <f t="shared" si="266"/>
        <v>8459085</v>
      </c>
      <c r="Y72" s="550">
        <f t="shared" si="266"/>
        <v>8459085</v>
      </c>
      <c r="Z72" s="550">
        <f t="shared" si="266"/>
        <v>8459085</v>
      </c>
      <c r="AA72" s="550">
        <f t="shared" si="266"/>
        <v>8459085</v>
      </c>
      <c r="AB72" s="550">
        <f t="shared" si="266"/>
        <v>8459085</v>
      </c>
      <c r="AC72" s="550">
        <f t="shared" si="266"/>
        <v>8459085</v>
      </c>
      <c r="AD72" s="551">
        <f t="shared" si="266"/>
        <v>8459085</v>
      </c>
      <c r="AE72" s="552">
        <f t="shared" si="266"/>
        <v>8459085</v>
      </c>
      <c r="AF72" s="550">
        <f t="shared" si="266"/>
        <v>8459085</v>
      </c>
      <c r="AG72" s="550">
        <f t="shared" si="193"/>
        <v>8882039</v>
      </c>
      <c r="AH72" s="550">
        <f t="shared" si="256"/>
        <v>8882039</v>
      </c>
      <c r="AI72" s="550">
        <f t="shared" si="256"/>
        <v>8882039</v>
      </c>
      <c r="AJ72" s="550">
        <f t="shared" si="256"/>
        <v>8882039</v>
      </c>
      <c r="AK72" s="550">
        <f t="shared" si="256"/>
        <v>8882039</v>
      </c>
      <c r="AL72" s="550">
        <f t="shared" si="256"/>
        <v>8882039</v>
      </c>
      <c r="AM72" s="550">
        <f t="shared" si="256"/>
        <v>8882039</v>
      </c>
      <c r="AN72" s="550">
        <f t="shared" si="256"/>
        <v>8882039</v>
      </c>
      <c r="AO72" s="550">
        <f t="shared" si="256"/>
        <v>8882039</v>
      </c>
      <c r="AP72" s="691">
        <f t="shared" si="257"/>
        <v>8882039</v>
      </c>
      <c r="AQ72" s="691">
        <f t="shared" si="258"/>
        <v>8882039</v>
      </c>
      <c r="AR72" s="691">
        <f t="shared" si="259"/>
        <v>8882039</v>
      </c>
      <c r="AS72" s="697">
        <f t="shared" ref="AS72:AS97" si="267">ROUND(AR72*105%,0)</f>
        <v>9326141</v>
      </c>
      <c r="AT72" s="691">
        <f t="shared" ref="AT72:BB72" si="268">+AS72</f>
        <v>9326141</v>
      </c>
      <c r="AU72" s="691">
        <f t="shared" si="268"/>
        <v>9326141</v>
      </c>
      <c r="AV72" s="691">
        <f t="shared" si="268"/>
        <v>9326141</v>
      </c>
      <c r="AW72" s="691">
        <f t="shared" si="268"/>
        <v>9326141</v>
      </c>
      <c r="AX72" s="691">
        <f t="shared" si="268"/>
        <v>9326141</v>
      </c>
      <c r="AY72" s="691">
        <f t="shared" si="268"/>
        <v>9326141</v>
      </c>
      <c r="AZ72" s="691">
        <f t="shared" si="268"/>
        <v>9326141</v>
      </c>
      <c r="BA72" s="691">
        <f t="shared" si="268"/>
        <v>9326141</v>
      </c>
      <c r="BB72" s="551">
        <f t="shared" si="268"/>
        <v>9326141</v>
      </c>
      <c r="BC72" s="10" t="str">
        <f t="shared" si="143"/>
        <v>MSP실행그룹수석보(CL3)</v>
      </c>
      <c r="BD72" s="544" t="str">
        <f t="shared" si="261"/>
        <v>MSP실행그룹CL3(책임-수석보)</v>
      </c>
      <c r="BE72" s="552"/>
      <c r="BF72" s="550"/>
      <c r="BG72" s="550"/>
      <c r="BH72" s="551"/>
      <c r="BI72" s="552"/>
      <c r="BJ72" s="550"/>
      <c r="BK72" s="551"/>
      <c r="BL72" s="553"/>
      <c r="BM72" s="552"/>
      <c r="BN72" s="550"/>
      <c r="BO72" s="551"/>
      <c r="BP72" s="553"/>
      <c r="BQ72" s="554"/>
      <c r="BR72" s="555"/>
      <c r="BS72" s="556"/>
      <c r="BT72" s="549"/>
      <c r="BU72" s="539"/>
      <c r="BV72" s="539"/>
      <c r="BW72" s="544"/>
      <c r="BX72" s="544"/>
    </row>
    <row r="73" spans="1:76">
      <c r="A73" s="10" t="str">
        <f t="shared" si="134"/>
        <v>MSP실행그룹CL2(사원-선임)</v>
      </c>
      <c r="B73" s="526" t="str">
        <f>B72</f>
        <v>MSP실행그룹</v>
      </c>
      <c r="C73" s="527" t="s">
        <v>248</v>
      </c>
      <c r="D73" s="18" t="s">
        <v>102</v>
      </c>
      <c r="E73" s="17" t="s">
        <v>457</v>
      </c>
      <c r="F73" s="18" t="s">
        <v>461</v>
      </c>
      <c r="G73" s="552">
        <v>6392942</v>
      </c>
      <c r="H73" s="550">
        <v>6392942</v>
      </c>
      <c r="I73" s="550">
        <v>5232869</v>
      </c>
      <c r="J73" s="550">
        <f t="shared" ref="J73:T73" si="269">I73</f>
        <v>5232869</v>
      </c>
      <c r="K73" s="550">
        <f t="shared" si="269"/>
        <v>5232869</v>
      </c>
      <c r="L73" s="550">
        <f t="shared" si="269"/>
        <v>5232869</v>
      </c>
      <c r="M73" s="550">
        <f t="shared" si="269"/>
        <v>5232869</v>
      </c>
      <c r="N73" s="550">
        <f t="shared" si="269"/>
        <v>5232869</v>
      </c>
      <c r="O73" s="550">
        <f t="shared" si="269"/>
        <v>5232869</v>
      </c>
      <c r="P73" s="550">
        <f t="shared" si="269"/>
        <v>5232869</v>
      </c>
      <c r="Q73" s="550">
        <f t="shared" si="269"/>
        <v>5232869</v>
      </c>
      <c r="R73" s="551">
        <f t="shared" si="269"/>
        <v>5232869</v>
      </c>
      <c r="S73" s="552">
        <f t="shared" si="269"/>
        <v>5232869</v>
      </c>
      <c r="T73" s="550">
        <f t="shared" si="269"/>
        <v>5232869</v>
      </c>
      <c r="U73" s="550">
        <f t="shared" si="191"/>
        <v>5494512</v>
      </c>
      <c r="V73" s="47">
        <v>5288035</v>
      </c>
      <c r="W73" s="550">
        <f t="shared" ref="W73:AF73" si="270">V73</f>
        <v>5288035</v>
      </c>
      <c r="X73" s="550">
        <f t="shared" si="270"/>
        <v>5288035</v>
      </c>
      <c r="Y73" s="550">
        <f t="shared" si="270"/>
        <v>5288035</v>
      </c>
      <c r="Z73" s="550">
        <f t="shared" si="270"/>
        <v>5288035</v>
      </c>
      <c r="AA73" s="550">
        <f t="shared" si="270"/>
        <v>5288035</v>
      </c>
      <c r="AB73" s="550">
        <f t="shared" si="270"/>
        <v>5288035</v>
      </c>
      <c r="AC73" s="550">
        <f t="shared" si="270"/>
        <v>5288035</v>
      </c>
      <c r="AD73" s="551">
        <f t="shared" si="270"/>
        <v>5288035</v>
      </c>
      <c r="AE73" s="552">
        <f t="shared" si="270"/>
        <v>5288035</v>
      </c>
      <c r="AF73" s="550">
        <f t="shared" si="270"/>
        <v>5288035</v>
      </c>
      <c r="AG73" s="550">
        <f t="shared" si="193"/>
        <v>5552437</v>
      </c>
      <c r="AH73" s="550">
        <f t="shared" si="256"/>
        <v>5552437</v>
      </c>
      <c r="AI73" s="550">
        <f t="shared" si="256"/>
        <v>5552437</v>
      </c>
      <c r="AJ73" s="550">
        <f t="shared" si="256"/>
        <v>5552437</v>
      </c>
      <c r="AK73" s="550">
        <f t="shared" si="256"/>
        <v>5552437</v>
      </c>
      <c r="AL73" s="550">
        <f t="shared" si="256"/>
        <v>5552437</v>
      </c>
      <c r="AM73" s="550">
        <f t="shared" si="256"/>
        <v>5552437</v>
      </c>
      <c r="AN73" s="550">
        <f t="shared" si="256"/>
        <v>5552437</v>
      </c>
      <c r="AO73" s="550">
        <f t="shared" si="256"/>
        <v>5552437</v>
      </c>
      <c r="AP73" s="691">
        <f t="shared" si="257"/>
        <v>5552437</v>
      </c>
      <c r="AQ73" s="691">
        <f t="shared" si="258"/>
        <v>5552437</v>
      </c>
      <c r="AR73" s="691">
        <f t="shared" si="259"/>
        <v>5552437</v>
      </c>
      <c r="AS73" s="697">
        <f t="shared" si="267"/>
        <v>5830059</v>
      </c>
      <c r="AT73" s="691">
        <f t="shared" ref="AT73:BB73" si="271">+AS73</f>
        <v>5830059</v>
      </c>
      <c r="AU73" s="691">
        <f t="shared" si="271"/>
        <v>5830059</v>
      </c>
      <c r="AV73" s="691">
        <f t="shared" si="271"/>
        <v>5830059</v>
      </c>
      <c r="AW73" s="691">
        <f t="shared" si="271"/>
        <v>5830059</v>
      </c>
      <c r="AX73" s="691">
        <f t="shared" si="271"/>
        <v>5830059</v>
      </c>
      <c r="AY73" s="691">
        <f t="shared" si="271"/>
        <v>5830059</v>
      </c>
      <c r="AZ73" s="691">
        <f t="shared" si="271"/>
        <v>5830059</v>
      </c>
      <c r="BA73" s="691">
        <f t="shared" si="271"/>
        <v>5830059</v>
      </c>
      <c r="BB73" s="551">
        <f t="shared" si="271"/>
        <v>5830059</v>
      </c>
      <c r="BC73" s="10" t="str">
        <f t="shared" si="143"/>
        <v>MSP실행그룹책임(CL3)</v>
      </c>
      <c r="BD73" s="544" t="str">
        <f t="shared" si="261"/>
        <v>MSP실행그룹CL2(사원-선임)</v>
      </c>
      <c r="BE73" s="552"/>
      <c r="BF73" s="550"/>
      <c r="BG73" s="550"/>
      <c r="BH73" s="551"/>
      <c r="BI73" s="552"/>
      <c r="BJ73" s="550"/>
      <c r="BK73" s="551"/>
      <c r="BL73" s="553"/>
      <c r="BM73" s="552"/>
      <c r="BN73" s="550"/>
      <c r="BO73" s="551"/>
      <c r="BP73" s="553"/>
      <c r="BQ73" s="554"/>
      <c r="BR73" s="555"/>
      <c r="BS73" s="556"/>
      <c r="BT73" s="549"/>
      <c r="BU73" s="539"/>
      <c r="BV73" s="539"/>
      <c r="BW73" s="544"/>
      <c r="BX73" s="544"/>
    </row>
    <row r="74" spans="1:76">
      <c r="A74" s="10" t="str">
        <f t="shared" si="134"/>
        <v>MSP실행그룹</v>
      </c>
      <c r="B74" s="526" t="str">
        <f>B73</f>
        <v>MSP실행그룹</v>
      </c>
      <c r="C74" s="527" t="s">
        <v>249</v>
      </c>
      <c r="D74" s="18" t="s">
        <v>103</v>
      </c>
      <c r="E74" s="17"/>
      <c r="F74" s="18"/>
      <c r="G74" s="45"/>
      <c r="H74" s="46"/>
      <c r="I74" s="47"/>
      <c r="J74" s="46"/>
      <c r="K74" s="46"/>
      <c r="L74" s="46"/>
      <c r="M74" s="46"/>
      <c r="N74" s="46"/>
      <c r="O74" s="46"/>
      <c r="P74" s="46"/>
      <c r="Q74" s="46"/>
      <c r="R74" s="48"/>
      <c r="S74" s="45"/>
      <c r="T74" s="46"/>
      <c r="U74" s="550"/>
      <c r="V74" s="47"/>
      <c r="W74" s="46"/>
      <c r="X74" s="46"/>
      <c r="Y74" s="46"/>
      <c r="Z74" s="46"/>
      <c r="AA74" s="46"/>
      <c r="AB74" s="46"/>
      <c r="AC74" s="46"/>
      <c r="AD74" s="48"/>
      <c r="AE74" s="45"/>
      <c r="AF74" s="46"/>
      <c r="AG74" s="47"/>
      <c r="AH74" s="46"/>
      <c r="AI74" s="46"/>
      <c r="AJ74" s="46"/>
      <c r="AK74" s="46"/>
      <c r="AL74" s="46"/>
      <c r="AM74" s="46"/>
      <c r="AN74" s="46"/>
      <c r="AO74" s="46"/>
      <c r="AP74" s="688"/>
      <c r="AQ74" s="688"/>
      <c r="AR74" s="688"/>
      <c r="AS74" s="697">
        <f t="shared" si="267"/>
        <v>0</v>
      </c>
      <c r="AT74" s="688">
        <f t="shared" ref="AT74:BB74" si="272">+AS74</f>
        <v>0</v>
      </c>
      <c r="AU74" s="688">
        <f t="shared" si="272"/>
        <v>0</v>
      </c>
      <c r="AV74" s="688">
        <f t="shared" si="272"/>
        <v>0</v>
      </c>
      <c r="AW74" s="688">
        <f t="shared" si="272"/>
        <v>0</v>
      </c>
      <c r="AX74" s="688">
        <f t="shared" si="272"/>
        <v>0</v>
      </c>
      <c r="AY74" s="688">
        <f t="shared" si="272"/>
        <v>0</v>
      </c>
      <c r="AZ74" s="688">
        <f t="shared" si="272"/>
        <v>0</v>
      </c>
      <c r="BA74" s="688">
        <f t="shared" si="272"/>
        <v>0</v>
      </c>
      <c r="BB74" s="48">
        <f t="shared" si="272"/>
        <v>0</v>
      </c>
      <c r="BC74" s="10" t="str">
        <f t="shared" si="143"/>
        <v>MSP실행그룹선임(CL2)</v>
      </c>
      <c r="BD74" s="544" t="str">
        <f t="shared" si="261"/>
        <v>MSP실행그룹</v>
      </c>
      <c r="BE74" s="45"/>
      <c r="BF74" s="46"/>
      <c r="BG74" s="46"/>
      <c r="BH74" s="48"/>
      <c r="BI74" s="45"/>
      <c r="BJ74" s="46"/>
      <c r="BK74" s="48"/>
      <c r="BL74" s="496"/>
      <c r="BM74" s="45"/>
      <c r="BN74" s="46"/>
      <c r="BO74" s="48"/>
      <c r="BP74" s="496"/>
      <c r="BQ74" s="487"/>
      <c r="BR74" s="481"/>
      <c r="BS74" s="473"/>
      <c r="BT74" s="13"/>
    </row>
    <row r="75" spans="1:76">
      <c r="A75" s="10" t="str">
        <f t="shared" si="134"/>
        <v>MSP실행그룹</v>
      </c>
      <c r="B75" s="526" t="str">
        <f>B74</f>
        <v>MSP실행그룹</v>
      </c>
      <c r="C75" s="529" t="s">
        <v>250</v>
      </c>
      <c r="D75" s="20" t="s">
        <v>104</v>
      </c>
      <c r="E75" s="19"/>
      <c r="F75" s="20"/>
      <c r="G75" s="49"/>
      <c r="H75" s="50"/>
      <c r="I75" s="51"/>
      <c r="J75" s="50"/>
      <c r="K75" s="50"/>
      <c r="L75" s="50"/>
      <c r="M75" s="50"/>
      <c r="N75" s="50"/>
      <c r="O75" s="50"/>
      <c r="P75" s="50"/>
      <c r="Q75" s="50"/>
      <c r="R75" s="52"/>
      <c r="S75" s="49"/>
      <c r="T75" s="50"/>
      <c r="U75" s="1199"/>
      <c r="V75" s="51"/>
      <c r="W75" s="50"/>
      <c r="X75" s="50"/>
      <c r="Y75" s="50"/>
      <c r="Z75" s="50"/>
      <c r="AA75" s="50"/>
      <c r="AB75" s="50"/>
      <c r="AC75" s="50"/>
      <c r="AD75" s="52"/>
      <c r="AE75" s="49"/>
      <c r="AF75" s="50"/>
      <c r="AG75" s="51"/>
      <c r="AH75" s="50"/>
      <c r="AI75" s="50"/>
      <c r="AJ75" s="50"/>
      <c r="AK75" s="50"/>
      <c r="AL75" s="50"/>
      <c r="AM75" s="50"/>
      <c r="AN75" s="50"/>
      <c r="AO75" s="50"/>
      <c r="AP75" s="689"/>
      <c r="AQ75" s="689"/>
      <c r="AR75" s="689"/>
      <c r="AS75" s="698">
        <f t="shared" si="267"/>
        <v>0</v>
      </c>
      <c r="AT75" s="689">
        <f t="shared" ref="AT75:BB75" si="273">+AS75</f>
        <v>0</v>
      </c>
      <c r="AU75" s="689">
        <f t="shared" si="273"/>
        <v>0</v>
      </c>
      <c r="AV75" s="689">
        <f t="shared" si="273"/>
        <v>0</v>
      </c>
      <c r="AW75" s="689">
        <f t="shared" si="273"/>
        <v>0</v>
      </c>
      <c r="AX75" s="689">
        <f t="shared" si="273"/>
        <v>0</v>
      </c>
      <c r="AY75" s="689">
        <f t="shared" si="273"/>
        <v>0</v>
      </c>
      <c r="AZ75" s="689">
        <f t="shared" si="273"/>
        <v>0</v>
      </c>
      <c r="BA75" s="689">
        <f t="shared" si="273"/>
        <v>0</v>
      </c>
      <c r="BB75" s="52">
        <f t="shared" si="273"/>
        <v>0</v>
      </c>
      <c r="BC75" s="10" t="str">
        <f t="shared" si="143"/>
        <v>MSP실행그룹사원(CL1-CL2)</v>
      </c>
      <c r="BD75" s="544" t="str">
        <f t="shared" si="261"/>
        <v>MSP실행그룹</v>
      </c>
      <c r="BE75" s="49"/>
      <c r="BF75" s="50"/>
      <c r="BG75" s="50"/>
      <c r="BH75" s="52"/>
      <c r="BI75" s="49"/>
      <c r="BJ75" s="50"/>
      <c r="BK75" s="52"/>
      <c r="BL75" s="497"/>
      <c r="BM75" s="49"/>
      <c r="BN75" s="50"/>
      <c r="BO75" s="52"/>
      <c r="BP75" s="497"/>
      <c r="BQ75" s="488"/>
      <c r="BR75" s="482"/>
      <c r="BS75" s="474"/>
      <c r="BT75" s="13"/>
    </row>
    <row r="76" spans="1:76">
      <c r="A76" s="10" t="str">
        <f t="shared" ref="A76:A81" si="274">+B76&amp;E76</f>
        <v>디지털솔루션그룹이사</v>
      </c>
      <c r="B76" s="523" t="s">
        <v>1007</v>
      </c>
      <c r="C76" s="525" t="s">
        <v>12</v>
      </c>
      <c r="D76" s="15" t="s">
        <v>105</v>
      </c>
      <c r="E76" s="16" t="s">
        <v>12</v>
      </c>
      <c r="F76" s="15" t="s">
        <v>82</v>
      </c>
      <c r="G76" s="543">
        <v>0</v>
      </c>
      <c r="H76" s="541">
        <v>0</v>
      </c>
      <c r="I76" s="541">
        <f>ROUND(H76*105%,0)</f>
        <v>0</v>
      </c>
      <c r="J76" s="541">
        <f t="shared" ref="J76:T76" si="275">I76</f>
        <v>0</v>
      </c>
      <c r="K76" s="541">
        <f t="shared" si="275"/>
        <v>0</v>
      </c>
      <c r="L76" s="541">
        <f t="shared" si="275"/>
        <v>0</v>
      </c>
      <c r="M76" s="541">
        <f t="shared" si="275"/>
        <v>0</v>
      </c>
      <c r="N76" s="541">
        <f t="shared" si="275"/>
        <v>0</v>
      </c>
      <c r="O76" s="541">
        <f t="shared" si="275"/>
        <v>0</v>
      </c>
      <c r="P76" s="541">
        <f t="shared" si="275"/>
        <v>0</v>
      </c>
      <c r="Q76" s="541">
        <f t="shared" si="275"/>
        <v>0</v>
      </c>
      <c r="R76" s="542">
        <f t="shared" si="275"/>
        <v>0</v>
      </c>
      <c r="S76" s="543">
        <f t="shared" si="275"/>
        <v>0</v>
      </c>
      <c r="T76" s="541">
        <f t="shared" si="275"/>
        <v>0</v>
      </c>
      <c r="U76" s="541">
        <f>ROUND(T76*105%,0)</f>
        <v>0</v>
      </c>
      <c r="V76" s="43">
        <f t="shared" ref="V76:AF76" si="276">U76</f>
        <v>0</v>
      </c>
      <c r="W76" s="541">
        <f t="shared" si="276"/>
        <v>0</v>
      </c>
      <c r="X76" s="541">
        <f t="shared" si="276"/>
        <v>0</v>
      </c>
      <c r="Y76" s="541">
        <f t="shared" si="276"/>
        <v>0</v>
      </c>
      <c r="Z76" s="541">
        <f t="shared" si="276"/>
        <v>0</v>
      </c>
      <c r="AA76" s="541">
        <f t="shared" si="276"/>
        <v>0</v>
      </c>
      <c r="AB76" s="541">
        <f t="shared" si="276"/>
        <v>0</v>
      </c>
      <c r="AC76" s="541">
        <f t="shared" si="276"/>
        <v>0</v>
      </c>
      <c r="AD76" s="542">
        <f t="shared" si="276"/>
        <v>0</v>
      </c>
      <c r="AE76" s="543">
        <f t="shared" si="276"/>
        <v>0</v>
      </c>
      <c r="AF76" s="541">
        <f t="shared" si="276"/>
        <v>0</v>
      </c>
      <c r="AG76" s="541">
        <f>ROUND(AF76*105%,0)</f>
        <v>0</v>
      </c>
      <c r="AH76" s="541">
        <f t="shared" ref="AH76:AO79" si="277">AG76</f>
        <v>0</v>
      </c>
      <c r="AI76" s="541">
        <f t="shared" si="277"/>
        <v>0</v>
      </c>
      <c r="AJ76" s="541">
        <f t="shared" si="277"/>
        <v>0</v>
      </c>
      <c r="AK76" s="541">
        <f t="shared" si="277"/>
        <v>0</v>
      </c>
      <c r="AL76" s="541">
        <f t="shared" si="277"/>
        <v>0</v>
      </c>
      <c r="AM76" s="541">
        <f t="shared" si="277"/>
        <v>0</v>
      </c>
      <c r="AN76" s="541">
        <f t="shared" si="277"/>
        <v>0</v>
      </c>
      <c r="AO76" s="541">
        <f t="shared" si="277"/>
        <v>0</v>
      </c>
      <c r="AP76" s="690">
        <f t="shared" ref="AP76:AP79" si="278">AO76</f>
        <v>0</v>
      </c>
      <c r="AQ76" s="690">
        <f t="shared" ref="AQ76:AQ79" si="279">AP76</f>
        <v>0</v>
      </c>
      <c r="AR76" s="690">
        <f t="shared" ref="AR76:AR79" si="280">AQ76</f>
        <v>0</v>
      </c>
      <c r="AS76" s="696">
        <f t="shared" si="267"/>
        <v>0</v>
      </c>
      <c r="AT76" s="690">
        <f t="shared" ref="AT76:BB76" si="281">+AS76</f>
        <v>0</v>
      </c>
      <c r="AU76" s="690">
        <f t="shared" si="281"/>
        <v>0</v>
      </c>
      <c r="AV76" s="690">
        <f t="shared" si="281"/>
        <v>0</v>
      </c>
      <c r="AW76" s="690">
        <f t="shared" si="281"/>
        <v>0</v>
      </c>
      <c r="AX76" s="690">
        <f t="shared" si="281"/>
        <v>0</v>
      </c>
      <c r="AY76" s="690">
        <f t="shared" si="281"/>
        <v>0</v>
      </c>
      <c r="AZ76" s="690">
        <f t="shared" si="281"/>
        <v>0</v>
      </c>
      <c r="BA76" s="690">
        <f t="shared" si="281"/>
        <v>0</v>
      </c>
      <c r="BB76" s="542">
        <f t="shared" si="281"/>
        <v>0</v>
      </c>
      <c r="BC76" s="10" t="str">
        <f t="shared" ref="BC76:BC81" si="282">B76&amp;C76</f>
        <v>디지털솔루션그룹이사</v>
      </c>
      <c r="BD76" s="544" t="str">
        <f t="shared" ref="BD76:BD81" si="283">B76&amp;E76</f>
        <v>디지털솔루션그룹이사</v>
      </c>
      <c r="BE76" s="543"/>
      <c r="BF76" s="541"/>
      <c r="BG76" s="541"/>
      <c r="BH76" s="542"/>
      <c r="BI76" s="543"/>
      <c r="BJ76" s="541"/>
      <c r="BK76" s="542"/>
      <c r="BL76" s="545"/>
      <c r="BM76" s="543"/>
      <c r="BN76" s="541"/>
      <c r="BO76" s="542"/>
      <c r="BP76" s="545"/>
      <c r="BQ76" s="546"/>
      <c r="BR76" s="547"/>
      <c r="BS76" s="548"/>
      <c r="BT76" s="549"/>
      <c r="BU76" s="539"/>
      <c r="BV76" s="539"/>
      <c r="BW76" s="544"/>
      <c r="BX76" s="544"/>
    </row>
    <row r="77" spans="1:76">
      <c r="A77" s="10" t="str">
        <f t="shared" si="274"/>
        <v>디지털솔루션그룹CL4(수석)</v>
      </c>
      <c r="B77" s="526" t="str">
        <f>B76</f>
        <v>디지털솔루션그룹</v>
      </c>
      <c r="C77" s="527" t="s">
        <v>246</v>
      </c>
      <c r="D77" s="18" t="s">
        <v>105</v>
      </c>
      <c r="E77" s="17" t="s">
        <v>445</v>
      </c>
      <c r="F77" s="18" t="s">
        <v>82</v>
      </c>
      <c r="G77" s="552">
        <v>9694251</v>
      </c>
      <c r="H77" s="550">
        <v>9694251</v>
      </c>
      <c r="I77" s="550">
        <v>9888513</v>
      </c>
      <c r="J77" s="550">
        <v>9888513</v>
      </c>
      <c r="K77" s="550">
        <v>9888513</v>
      </c>
      <c r="L77" s="550">
        <v>9888513</v>
      </c>
      <c r="M77" s="550">
        <v>9888513</v>
      </c>
      <c r="N77" s="550">
        <v>9888513</v>
      </c>
      <c r="O77" s="550">
        <v>9888513</v>
      </c>
      <c r="P77" s="550">
        <v>9888513</v>
      </c>
      <c r="Q77" s="550">
        <v>9888513</v>
      </c>
      <c r="R77" s="551">
        <v>9888513</v>
      </c>
      <c r="S77" s="552">
        <v>9888513</v>
      </c>
      <c r="T77" s="550">
        <v>9888513</v>
      </c>
      <c r="U77" s="550">
        <f>ROUND(T77*105%,0)</f>
        <v>10382939</v>
      </c>
      <c r="V77" s="47">
        <v>10023193</v>
      </c>
      <c r="W77" s="550">
        <f t="shared" ref="W77:AF77" si="284">V77</f>
        <v>10023193</v>
      </c>
      <c r="X77" s="550">
        <f t="shared" si="284"/>
        <v>10023193</v>
      </c>
      <c r="Y77" s="550">
        <f t="shared" si="284"/>
        <v>10023193</v>
      </c>
      <c r="Z77" s="550">
        <f t="shared" si="284"/>
        <v>10023193</v>
      </c>
      <c r="AA77" s="550">
        <f t="shared" si="284"/>
        <v>10023193</v>
      </c>
      <c r="AB77" s="550">
        <f t="shared" si="284"/>
        <v>10023193</v>
      </c>
      <c r="AC77" s="550">
        <f t="shared" si="284"/>
        <v>10023193</v>
      </c>
      <c r="AD77" s="551">
        <f t="shared" si="284"/>
        <v>10023193</v>
      </c>
      <c r="AE77" s="552">
        <f t="shared" si="284"/>
        <v>10023193</v>
      </c>
      <c r="AF77" s="550">
        <f t="shared" si="284"/>
        <v>10023193</v>
      </c>
      <c r="AG77" s="550">
        <f>ROUND(AF77*105%,0)</f>
        <v>10524353</v>
      </c>
      <c r="AH77" s="550">
        <f t="shared" si="277"/>
        <v>10524353</v>
      </c>
      <c r="AI77" s="550">
        <f t="shared" si="277"/>
        <v>10524353</v>
      </c>
      <c r="AJ77" s="550">
        <f t="shared" si="277"/>
        <v>10524353</v>
      </c>
      <c r="AK77" s="550">
        <f t="shared" si="277"/>
        <v>10524353</v>
      </c>
      <c r="AL77" s="550">
        <f t="shared" si="277"/>
        <v>10524353</v>
      </c>
      <c r="AM77" s="550">
        <f t="shared" si="277"/>
        <v>10524353</v>
      </c>
      <c r="AN77" s="550">
        <f t="shared" si="277"/>
        <v>10524353</v>
      </c>
      <c r="AO77" s="550">
        <f t="shared" si="277"/>
        <v>10524353</v>
      </c>
      <c r="AP77" s="691">
        <f t="shared" si="278"/>
        <v>10524353</v>
      </c>
      <c r="AQ77" s="691">
        <f t="shared" si="279"/>
        <v>10524353</v>
      </c>
      <c r="AR77" s="691">
        <f t="shared" si="280"/>
        <v>10524353</v>
      </c>
      <c r="AS77" s="697">
        <f t="shared" si="267"/>
        <v>11050571</v>
      </c>
      <c r="AT77" s="691">
        <f t="shared" ref="AT77:BB77" si="285">+AS77</f>
        <v>11050571</v>
      </c>
      <c r="AU77" s="691">
        <f t="shared" si="285"/>
        <v>11050571</v>
      </c>
      <c r="AV77" s="691">
        <f t="shared" si="285"/>
        <v>11050571</v>
      </c>
      <c r="AW77" s="691">
        <f t="shared" si="285"/>
        <v>11050571</v>
      </c>
      <c r="AX77" s="691">
        <f t="shared" si="285"/>
        <v>11050571</v>
      </c>
      <c r="AY77" s="691">
        <f t="shared" si="285"/>
        <v>11050571</v>
      </c>
      <c r="AZ77" s="691">
        <f t="shared" si="285"/>
        <v>11050571</v>
      </c>
      <c r="BA77" s="691">
        <f t="shared" si="285"/>
        <v>11050571</v>
      </c>
      <c r="BB77" s="551">
        <f t="shared" si="285"/>
        <v>11050571</v>
      </c>
      <c r="BC77" s="10" t="str">
        <f t="shared" si="282"/>
        <v>디지털솔루션그룹수석(CL4)</v>
      </c>
      <c r="BD77" s="544" t="str">
        <f t="shared" si="283"/>
        <v>디지털솔루션그룹CL4(수석)</v>
      </c>
      <c r="BE77" s="552"/>
      <c r="BF77" s="550"/>
      <c r="BG77" s="550"/>
      <c r="BH77" s="551"/>
      <c r="BI77" s="552"/>
      <c r="BJ77" s="550"/>
      <c r="BK77" s="551"/>
      <c r="BL77" s="553"/>
      <c r="BM77" s="552"/>
      <c r="BN77" s="550"/>
      <c r="BO77" s="551"/>
      <c r="BP77" s="553"/>
      <c r="BQ77" s="554"/>
      <c r="BR77" s="555"/>
      <c r="BS77" s="556"/>
      <c r="BT77" s="549"/>
      <c r="BU77" s="539"/>
      <c r="BV77" s="539"/>
      <c r="BW77" s="544"/>
      <c r="BX77" s="544"/>
    </row>
    <row r="78" spans="1:76">
      <c r="A78" s="10" t="str">
        <f t="shared" si="274"/>
        <v>디지털솔루션그룹CL3(책임-수석보)</v>
      </c>
      <c r="B78" s="526" t="str">
        <f>B77</f>
        <v>디지털솔루션그룹</v>
      </c>
      <c r="C78" s="527" t="s">
        <v>247</v>
      </c>
      <c r="D78" s="18" t="s">
        <v>105</v>
      </c>
      <c r="E78" s="17" t="s">
        <v>455</v>
      </c>
      <c r="F78" s="18" t="s">
        <v>459</v>
      </c>
      <c r="G78" s="552">
        <v>7855216</v>
      </c>
      <c r="H78" s="550">
        <v>7855216</v>
      </c>
      <c r="I78" s="550">
        <v>7864557</v>
      </c>
      <c r="J78" s="550">
        <v>7864557</v>
      </c>
      <c r="K78" s="550">
        <v>7864557</v>
      </c>
      <c r="L78" s="550">
        <v>7864557</v>
      </c>
      <c r="M78" s="550">
        <v>7864557</v>
      </c>
      <c r="N78" s="550">
        <v>7864557</v>
      </c>
      <c r="O78" s="550">
        <v>7864557</v>
      </c>
      <c r="P78" s="550">
        <v>7864557</v>
      </c>
      <c r="Q78" s="550">
        <v>7864557</v>
      </c>
      <c r="R78" s="551">
        <v>7864557</v>
      </c>
      <c r="S78" s="552">
        <v>7864557</v>
      </c>
      <c r="T78" s="550">
        <v>7864557</v>
      </c>
      <c r="U78" s="550">
        <f>ROUND(T78*105%,0)</f>
        <v>8257785</v>
      </c>
      <c r="V78" s="47">
        <v>8129177</v>
      </c>
      <c r="W78" s="550">
        <f t="shared" ref="W78:AF78" si="286">V78</f>
        <v>8129177</v>
      </c>
      <c r="X78" s="550">
        <f t="shared" si="286"/>
        <v>8129177</v>
      </c>
      <c r="Y78" s="550">
        <f t="shared" si="286"/>
        <v>8129177</v>
      </c>
      <c r="Z78" s="550">
        <f t="shared" si="286"/>
        <v>8129177</v>
      </c>
      <c r="AA78" s="550">
        <f t="shared" si="286"/>
        <v>8129177</v>
      </c>
      <c r="AB78" s="550">
        <f t="shared" si="286"/>
        <v>8129177</v>
      </c>
      <c r="AC78" s="550">
        <f t="shared" si="286"/>
        <v>8129177</v>
      </c>
      <c r="AD78" s="551">
        <f t="shared" si="286"/>
        <v>8129177</v>
      </c>
      <c r="AE78" s="552">
        <f t="shared" si="286"/>
        <v>8129177</v>
      </c>
      <c r="AF78" s="550">
        <f t="shared" si="286"/>
        <v>8129177</v>
      </c>
      <c r="AG78" s="550">
        <f>ROUND(AF78*105%,0)</f>
        <v>8535636</v>
      </c>
      <c r="AH78" s="550">
        <f t="shared" si="277"/>
        <v>8535636</v>
      </c>
      <c r="AI78" s="550">
        <f t="shared" si="277"/>
        <v>8535636</v>
      </c>
      <c r="AJ78" s="550">
        <f t="shared" si="277"/>
        <v>8535636</v>
      </c>
      <c r="AK78" s="550">
        <f t="shared" si="277"/>
        <v>8535636</v>
      </c>
      <c r="AL78" s="550">
        <f t="shared" si="277"/>
        <v>8535636</v>
      </c>
      <c r="AM78" s="550">
        <f t="shared" si="277"/>
        <v>8535636</v>
      </c>
      <c r="AN78" s="550">
        <f t="shared" si="277"/>
        <v>8535636</v>
      </c>
      <c r="AO78" s="550">
        <f t="shared" si="277"/>
        <v>8535636</v>
      </c>
      <c r="AP78" s="691">
        <f t="shared" si="278"/>
        <v>8535636</v>
      </c>
      <c r="AQ78" s="691">
        <f t="shared" si="279"/>
        <v>8535636</v>
      </c>
      <c r="AR78" s="691">
        <f t="shared" si="280"/>
        <v>8535636</v>
      </c>
      <c r="AS78" s="697">
        <f t="shared" si="267"/>
        <v>8962418</v>
      </c>
      <c r="AT78" s="691">
        <f t="shared" ref="AT78:BB78" si="287">+AS78</f>
        <v>8962418</v>
      </c>
      <c r="AU78" s="691">
        <f t="shared" si="287"/>
        <v>8962418</v>
      </c>
      <c r="AV78" s="691">
        <f t="shared" si="287"/>
        <v>8962418</v>
      </c>
      <c r="AW78" s="691">
        <f t="shared" si="287"/>
        <v>8962418</v>
      </c>
      <c r="AX78" s="691">
        <f t="shared" si="287"/>
        <v>8962418</v>
      </c>
      <c r="AY78" s="691">
        <f t="shared" si="287"/>
        <v>8962418</v>
      </c>
      <c r="AZ78" s="691">
        <f t="shared" si="287"/>
        <v>8962418</v>
      </c>
      <c r="BA78" s="691">
        <f t="shared" si="287"/>
        <v>8962418</v>
      </c>
      <c r="BB78" s="551">
        <f t="shared" si="287"/>
        <v>8962418</v>
      </c>
      <c r="BC78" s="10" t="str">
        <f t="shared" si="282"/>
        <v>디지털솔루션그룹수석보(CL3)</v>
      </c>
      <c r="BD78" s="544" t="str">
        <f t="shared" si="283"/>
        <v>디지털솔루션그룹CL3(책임-수석보)</v>
      </c>
      <c r="BE78" s="552"/>
      <c r="BF78" s="550"/>
      <c r="BG78" s="550"/>
      <c r="BH78" s="551"/>
      <c r="BI78" s="552"/>
      <c r="BJ78" s="550"/>
      <c r="BK78" s="551"/>
      <c r="BL78" s="553"/>
      <c r="BM78" s="552"/>
      <c r="BN78" s="550"/>
      <c r="BO78" s="551"/>
      <c r="BP78" s="553"/>
      <c r="BQ78" s="554"/>
      <c r="BR78" s="555"/>
      <c r="BS78" s="556"/>
      <c r="BT78" s="549"/>
      <c r="BU78" s="539"/>
      <c r="BV78" s="539"/>
      <c r="BW78" s="544"/>
      <c r="BX78" s="544"/>
    </row>
    <row r="79" spans="1:76">
      <c r="A79" s="10" t="str">
        <f t="shared" si="274"/>
        <v>디지털솔루션그룹CL2(사원-선임)</v>
      </c>
      <c r="B79" s="526" t="str">
        <f>B78</f>
        <v>디지털솔루션그룹</v>
      </c>
      <c r="C79" s="527" t="s">
        <v>248</v>
      </c>
      <c r="D79" s="18" t="s">
        <v>102</v>
      </c>
      <c r="E79" s="17" t="s">
        <v>457</v>
      </c>
      <c r="F79" s="18" t="s">
        <v>461</v>
      </c>
      <c r="G79" s="552">
        <v>6246930</v>
      </c>
      <c r="H79" s="550">
        <v>6246930</v>
      </c>
      <c r="I79" s="550">
        <v>5875484</v>
      </c>
      <c r="J79" s="550">
        <v>5875484</v>
      </c>
      <c r="K79" s="550">
        <v>5875484</v>
      </c>
      <c r="L79" s="550">
        <v>5875484</v>
      </c>
      <c r="M79" s="550">
        <v>5875484</v>
      </c>
      <c r="N79" s="550">
        <v>5875484</v>
      </c>
      <c r="O79" s="550">
        <v>5875484</v>
      </c>
      <c r="P79" s="550">
        <v>5875484</v>
      </c>
      <c r="Q79" s="550">
        <v>5875484</v>
      </c>
      <c r="R79" s="551">
        <v>5875484</v>
      </c>
      <c r="S79" s="552">
        <v>5875484</v>
      </c>
      <c r="T79" s="550">
        <v>5875484</v>
      </c>
      <c r="U79" s="550">
        <f>ROUND(T79*105%,0)</f>
        <v>6169258</v>
      </c>
      <c r="V79" s="47">
        <v>6295236</v>
      </c>
      <c r="W79" s="550">
        <f t="shared" ref="W79:AF79" si="288">V79</f>
        <v>6295236</v>
      </c>
      <c r="X79" s="550">
        <f t="shared" si="288"/>
        <v>6295236</v>
      </c>
      <c r="Y79" s="550">
        <f t="shared" si="288"/>
        <v>6295236</v>
      </c>
      <c r="Z79" s="550">
        <f t="shared" si="288"/>
        <v>6295236</v>
      </c>
      <c r="AA79" s="550">
        <f t="shared" si="288"/>
        <v>6295236</v>
      </c>
      <c r="AB79" s="550">
        <f t="shared" si="288"/>
        <v>6295236</v>
      </c>
      <c r="AC79" s="550">
        <f t="shared" si="288"/>
        <v>6295236</v>
      </c>
      <c r="AD79" s="551">
        <f t="shared" si="288"/>
        <v>6295236</v>
      </c>
      <c r="AE79" s="552">
        <f t="shared" si="288"/>
        <v>6295236</v>
      </c>
      <c r="AF79" s="550">
        <f t="shared" si="288"/>
        <v>6295236</v>
      </c>
      <c r="AG79" s="550">
        <f>ROUND(AF79*105%,0)</f>
        <v>6609998</v>
      </c>
      <c r="AH79" s="550">
        <f t="shared" si="277"/>
        <v>6609998</v>
      </c>
      <c r="AI79" s="550">
        <f t="shared" si="277"/>
        <v>6609998</v>
      </c>
      <c r="AJ79" s="550">
        <f t="shared" si="277"/>
        <v>6609998</v>
      </c>
      <c r="AK79" s="550">
        <f t="shared" si="277"/>
        <v>6609998</v>
      </c>
      <c r="AL79" s="550">
        <f t="shared" si="277"/>
        <v>6609998</v>
      </c>
      <c r="AM79" s="550">
        <f t="shared" si="277"/>
        <v>6609998</v>
      </c>
      <c r="AN79" s="550">
        <f t="shared" si="277"/>
        <v>6609998</v>
      </c>
      <c r="AO79" s="550">
        <f t="shared" si="277"/>
        <v>6609998</v>
      </c>
      <c r="AP79" s="691">
        <f t="shared" si="278"/>
        <v>6609998</v>
      </c>
      <c r="AQ79" s="691">
        <f t="shared" si="279"/>
        <v>6609998</v>
      </c>
      <c r="AR79" s="691">
        <f t="shared" si="280"/>
        <v>6609998</v>
      </c>
      <c r="AS79" s="697">
        <f t="shared" si="267"/>
        <v>6940498</v>
      </c>
      <c r="AT79" s="691">
        <f t="shared" ref="AT79:BB79" si="289">+AS79</f>
        <v>6940498</v>
      </c>
      <c r="AU79" s="691">
        <f t="shared" si="289"/>
        <v>6940498</v>
      </c>
      <c r="AV79" s="691">
        <f t="shared" si="289"/>
        <v>6940498</v>
      </c>
      <c r="AW79" s="691">
        <f t="shared" si="289"/>
        <v>6940498</v>
      </c>
      <c r="AX79" s="691">
        <f t="shared" si="289"/>
        <v>6940498</v>
      </c>
      <c r="AY79" s="691">
        <f t="shared" si="289"/>
        <v>6940498</v>
      </c>
      <c r="AZ79" s="691">
        <f t="shared" si="289"/>
        <v>6940498</v>
      </c>
      <c r="BA79" s="691">
        <f t="shared" si="289"/>
        <v>6940498</v>
      </c>
      <c r="BB79" s="551">
        <f t="shared" si="289"/>
        <v>6940498</v>
      </c>
      <c r="BC79" s="10" t="str">
        <f t="shared" si="282"/>
        <v>디지털솔루션그룹책임(CL3)</v>
      </c>
      <c r="BD79" s="544" t="str">
        <f t="shared" si="283"/>
        <v>디지털솔루션그룹CL2(사원-선임)</v>
      </c>
      <c r="BE79" s="552"/>
      <c r="BF79" s="550"/>
      <c r="BG79" s="550"/>
      <c r="BH79" s="551"/>
      <c r="BI79" s="552"/>
      <c r="BJ79" s="550"/>
      <c r="BK79" s="551"/>
      <c r="BL79" s="553"/>
      <c r="BM79" s="552"/>
      <c r="BN79" s="550"/>
      <c r="BO79" s="551"/>
      <c r="BP79" s="553"/>
      <c r="BQ79" s="554"/>
      <c r="BR79" s="555"/>
      <c r="BS79" s="556"/>
      <c r="BT79" s="549"/>
      <c r="BU79" s="539"/>
      <c r="BV79" s="539"/>
      <c r="BW79" s="544"/>
      <c r="BX79" s="544"/>
    </row>
    <row r="80" spans="1:76">
      <c r="A80" s="10" t="str">
        <f t="shared" si="274"/>
        <v>디지털솔루션그룹</v>
      </c>
      <c r="B80" s="526" t="str">
        <f>B79</f>
        <v>디지털솔루션그룹</v>
      </c>
      <c r="C80" s="527" t="s">
        <v>249</v>
      </c>
      <c r="D80" s="18" t="s">
        <v>103</v>
      </c>
      <c r="E80" s="17"/>
      <c r="F80" s="18"/>
      <c r="G80" s="45"/>
      <c r="H80" s="46"/>
      <c r="I80" s="47"/>
      <c r="J80" s="46"/>
      <c r="K80" s="46"/>
      <c r="L80" s="46"/>
      <c r="M80" s="46"/>
      <c r="N80" s="46"/>
      <c r="O80" s="46"/>
      <c r="P80" s="46"/>
      <c r="Q80" s="46"/>
      <c r="R80" s="48"/>
      <c r="S80" s="45"/>
      <c r="T80" s="46"/>
      <c r="U80" s="550"/>
      <c r="V80" s="47"/>
      <c r="W80" s="46"/>
      <c r="X80" s="46"/>
      <c r="Y80" s="46"/>
      <c r="Z80" s="46"/>
      <c r="AA80" s="46"/>
      <c r="AB80" s="46"/>
      <c r="AC80" s="46"/>
      <c r="AD80" s="48"/>
      <c r="AE80" s="45"/>
      <c r="AF80" s="46"/>
      <c r="AG80" s="47"/>
      <c r="AH80" s="46"/>
      <c r="AI80" s="46"/>
      <c r="AJ80" s="46"/>
      <c r="AK80" s="46"/>
      <c r="AL80" s="46"/>
      <c r="AM80" s="46"/>
      <c r="AN80" s="46"/>
      <c r="AO80" s="46"/>
      <c r="AP80" s="688"/>
      <c r="AQ80" s="688"/>
      <c r="AR80" s="688"/>
      <c r="AS80" s="697">
        <f t="shared" si="267"/>
        <v>0</v>
      </c>
      <c r="AT80" s="688">
        <f t="shared" ref="AT80:BB80" si="290">+AS80</f>
        <v>0</v>
      </c>
      <c r="AU80" s="688">
        <f t="shared" si="290"/>
        <v>0</v>
      </c>
      <c r="AV80" s="688">
        <f t="shared" si="290"/>
        <v>0</v>
      </c>
      <c r="AW80" s="688">
        <f t="shared" si="290"/>
        <v>0</v>
      </c>
      <c r="AX80" s="688">
        <f t="shared" si="290"/>
        <v>0</v>
      </c>
      <c r="AY80" s="688">
        <f t="shared" si="290"/>
        <v>0</v>
      </c>
      <c r="AZ80" s="688">
        <f t="shared" si="290"/>
        <v>0</v>
      </c>
      <c r="BA80" s="688">
        <f t="shared" si="290"/>
        <v>0</v>
      </c>
      <c r="BB80" s="48">
        <f t="shared" si="290"/>
        <v>0</v>
      </c>
      <c r="BC80" s="10" t="str">
        <f t="shared" si="282"/>
        <v>디지털솔루션그룹선임(CL2)</v>
      </c>
      <c r="BD80" s="544" t="str">
        <f t="shared" si="283"/>
        <v>디지털솔루션그룹</v>
      </c>
      <c r="BE80" s="45"/>
      <c r="BF80" s="46"/>
      <c r="BG80" s="46"/>
      <c r="BH80" s="48"/>
      <c r="BI80" s="45"/>
      <c r="BJ80" s="46"/>
      <c r="BK80" s="48"/>
      <c r="BL80" s="496"/>
      <c r="BM80" s="45"/>
      <c r="BN80" s="46"/>
      <c r="BO80" s="48"/>
      <c r="BP80" s="496"/>
      <c r="BQ80" s="487"/>
      <c r="BR80" s="481"/>
      <c r="BS80" s="473"/>
      <c r="BT80" s="13"/>
    </row>
    <row r="81" spans="1:76">
      <c r="A81" s="10" t="str">
        <f t="shared" si="274"/>
        <v>디지털솔루션그룹</v>
      </c>
      <c r="B81" s="526" t="str">
        <f>B80</f>
        <v>디지털솔루션그룹</v>
      </c>
      <c r="C81" s="529" t="s">
        <v>250</v>
      </c>
      <c r="D81" s="20" t="s">
        <v>104</v>
      </c>
      <c r="E81" s="19"/>
      <c r="F81" s="20"/>
      <c r="G81" s="49"/>
      <c r="H81" s="50"/>
      <c r="I81" s="51"/>
      <c r="J81" s="50"/>
      <c r="K81" s="50"/>
      <c r="L81" s="50"/>
      <c r="M81" s="50"/>
      <c r="N81" s="50"/>
      <c r="O81" s="50"/>
      <c r="P81" s="50"/>
      <c r="Q81" s="50"/>
      <c r="R81" s="52"/>
      <c r="S81" s="49"/>
      <c r="T81" s="50"/>
      <c r="U81" s="1199"/>
      <c r="V81" s="51"/>
      <c r="W81" s="50"/>
      <c r="X81" s="50"/>
      <c r="Y81" s="50"/>
      <c r="Z81" s="50"/>
      <c r="AA81" s="50"/>
      <c r="AB81" s="50"/>
      <c r="AC81" s="50"/>
      <c r="AD81" s="52"/>
      <c r="AE81" s="49"/>
      <c r="AF81" s="50"/>
      <c r="AG81" s="51"/>
      <c r="AH81" s="50"/>
      <c r="AI81" s="50"/>
      <c r="AJ81" s="50"/>
      <c r="AK81" s="50"/>
      <c r="AL81" s="50"/>
      <c r="AM81" s="50"/>
      <c r="AN81" s="50"/>
      <c r="AO81" s="50"/>
      <c r="AP81" s="689"/>
      <c r="AQ81" s="689"/>
      <c r="AR81" s="689"/>
      <c r="AS81" s="698">
        <f t="shared" si="267"/>
        <v>0</v>
      </c>
      <c r="AT81" s="689">
        <f t="shared" ref="AT81" si="291">+AS81</f>
        <v>0</v>
      </c>
      <c r="AU81" s="689">
        <f t="shared" ref="AU81" si="292">+AT81</f>
        <v>0</v>
      </c>
      <c r="AV81" s="689">
        <f t="shared" ref="AV81" si="293">+AU81</f>
        <v>0</v>
      </c>
      <c r="AW81" s="689">
        <f t="shared" ref="AW81" si="294">+AV81</f>
        <v>0</v>
      </c>
      <c r="AX81" s="689">
        <f t="shared" ref="AX81" si="295">+AW81</f>
        <v>0</v>
      </c>
      <c r="AY81" s="689">
        <f t="shared" ref="AY81" si="296">+AX81</f>
        <v>0</v>
      </c>
      <c r="AZ81" s="689">
        <f t="shared" ref="AZ81" si="297">+AY81</f>
        <v>0</v>
      </c>
      <c r="BA81" s="689">
        <f t="shared" ref="BA81" si="298">+AZ81</f>
        <v>0</v>
      </c>
      <c r="BB81" s="52">
        <f t="shared" ref="BB81" si="299">+BA81</f>
        <v>0</v>
      </c>
      <c r="BC81" s="10" t="str">
        <f t="shared" si="282"/>
        <v>디지털솔루션그룹사원(CL1-CL2)</v>
      </c>
      <c r="BD81" s="544" t="str">
        <f t="shared" si="283"/>
        <v>디지털솔루션그룹</v>
      </c>
      <c r="BE81" s="49"/>
      <c r="BF81" s="50"/>
      <c r="BG81" s="50"/>
      <c r="BH81" s="52"/>
      <c r="BI81" s="49"/>
      <c r="BJ81" s="50"/>
      <c r="BK81" s="52"/>
      <c r="BL81" s="497"/>
      <c r="BM81" s="49"/>
      <c r="BN81" s="50"/>
      <c r="BO81" s="52"/>
      <c r="BP81" s="497"/>
      <c r="BQ81" s="488"/>
      <c r="BR81" s="482"/>
      <c r="BS81" s="474"/>
      <c r="BT81" s="13"/>
    </row>
    <row r="82" spans="1:76">
      <c r="A82" s="10" t="str">
        <f t="shared" ref="A82:A105" si="300">+B82&amp;E82</f>
        <v>솔루션MSP그룹이사</v>
      </c>
      <c r="B82" s="523" t="s">
        <v>1109</v>
      </c>
      <c r="C82" s="525" t="s">
        <v>12</v>
      </c>
      <c r="D82" s="15" t="s">
        <v>105</v>
      </c>
      <c r="E82" s="16" t="s">
        <v>12</v>
      </c>
      <c r="F82" s="15" t="s">
        <v>82</v>
      </c>
      <c r="G82" s="543">
        <v>0</v>
      </c>
      <c r="H82" s="541">
        <v>0</v>
      </c>
      <c r="I82" s="541">
        <f>ROUND(H82*105%,0)</f>
        <v>0</v>
      </c>
      <c r="J82" s="541">
        <f t="shared" ref="J82:T82" si="301">I82</f>
        <v>0</v>
      </c>
      <c r="K82" s="541">
        <f t="shared" si="301"/>
        <v>0</v>
      </c>
      <c r="L82" s="541">
        <f t="shared" si="301"/>
        <v>0</v>
      </c>
      <c r="M82" s="541">
        <f t="shared" si="301"/>
        <v>0</v>
      </c>
      <c r="N82" s="541">
        <f t="shared" si="301"/>
        <v>0</v>
      </c>
      <c r="O82" s="541">
        <f t="shared" si="301"/>
        <v>0</v>
      </c>
      <c r="P82" s="541">
        <f t="shared" si="301"/>
        <v>0</v>
      </c>
      <c r="Q82" s="541">
        <f t="shared" si="301"/>
        <v>0</v>
      </c>
      <c r="R82" s="542">
        <f t="shared" si="301"/>
        <v>0</v>
      </c>
      <c r="S82" s="543">
        <f t="shared" si="301"/>
        <v>0</v>
      </c>
      <c r="T82" s="541">
        <f t="shared" si="301"/>
        <v>0</v>
      </c>
      <c r="U82" s="541">
        <f t="shared" ref="U82:U91" si="302">ROUND(T82*105%,0)</f>
        <v>0</v>
      </c>
      <c r="V82" s="43">
        <f t="shared" ref="V82:AF82" si="303">U82</f>
        <v>0</v>
      </c>
      <c r="W82" s="541">
        <f t="shared" si="303"/>
        <v>0</v>
      </c>
      <c r="X82" s="541">
        <f t="shared" si="303"/>
        <v>0</v>
      </c>
      <c r="Y82" s="541">
        <f t="shared" si="303"/>
        <v>0</v>
      </c>
      <c r="Z82" s="541">
        <f t="shared" si="303"/>
        <v>0</v>
      </c>
      <c r="AA82" s="541">
        <f t="shared" si="303"/>
        <v>0</v>
      </c>
      <c r="AB82" s="541">
        <f t="shared" si="303"/>
        <v>0</v>
      </c>
      <c r="AC82" s="541">
        <f t="shared" si="303"/>
        <v>0</v>
      </c>
      <c r="AD82" s="542">
        <f t="shared" si="303"/>
        <v>0</v>
      </c>
      <c r="AE82" s="543">
        <f t="shared" si="303"/>
        <v>0</v>
      </c>
      <c r="AF82" s="541">
        <f t="shared" si="303"/>
        <v>0</v>
      </c>
      <c r="AG82" s="541">
        <f t="shared" ref="AG82:AG91" si="304">ROUND(AF82*105%,0)</f>
        <v>0</v>
      </c>
      <c r="AH82" s="541">
        <f t="shared" ref="AH82:AO85" si="305">AG82</f>
        <v>0</v>
      </c>
      <c r="AI82" s="541">
        <f t="shared" si="305"/>
        <v>0</v>
      </c>
      <c r="AJ82" s="541">
        <f t="shared" si="305"/>
        <v>0</v>
      </c>
      <c r="AK82" s="541">
        <f t="shared" si="305"/>
        <v>0</v>
      </c>
      <c r="AL82" s="541">
        <f t="shared" si="305"/>
        <v>0</v>
      </c>
      <c r="AM82" s="541">
        <f t="shared" si="305"/>
        <v>0</v>
      </c>
      <c r="AN82" s="541">
        <f t="shared" si="305"/>
        <v>0</v>
      </c>
      <c r="AO82" s="541">
        <f t="shared" si="305"/>
        <v>0</v>
      </c>
      <c r="AP82" s="690">
        <f t="shared" ref="AP82:AP85" si="306">AO82</f>
        <v>0</v>
      </c>
      <c r="AQ82" s="690">
        <f t="shared" ref="AQ82:AQ85" si="307">AP82</f>
        <v>0</v>
      </c>
      <c r="AR82" s="690">
        <f t="shared" ref="AR82:AR85" si="308">AQ82</f>
        <v>0</v>
      </c>
      <c r="AS82" s="696">
        <f t="shared" si="267"/>
        <v>0</v>
      </c>
      <c r="AT82" s="690">
        <f t="shared" ref="AT82:BB82" si="309">+AS82</f>
        <v>0</v>
      </c>
      <c r="AU82" s="690">
        <f t="shared" si="309"/>
        <v>0</v>
      </c>
      <c r="AV82" s="690">
        <f t="shared" si="309"/>
        <v>0</v>
      </c>
      <c r="AW82" s="690">
        <f t="shared" si="309"/>
        <v>0</v>
      </c>
      <c r="AX82" s="690">
        <f t="shared" si="309"/>
        <v>0</v>
      </c>
      <c r="AY82" s="690">
        <f t="shared" si="309"/>
        <v>0</v>
      </c>
      <c r="AZ82" s="690">
        <f t="shared" si="309"/>
        <v>0</v>
      </c>
      <c r="BA82" s="690">
        <f t="shared" si="309"/>
        <v>0</v>
      </c>
      <c r="BB82" s="542">
        <f t="shared" si="309"/>
        <v>0</v>
      </c>
      <c r="BC82" s="544" t="str">
        <f t="shared" ref="BC82:BC99" si="310">B82&amp;C82</f>
        <v>솔루션MSP그룹이사</v>
      </c>
      <c r="BD82" s="544" t="str">
        <f>B82&amp;E82</f>
        <v>솔루션MSP그룹이사</v>
      </c>
      <c r="BE82" s="543">
        <v>8300420</v>
      </c>
      <c r="BF82" s="541">
        <v>53560</v>
      </c>
      <c r="BG82" s="541">
        <v>10205051.936666667</v>
      </c>
      <c r="BH82" s="542">
        <v>48827.999696969702</v>
      </c>
      <c r="BI82" s="543">
        <v>8196665</v>
      </c>
      <c r="BJ82" s="541">
        <v>17343</v>
      </c>
      <c r="BK82" s="542">
        <v>9893252</v>
      </c>
      <c r="BL82" s="545">
        <v>47336.133971291863</v>
      </c>
      <c r="BM82" s="543"/>
      <c r="BN82" s="541"/>
      <c r="BO82" s="542"/>
      <c r="BP82" s="545"/>
      <c r="BQ82" s="546">
        <f t="shared" ref="BQ82:BQ87" si="311">+IFERROR(BM82/BI82-1,"")</f>
        <v>-1</v>
      </c>
      <c r="BR82" s="547">
        <f t="shared" ref="BR82:BR87" si="312">+IFERROR(BN82/BJ82-1,"")</f>
        <v>-1</v>
      </c>
      <c r="BS82" s="548">
        <f t="shared" ref="BS82:BS87" si="313">+IFERROR(BO82/BK82-1,"")</f>
        <v>-1</v>
      </c>
      <c r="BT82" s="549"/>
      <c r="BU82" s="539"/>
      <c r="BV82" s="539"/>
      <c r="BW82" s="544"/>
      <c r="BX82" s="544"/>
    </row>
    <row r="83" spans="1:76">
      <c r="A83" s="10" t="str">
        <f t="shared" si="300"/>
        <v>솔루션MSP그룹CL4(수석)</v>
      </c>
      <c r="B83" s="526" t="str">
        <f>+B82</f>
        <v>솔루션MSP그룹</v>
      </c>
      <c r="C83" s="527" t="s">
        <v>246</v>
      </c>
      <c r="D83" s="18" t="s">
        <v>110</v>
      </c>
      <c r="E83" s="17" t="s">
        <v>445</v>
      </c>
      <c r="F83" s="18" t="s">
        <v>82</v>
      </c>
      <c r="G83" s="552">
        <v>9965423</v>
      </c>
      <c r="H83" s="550">
        <v>9965423</v>
      </c>
      <c r="I83" s="550">
        <v>10877650</v>
      </c>
      <c r="J83" s="550">
        <f t="shared" ref="J83:T83" si="314">I83</f>
        <v>10877650</v>
      </c>
      <c r="K83" s="550">
        <f t="shared" si="314"/>
        <v>10877650</v>
      </c>
      <c r="L83" s="550">
        <f t="shared" si="314"/>
        <v>10877650</v>
      </c>
      <c r="M83" s="550">
        <f t="shared" si="314"/>
        <v>10877650</v>
      </c>
      <c r="N83" s="550">
        <f t="shared" si="314"/>
        <v>10877650</v>
      </c>
      <c r="O83" s="550">
        <f t="shared" si="314"/>
        <v>10877650</v>
      </c>
      <c r="P83" s="550">
        <f t="shared" si="314"/>
        <v>10877650</v>
      </c>
      <c r="Q83" s="550">
        <f t="shared" si="314"/>
        <v>10877650</v>
      </c>
      <c r="R83" s="551">
        <v>9391269</v>
      </c>
      <c r="S83" s="552">
        <f t="shared" si="314"/>
        <v>9391269</v>
      </c>
      <c r="T83" s="550">
        <f t="shared" si="314"/>
        <v>9391269</v>
      </c>
      <c r="U83" s="550">
        <f t="shared" si="302"/>
        <v>9860832</v>
      </c>
      <c r="V83" s="47">
        <v>10000757</v>
      </c>
      <c r="W83" s="550">
        <f t="shared" ref="W83:AF83" si="315">V83</f>
        <v>10000757</v>
      </c>
      <c r="X83" s="550">
        <f t="shared" si="315"/>
        <v>10000757</v>
      </c>
      <c r="Y83" s="550">
        <f t="shared" si="315"/>
        <v>10000757</v>
      </c>
      <c r="Z83" s="550">
        <f t="shared" si="315"/>
        <v>10000757</v>
      </c>
      <c r="AA83" s="550">
        <f t="shared" si="315"/>
        <v>10000757</v>
      </c>
      <c r="AB83" s="550">
        <f t="shared" si="315"/>
        <v>10000757</v>
      </c>
      <c r="AC83" s="550">
        <f t="shared" si="315"/>
        <v>10000757</v>
      </c>
      <c r="AD83" s="551">
        <f t="shared" si="315"/>
        <v>10000757</v>
      </c>
      <c r="AE83" s="552">
        <f t="shared" si="315"/>
        <v>10000757</v>
      </c>
      <c r="AF83" s="550">
        <f t="shared" si="315"/>
        <v>10000757</v>
      </c>
      <c r="AG83" s="550">
        <f t="shared" si="304"/>
        <v>10500795</v>
      </c>
      <c r="AH83" s="550">
        <f t="shared" si="305"/>
        <v>10500795</v>
      </c>
      <c r="AI83" s="550">
        <f t="shared" si="305"/>
        <v>10500795</v>
      </c>
      <c r="AJ83" s="550">
        <f t="shared" si="305"/>
        <v>10500795</v>
      </c>
      <c r="AK83" s="550">
        <f t="shared" si="305"/>
        <v>10500795</v>
      </c>
      <c r="AL83" s="550">
        <f t="shared" si="305"/>
        <v>10500795</v>
      </c>
      <c r="AM83" s="550">
        <f t="shared" si="305"/>
        <v>10500795</v>
      </c>
      <c r="AN83" s="550">
        <f t="shared" si="305"/>
        <v>10500795</v>
      </c>
      <c r="AO83" s="550">
        <f t="shared" si="305"/>
        <v>10500795</v>
      </c>
      <c r="AP83" s="691">
        <f t="shared" si="306"/>
        <v>10500795</v>
      </c>
      <c r="AQ83" s="691">
        <f t="shared" si="307"/>
        <v>10500795</v>
      </c>
      <c r="AR83" s="691">
        <f t="shared" si="308"/>
        <v>10500795</v>
      </c>
      <c r="AS83" s="697">
        <f t="shared" si="267"/>
        <v>11025835</v>
      </c>
      <c r="AT83" s="691">
        <f t="shared" ref="AT83:BB83" si="316">+AS83</f>
        <v>11025835</v>
      </c>
      <c r="AU83" s="691">
        <f t="shared" si="316"/>
        <v>11025835</v>
      </c>
      <c r="AV83" s="691">
        <f t="shared" si="316"/>
        <v>11025835</v>
      </c>
      <c r="AW83" s="691">
        <f t="shared" si="316"/>
        <v>11025835</v>
      </c>
      <c r="AX83" s="691">
        <f t="shared" si="316"/>
        <v>11025835</v>
      </c>
      <c r="AY83" s="691">
        <f t="shared" si="316"/>
        <v>11025835</v>
      </c>
      <c r="AZ83" s="691">
        <f t="shared" si="316"/>
        <v>11025835</v>
      </c>
      <c r="BA83" s="691">
        <f t="shared" si="316"/>
        <v>11025835</v>
      </c>
      <c r="BB83" s="551">
        <f t="shared" si="316"/>
        <v>11025835</v>
      </c>
      <c r="BC83" s="544" t="str">
        <f t="shared" si="310"/>
        <v>솔루션MSP그룹수석(CL4)</v>
      </c>
      <c r="BD83" s="544" t="str">
        <f>B83&amp;E83</f>
        <v>솔루션MSP그룹CL4(수석)</v>
      </c>
      <c r="BE83" s="552">
        <v>6537033</v>
      </c>
      <c r="BF83" s="550">
        <v>1016530</v>
      </c>
      <c r="BG83" s="550">
        <v>7611741.2366666682</v>
      </c>
      <c r="BH83" s="551">
        <v>36419.814529505587</v>
      </c>
      <c r="BI83" s="552">
        <v>6671399</v>
      </c>
      <c r="BJ83" s="550">
        <v>72011</v>
      </c>
      <c r="BK83" s="551">
        <v>8142698</v>
      </c>
      <c r="BL83" s="553">
        <v>38960.277511961722</v>
      </c>
      <c r="BM83" s="552"/>
      <c r="BN83" s="550"/>
      <c r="BO83" s="551"/>
      <c r="BP83" s="553"/>
      <c r="BQ83" s="554">
        <f t="shared" si="311"/>
        <v>-1</v>
      </c>
      <c r="BR83" s="555">
        <f t="shared" si="312"/>
        <v>-1</v>
      </c>
      <c r="BS83" s="556">
        <f t="shared" si="313"/>
        <v>-1</v>
      </c>
      <c r="BT83" s="549"/>
      <c r="BU83" s="539"/>
      <c r="BV83" s="539"/>
      <c r="BW83" s="544"/>
      <c r="BX83" s="544"/>
    </row>
    <row r="84" spans="1:76">
      <c r="A84" s="10" t="str">
        <f t="shared" si="300"/>
        <v>솔루션MSP그룹CL3(책임-수석보)</v>
      </c>
      <c r="B84" s="526" t="str">
        <f>+B83</f>
        <v>솔루션MSP그룹</v>
      </c>
      <c r="C84" s="527" t="s">
        <v>247</v>
      </c>
      <c r="D84" s="18" t="s">
        <v>110</v>
      </c>
      <c r="E84" s="17" t="s">
        <v>455</v>
      </c>
      <c r="F84" s="18" t="s">
        <v>459</v>
      </c>
      <c r="G84" s="552">
        <v>7845324</v>
      </c>
      <c r="H84" s="550">
        <v>7845324</v>
      </c>
      <c r="I84" s="550">
        <v>7864557</v>
      </c>
      <c r="J84" s="550">
        <f t="shared" ref="J84:T84" si="317">I84</f>
        <v>7864557</v>
      </c>
      <c r="K84" s="550">
        <f t="shared" si="317"/>
        <v>7864557</v>
      </c>
      <c r="L84" s="550">
        <f t="shared" si="317"/>
        <v>7864557</v>
      </c>
      <c r="M84" s="550">
        <f t="shared" si="317"/>
        <v>7864557</v>
      </c>
      <c r="N84" s="550">
        <f t="shared" si="317"/>
        <v>7864557</v>
      </c>
      <c r="O84" s="550">
        <f t="shared" si="317"/>
        <v>7864557</v>
      </c>
      <c r="P84" s="550">
        <f t="shared" si="317"/>
        <v>7864557</v>
      </c>
      <c r="Q84" s="550">
        <f t="shared" si="317"/>
        <v>7864557</v>
      </c>
      <c r="R84" s="551">
        <v>8065525</v>
      </c>
      <c r="S84" s="552">
        <f t="shared" si="317"/>
        <v>8065525</v>
      </c>
      <c r="T84" s="550">
        <f t="shared" si="317"/>
        <v>8065525</v>
      </c>
      <c r="U84" s="550">
        <f t="shared" si="302"/>
        <v>8468801</v>
      </c>
      <c r="V84" s="47">
        <v>8240860</v>
      </c>
      <c r="W84" s="550">
        <f t="shared" ref="W84:AF84" si="318">V84</f>
        <v>8240860</v>
      </c>
      <c r="X84" s="550">
        <f t="shared" si="318"/>
        <v>8240860</v>
      </c>
      <c r="Y84" s="550">
        <f t="shared" si="318"/>
        <v>8240860</v>
      </c>
      <c r="Z84" s="550">
        <f t="shared" si="318"/>
        <v>8240860</v>
      </c>
      <c r="AA84" s="550">
        <f t="shared" si="318"/>
        <v>8240860</v>
      </c>
      <c r="AB84" s="550">
        <f t="shared" si="318"/>
        <v>8240860</v>
      </c>
      <c r="AC84" s="550">
        <f t="shared" si="318"/>
        <v>8240860</v>
      </c>
      <c r="AD84" s="551">
        <f t="shared" si="318"/>
        <v>8240860</v>
      </c>
      <c r="AE84" s="552">
        <f t="shared" si="318"/>
        <v>8240860</v>
      </c>
      <c r="AF84" s="550">
        <f t="shared" si="318"/>
        <v>8240860</v>
      </c>
      <c r="AG84" s="550">
        <f t="shared" si="304"/>
        <v>8652903</v>
      </c>
      <c r="AH84" s="550">
        <f t="shared" si="305"/>
        <v>8652903</v>
      </c>
      <c r="AI84" s="550">
        <f t="shared" si="305"/>
        <v>8652903</v>
      </c>
      <c r="AJ84" s="550">
        <f t="shared" si="305"/>
        <v>8652903</v>
      </c>
      <c r="AK84" s="550">
        <f t="shared" si="305"/>
        <v>8652903</v>
      </c>
      <c r="AL84" s="550">
        <f t="shared" si="305"/>
        <v>8652903</v>
      </c>
      <c r="AM84" s="550">
        <f t="shared" si="305"/>
        <v>8652903</v>
      </c>
      <c r="AN84" s="550">
        <f t="shared" si="305"/>
        <v>8652903</v>
      </c>
      <c r="AO84" s="550">
        <f t="shared" si="305"/>
        <v>8652903</v>
      </c>
      <c r="AP84" s="691">
        <f t="shared" si="306"/>
        <v>8652903</v>
      </c>
      <c r="AQ84" s="691">
        <f t="shared" si="307"/>
        <v>8652903</v>
      </c>
      <c r="AR84" s="691">
        <f t="shared" si="308"/>
        <v>8652903</v>
      </c>
      <c r="AS84" s="697">
        <f t="shared" si="267"/>
        <v>9085548</v>
      </c>
      <c r="AT84" s="691">
        <f t="shared" ref="AT84:BB84" si="319">+AS84</f>
        <v>9085548</v>
      </c>
      <c r="AU84" s="691">
        <f t="shared" si="319"/>
        <v>9085548</v>
      </c>
      <c r="AV84" s="691">
        <f t="shared" si="319"/>
        <v>9085548</v>
      </c>
      <c r="AW84" s="691">
        <f t="shared" si="319"/>
        <v>9085548</v>
      </c>
      <c r="AX84" s="691">
        <f t="shared" si="319"/>
        <v>9085548</v>
      </c>
      <c r="AY84" s="691">
        <f t="shared" si="319"/>
        <v>9085548</v>
      </c>
      <c r="AZ84" s="691">
        <f t="shared" si="319"/>
        <v>9085548</v>
      </c>
      <c r="BA84" s="691">
        <f t="shared" si="319"/>
        <v>9085548</v>
      </c>
      <c r="BB84" s="551">
        <f t="shared" si="319"/>
        <v>9085548</v>
      </c>
      <c r="BC84" s="544" t="str">
        <f t="shared" si="310"/>
        <v>솔루션MSP그룹수석보(CL3)</v>
      </c>
      <c r="BD84" s="544" t="str">
        <f>B84&amp;E84</f>
        <v>솔루션MSP그룹CL3(책임-수석보)</v>
      </c>
      <c r="BE84" s="552">
        <v>4975396</v>
      </c>
      <c r="BF84" s="550">
        <v>207115.46666666665</v>
      </c>
      <c r="BG84" s="550">
        <v>6234782.3121333327</v>
      </c>
      <c r="BH84" s="551">
        <v>29831.49431642743</v>
      </c>
      <c r="BI84" s="552">
        <v>5242248</v>
      </c>
      <c r="BJ84" s="550">
        <v>53480</v>
      </c>
      <c r="BK84" s="551">
        <v>6559099</v>
      </c>
      <c r="BL84" s="553">
        <v>31383.248803827752</v>
      </c>
      <c r="BM84" s="552"/>
      <c r="BN84" s="550"/>
      <c r="BO84" s="551"/>
      <c r="BP84" s="553"/>
      <c r="BQ84" s="554">
        <f t="shared" si="311"/>
        <v>-1</v>
      </c>
      <c r="BR84" s="555">
        <f t="shared" si="312"/>
        <v>-1</v>
      </c>
      <c r="BS84" s="556">
        <f t="shared" si="313"/>
        <v>-1</v>
      </c>
      <c r="BT84" s="549"/>
      <c r="BU84" s="539"/>
      <c r="BV84" s="539"/>
      <c r="BW84" s="544"/>
      <c r="BX84" s="544"/>
    </row>
    <row r="85" spans="1:76">
      <c r="A85" s="10" t="str">
        <f t="shared" si="300"/>
        <v>솔루션MSP그룹CL2(사원-선임)</v>
      </c>
      <c r="B85" s="526" t="str">
        <f>+B84</f>
        <v>솔루션MSP그룹</v>
      </c>
      <c r="C85" s="527" t="s">
        <v>248</v>
      </c>
      <c r="D85" s="18" t="s">
        <v>111</v>
      </c>
      <c r="E85" s="17" t="s">
        <v>457</v>
      </c>
      <c r="F85" s="18" t="s">
        <v>461</v>
      </c>
      <c r="G85" s="552">
        <v>6151028</v>
      </c>
      <c r="H85" s="550">
        <v>6151028</v>
      </c>
      <c r="I85" s="550">
        <v>5875484</v>
      </c>
      <c r="J85" s="550">
        <f t="shared" ref="J85:T85" si="320">I85</f>
        <v>5875484</v>
      </c>
      <c r="K85" s="550">
        <f t="shared" si="320"/>
        <v>5875484</v>
      </c>
      <c r="L85" s="550">
        <f t="shared" si="320"/>
        <v>5875484</v>
      </c>
      <c r="M85" s="550">
        <f t="shared" si="320"/>
        <v>5875484</v>
      </c>
      <c r="N85" s="550">
        <f t="shared" si="320"/>
        <v>5875484</v>
      </c>
      <c r="O85" s="550">
        <f t="shared" si="320"/>
        <v>5875484</v>
      </c>
      <c r="P85" s="550">
        <f t="shared" si="320"/>
        <v>5875484</v>
      </c>
      <c r="Q85" s="550">
        <f t="shared" si="320"/>
        <v>5875484</v>
      </c>
      <c r="R85" s="551">
        <v>6029209</v>
      </c>
      <c r="S85" s="552">
        <f t="shared" si="320"/>
        <v>6029209</v>
      </c>
      <c r="T85" s="550">
        <f t="shared" si="320"/>
        <v>6029209</v>
      </c>
      <c r="U85" s="550">
        <f t="shared" si="302"/>
        <v>6330669</v>
      </c>
      <c r="V85" s="47">
        <v>6255109</v>
      </c>
      <c r="W85" s="550">
        <f t="shared" ref="W85:AF85" si="321">V85</f>
        <v>6255109</v>
      </c>
      <c r="X85" s="550">
        <f t="shared" si="321"/>
        <v>6255109</v>
      </c>
      <c r="Y85" s="550">
        <f t="shared" si="321"/>
        <v>6255109</v>
      </c>
      <c r="Z85" s="550">
        <f t="shared" si="321"/>
        <v>6255109</v>
      </c>
      <c r="AA85" s="550">
        <f t="shared" si="321"/>
        <v>6255109</v>
      </c>
      <c r="AB85" s="550">
        <f t="shared" si="321"/>
        <v>6255109</v>
      </c>
      <c r="AC85" s="550">
        <f t="shared" si="321"/>
        <v>6255109</v>
      </c>
      <c r="AD85" s="551">
        <f t="shared" si="321"/>
        <v>6255109</v>
      </c>
      <c r="AE85" s="552">
        <f t="shared" si="321"/>
        <v>6255109</v>
      </c>
      <c r="AF85" s="550">
        <f t="shared" si="321"/>
        <v>6255109</v>
      </c>
      <c r="AG85" s="550">
        <f t="shared" si="304"/>
        <v>6567864</v>
      </c>
      <c r="AH85" s="550">
        <f t="shared" si="305"/>
        <v>6567864</v>
      </c>
      <c r="AI85" s="550">
        <f t="shared" si="305"/>
        <v>6567864</v>
      </c>
      <c r="AJ85" s="550">
        <f t="shared" si="305"/>
        <v>6567864</v>
      </c>
      <c r="AK85" s="550">
        <f t="shared" si="305"/>
        <v>6567864</v>
      </c>
      <c r="AL85" s="550">
        <f t="shared" si="305"/>
        <v>6567864</v>
      </c>
      <c r="AM85" s="550">
        <f t="shared" si="305"/>
        <v>6567864</v>
      </c>
      <c r="AN85" s="550">
        <f t="shared" si="305"/>
        <v>6567864</v>
      </c>
      <c r="AO85" s="550">
        <f t="shared" si="305"/>
        <v>6567864</v>
      </c>
      <c r="AP85" s="691">
        <f t="shared" si="306"/>
        <v>6567864</v>
      </c>
      <c r="AQ85" s="691">
        <f t="shared" si="307"/>
        <v>6567864</v>
      </c>
      <c r="AR85" s="691">
        <f t="shared" si="308"/>
        <v>6567864</v>
      </c>
      <c r="AS85" s="697">
        <f t="shared" si="267"/>
        <v>6896257</v>
      </c>
      <c r="AT85" s="691">
        <f t="shared" ref="AT85:BB85" si="322">+AS85</f>
        <v>6896257</v>
      </c>
      <c r="AU85" s="691">
        <f t="shared" si="322"/>
        <v>6896257</v>
      </c>
      <c r="AV85" s="691">
        <f t="shared" si="322"/>
        <v>6896257</v>
      </c>
      <c r="AW85" s="691">
        <f t="shared" si="322"/>
        <v>6896257</v>
      </c>
      <c r="AX85" s="691">
        <f t="shared" si="322"/>
        <v>6896257</v>
      </c>
      <c r="AY85" s="691">
        <f t="shared" si="322"/>
        <v>6896257</v>
      </c>
      <c r="AZ85" s="691">
        <f t="shared" si="322"/>
        <v>6896257</v>
      </c>
      <c r="BA85" s="691">
        <f t="shared" si="322"/>
        <v>6896257</v>
      </c>
      <c r="BB85" s="551">
        <f t="shared" si="322"/>
        <v>6896257</v>
      </c>
      <c r="BC85" s="544" t="str">
        <f t="shared" si="310"/>
        <v>솔루션MSP그룹책임(CL3)</v>
      </c>
      <c r="BD85" s="544" t="str">
        <f>B85&amp;E85</f>
        <v>솔루션MSP그룹CL2(사원-선임)</v>
      </c>
      <c r="BE85" s="552">
        <v>4042423</v>
      </c>
      <c r="BF85" s="550">
        <v>126645.89041095891</v>
      </c>
      <c r="BG85" s="550">
        <v>5040234.5358447488</v>
      </c>
      <c r="BH85" s="551">
        <v>24115.954716960521</v>
      </c>
      <c r="BI85" s="552">
        <v>4230627</v>
      </c>
      <c r="BJ85" s="550">
        <v>29056</v>
      </c>
      <c r="BK85" s="551">
        <v>5228767</v>
      </c>
      <c r="BL85" s="553">
        <v>25018.023923444976</v>
      </c>
      <c r="BM85" s="552"/>
      <c r="BN85" s="550"/>
      <c r="BO85" s="551"/>
      <c r="BP85" s="553"/>
      <c r="BQ85" s="554">
        <f t="shared" si="311"/>
        <v>-1</v>
      </c>
      <c r="BR85" s="555">
        <f t="shared" si="312"/>
        <v>-1</v>
      </c>
      <c r="BS85" s="556">
        <f t="shared" si="313"/>
        <v>-1</v>
      </c>
      <c r="BT85" s="549"/>
      <c r="BU85" s="539"/>
      <c r="BV85" s="539"/>
      <c r="BW85" s="544"/>
      <c r="BX85" s="544"/>
    </row>
    <row r="86" spans="1:76">
      <c r="A86" s="10" t="str">
        <f t="shared" si="300"/>
        <v>솔루션MSP그룹</v>
      </c>
      <c r="B86" s="526" t="str">
        <f>+B85</f>
        <v>솔루션MSP그룹</v>
      </c>
      <c r="C86" s="527" t="s">
        <v>249</v>
      </c>
      <c r="D86" s="18" t="s">
        <v>112</v>
      </c>
      <c r="E86" s="17"/>
      <c r="F86" s="18"/>
      <c r="G86" s="45"/>
      <c r="H86" s="46"/>
      <c r="I86" s="47">
        <f>ROUND(H86*105%,0)</f>
        <v>0</v>
      </c>
      <c r="J86" s="46"/>
      <c r="K86" s="46"/>
      <c r="L86" s="46"/>
      <c r="M86" s="46"/>
      <c r="N86" s="46"/>
      <c r="O86" s="46"/>
      <c r="P86" s="46"/>
      <c r="Q86" s="46"/>
      <c r="R86" s="48"/>
      <c r="S86" s="45"/>
      <c r="T86" s="46"/>
      <c r="U86" s="550">
        <f t="shared" si="302"/>
        <v>0</v>
      </c>
      <c r="V86" s="47"/>
      <c r="W86" s="46"/>
      <c r="X86" s="46"/>
      <c r="Y86" s="46"/>
      <c r="Z86" s="46"/>
      <c r="AA86" s="46"/>
      <c r="AB86" s="46"/>
      <c r="AC86" s="46"/>
      <c r="AD86" s="48"/>
      <c r="AE86" s="45"/>
      <c r="AF86" s="46"/>
      <c r="AG86" s="47">
        <f t="shared" si="304"/>
        <v>0</v>
      </c>
      <c r="AH86" s="46"/>
      <c r="AI86" s="46"/>
      <c r="AJ86" s="46"/>
      <c r="AK86" s="46"/>
      <c r="AL86" s="46"/>
      <c r="AM86" s="46"/>
      <c r="AN86" s="46"/>
      <c r="AO86" s="46"/>
      <c r="AP86" s="688"/>
      <c r="AQ86" s="688"/>
      <c r="AR86" s="688"/>
      <c r="AS86" s="697">
        <f t="shared" si="267"/>
        <v>0</v>
      </c>
      <c r="AT86" s="688">
        <f t="shared" ref="AT86:BB86" si="323">+AS86</f>
        <v>0</v>
      </c>
      <c r="AU86" s="688">
        <f t="shared" si="323"/>
        <v>0</v>
      </c>
      <c r="AV86" s="688">
        <f t="shared" si="323"/>
        <v>0</v>
      </c>
      <c r="AW86" s="688">
        <f t="shared" si="323"/>
        <v>0</v>
      </c>
      <c r="AX86" s="688">
        <f t="shared" si="323"/>
        <v>0</v>
      </c>
      <c r="AY86" s="688">
        <f t="shared" si="323"/>
        <v>0</v>
      </c>
      <c r="AZ86" s="688">
        <f t="shared" si="323"/>
        <v>0</v>
      </c>
      <c r="BA86" s="688">
        <f t="shared" si="323"/>
        <v>0</v>
      </c>
      <c r="BB86" s="48">
        <f t="shared" si="323"/>
        <v>0</v>
      </c>
      <c r="BC86" s="10" t="str">
        <f t="shared" si="310"/>
        <v>솔루션MSP그룹선임(CL2)</v>
      </c>
      <c r="BD86" s="10" t="s">
        <v>451</v>
      </c>
      <c r="BE86" s="45">
        <v>0</v>
      </c>
      <c r="BF86" s="46"/>
      <c r="BG86" s="46"/>
      <c r="BH86" s="48"/>
      <c r="BI86" s="45">
        <v>0</v>
      </c>
      <c r="BJ86" s="46">
        <v>0</v>
      </c>
      <c r="BK86" s="48">
        <v>0</v>
      </c>
      <c r="BL86" s="496"/>
      <c r="BM86" s="45"/>
      <c r="BN86" s="46"/>
      <c r="BO86" s="48"/>
      <c r="BP86" s="496"/>
      <c r="BQ86" s="487" t="str">
        <f t="shared" si="311"/>
        <v/>
      </c>
      <c r="BR86" s="481" t="str">
        <f t="shared" si="312"/>
        <v/>
      </c>
      <c r="BS86" s="473" t="str">
        <f t="shared" si="313"/>
        <v/>
      </c>
      <c r="BT86" s="13"/>
    </row>
    <row r="87" spans="1:76">
      <c r="A87" s="10" t="str">
        <f t="shared" si="300"/>
        <v>솔루션MSP그룹</v>
      </c>
      <c r="B87" s="528" t="str">
        <f>+B86</f>
        <v>솔루션MSP그룹</v>
      </c>
      <c r="C87" s="529" t="s">
        <v>250</v>
      </c>
      <c r="D87" s="20" t="s">
        <v>104</v>
      </c>
      <c r="E87" s="19"/>
      <c r="F87" s="20"/>
      <c r="G87" s="49"/>
      <c r="H87" s="50"/>
      <c r="I87" s="51">
        <f>ROUND(H87*105%,0)</f>
        <v>0</v>
      </c>
      <c r="J87" s="50"/>
      <c r="K87" s="50"/>
      <c r="L87" s="50"/>
      <c r="M87" s="50"/>
      <c r="N87" s="50"/>
      <c r="O87" s="50"/>
      <c r="P87" s="50"/>
      <c r="Q87" s="50"/>
      <c r="R87" s="52"/>
      <c r="S87" s="49"/>
      <c r="T87" s="50"/>
      <c r="U87" s="1199">
        <f t="shared" si="302"/>
        <v>0</v>
      </c>
      <c r="V87" s="51"/>
      <c r="W87" s="50"/>
      <c r="X87" s="50"/>
      <c r="Y87" s="50"/>
      <c r="Z87" s="50"/>
      <c r="AA87" s="50"/>
      <c r="AB87" s="50"/>
      <c r="AC87" s="50"/>
      <c r="AD87" s="52"/>
      <c r="AE87" s="49"/>
      <c r="AF87" s="50"/>
      <c r="AG87" s="51">
        <f t="shared" si="304"/>
        <v>0</v>
      </c>
      <c r="AH87" s="50"/>
      <c r="AI87" s="50"/>
      <c r="AJ87" s="50"/>
      <c r="AK87" s="50"/>
      <c r="AL87" s="50"/>
      <c r="AM87" s="50"/>
      <c r="AN87" s="50"/>
      <c r="AO87" s="50"/>
      <c r="AP87" s="689"/>
      <c r="AQ87" s="689"/>
      <c r="AR87" s="689"/>
      <c r="AS87" s="698">
        <f t="shared" si="267"/>
        <v>0</v>
      </c>
      <c r="AT87" s="689">
        <f t="shared" ref="AT87:BB87" si="324">+AS87</f>
        <v>0</v>
      </c>
      <c r="AU87" s="689">
        <f t="shared" si="324"/>
        <v>0</v>
      </c>
      <c r="AV87" s="689">
        <f t="shared" si="324"/>
        <v>0</v>
      </c>
      <c r="AW87" s="689">
        <f t="shared" si="324"/>
        <v>0</v>
      </c>
      <c r="AX87" s="689">
        <f t="shared" si="324"/>
        <v>0</v>
      </c>
      <c r="AY87" s="689">
        <f t="shared" si="324"/>
        <v>0</v>
      </c>
      <c r="AZ87" s="689">
        <f t="shared" si="324"/>
        <v>0</v>
      </c>
      <c r="BA87" s="689">
        <f t="shared" si="324"/>
        <v>0</v>
      </c>
      <c r="BB87" s="52">
        <f t="shared" si="324"/>
        <v>0</v>
      </c>
      <c r="BC87" s="10" t="str">
        <f t="shared" si="310"/>
        <v>솔루션MSP그룹사원(CL1-CL2)</v>
      </c>
      <c r="BD87" s="10" t="s">
        <v>452</v>
      </c>
      <c r="BE87" s="49">
        <v>0</v>
      </c>
      <c r="BF87" s="50"/>
      <c r="BG87" s="50"/>
      <c r="BH87" s="52"/>
      <c r="BI87" s="49">
        <v>0</v>
      </c>
      <c r="BJ87" s="50">
        <v>0</v>
      </c>
      <c r="BK87" s="52">
        <v>0</v>
      </c>
      <c r="BL87" s="497"/>
      <c r="BM87" s="49"/>
      <c r="BN87" s="50"/>
      <c r="BO87" s="52"/>
      <c r="BP87" s="497"/>
      <c r="BQ87" s="488" t="str">
        <f t="shared" si="311"/>
        <v/>
      </c>
      <c r="BR87" s="482" t="str">
        <f t="shared" si="312"/>
        <v/>
      </c>
      <c r="BS87" s="474" t="str">
        <f t="shared" si="313"/>
        <v/>
      </c>
      <c r="BT87" s="13"/>
    </row>
    <row r="88" spans="1:76">
      <c r="A88" s="10" t="str">
        <f t="shared" si="300"/>
        <v>생명/증권 IT그룹이사</v>
      </c>
      <c r="B88" s="523" t="s">
        <v>1008</v>
      </c>
      <c r="C88" s="525" t="s">
        <v>12</v>
      </c>
      <c r="D88" s="15" t="s">
        <v>105</v>
      </c>
      <c r="E88" s="16" t="s">
        <v>12</v>
      </c>
      <c r="F88" s="15" t="s">
        <v>82</v>
      </c>
      <c r="G88" s="41">
        <v>0</v>
      </c>
      <c r="H88" s="42">
        <v>0</v>
      </c>
      <c r="I88" s="43">
        <f>ROUND(H88*105%,0)</f>
        <v>0</v>
      </c>
      <c r="J88" s="42">
        <f t="shared" ref="J88:T88" si="325">I88</f>
        <v>0</v>
      </c>
      <c r="K88" s="42">
        <f t="shared" si="325"/>
        <v>0</v>
      </c>
      <c r="L88" s="42">
        <f t="shared" si="325"/>
        <v>0</v>
      </c>
      <c r="M88" s="42">
        <f t="shared" si="325"/>
        <v>0</v>
      </c>
      <c r="N88" s="42">
        <f t="shared" si="325"/>
        <v>0</v>
      </c>
      <c r="O88" s="42">
        <f t="shared" si="325"/>
        <v>0</v>
      </c>
      <c r="P88" s="42">
        <f t="shared" si="325"/>
        <v>0</v>
      </c>
      <c r="Q88" s="42">
        <f t="shared" si="325"/>
        <v>0</v>
      </c>
      <c r="R88" s="44">
        <f t="shared" si="325"/>
        <v>0</v>
      </c>
      <c r="S88" s="41">
        <f t="shared" si="325"/>
        <v>0</v>
      </c>
      <c r="T88" s="42">
        <f t="shared" si="325"/>
        <v>0</v>
      </c>
      <c r="U88" s="541">
        <f t="shared" si="302"/>
        <v>0</v>
      </c>
      <c r="V88" s="43">
        <f t="shared" ref="V88:AF88" si="326">U88</f>
        <v>0</v>
      </c>
      <c r="W88" s="42">
        <f t="shared" si="326"/>
        <v>0</v>
      </c>
      <c r="X88" s="42">
        <f t="shared" si="326"/>
        <v>0</v>
      </c>
      <c r="Y88" s="42">
        <f t="shared" si="326"/>
        <v>0</v>
      </c>
      <c r="Z88" s="42">
        <f t="shared" si="326"/>
        <v>0</v>
      </c>
      <c r="AA88" s="42">
        <f t="shared" si="326"/>
        <v>0</v>
      </c>
      <c r="AB88" s="42">
        <f t="shared" si="326"/>
        <v>0</v>
      </c>
      <c r="AC88" s="42">
        <f t="shared" si="326"/>
        <v>0</v>
      </c>
      <c r="AD88" s="44">
        <f t="shared" si="326"/>
        <v>0</v>
      </c>
      <c r="AE88" s="41">
        <f t="shared" si="326"/>
        <v>0</v>
      </c>
      <c r="AF88" s="42">
        <f t="shared" si="326"/>
        <v>0</v>
      </c>
      <c r="AG88" s="43">
        <f t="shared" si="304"/>
        <v>0</v>
      </c>
      <c r="AH88" s="42">
        <f t="shared" ref="AH88:AO91" si="327">AG88</f>
        <v>0</v>
      </c>
      <c r="AI88" s="42">
        <f t="shared" si="327"/>
        <v>0</v>
      </c>
      <c r="AJ88" s="42">
        <f t="shared" si="327"/>
        <v>0</v>
      </c>
      <c r="AK88" s="42">
        <f t="shared" si="327"/>
        <v>0</v>
      </c>
      <c r="AL88" s="42">
        <f t="shared" si="327"/>
        <v>0</v>
      </c>
      <c r="AM88" s="42">
        <f t="shared" si="327"/>
        <v>0</v>
      </c>
      <c r="AN88" s="42">
        <f t="shared" si="327"/>
        <v>0</v>
      </c>
      <c r="AO88" s="42">
        <f t="shared" si="327"/>
        <v>0</v>
      </c>
      <c r="AP88" s="687">
        <f t="shared" ref="AP88:AP91" si="328">AO88</f>
        <v>0</v>
      </c>
      <c r="AQ88" s="687">
        <f t="shared" ref="AQ88:AQ91" si="329">AP88</f>
        <v>0</v>
      </c>
      <c r="AR88" s="687">
        <f t="shared" ref="AR88:AR91" si="330">AQ88</f>
        <v>0</v>
      </c>
      <c r="AS88" s="696">
        <f t="shared" si="267"/>
        <v>0</v>
      </c>
      <c r="AT88" s="687">
        <f t="shared" ref="AT88:BB88" si="331">+AS88</f>
        <v>0</v>
      </c>
      <c r="AU88" s="687">
        <f t="shared" si="331"/>
        <v>0</v>
      </c>
      <c r="AV88" s="687">
        <f t="shared" si="331"/>
        <v>0</v>
      </c>
      <c r="AW88" s="687">
        <f t="shared" si="331"/>
        <v>0</v>
      </c>
      <c r="AX88" s="687">
        <f t="shared" si="331"/>
        <v>0</v>
      </c>
      <c r="AY88" s="687">
        <f t="shared" si="331"/>
        <v>0</v>
      </c>
      <c r="AZ88" s="687">
        <f t="shared" si="331"/>
        <v>0</v>
      </c>
      <c r="BA88" s="687">
        <f t="shared" si="331"/>
        <v>0</v>
      </c>
      <c r="BB88" s="44">
        <f t="shared" si="331"/>
        <v>0</v>
      </c>
      <c r="BC88" s="10" t="str">
        <f t="shared" si="310"/>
        <v>생명/증권 IT그룹이사</v>
      </c>
      <c r="BD88" s="544" t="str">
        <f t="shared" ref="BD88:BD105" si="332">B88&amp;E88</f>
        <v>생명/증권 IT그룹이사</v>
      </c>
      <c r="BE88" s="41"/>
      <c r="BF88" s="42"/>
      <c r="BG88" s="42"/>
      <c r="BH88" s="44"/>
      <c r="BI88" s="41"/>
      <c r="BJ88" s="42"/>
      <c r="BK88" s="44"/>
      <c r="BL88" s="495"/>
      <c r="BM88" s="41"/>
      <c r="BN88" s="42"/>
      <c r="BO88" s="44"/>
      <c r="BP88" s="495"/>
      <c r="BQ88" s="486"/>
      <c r="BR88" s="480"/>
      <c r="BS88" s="472"/>
      <c r="BT88" s="13"/>
    </row>
    <row r="89" spans="1:76">
      <c r="A89" s="10" t="str">
        <f t="shared" si="300"/>
        <v>생명/증권 IT그룹CL4(수석)</v>
      </c>
      <c r="B89" s="526" t="str">
        <f>+B88</f>
        <v>생명/증권 IT그룹</v>
      </c>
      <c r="C89" s="527" t="s">
        <v>246</v>
      </c>
      <c r="D89" s="18" t="s">
        <v>105</v>
      </c>
      <c r="E89" s="17" t="s">
        <v>445</v>
      </c>
      <c r="F89" s="18" t="s">
        <v>82</v>
      </c>
      <c r="G89" s="45">
        <v>9364814</v>
      </c>
      <c r="H89" s="46">
        <v>9364814</v>
      </c>
      <c r="I89" s="47">
        <v>9637909</v>
      </c>
      <c r="J89" s="46">
        <f t="shared" ref="J89:T89" si="333">I89</f>
        <v>9637909</v>
      </c>
      <c r="K89" s="46">
        <f t="shared" si="333"/>
        <v>9637909</v>
      </c>
      <c r="L89" s="46">
        <f t="shared" si="333"/>
        <v>9637909</v>
      </c>
      <c r="M89" s="46">
        <f t="shared" si="333"/>
        <v>9637909</v>
      </c>
      <c r="N89" s="46">
        <f t="shared" si="333"/>
        <v>9637909</v>
      </c>
      <c r="O89" s="46">
        <f t="shared" si="333"/>
        <v>9637909</v>
      </c>
      <c r="P89" s="46">
        <f t="shared" si="333"/>
        <v>9637909</v>
      </c>
      <c r="Q89" s="46">
        <f t="shared" si="333"/>
        <v>9637909</v>
      </c>
      <c r="R89" s="48">
        <f t="shared" si="333"/>
        <v>9637909</v>
      </c>
      <c r="S89" s="45">
        <f t="shared" si="333"/>
        <v>9637909</v>
      </c>
      <c r="T89" s="46">
        <f t="shared" si="333"/>
        <v>9637909</v>
      </c>
      <c r="U89" s="550">
        <f t="shared" si="302"/>
        <v>10119804</v>
      </c>
      <c r="V89" s="47">
        <v>9858831</v>
      </c>
      <c r="W89" s="46">
        <f t="shared" ref="W89:AF89" si="334">V89</f>
        <v>9858831</v>
      </c>
      <c r="X89" s="46">
        <f t="shared" si="334"/>
        <v>9858831</v>
      </c>
      <c r="Y89" s="46">
        <f t="shared" si="334"/>
        <v>9858831</v>
      </c>
      <c r="Z89" s="46">
        <f t="shared" si="334"/>
        <v>9858831</v>
      </c>
      <c r="AA89" s="46">
        <f t="shared" si="334"/>
        <v>9858831</v>
      </c>
      <c r="AB89" s="46">
        <f t="shared" si="334"/>
        <v>9858831</v>
      </c>
      <c r="AC89" s="46">
        <f t="shared" si="334"/>
        <v>9858831</v>
      </c>
      <c r="AD89" s="48">
        <f t="shared" si="334"/>
        <v>9858831</v>
      </c>
      <c r="AE89" s="45">
        <f t="shared" si="334"/>
        <v>9858831</v>
      </c>
      <c r="AF89" s="46">
        <f t="shared" si="334"/>
        <v>9858831</v>
      </c>
      <c r="AG89" s="47">
        <f t="shared" si="304"/>
        <v>10351773</v>
      </c>
      <c r="AH89" s="46">
        <f t="shared" si="327"/>
        <v>10351773</v>
      </c>
      <c r="AI89" s="46">
        <f t="shared" si="327"/>
        <v>10351773</v>
      </c>
      <c r="AJ89" s="46">
        <f t="shared" si="327"/>
        <v>10351773</v>
      </c>
      <c r="AK89" s="46">
        <f t="shared" si="327"/>
        <v>10351773</v>
      </c>
      <c r="AL89" s="46">
        <f t="shared" si="327"/>
        <v>10351773</v>
      </c>
      <c r="AM89" s="46">
        <f t="shared" si="327"/>
        <v>10351773</v>
      </c>
      <c r="AN89" s="46">
        <f t="shared" si="327"/>
        <v>10351773</v>
      </c>
      <c r="AO89" s="46">
        <f t="shared" si="327"/>
        <v>10351773</v>
      </c>
      <c r="AP89" s="688">
        <f t="shared" si="328"/>
        <v>10351773</v>
      </c>
      <c r="AQ89" s="688">
        <f t="shared" si="329"/>
        <v>10351773</v>
      </c>
      <c r="AR89" s="688">
        <f t="shared" si="330"/>
        <v>10351773</v>
      </c>
      <c r="AS89" s="697">
        <f t="shared" si="267"/>
        <v>10869362</v>
      </c>
      <c r="AT89" s="688">
        <f t="shared" ref="AT89:BB89" si="335">+AS89</f>
        <v>10869362</v>
      </c>
      <c r="AU89" s="688">
        <f t="shared" si="335"/>
        <v>10869362</v>
      </c>
      <c r="AV89" s="688">
        <f t="shared" si="335"/>
        <v>10869362</v>
      </c>
      <c r="AW89" s="688">
        <f t="shared" si="335"/>
        <v>10869362</v>
      </c>
      <c r="AX89" s="688">
        <f t="shared" si="335"/>
        <v>10869362</v>
      </c>
      <c r="AY89" s="688">
        <f t="shared" si="335"/>
        <v>10869362</v>
      </c>
      <c r="AZ89" s="688">
        <f t="shared" si="335"/>
        <v>10869362</v>
      </c>
      <c r="BA89" s="688">
        <f t="shared" si="335"/>
        <v>10869362</v>
      </c>
      <c r="BB89" s="48">
        <f t="shared" si="335"/>
        <v>10869362</v>
      </c>
      <c r="BC89" s="10" t="str">
        <f t="shared" si="310"/>
        <v>생명/증권 IT그룹수석(CL4)</v>
      </c>
      <c r="BD89" s="544" t="str">
        <f t="shared" si="332"/>
        <v>생명/증권 IT그룹CL4(수석)</v>
      </c>
      <c r="BE89" s="45"/>
      <c r="BF89" s="46"/>
      <c r="BG89" s="46"/>
      <c r="BH89" s="48"/>
      <c r="BI89" s="45"/>
      <c r="BJ89" s="46"/>
      <c r="BK89" s="48"/>
      <c r="BL89" s="496"/>
      <c r="BM89" s="45"/>
      <c r="BN89" s="46"/>
      <c r="BO89" s="48"/>
      <c r="BP89" s="496"/>
      <c r="BQ89" s="487"/>
      <c r="BR89" s="481"/>
      <c r="BS89" s="473"/>
      <c r="BT89" s="13"/>
    </row>
    <row r="90" spans="1:76">
      <c r="A90" s="10" t="str">
        <f t="shared" si="300"/>
        <v>생명/증권 IT그룹CL3(책임-수석보)</v>
      </c>
      <c r="B90" s="526" t="str">
        <f>+B89</f>
        <v>생명/증권 IT그룹</v>
      </c>
      <c r="C90" s="527" t="s">
        <v>247</v>
      </c>
      <c r="D90" s="18" t="s">
        <v>105</v>
      </c>
      <c r="E90" s="17" t="s">
        <v>455</v>
      </c>
      <c r="F90" s="18" t="s">
        <v>459</v>
      </c>
      <c r="G90" s="45">
        <v>7865945</v>
      </c>
      <c r="H90" s="46">
        <v>7865945</v>
      </c>
      <c r="I90" s="47">
        <v>8079262</v>
      </c>
      <c r="J90" s="46">
        <f t="shared" ref="J90:T90" si="336">I90</f>
        <v>8079262</v>
      </c>
      <c r="K90" s="46">
        <f t="shared" si="336"/>
        <v>8079262</v>
      </c>
      <c r="L90" s="46">
        <f t="shared" si="336"/>
        <v>8079262</v>
      </c>
      <c r="M90" s="46">
        <f t="shared" si="336"/>
        <v>8079262</v>
      </c>
      <c r="N90" s="46">
        <f t="shared" si="336"/>
        <v>8079262</v>
      </c>
      <c r="O90" s="46">
        <f t="shared" si="336"/>
        <v>8079262</v>
      </c>
      <c r="P90" s="46">
        <f t="shared" si="336"/>
        <v>8079262</v>
      </c>
      <c r="Q90" s="46">
        <f t="shared" si="336"/>
        <v>8079262</v>
      </c>
      <c r="R90" s="48">
        <f t="shared" si="336"/>
        <v>8079262</v>
      </c>
      <c r="S90" s="45">
        <f t="shared" si="336"/>
        <v>8079262</v>
      </c>
      <c r="T90" s="46">
        <f t="shared" si="336"/>
        <v>8079262</v>
      </c>
      <c r="U90" s="550">
        <f t="shared" si="302"/>
        <v>8483225</v>
      </c>
      <c r="V90" s="47">
        <v>8193837</v>
      </c>
      <c r="W90" s="46">
        <f t="shared" ref="W90:AF90" si="337">V90</f>
        <v>8193837</v>
      </c>
      <c r="X90" s="46">
        <f t="shared" si="337"/>
        <v>8193837</v>
      </c>
      <c r="Y90" s="46">
        <f t="shared" si="337"/>
        <v>8193837</v>
      </c>
      <c r="Z90" s="46">
        <f t="shared" si="337"/>
        <v>8193837</v>
      </c>
      <c r="AA90" s="46">
        <f t="shared" si="337"/>
        <v>8193837</v>
      </c>
      <c r="AB90" s="46">
        <f t="shared" si="337"/>
        <v>8193837</v>
      </c>
      <c r="AC90" s="46">
        <f t="shared" si="337"/>
        <v>8193837</v>
      </c>
      <c r="AD90" s="48">
        <f t="shared" si="337"/>
        <v>8193837</v>
      </c>
      <c r="AE90" s="45">
        <f t="shared" si="337"/>
        <v>8193837</v>
      </c>
      <c r="AF90" s="46">
        <f t="shared" si="337"/>
        <v>8193837</v>
      </c>
      <c r="AG90" s="47">
        <f t="shared" si="304"/>
        <v>8603529</v>
      </c>
      <c r="AH90" s="46">
        <f t="shared" si="327"/>
        <v>8603529</v>
      </c>
      <c r="AI90" s="46">
        <f t="shared" si="327"/>
        <v>8603529</v>
      </c>
      <c r="AJ90" s="46">
        <f t="shared" si="327"/>
        <v>8603529</v>
      </c>
      <c r="AK90" s="46">
        <f t="shared" si="327"/>
        <v>8603529</v>
      </c>
      <c r="AL90" s="46">
        <f t="shared" si="327"/>
        <v>8603529</v>
      </c>
      <c r="AM90" s="46">
        <f t="shared" si="327"/>
        <v>8603529</v>
      </c>
      <c r="AN90" s="46">
        <f t="shared" si="327"/>
        <v>8603529</v>
      </c>
      <c r="AO90" s="46">
        <f t="shared" si="327"/>
        <v>8603529</v>
      </c>
      <c r="AP90" s="688">
        <f t="shared" si="328"/>
        <v>8603529</v>
      </c>
      <c r="AQ90" s="688">
        <f t="shared" si="329"/>
        <v>8603529</v>
      </c>
      <c r="AR90" s="688">
        <f t="shared" si="330"/>
        <v>8603529</v>
      </c>
      <c r="AS90" s="697">
        <f t="shared" si="267"/>
        <v>9033705</v>
      </c>
      <c r="AT90" s="688">
        <f t="shared" ref="AT90:BB90" si="338">+AS90</f>
        <v>9033705</v>
      </c>
      <c r="AU90" s="688">
        <f t="shared" si="338"/>
        <v>9033705</v>
      </c>
      <c r="AV90" s="688">
        <f t="shared" si="338"/>
        <v>9033705</v>
      </c>
      <c r="AW90" s="688">
        <f t="shared" si="338"/>
        <v>9033705</v>
      </c>
      <c r="AX90" s="688">
        <f t="shared" si="338"/>
        <v>9033705</v>
      </c>
      <c r="AY90" s="688">
        <f t="shared" si="338"/>
        <v>9033705</v>
      </c>
      <c r="AZ90" s="688">
        <f t="shared" si="338"/>
        <v>9033705</v>
      </c>
      <c r="BA90" s="688">
        <f t="shared" si="338"/>
        <v>9033705</v>
      </c>
      <c r="BB90" s="48">
        <f t="shared" si="338"/>
        <v>9033705</v>
      </c>
      <c r="BC90" s="10" t="str">
        <f t="shared" si="310"/>
        <v>생명/증권 IT그룹수석보(CL3)</v>
      </c>
      <c r="BD90" s="544" t="str">
        <f t="shared" si="332"/>
        <v>생명/증권 IT그룹CL3(책임-수석보)</v>
      </c>
      <c r="BE90" s="45"/>
      <c r="BF90" s="46"/>
      <c r="BG90" s="46"/>
      <c r="BH90" s="48"/>
      <c r="BI90" s="45"/>
      <c r="BJ90" s="46"/>
      <c r="BK90" s="48"/>
      <c r="BL90" s="496"/>
      <c r="BM90" s="45"/>
      <c r="BN90" s="46"/>
      <c r="BO90" s="48"/>
      <c r="BP90" s="496"/>
      <c r="BQ90" s="487"/>
      <c r="BR90" s="481"/>
      <c r="BS90" s="473"/>
      <c r="BT90" s="13"/>
    </row>
    <row r="91" spans="1:76">
      <c r="A91" s="10" t="str">
        <f t="shared" si="300"/>
        <v>생명/증권 IT그룹CL2(사원-선임)</v>
      </c>
      <c r="B91" s="526" t="str">
        <f>+B90</f>
        <v>생명/증권 IT그룹</v>
      </c>
      <c r="C91" s="527" t="s">
        <v>248</v>
      </c>
      <c r="D91" s="18" t="s">
        <v>102</v>
      </c>
      <c r="E91" s="17" t="s">
        <v>457</v>
      </c>
      <c r="F91" s="18" t="s">
        <v>461</v>
      </c>
      <c r="G91" s="45">
        <v>5776758</v>
      </c>
      <c r="H91" s="46">
        <v>5776758</v>
      </c>
      <c r="I91" s="47">
        <v>4974624</v>
      </c>
      <c r="J91" s="46">
        <f t="shared" ref="J91:T91" si="339">I91</f>
        <v>4974624</v>
      </c>
      <c r="K91" s="46">
        <f t="shared" si="339"/>
        <v>4974624</v>
      </c>
      <c r="L91" s="46">
        <f t="shared" si="339"/>
        <v>4974624</v>
      </c>
      <c r="M91" s="46">
        <f t="shared" si="339"/>
        <v>4974624</v>
      </c>
      <c r="N91" s="46">
        <f t="shared" si="339"/>
        <v>4974624</v>
      </c>
      <c r="O91" s="46">
        <f t="shared" si="339"/>
        <v>4974624</v>
      </c>
      <c r="P91" s="46">
        <f t="shared" si="339"/>
        <v>4974624</v>
      </c>
      <c r="Q91" s="46">
        <f t="shared" si="339"/>
        <v>4974624</v>
      </c>
      <c r="R91" s="48">
        <f t="shared" si="339"/>
        <v>4974624</v>
      </c>
      <c r="S91" s="45">
        <f t="shared" si="339"/>
        <v>4974624</v>
      </c>
      <c r="T91" s="46">
        <f t="shared" si="339"/>
        <v>4974624</v>
      </c>
      <c r="U91" s="550">
        <f t="shared" si="302"/>
        <v>5223355</v>
      </c>
      <c r="V91" s="47">
        <v>5563711</v>
      </c>
      <c r="W91" s="46">
        <f t="shared" ref="W91:AF91" si="340">V91</f>
        <v>5563711</v>
      </c>
      <c r="X91" s="46">
        <f t="shared" si="340"/>
        <v>5563711</v>
      </c>
      <c r="Y91" s="46">
        <f t="shared" si="340"/>
        <v>5563711</v>
      </c>
      <c r="Z91" s="46">
        <f t="shared" si="340"/>
        <v>5563711</v>
      </c>
      <c r="AA91" s="46">
        <f t="shared" si="340"/>
        <v>5563711</v>
      </c>
      <c r="AB91" s="46">
        <f t="shared" si="340"/>
        <v>5563711</v>
      </c>
      <c r="AC91" s="46">
        <f t="shared" si="340"/>
        <v>5563711</v>
      </c>
      <c r="AD91" s="48">
        <f t="shared" si="340"/>
        <v>5563711</v>
      </c>
      <c r="AE91" s="45">
        <f t="shared" si="340"/>
        <v>5563711</v>
      </c>
      <c r="AF91" s="46">
        <f t="shared" si="340"/>
        <v>5563711</v>
      </c>
      <c r="AG91" s="47">
        <f t="shared" si="304"/>
        <v>5841897</v>
      </c>
      <c r="AH91" s="46">
        <f t="shared" si="327"/>
        <v>5841897</v>
      </c>
      <c r="AI91" s="46">
        <f t="shared" si="327"/>
        <v>5841897</v>
      </c>
      <c r="AJ91" s="46">
        <f t="shared" si="327"/>
        <v>5841897</v>
      </c>
      <c r="AK91" s="46">
        <f t="shared" si="327"/>
        <v>5841897</v>
      </c>
      <c r="AL91" s="46">
        <f t="shared" si="327"/>
        <v>5841897</v>
      </c>
      <c r="AM91" s="46">
        <f t="shared" si="327"/>
        <v>5841897</v>
      </c>
      <c r="AN91" s="46">
        <f t="shared" si="327"/>
        <v>5841897</v>
      </c>
      <c r="AO91" s="46">
        <f t="shared" si="327"/>
        <v>5841897</v>
      </c>
      <c r="AP91" s="688">
        <f t="shared" si="328"/>
        <v>5841897</v>
      </c>
      <c r="AQ91" s="688">
        <f t="shared" si="329"/>
        <v>5841897</v>
      </c>
      <c r="AR91" s="688">
        <f t="shared" si="330"/>
        <v>5841897</v>
      </c>
      <c r="AS91" s="697">
        <f t="shared" si="267"/>
        <v>6133992</v>
      </c>
      <c r="AT91" s="688">
        <f t="shared" ref="AT91:BB91" si="341">+AS91</f>
        <v>6133992</v>
      </c>
      <c r="AU91" s="688">
        <f t="shared" si="341"/>
        <v>6133992</v>
      </c>
      <c r="AV91" s="688">
        <f t="shared" si="341"/>
        <v>6133992</v>
      </c>
      <c r="AW91" s="688">
        <f t="shared" si="341"/>
        <v>6133992</v>
      </c>
      <c r="AX91" s="688">
        <f t="shared" si="341"/>
        <v>6133992</v>
      </c>
      <c r="AY91" s="688">
        <f t="shared" si="341"/>
        <v>6133992</v>
      </c>
      <c r="AZ91" s="688">
        <f t="shared" si="341"/>
        <v>6133992</v>
      </c>
      <c r="BA91" s="688">
        <f t="shared" si="341"/>
        <v>6133992</v>
      </c>
      <c r="BB91" s="48">
        <f t="shared" si="341"/>
        <v>6133992</v>
      </c>
      <c r="BC91" s="10" t="str">
        <f t="shared" si="310"/>
        <v>생명/증권 IT그룹책임(CL3)</v>
      </c>
      <c r="BD91" s="544" t="str">
        <f t="shared" si="332"/>
        <v>생명/증권 IT그룹CL2(사원-선임)</v>
      </c>
      <c r="BE91" s="45"/>
      <c r="BF91" s="46"/>
      <c r="BG91" s="46"/>
      <c r="BH91" s="48"/>
      <c r="BI91" s="45"/>
      <c r="BJ91" s="46"/>
      <c r="BK91" s="48"/>
      <c r="BL91" s="496"/>
      <c r="BM91" s="45"/>
      <c r="BN91" s="46"/>
      <c r="BO91" s="48"/>
      <c r="BP91" s="496"/>
      <c r="BQ91" s="487"/>
      <c r="BR91" s="481"/>
      <c r="BS91" s="473"/>
      <c r="BT91" s="13"/>
    </row>
    <row r="92" spans="1:76">
      <c r="A92" s="10" t="str">
        <f t="shared" si="300"/>
        <v>생명/증권 IT그룹</v>
      </c>
      <c r="B92" s="526" t="str">
        <f>+B91</f>
        <v>생명/증권 IT그룹</v>
      </c>
      <c r="C92" s="527" t="s">
        <v>249</v>
      </c>
      <c r="D92" s="18" t="s">
        <v>103</v>
      </c>
      <c r="E92" s="17"/>
      <c r="F92" s="18"/>
      <c r="G92" s="45"/>
      <c r="H92" s="46"/>
      <c r="I92" s="47"/>
      <c r="J92" s="46"/>
      <c r="K92" s="46"/>
      <c r="L92" s="46"/>
      <c r="M92" s="46"/>
      <c r="N92" s="46"/>
      <c r="O92" s="46"/>
      <c r="P92" s="46"/>
      <c r="Q92" s="46"/>
      <c r="R92" s="48"/>
      <c r="S92" s="45"/>
      <c r="T92" s="46"/>
      <c r="U92" s="550"/>
      <c r="V92" s="47"/>
      <c r="W92" s="46"/>
      <c r="X92" s="46"/>
      <c r="Y92" s="46"/>
      <c r="Z92" s="46"/>
      <c r="AA92" s="46"/>
      <c r="AB92" s="46"/>
      <c r="AC92" s="46"/>
      <c r="AD92" s="48"/>
      <c r="AE92" s="45"/>
      <c r="AF92" s="46"/>
      <c r="AG92" s="47"/>
      <c r="AH92" s="46"/>
      <c r="AI92" s="46"/>
      <c r="AJ92" s="46"/>
      <c r="AK92" s="46"/>
      <c r="AL92" s="46"/>
      <c r="AM92" s="46"/>
      <c r="AN92" s="46"/>
      <c r="AO92" s="46"/>
      <c r="AP92" s="688"/>
      <c r="AQ92" s="688"/>
      <c r="AR92" s="688"/>
      <c r="AS92" s="697">
        <f t="shared" si="267"/>
        <v>0</v>
      </c>
      <c r="AT92" s="688">
        <f t="shared" ref="AT92:BB92" si="342">+AS92</f>
        <v>0</v>
      </c>
      <c r="AU92" s="688">
        <f t="shared" si="342"/>
        <v>0</v>
      </c>
      <c r="AV92" s="688">
        <f t="shared" si="342"/>
        <v>0</v>
      </c>
      <c r="AW92" s="688">
        <f t="shared" si="342"/>
        <v>0</v>
      </c>
      <c r="AX92" s="688">
        <f t="shared" si="342"/>
        <v>0</v>
      </c>
      <c r="AY92" s="688">
        <f t="shared" si="342"/>
        <v>0</v>
      </c>
      <c r="AZ92" s="688">
        <f t="shared" si="342"/>
        <v>0</v>
      </c>
      <c r="BA92" s="688">
        <f t="shared" si="342"/>
        <v>0</v>
      </c>
      <c r="BB92" s="48">
        <f t="shared" si="342"/>
        <v>0</v>
      </c>
      <c r="BC92" s="10" t="str">
        <f t="shared" si="310"/>
        <v>생명/증권 IT그룹선임(CL2)</v>
      </c>
      <c r="BD92" s="544" t="str">
        <f t="shared" si="332"/>
        <v>생명/증권 IT그룹</v>
      </c>
      <c r="BE92" s="45"/>
      <c r="BF92" s="46"/>
      <c r="BG92" s="46"/>
      <c r="BH92" s="48"/>
      <c r="BI92" s="45"/>
      <c r="BJ92" s="46"/>
      <c r="BK92" s="48"/>
      <c r="BL92" s="496"/>
      <c r="BM92" s="45"/>
      <c r="BN92" s="46"/>
      <c r="BO92" s="48"/>
      <c r="BP92" s="496"/>
      <c r="BQ92" s="487"/>
      <c r="BR92" s="481"/>
      <c r="BS92" s="473"/>
      <c r="BT92" s="13"/>
    </row>
    <row r="93" spans="1:76">
      <c r="A93" s="10" t="str">
        <f t="shared" si="300"/>
        <v>생명/증권 IT그룹</v>
      </c>
      <c r="B93" s="528" t="str">
        <f>+B92</f>
        <v>생명/증권 IT그룹</v>
      </c>
      <c r="C93" s="529" t="s">
        <v>250</v>
      </c>
      <c r="D93" s="20" t="s">
        <v>104</v>
      </c>
      <c r="E93" s="19"/>
      <c r="F93" s="20"/>
      <c r="G93" s="49"/>
      <c r="H93" s="50"/>
      <c r="I93" s="51"/>
      <c r="J93" s="50"/>
      <c r="K93" s="50"/>
      <c r="L93" s="50"/>
      <c r="M93" s="50"/>
      <c r="N93" s="50"/>
      <c r="O93" s="50"/>
      <c r="P93" s="50"/>
      <c r="Q93" s="50"/>
      <c r="R93" s="52"/>
      <c r="S93" s="49"/>
      <c r="T93" s="50"/>
      <c r="U93" s="1199"/>
      <c r="V93" s="51"/>
      <c r="W93" s="50"/>
      <c r="X93" s="50"/>
      <c r="Y93" s="50"/>
      <c r="Z93" s="50"/>
      <c r="AA93" s="50"/>
      <c r="AB93" s="50"/>
      <c r="AC93" s="50"/>
      <c r="AD93" s="52"/>
      <c r="AE93" s="49"/>
      <c r="AF93" s="50"/>
      <c r="AG93" s="51"/>
      <c r="AH93" s="50"/>
      <c r="AI93" s="50"/>
      <c r="AJ93" s="50"/>
      <c r="AK93" s="50"/>
      <c r="AL93" s="50"/>
      <c r="AM93" s="50"/>
      <c r="AN93" s="50"/>
      <c r="AO93" s="50"/>
      <c r="AP93" s="689"/>
      <c r="AQ93" s="689"/>
      <c r="AR93" s="689"/>
      <c r="AS93" s="698">
        <f t="shared" si="267"/>
        <v>0</v>
      </c>
      <c r="AT93" s="689">
        <f t="shared" ref="AT93:BB93" si="343">+AS93</f>
        <v>0</v>
      </c>
      <c r="AU93" s="689">
        <f t="shared" si="343"/>
        <v>0</v>
      </c>
      <c r="AV93" s="689">
        <f t="shared" si="343"/>
        <v>0</v>
      </c>
      <c r="AW93" s="689">
        <f t="shared" si="343"/>
        <v>0</v>
      </c>
      <c r="AX93" s="689">
        <f t="shared" si="343"/>
        <v>0</v>
      </c>
      <c r="AY93" s="689">
        <f t="shared" si="343"/>
        <v>0</v>
      </c>
      <c r="AZ93" s="689">
        <f t="shared" si="343"/>
        <v>0</v>
      </c>
      <c r="BA93" s="689">
        <f t="shared" si="343"/>
        <v>0</v>
      </c>
      <c r="BB93" s="52">
        <f t="shared" si="343"/>
        <v>0</v>
      </c>
      <c r="BC93" s="10" t="str">
        <f t="shared" si="310"/>
        <v>생명/증권 IT그룹사원(CL1-CL2)</v>
      </c>
      <c r="BD93" s="544" t="str">
        <f t="shared" si="332"/>
        <v>생명/증권 IT그룹</v>
      </c>
      <c r="BE93" s="49"/>
      <c r="BF93" s="50"/>
      <c r="BG93" s="50"/>
      <c r="BH93" s="52"/>
      <c r="BI93" s="49"/>
      <c r="BJ93" s="50"/>
      <c r="BK93" s="52"/>
      <c r="BL93" s="497"/>
      <c r="BM93" s="49"/>
      <c r="BN93" s="50"/>
      <c r="BO93" s="52"/>
      <c r="BP93" s="497"/>
      <c r="BQ93" s="488"/>
      <c r="BR93" s="482"/>
      <c r="BS93" s="474"/>
      <c r="BT93" s="13"/>
    </row>
    <row r="94" spans="1:76">
      <c r="A94" s="10" t="str">
        <f t="shared" si="300"/>
        <v>화재/카드 IT그룹이사</v>
      </c>
      <c r="B94" s="523" t="s">
        <v>1009</v>
      </c>
      <c r="C94" s="525" t="s">
        <v>12</v>
      </c>
      <c r="D94" s="15" t="s">
        <v>105</v>
      </c>
      <c r="E94" s="16" t="s">
        <v>12</v>
      </c>
      <c r="F94" s="15" t="s">
        <v>82</v>
      </c>
      <c r="G94" s="543">
        <v>0</v>
      </c>
      <c r="H94" s="541">
        <v>0</v>
      </c>
      <c r="I94" s="541">
        <f>ROUND(H94*105%,0)</f>
        <v>0</v>
      </c>
      <c r="J94" s="541">
        <f t="shared" ref="J94:T94" si="344">I94</f>
        <v>0</v>
      </c>
      <c r="K94" s="541">
        <f t="shared" si="344"/>
        <v>0</v>
      </c>
      <c r="L94" s="541">
        <f t="shared" si="344"/>
        <v>0</v>
      </c>
      <c r="M94" s="541">
        <f t="shared" si="344"/>
        <v>0</v>
      </c>
      <c r="N94" s="541">
        <f t="shared" si="344"/>
        <v>0</v>
      </c>
      <c r="O94" s="541">
        <f t="shared" si="344"/>
        <v>0</v>
      </c>
      <c r="P94" s="541">
        <f t="shared" si="344"/>
        <v>0</v>
      </c>
      <c r="Q94" s="541">
        <f t="shared" si="344"/>
        <v>0</v>
      </c>
      <c r="R94" s="542">
        <f t="shared" si="344"/>
        <v>0</v>
      </c>
      <c r="S94" s="543">
        <f t="shared" si="344"/>
        <v>0</v>
      </c>
      <c r="T94" s="541">
        <f t="shared" si="344"/>
        <v>0</v>
      </c>
      <c r="U94" s="541">
        <f>ROUND(T94*105%,0)</f>
        <v>0</v>
      </c>
      <c r="V94" s="43">
        <f t="shared" ref="V94:AF94" si="345">U94</f>
        <v>0</v>
      </c>
      <c r="W94" s="541">
        <f t="shared" si="345"/>
        <v>0</v>
      </c>
      <c r="X94" s="541">
        <f t="shared" si="345"/>
        <v>0</v>
      </c>
      <c r="Y94" s="541">
        <f t="shared" si="345"/>
        <v>0</v>
      </c>
      <c r="Z94" s="541">
        <f t="shared" si="345"/>
        <v>0</v>
      </c>
      <c r="AA94" s="541">
        <f t="shared" si="345"/>
        <v>0</v>
      </c>
      <c r="AB94" s="541">
        <f t="shared" si="345"/>
        <v>0</v>
      </c>
      <c r="AC94" s="541">
        <f t="shared" si="345"/>
        <v>0</v>
      </c>
      <c r="AD94" s="542">
        <f t="shared" si="345"/>
        <v>0</v>
      </c>
      <c r="AE94" s="543">
        <f t="shared" si="345"/>
        <v>0</v>
      </c>
      <c r="AF94" s="541">
        <f t="shared" si="345"/>
        <v>0</v>
      </c>
      <c r="AG94" s="541">
        <f>ROUND(AF94*105%,0)</f>
        <v>0</v>
      </c>
      <c r="AH94" s="541">
        <f t="shared" ref="AH94:AO97" si="346">AG94</f>
        <v>0</v>
      </c>
      <c r="AI94" s="541">
        <f t="shared" si="346"/>
        <v>0</v>
      </c>
      <c r="AJ94" s="541">
        <f t="shared" si="346"/>
        <v>0</v>
      </c>
      <c r="AK94" s="541">
        <f t="shared" si="346"/>
        <v>0</v>
      </c>
      <c r="AL94" s="541">
        <f t="shared" si="346"/>
        <v>0</v>
      </c>
      <c r="AM94" s="541">
        <f t="shared" si="346"/>
        <v>0</v>
      </c>
      <c r="AN94" s="541">
        <f t="shared" si="346"/>
        <v>0</v>
      </c>
      <c r="AO94" s="541">
        <f t="shared" si="346"/>
        <v>0</v>
      </c>
      <c r="AP94" s="690">
        <f t="shared" ref="AP94:AP97" si="347">AO94</f>
        <v>0</v>
      </c>
      <c r="AQ94" s="690">
        <f t="shared" ref="AQ94:AQ97" si="348">AP94</f>
        <v>0</v>
      </c>
      <c r="AR94" s="690">
        <f t="shared" ref="AR94:AR97" si="349">AQ94</f>
        <v>0</v>
      </c>
      <c r="AS94" s="696">
        <f t="shared" si="267"/>
        <v>0</v>
      </c>
      <c r="AT94" s="690">
        <f t="shared" ref="AT94:BB94" si="350">+AS94</f>
        <v>0</v>
      </c>
      <c r="AU94" s="690">
        <f t="shared" si="350"/>
        <v>0</v>
      </c>
      <c r="AV94" s="690">
        <f t="shared" si="350"/>
        <v>0</v>
      </c>
      <c r="AW94" s="690">
        <f t="shared" si="350"/>
        <v>0</v>
      </c>
      <c r="AX94" s="690">
        <f t="shared" si="350"/>
        <v>0</v>
      </c>
      <c r="AY94" s="690">
        <f t="shared" si="350"/>
        <v>0</v>
      </c>
      <c r="AZ94" s="690">
        <f t="shared" si="350"/>
        <v>0</v>
      </c>
      <c r="BA94" s="690">
        <f t="shared" si="350"/>
        <v>0</v>
      </c>
      <c r="BB94" s="542">
        <f t="shared" si="350"/>
        <v>0</v>
      </c>
      <c r="BC94" s="10" t="str">
        <f t="shared" si="310"/>
        <v>화재/카드 IT그룹이사</v>
      </c>
      <c r="BD94" s="544" t="str">
        <f t="shared" si="332"/>
        <v>화재/카드 IT그룹이사</v>
      </c>
      <c r="BE94" s="543"/>
      <c r="BF94" s="541"/>
      <c r="BG94" s="541"/>
      <c r="BH94" s="542"/>
      <c r="BI94" s="543"/>
      <c r="BJ94" s="541"/>
      <c r="BK94" s="542"/>
      <c r="BL94" s="545"/>
      <c r="BM94" s="543"/>
      <c r="BN94" s="541"/>
      <c r="BO94" s="542"/>
      <c r="BP94" s="545"/>
      <c r="BQ94" s="546"/>
      <c r="BR94" s="547"/>
      <c r="BS94" s="548"/>
      <c r="BT94" s="549"/>
      <c r="BU94" s="539"/>
      <c r="BV94" s="539"/>
      <c r="BW94" s="544"/>
      <c r="BX94" s="544"/>
    </row>
    <row r="95" spans="1:76">
      <c r="A95" s="10" t="str">
        <f t="shared" si="300"/>
        <v>화재/카드 IT그룹CL4(수석)</v>
      </c>
      <c r="B95" s="526" t="str">
        <f>+B94</f>
        <v>화재/카드 IT그룹</v>
      </c>
      <c r="C95" s="527" t="s">
        <v>246</v>
      </c>
      <c r="D95" s="18" t="s">
        <v>105</v>
      </c>
      <c r="E95" s="17" t="s">
        <v>445</v>
      </c>
      <c r="F95" s="18" t="s">
        <v>82</v>
      </c>
      <c r="G95" s="552">
        <v>9598959</v>
      </c>
      <c r="H95" s="550">
        <v>9598959</v>
      </c>
      <c r="I95" s="550">
        <v>9791115</v>
      </c>
      <c r="J95" s="550">
        <f t="shared" ref="J95:T95" si="351">I95</f>
        <v>9791115</v>
      </c>
      <c r="K95" s="550">
        <f t="shared" si="351"/>
        <v>9791115</v>
      </c>
      <c r="L95" s="550">
        <f t="shared" si="351"/>
        <v>9791115</v>
      </c>
      <c r="M95" s="550">
        <f t="shared" si="351"/>
        <v>9791115</v>
      </c>
      <c r="N95" s="550">
        <f t="shared" si="351"/>
        <v>9791115</v>
      </c>
      <c r="O95" s="550">
        <f t="shared" si="351"/>
        <v>9791115</v>
      </c>
      <c r="P95" s="550">
        <f t="shared" si="351"/>
        <v>9791115</v>
      </c>
      <c r="Q95" s="550">
        <f t="shared" si="351"/>
        <v>9791115</v>
      </c>
      <c r="R95" s="551">
        <f t="shared" si="351"/>
        <v>9791115</v>
      </c>
      <c r="S95" s="552">
        <f t="shared" si="351"/>
        <v>9791115</v>
      </c>
      <c r="T95" s="550">
        <f t="shared" si="351"/>
        <v>9791115</v>
      </c>
      <c r="U95" s="550">
        <f>ROUND(T95*105%,0)</f>
        <v>10280671</v>
      </c>
      <c r="V95" s="47">
        <v>9882273</v>
      </c>
      <c r="W95" s="550">
        <f t="shared" ref="W95:AF95" si="352">V95</f>
        <v>9882273</v>
      </c>
      <c r="X95" s="550">
        <f t="shared" si="352"/>
        <v>9882273</v>
      </c>
      <c r="Y95" s="550">
        <f t="shared" si="352"/>
        <v>9882273</v>
      </c>
      <c r="Z95" s="550">
        <f t="shared" si="352"/>
        <v>9882273</v>
      </c>
      <c r="AA95" s="550">
        <f t="shared" si="352"/>
        <v>9882273</v>
      </c>
      <c r="AB95" s="550">
        <f t="shared" si="352"/>
        <v>9882273</v>
      </c>
      <c r="AC95" s="550">
        <f t="shared" si="352"/>
        <v>9882273</v>
      </c>
      <c r="AD95" s="551">
        <f t="shared" si="352"/>
        <v>9882273</v>
      </c>
      <c r="AE95" s="552">
        <f t="shared" si="352"/>
        <v>9882273</v>
      </c>
      <c r="AF95" s="550">
        <f t="shared" si="352"/>
        <v>9882273</v>
      </c>
      <c r="AG95" s="550">
        <f>ROUND(AF95*105%,0)</f>
        <v>10376387</v>
      </c>
      <c r="AH95" s="550">
        <f t="shared" si="346"/>
        <v>10376387</v>
      </c>
      <c r="AI95" s="550">
        <f t="shared" si="346"/>
        <v>10376387</v>
      </c>
      <c r="AJ95" s="550">
        <f t="shared" si="346"/>
        <v>10376387</v>
      </c>
      <c r="AK95" s="550">
        <f t="shared" si="346"/>
        <v>10376387</v>
      </c>
      <c r="AL95" s="550">
        <f t="shared" si="346"/>
        <v>10376387</v>
      </c>
      <c r="AM95" s="550">
        <f t="shared" si="346"/>
        <v>10376387</v>
      </c>
      <c r="AN95" s="550">
        <f t="shared" si="346"/>
        <v>10376387</v>
      </c>
      <c r="AO95" s="550">
        <f t="shared" si="346"/>
        <v>10376387</v>
      </c>
      <c r="AP95" s="691">
        <f t="shared" si="347"/>
        <v>10376387</v>
      </c>
      <c r="AQ95" s="691">
        <f t="shared" si="348"/>
        <v>10376387</v>
      </c>
      <c r="AR95" s="691">
        <f t="shared" si="349"/>
        <v>10376387</v>
      </c>
      <c r="AS95" s="697">
        <f t="shared" si="267"/>
        <v>10895206</v>
      </c>
      <c r="AT95" s="691">
        <f t="shared" ref="AT95:BB95" si="353">+AS95</f>
        <v>10895206</v>
      </c>
      <c r="AU95" s="691">
        <f t="shared" si="353"/>
        <v>10895206</v>
      </c>
      <c r="AV95" s="691">
        <f t="shared" si="353"/>
        <v>10895206</v>
      </c>
      <c r="AW95" s="691">
        <f t="shared" si="353"/>
        <v>10895206</v>
      </c>
      <c r="AX95" s="691">
        <f t="shared" si="353"/>
        <v>10895206</v>
      </c>
      <c r="AY95" s="691">
        <f t="shared" si="353"/>
        <v>10895206</v>
      </c>
      <c r="AZ95" s="691">
        <f t="shared" si="353"/>
        <v>10895206</v>
      </c>
      <c r="BA95" s="691">
        <f t="shared" si="353"/>
        <v>10895206</v>
      </c>
      <c r="BB95" s="551">
        <f t="shared" si="353"/>
        <v>10895206</v>
      </c>
      <c r="BC95" s="10" t="str">
        <f t="shared" si="310"/>
        <v>화재/카드 IT그룹수석(CL4)</v>
      </c>
      <c r="BD95" s="544" t="str">
        <f t="shared" si="332"/>
        <v>화재/카드 IT그룹CL4(수석)</v>
      </c>
      <c r="BE95" s="552"/>
      <c r="BF95" s="550"/>
      <c r="BG95" s="550"/>
      <c r="BH95" s="551"/>
      <c r="BI95" s="552"/>
      <c r="BJ95" s="550"/>
      <c r="BK95" s="551"/>
      <c r="BL95" s="553"/>
      <c r="BM95" s="552"/>
      <c r="BN95" s="550"/>
      <c r="BO95" s="551"/>
      <c r="BP95" s="553"/>
      <c r="BQ95" s="554"/>
      <c r="BR95" s="555"/>
      <c r="BS95" s="556"/>
      <c r="BT95" s="549"/>
      <c r="BU95" s="539"/>
      <c r="BV95" s="539"/>
      <c r="BW95" s="544"/>
      <c r="BX95" s="544"/>
    </row>
    <row r="96" spans="1:76">
      <c r="A96" s="10" t="str">
        <f t="shared" si="300"/>
        <v>화재/카드 IT그룹CL3(책임-수석보)</v>
      </c>
      <c r="B96" s="526" t="str">
        <f>+B95</f>
        <v>화재/카드 IT그룹</v>
      </c>
      <c r="C96" s="527" t="s">
        <v>247</v>
      </c>
      <c r="D96" s="18" t="s">
        <v>105</v>
      </c>
      <c r="E96" s="17" t="s">
        <v>455</v>
      </c>
      <c r="F96" s="18" t="s">
        <v>459</v>
      </c>
      <c r="G96" s="552">
        <v>7838777</v>
      </c>
      <c r="H96" s="550">
        <v>7838777</v>
      </c>
      <c r="I96" s="550">
        <v>8163645</v>
      </c>
      <c r="J96" s="550">
        <f t="shared" ref="J96:T96" si="354">I96</f>
        <v>8163645</v>
      </c>
      <c r="K96" s="550">
        <f t="shared" si="354"/>
        <v>8163645</v>
      </c>
      <c r="L96" s="550">
        <f t="shared" si="354"/>
        <v>8163645</v>
      </c>
      <c r="M96" s="550">
        <f t="shared" si="354"/>
        <v>8163645</v>
      </c>
      <c r="N96" s="550">
        <f t="shared" si="354"/>
        <v>8163645</v>
      </c>
      <c r="O96" s="550">
        <f t="shared" si="354"/>
        <v>8163645</v>
      </c>
      <c r="P96" s="550">
        <f t="shared" si="354"/>
        <v>8163645</v>
      </c>
      <c r="Q96" s="550">
        <f t="shared" si="354"/>
        <v>8163645</v>
      </c>
      <c r="R96" s="551">
        <f t="shared" si="354"/>
        <v>8163645</v>
      </c>
      <c r="S96" s="552">
        <f t="shared" si="354"/>
        <v>8163645</v>
      </c>
      <c r="T96" s="550">
        <f t="shared" si="354"/>
        <v>8163645</v>
      </c>
      <c r="U96" s="550">
        <f>ROUND(T96*105%,0)</f>
        <v>8571827</v>
      </c>
      <c r="V96" s="47">
        <v>8298068</v>
      </c>
      <c r="W96" s="550">
        <f t="shared" ref="W96:AF96" si="355">V96</f>
        <v>8298068</v>
      </c>
      <c r="X96" s="550">
        <f t="shared" si="355"/>
        <v>8298068</v>
      </c>
      <c r="Y96" s="550">
        <f t="shared" si="355"/>
        <v>8298068</v>
      </c>
      <c r="Z96" s="550">
        <f t="shared" si="355"/>
        <v>8298068</v>
      </c>
      <c r="AA96" s="550">
        <f t="shared" si="355"/>
        <v>8298068</v>
      </c>
      <c r="AB96" s="550">
        <f t="shared" si="355"/>
        <v>8298068</v>
      </c>
      <c r="AC96" s="550">
        <f t="shared" si="355"/>
        <v>8298068</v>
      </c>
      <c r="AD96" s="551">
        <f t="shared" si="355"/>
        <v>8298068</v>
      </c>
      <c r="AE96" s="552">
        <f t="shared" si="355"/>
        <v>8298068</v>
      </c>
      <c r="AF96" s="550">
        <f t="shared" si="355"/>
        <v>8298068</v>
      </c>
      <c r="AG96" s="550">
        <f>ROUND(AF96*105%,0)</f>
        <v>8712971</v>
      </c>
      <c r="AH96" s="550">
        <f t="shared" si="346"/>
        <v>8712971</v>
      </c>
      <c r="AI96" s="550">
        <f t="shared" si="346"/>
        <v>8712971</v>
      </c>
      <c r="AJ96" s="550">
        <f t="shared" si="346"/>
        <v>8712971</v>
      </c>
      <c r="AK96" s="550">
        <f t="shared" si="346"/>
        <v>8712971</v>
      </c>
      <c r="AL96" s="550">
        <f t="shared" si="346"/>
        <v>8712971</v>
      </c>
      <c r="AM96" s="550">
        <f t="shared" si="346"/>
        <v>8712971</v>
      </c>
      <c r="AN96" s="550">
        <f t="shared" si="346"/>
        <v>8712971</v>
      </c>
      <c r="AO96" s="550">
        <f t="shared" si="346"/>
        <v>8712971</v>
      </c>
      <c r="AP96" s="691">
        <f t="shared" si="347"/>
        <v>8712971</v>
      </c>
      <c r="AQ96" s="691">
        <f t="shared" si="348"/>
        <v>8712971</v>
      </c>
      <c r="AR96" s="691">
        <f t="shared" si="349"/>
        <v>8712971</v>
      </c>
      <c r="AS96" s="697">
        <f t="shared" si="267"/>
        <v>9148620</v>
      </c>
      <c r="AT96" s="691">
        <f t="shared" ref="AT96:BB96" si="356">+AS96</f>
        <v>9148620</v>
      </c>
      <c r="AU96" s="691">
        <f t="shared" si="356"/>
        <v>9148620</v>
      </c>
      <c r="AV96" s="691">
        <f t="shared" si="356"/>
        <v>9148620</v>
      </c>
      <c r="AW96" s="691">
        <f t="shared" si="356"/>
        <v>9148620</v>
      </c>
      <c r="AX96" s="691">
        <f t="shared" si="356"/>
        <v>9148620</v>
      </c>
      <c r="AY96" s="691">
        <f t="shared" si="356"/>
        <v>9148620</v>
      </c>
      <c r="AZ96" s="691">
        <f t="shared" si="356"/>
        <v>9148620</v>
      </c>
      <c r="BA96" s="691">
        <f t="shared" si="356"/>
        <v>9148620</v>
      </c>
      <c r="BB96" s="551">
        <f t="shared" si="356"/>
        <v>9148620</v>
      </c>
      <c r="BC96" s="10" t="str">
        <f t="shared" si="310"/>
        <v>화재/카드 IT그룹수석보(CL3)</v>
      </c>
      <c r="BD96" s="544" t="str">
        <f t="shared" si="332"/>
        <v>화재/카드 IT그룹CL3(책임-수석보)</v>
      </c>
      <c r="BE96" s="552"/>
      <c r="BF96" s="550"/>
      <c r="BG96" s="550"/>
      <c r="BH96" s="551"/>
      <c r="BI96" s="552"/>
      <c r="BJ96" s="550"/>
      <c r="BK96" s="551"/>
      <c r="BL96" s="553"/>
      <c r="BM96" s="552"/>
      <c r="BN96" s="550"/>
      <c r="BO96" s="551"/>
      <c r="BP96" s="553"/>
      <c r="BQ96" s="554"/>
      <c r="BR96" s="555"/>
      <c r="BS96" s="556"/>
      <c r="BT96" s="549"/>
      <c r="BU96" s="539"/>
      <c r="BV96" s="539"/>
      <c r="BW96" s="544"/>
      <c r="BX96" s="544"/>
    </row>
    <row r="97" spans="1:76">
      <c r="A97" s="10" t="str">
        <f t="shared" si="300"/>
        <v>화재/카드 IT그룹CL2(사원-선임)</v>
      </c>
      <c r="B97" s="526" t="str">
        <f>+B96</f>
        <v>화재/카드 IT그룹</v>
      </c>
      <c r="C97" s="527" t="s">
        <v>248</v>
      </c>
      <c r="D97" s="18" t="s">
        <v>102</v>
      </c>
      <c r="E97" s="17" t="s">
        <v>457</v>
      </c>
      <c r="F97" s="18" t="s">
        <v>461</v>
      </c>
      <c r="G97" s="552">
        <v>6006594</v>
      </c>
      <c r="H97" s="550">
        <v>6006594</v>
      </c>
      <c r="I97" s="550">
        <v>5421602</v>
      </c>
      <c r="J97" s="550">
        <f t="shared" ref="J97:T97" si="357">I97</f>
        <v>5421602</v>
      </c>
      <c r="K97" s="550">
        <f t="shared" si="357"/>
        <v>5421602</v>
      </c>
      <c r="L97" s="550">
        <f t="shared" si="357"/>
        <v>5421602</v>
      </c>
      <c r="M97" s="550">
        <f t="shared" si="357"/>
        <v>5421602</v>
      </c>
      <c r="N97" s="550">
        <f t="shared" si="357"/>
        <v>5421602</v>
      </c>
      <c r="O97" s="550">
        <f t="shared" si="357"/>
        <v>5421602</v>
      </c>
      <c r="P97" s="550">
        <f t="shared" si="357"/>
        <v>5421602</v>
      </c>
      <c r="Q97" s="550">
        <f t="shared" si="357"/>
        <v>5421602</v>
      </c>
      <c r="R97" s="551">
        <f t="shared" si="357"/>
        <v>5421602</v>
      </c>
      <c r="S97" s="552">
        <f t="shared" si="357"/>
        <v>5421602</v>
      </c>
      <c r="T97" s="550">
        <f t="shared" si="357"/>
        <v>5421602</v>
      </c>
      <c r="U97" s="550">
        <f>ROUND(T97*105%,0)</f>
        <v>5692682</v>
      </c>
      <c r="V97" s="47">
        <v>5345915</v>
      </c>
      <c r="W97" s="550">
        <f t="shared" ref="W97:AF97" si="358">V97</f>
        <v>5345915</v>
      </c>
      <c r="X97" s="550">
        <f t="shared" si="358"/>
        <v>5345915</v>
      </c>
      <c r="Y97" s="550">
        <f t="shared" si="358"/>
        <v>5345915</v>
      </c>
      <c r="Z97" s="550">
        <f t="shared" si="358"/>
        <v>5345915</v>
      </c>
      <c r="AA97" s="550">
        <f t="shared" si="358"/>
        <v>5345915</v>
      </c>
      <c r="AB97" s="550">
        <f t="shared" si="358"/>
        <v>5345915</v>
      </c>
      <c r="AC97" s="550">
        <f t="shared" si="358"/>
        <v>5345915</v>
      </c>
      <c r="AD97" s="551">
        <f t="shared" si="358"/>
        <v>5345915</v>
      </c>
      <c r="AE97" s="552">
        <f t="shared" si="358"/>
        <v>5345915</v>
      </c>
      <c r="AF97" s="550">
        <f t="shared" si="358"/>
        <v>5345915</v>
      </c>
      <c r="AG97" s="550">
        <f>ROUND(AF97*105%,0)</f>
        <v>5613211</v>
      </c>
      <c r="AH97" s="550">
        <f t="shared" si="346"/>
        <v>5613211</v>
      </c>
      <c r="AI97" s="550">
        <f t="shared" si="346"/>
        <v>5613211</v>
      </c>
      <c r="AJ97" s="550">
        <f t="shared" si="346"/>
        <v>5613211</v>
      </c>
      <c r="AK97" s="550">
        <f t="shared" si="346"/>
        <v>5613211</v>
      </c>
      <c r="AL97" s="550">
        <f t="shared" si="346"/>
        <v>5613211</v>
      </c>
      <c r="AM97" s="550">
        <f t="shared" si="346"/>
        <v>5613211</v>
      </c>
      <c r="AN97" s="550">
        <f t="shared" si="346"/>
        <v>5613211</v>
      </c>
      <c r="AO97" s="550">
        <f t="shared" si="346"/>
        <v>5613211</v>
      </c>
      <c r="AP97" s="691">
        <f t="shared" si="347"/>
        <v>5613211</v>
      </c>
      <c r="AQ97" s="691">
        <f t="shared" si="348"/>
        <v>5613211</v>
      </c>
      <c r="AR97" s="691">
        <f t="shared" si="349"/>
        <v>5613211</v>
      </c>
      <c r="AS97" s="697">
        <f t="shared" si="267"/>
        <v>5893872</v>
      </c>
      <c r="AT97" s="691">
        <f t="shared" ref="AT97:BB97" si="359">+AS97</f>
        <v>5893872</v>
      </c>
      <c r="AU97" s="691">
        <f t="shared" si="359"/>
        <v>5893872</v>
      </c>
      <c r="AV97" s="691">
        <f t="shared" si="359"/>
        <v>5893872</v>
      </c>
      <c r="AW97" s="691">
        <f t="shared" si="359"/>
        <v>5893872</v>
      </c>
      <c r="AX97" s="691">
        <f t="shared" si="359"/>
        <v>5893872</v>
      </c>
      <c r="AY97" s="691">
        <f t="shared" si="359"/>
        <v>5893872</v>
      </c>
      <c r="AZ97" s="691">
        <f t="shared" si="359"/>
        <v>5893872</v>
      </c>
      <c r="BA97" s="691">
        <f t="shared" si="359"/>
        <v>5893872</v>
      </c>
      <c r="BB97" s="551">
        <f t="shared" si="359"/>
        <v>5893872</v>
      </c>
      <c r="BC97" s="10" t="str">
        <f t="shared" si="310"/>
        <v>화재/카드 IT그룹책임(CL3)</v>
      </c>
      <c r="BD97" s="544" t="str">
        <f t="shared" si="332"/>
        <v>화재/카드 IT그룹CL2(사원-선임)</v>
      </c>
      <c r="BE97" s="552"/>
      <c r="BF97" s="550"/>
      <c r="BG97" s="550"/>
      <c r="BH97" s="551"/>
      <c r="BI97" s="552"/>
      <c r="BJ97" s="550"/>
      <c r="BK97" s="551"/>
      <c r="BL97" s="553"/>
      <c r="BM97" s="552"/>
      <c r="BN97" s="550"/>
      <c r="BO97" s="551"/>
      <c r="BP97" s="553"/>
      <c r="BQ97" s="554"/>
      <c r="BR97" s="555"/>
      <c r="BS97" s="556"/>
      <c r="BT97" s="549"/>
      <c r="BU97" s="539"/>
      <c r="BV97" s="539"/>
      <c r="BW97" s="544"/>
      <c r="BX97" s="544"/>
    </row>
    <row r="98" spans="1:76">
      <c r="A98" s="10" t="str">
        <f t="shared" si="300"/>
        <v>화재/카드 IT그룹</v>
      </c>
      <c r="B98" s="526" t="str">
        <f>+B97</f>
        <v>화재/카드 IT그룹</v>
      </c>
      <c r="C98" s="527" t="s">
        <v>249</v>
      </c>
      <c r="D98" s="18" t="s">
        <v>103</v>
      </c>
      <c r="E98" s="17"/>
      <c r="F98" s="18"/>
      <c r="G98" s="45"/>
      <c r="H98" s="46"/>
      <c r="I98" s="47"/>
      <c r="J98" s="46"/>
      <c r="K98" s="46"/>
      <c r="L98" s="46"/>
      <c r="M98" s="46"/>
      <c r="N98" s="46"/>
      <c r="O98" s="46"/>
      <c r="P98" s="46"/>
      <c r="Q98" s="46"/>
      <c r="R98" s="48"/>
      <c r="S98" s="45"/>
      <c r="T98" s="46"/>
      <c r="U98" s="550"/>
      <c r="V98" s="47"/>
      <c r="W98" s="46"/>
      <c r="X98" s="46"/>
      <c r="Y98" s="46"/>
      <c r="Z98" s="46"/>
      <c r="AA98" s="46"/>
      <c r="AB98" s="46"/>
      <c r="AC98" s="46"/>
      <c r="AD98" s="48"/>
      <c r="AE98" s="45"/>
      <c r="AF98" s="46"/>
      <c r="AG98" s="47"/>
      <c r="AH98" s="46"/>
      <c r="AI98" s="46"/>
      <c r="AJ98" s="46"/>
      <c r="AK98" s="46"/>
      <c r="AL98" s="46"/>
      <c r="AM98" s="46"/>
      <c r="AN98" s="46"/>
      <c r="AO98" s="46"/>
      <c r="AP98" s="688"/>
      <c r="AQ98" s="688"/>
      <c r="AR98" s="688"/>
      <c r="AS98" s="697">
        <f t="shared" ref="AS98:AS99" si="360">ROUND(AR98*105%,0)</f>
        <v>0</v>
      </c>
      <c r="AT98" s="688">
        <f t="shared" ref="AT98:BB98" si="361">+AS98</f>
        <v>0</v>
      </c>
      <c r="AU98" s="688">
        <f t="shared" si="361"/>
        <v>0</v>
      </c>
      <c r="AV98" s="688">
        <f t="shared" si="361"/>
        <v>0</v>
      </c>
      <c r="AW98" s="688">
        <f t="shared" si="361"/>
        <v>0</v>
      </c>
      <c r="AX98" s="688">
        <f t="shared" si="361"/>
        <v>0</v>
      </c>
      <c r="AY98" s="688">
        <f t="shared" si="361"/>
        <v>0</v>
      </c>
      <c r="AZ98" s="688">
        <f t="shared" si="361"/>
        <v>0</v>
      </c>
      <c r="BA98" s="688">
        <f t="shared" si="361"/>
        <v>0</v>
      </c>
      <c r="BB98" s="48">
        <f t="shared" si="361"/>
        <v>0</v>
      </c>
      <c r="BC98" s="10" t="str">
        <f t="shared" si="310"/>
        <v>화재/카드 IT그룹선임(CL2)</v>
      </c>
      <c r="BD98" s="544" t="str">
        <f t="shared" si="332"/>
        <v>화재/카드 IT그룹</v>
      </c>
      <c r="BE98" s="45"/>
      <c r="BF98" s="46"/>
      <c r="BG98" s="46"/>
      <c r="BH98" s="48"/>
      <c r="BI98" s="45"/>
      <c r="BJ98" s="46"/>
      <c r="BK98" s="48"/>
      <c r="BL98" s="496"/>
      <c r="BM98" s="45"/>
      <c r="BN98" s="46"/>
      <c r="BO98" s="48"/>
      <c r="BP98" s="496"/>
      <c r="BQ98" s="487"/>
      <c r="BR98" s="481"/>
      <c r="BS98" s="473"/>
      <c r="BT98" s="13"/>
    </row>
    <row r="99" spans="1:76">
      <c r="A99" s="10" t="str">
        <f t="shared" si="300"/>
        <v>화재/카드 IT그룹</v>
      </c>
      <c r="B99" s="528" t="str">
        <f>+B98</f>
        <v>화재/카드 IT그룹</v>
      </c>
      <c r="C99" s="529" t="s">
        <v>250</v>
      </c>
      <c r="D99" s="20" t="s">
        <v>104</v>
      </c>
      <c r="E99" s="19"/>
      <c r="F99" s="20"/>
      <c r="G99" s="49"/>
      <c r="H99" s="50"/>
      <c r="I99" s="51"/>
      <c r="J99" s="50"/>
      <c r="K99" s="50"/>
      <c r="L99" s="50"/>
      <c r="M99" s="50"/>
      <c r="N99" s="50"/>
      <c r="O99" s="50"/>
      <c r="P99" s="50"/>
      <c r="Q99" s="50"/>
      <c r="R99" s="52"/>
      <c r="S99" s="49"/>
      <c r="T99" s="50"/>
      <c r="U99" s="1199"/>
      <c r="V99" s="51"/>
      <c r="W99" s="50"/>
      <c r="X99" s="50"/>
      <c r="Y99" s="50"/>
      <c r="Z99" s="50"/>
      <c r="AA99" s="50"/>
      <c r="AB99" s="50"/>
      <c r="AC99" s="50"/>
      <c r="AD99" s="52"/>
      <c r="AE99" s="49"/>
      <c r="AF99" s="50"/>
      <c r="AG99" s="51"/>
      <c r="AH99" s="50"/>
      <c r="AI99" s="50"/>
      <c r="AJ99" s="50"/>
      <c r="AK99" s="50"/>
      <c r="AL99" s="50"/>
      <c r="AM99" s="50"/>
      <c r="AN99" s="50"/>
      <c r="AO99" s="50"/>
      <c r="AP99" s="689"/>
      <c r="AQ99" s="689"/>
      <c r="AR99" s="689"/>
      <c r="AS99" s="698">
        <f t="shared" si="360"/>
        <v>0</v>
      </c>
      <c r="AT99" s="689">
        <f t="shared" ref="AT99:BB99" si="362">+AS99</f>
        <v>0</v>
      </c>
      <c r="AU99" s="689">
        <f t="shared" si="362"/>
        <v>0</v>
      </c>
      <c r="AV99" s="689">
        <f t="shared" si="362"/>
        <v>0</v>
      </c>
      <c r="AW99" s="689">
        <f t="shared" si="362"/>
        <v>0</v>
      </c>
      <c r="AX99" s="689">
        <f t="shared" si="362"/>
        <v>0</v>
      </c>
      <c r="AY99" s="689">
        <f t="shared" si="362"/>
        <v>0</v>
      </c>
      <c r="AZ99" s="689">
        <f t="shared" si="362"/>
        <v>0</v>
      </c>
      <c r="BA99" s="689">
        <f t="shared" si="362"/>
        <v>0</v>
      </c>
      <c r="BB99" s="52">
        <f t="shared" si="362"/>
        <v>0</v>
      </c>
      <c r="BC99" s="10" t="str">
        <f t="shared" si="310"/>
        <v>화재/카드 IT그룹사원(CL1-CL2)</v>
      </c>
      <c r="BD99" s="544" t="str">
        <f t="shared" si="332"/>
        <v>화재/카드 IT그룹</v>
      </c>
      <c r="BE99" s="49"/>
      <c r="BF99" s="50"/>
      <c r="BG99" s="50"/>
      <c r="BH99" s="52"/>
      <c r="BI99" s="49"/>
      <c r="BJ99" s="50"/>
      <c r="BK99" s="52"/>
      <c r="BL99" s="497"/>
      <c r="BM99" s="49"/>
      <c r="BN99" s="50"/>
      <c r="BO99" s="52"/>
      <c r="BP99" s="497"/>
      <c r="BQ99" s="488"/>
      <c r="BR99" s="482"/>
      <c r="BS99" s="474"/>
      <c r="BT99" s="13"/>
    </row>
    <row r="100" spans="1:76">
      <c r="A100" s="10" t="str">
        <f t="shared" si="300"/>
        <v>금융실행그룹이사</v>
      </c>
      <c r="B100" s="523" t="s">
        <v>935</v>
      </c>
      <c r="C100" s="525" t="s">
        <v>12</v>
      </c>
      <c r="D100" s="15" t="s">
        <v>105</v>
      </c>
      <c r="E100" s="16" t="s">
        <v>12</v>
      </c>
      <c r="F100" s="15" t="s">
        <v>82</v>
      </c>
      <c r="G100" s="543">
        <v>0</v>
      </c>
      <c r="H100" s="541">
        <v>0</v>
      </c>
      <c r="I100" s="541">
        <f>ROUND(H100*105%,0)</f>
        <v>0</v>
      </c>
      <c r="J100" s="541">
        <f t="shared" ref="J100:T100" si="363">I100</f>
        <v>0</v>
      </c>
      <c r="K100" s="541">
        <f t="shared" si="363"/>
        <v>0</v>
      </c>
      <c r="L100" s="541">
        <f t="shared" si="363"/>
        <v>0</v>
      </c>
      <c r="M100" s="541">
        <f t="shared" si="363"/>
        <v>0</v>
      </c>
      <c r="N100" s="541">
        <f t="shared" si="363"/>
        <v>0</v>
      </c>
      <c r="O100" s="541">
        <f t="shared" si="363"/>
        <v>0</v>
      </c>
      <c r="P100" s="541">
        <f t="shared" si="363"/>
        <v>0</v>
      </c>
      <c r="Q100" s="541">
        <f t="shared" si="363"/>
        <v>0</v>
      </c>
      <c r="R100" s="542">
        <f t="shared" si="363"/>
        <v>0</v>
      </c>
      <c r="S100" s="543">
        <f t="shared" si="363"/>
        <v>0</v>
      </c>
      <c r="T100" s="541">
        <f t="shared" si="363"/>
        <v>0</v>
      </c>
      <c r="U100" s="541">
        <f>ROUND(T100*105%,0)</f>
        <v>0</v>
      </c>
      <c r="V100" s="43">
        <f t="shared" ref="V100:AF100" si="364">U100</f>
        <v>0</v>
      </c>
      <c r="W100" s="541">
        <f t="shared" si="364"/>
        <v>0</v>
      </c>
      <c r="X100" s="541">
        <f t="shared" si="364"/>
        <v>0</v>
      </c>
      <c r="Y100" s="541">
        <f t="shared" si="364"/>
        <v>0</v>
      </c>
      <c r="Z100" s="541">
        <f t="shared" si="364"/>
        <v>0</v>
      </c>
      <c r="AA100" s="541">
        <f t="shared" si="364"/>
        <v>0</v>
      </c>
      <c r="AB100" s="541">
        <f t="shared" si="364"/>
        <v>0</v>
      </c>
      <c r="AC100" s="541">
        <f t="shared" si="364"/>
        <v>0</v>
      </c>
      <c r="AD100" s="542">
        <f t="shared" si="364"/>
        <v>0</v>
      </c>
      <c r="AE100" s="543">
        <f t="shared" si="364"/>
        <v>0</v>
      </c>
      <c r="AF100" s="541">
        <f t="shared" si="364"/>
        <v>0</v>
      </c>
      <c r="AG100" s="541">
        <f>ROUND(AF100*105%,0)</f>
        <v>0</v>
      </c>
      <c r="AH100" s="541">
        <f t="shared" ref="AH100:AO103" si="365">AG100</f>
        <v>0</v>
      </c>
      <c r="AI100" s="541">
        <f t="shared" si="365"/>
        <v>0</v>
      </c>
      <c r="AJ100" s="541">
        <f t="shared" si="365"/>
        <v>0</v>
      </c>
      <c r="AK100" s="541">
        <f t="shared" si="365"/>
        <v>0</v>
      </c>
      <c r="AL100" s="541">
        <f t="shared" si="365"/>
        <v>0</v>
      </c>
      <c r="AM100" s="541">
        <f t="shared" si="365"/>
        <v>0</v>
      </c>
      <c r="AN100" s="541">
        <f t="shared" si="365"/>
        <v>0</v>
      </c>
      <c r="AO100" s="541">
        <f t="shared" si="365"/>
        <v>0</v>
      </c>
      <c r="AP100" s="690">
        <f t="shared" ref="AP100:AP103" si="366">AO100</f>
        <v>0</v>
      </c>
      <c r="AQ100" s="690">
        <f t="shared" ref="AQ100:AQ103" si="367">AP100</f>
        <v>0</v>
      </c>
      <c r="AR100" s="690">
        <f t="shared" ref="AR100:AR103" si="368">AQ100</f>
        <v>0</v>
      </c>
      <c r="AS100" s="696">
        <f t="shared" ref="AS100:AS105" si="369">ROUND(AR100*105%,0)</f>
        <v>0</v>
      </c>
      <c r="AT100" s="690">
        <f t="shared" ref="AT100:BB100" si="370">+AS100</f>
        <v>0</v>
      </c>
      <c r="AU100" s="690">
        <f t="shared" si="370"/>
        <v>0</v>
      </c>
      <c r="AV100" s="690">
        <f t="shared" si="370"/>
        <v>0</v>
      </c>
      <c r="AW100" s="690">
        <f t="shared" si="370"/>
        <v>0</v>
      </c>
      <c r="AX100" s="690">
        <f t="shared" si="370"/>
        <v>0</v>
      </c>
      <c r="AY100" s="690">
        <f t="shared" si="370"/>
        <v>0</v>
      </c>
      <c r="AZ100" s="690">
        <f t="shared" si="370"/>
        <v>0</v>
      </c>
      <c r="BA100" s="690">
        <f t="shared" si="370"/>
        <v>0</v>
      </c>
      <c r="BB100" s="542">
        <f t="shared" si="370"/>
        <v>0</v>
      </c>
      <c r="BC100" s="10" t="str">
        <f t="shared" ref="BC100:BC105" si="371">B100&amp;C100</f>
        <v>금융실행그룹이사</v>
      </c>
      <c r="BD100" s="544" t="str">
        <f t="shared" si="332"/>
        <v>금융실행그룹이사</v>
      </c>
      <c r="BE100" s="543"/>
      <c r="BF100" s="541"/>
      <c r="BG100" s="541"/>
      <c r="BH100" s="542"/>
      <c r="BI100" s="543"/>
      <c r="BJ100" s="541"/>
      <c r="BK100" s="542"/>
      <c r="BL100" s="545"/>
      <c r="BM100" s="543"/>
      <c r="BN100" s="541"/>
      <c r="BO100" s="542"/>
      <c r="BP100" s="545"/>
      <c r="BQ100" s="546"/>
      <c r="BR100" s="547"/>
      <c r="BS100" s="548"/>
      <c r="BT100" s="549"/>
      <c r="BU100" s="539"/>
      <c r="BV100" s="539"/>
      <c r="BW100" s="544"/>
      <c r="BX100" s="544"/>
    </row>
    <row r="101" spans="1:76">
      <c r="A101" s="10" t="str">
        <f t="shared" si="300"/>
        <v>금융실행그룹CL4(수석)</v>
      </c>
      <c r="B101" s="526" t="str">
        <f>B100</f>
        <v>금융실행그룹</v>
      </c>
      <c r="C101" s="527" t="s">
        <v>246</v>
      </c>
      <c r="D101" s="18" t="s">
        <v>105</v>
      </c>
      <c r="E101" s="17" t="s">
        <v>445</v>
      </c>
      <c r="F101" s="18" t="s">
        <v>82</v>
      </c>
      <c r="G101" s="552">
        <v>9598959</v>
      </c>
      <c r="H101" s="550">
        <v>9598959</v>
      </c>
      <c r="I101" s="550">
        <v>10045358</v>
      </c>
      <c r="J101" s="550">
        <f t="shared" ref="J101:T101" si="372">I101</f>
        <v>10045358</v>
      </c>
      <c r="K101" s="550">
        <f t="shared" si="372"/>
        <v>10045358</v>
      </c>
      <c r="L101" s="550">
        <f t="shared" si="372"/>
        <v>10045358</v>
      </c>
      <c r="M101" s="550">
        <f t="shared" si="372"/>
        <v>10045358</v>
      </c>
      <c r="N101" s="550">
        <f t="shared" si="372"/>
        <v>10045358</v>
      </c>
      <c r="O101" s="550">
        <f t="shared" si="372"/>
        <v>10045358</v>
      </c>
      <c r="P101" s="550">
        <f t="shared" si="372"/>
        <v>10045358</v>
      </c>
      <c r="Q101" s="550">
        <f t="shared" si="372"/>
        <v>10045358</v>
      </c>
      <c r="R101" s="551">
        <f t="shared" si="372"/>
        <v>10045358</v>
      </c>
      <c r="S101" s="552">
        <f t="shared" si="372"/>
        <v>10045358</v>
      </c>
      <c r="T101" s="550">
        <f t="shared" si="372"/>
        <v>10045358</v>
      </c>
      <c r="U101" s="550">
        <f>ROUND(T101*105%,0)</f>
        <v>10547626</v>
      </c>
      <c r="V101" s="47">
        <v>11671740</v>
      </c>
      <c r="W101" s="550">
        <f t="shared" ref="W101:AF101" si="373">V101</f>
        <v>11671740</v>
      </c>
      <c r="X101" s="550">
        <f t="shared" si="373"/>
        <v>11671740</v>
      </c>
      <c r="Y101" s="550">
        <f t="shared" si="373"/>
        <v>11671740</v>
      </c>
      <c r="Z101" s="550">
        <f t="shared" si="373"/>
        <v>11671740</v>
      </c>
      <c r="AA101" s="550">
        <f t="shared" si="373"/>
        <v>11671740</v>
      </c>
      <c r="AB101" s="550">
        <f t="shared" si="373"/>
        <v>11671740</v>
      </c>
      <c r="AC101" s="550">
        <f t="shared" si="373"/>
        <v>11671740</v>
      </c>
      <c r="AD101" s="551">
        <f t="shared" si="373"/>
        <v>11671740</v>
      </c>
      <c r="AE101" s="552">
        <f t="shared" si="373"/>
        <v>11671740</v>
      </c>
      <c r="AF101" s="550">
        <f t="shared" si="373"/>
        <v>11671740</v>
      </c>
      <c r="AG101" s="550">
        <f>ROUND(AF101*105%,0)</f>
        <v>12255327</v>
      </c>
      <c r="AH101" s="550">
        <f t="shared" si="365"/>
        <v>12255327</v>
      </c>
      <c r="AI101" s="550">
        <f t="shared" si="365"/>
        <v>12255327</v>
      </c>
      <c r="AJ101" s="550">
        <f t="shared" si="365"/>
        <v>12255327</v>
      </c>
      <c r="AK101" s="550">
        <f t="shared" si="365"/>
        <v>12255327</v>
      </c>
      <c r="AL101" s="550">
        <f t="shared" si="365"/>
        <v>12255327</v>
      </c>
      <c r="AM101" s="550">
        <f t="shared" si="365"/>
        <v>12255327</v>
      </c>
      <c r="AN101" s="550">
        <f t="shared" si="365"/>
        <v>12255327</v>
      </c>
      <c r="AO101" s="550">
        <f t="shared" si="365"/>
        <v>12255327</v>
      </c>
      <c r="AP101" s="691">
        <f t="shared" si="366"/>
        <v>12255327</v>
      </c>
      <c r="AQ101" s="691">
        <f t="shared" si="367"/>
        <v>12255327</v>
      </c>
      <c r="AR101" s="691">
        <f t="shared" si="368"/>
        <v>12255327</v>
      </c>
      <c r="AS101" s="697">
        <f t="shared" si="369"/>
        <v>12868093</v>
      </c>
      <c r="AT101" s="691">
        <f t="shared" ref="AT101:BB101" si="374">+AS101</f>
        <v>12868093</v>
      </c>
      <c r="AU101" s="691">
        <f t="shared" si="374"/>
        <v>12868093</v>
      </c>
      <c r="AV101" s="691">
        <f t="shared" si="374"/>
        <v>12868093</v>
      </c>
      <c r="AW101" s="691">
        <f t="shared" si="374"/>
        <v>12868093</v>
      </c>
      <c r="AX101" s="691">
        <f t="shared" si="374"/>
        <v>12868093</v>
      </c>
      <c r="AY101" s="691">
        <f t="shared" si="374"/>
        <v>12868093</v>
      </c>
      <c r="AZ101" s="691">
        <f t="shared" si="374"/>
        <v>12868093</v>
      </c>
      <c r="BA101" s="691">
        <f t="shared" si="374"/>
        <v>12868093</v>
      </c>
      <c r="BB101" s="551">
        <f t="shared" si="374"/>
        <v>12868093</v>
      </c>
      <c r="BC101" s="10" t="str">
        <f t="shared" si="371"/>
        <v>금융실행그룹수석(CL4)</v>
      </c>
      <c r="BD101" s="544" t="str">
        <f t="shared" si="332"/>
        <v>금융실행그룹CL4(수석)</v>
      </c>
      <c r="BE101" s="552"/>
      <c r="BF101" s="550"/>
      <c r="BG101" s="550"/>
      <c r="BH101" s="551"/>
      <c r="BI101" s="552"/>
      <c r="BJ101" s="550"/>
      <c r="BK101" s="551"/>
      <c r="BL101" s="553"/>
      <c r="BM101" s="552"/>
      <c r="BN101" s="550"/>
      <c r="BO101" s="551"/>
      <c r="BP101" s="553"/>
      <c r="BQ101" s="554"/>
      <c r="BR101" s="555"/>
      <c r="BS101" s="556"/>
      <c r="BT101" s="549"/>
      <c r="BU101" s="539"/>
      <c r="BV101" s="539"/>
      <c r="BW101" s="544"/>
      <c r="BX101" s="544"/>
    </row>
    <row r="102" spans="1:76">
      <c r="A102" s="10" t="str">
        <f t="shared" si="300"/>
        <v>금융실행그룹CL3(책임-수석보)</v>
      </c>
      <c r="B102" s="526" t="str">
        <f>B101</f>
        <v>금융실행그룹</v>
      </c>
      <c r="C102" s="527" t="s">
        <v>247</v>
      </c>
      <c r="D102" s="18" t="s">
        <v>105</v>
      </c>
      <c r="E102" s="17" t="s">
        <v>455</v>
      </c>
      <c r="F102" s="18" t="s">
        <v>459</v>
      </c>
      <c r="G102" s="552">
        <v>7838777</v>
      </c>
      <c r="H102" s="550">
        <v>7838777</v>
      </c>
      <c r="I102" s="550">
        <v>8111618</v>
      </c>
      <c r="J102" s="550">
        <f t="shared" ref="J102:T102" si="375">I102</f>
        <v>8111618</v>
      </c>
      <c r="K102" s="550">
        <f t="shared" si="375"/>
        <v>8111618</v>
      </c>
      <c r="L102" s="550">
        <f t="shared" si="375"/>
        <v>8111618</v>
      </c>
      <c r="M102" s="550">
        <f t="shared" si="375"/>
        <v>8111618</v>
      </c>
      <c r="N102" s="550">
        <f t="shared" si="375"/>
        <v>8111618</v>
      </c>
      <c r="O102" s="550">
        <f t="shared" si="375"/>
        <v>8111618</v>
      </c>
      <c r="P102" s="550">
        <f t="shared" si="375"/>
        <v>8111618</v>
      </c>
      <c r="Q102" s="550">
        <f t="shared" si="375"/>
        <v>8111618</v>
      </c>
      <c r="R102" s="551">
        <f t="shared" si="375"/>
        <v>8111618</v>
      </c>
      <c r="S102" s="552">
        <f t="shared" si="375"/>
        <v>8111618</v>
      </c>
      <c r="T102" s="550">
        <f t="shared" si="375"/>
        <v>8111618</v>
      </c>
      <c r="U102" s="550">
        <f>ROUND(T102*105%,0)</f>
        <v>8517199</v>
      </c>
      <c r="V102" s="47">
        <v>8368289</v>
      </c>
      <c r="W102" s="550">
        <f t="shared" ref="W102:AF102" si="376">V102</f>
        <v>8368289</v>
      </c>
      <c r="X102" s="550">
        <f t="shared" si="376"/>
        <v>8368289</v>
      </c>
      <c r="Y102" s="550">
        <f t="shared" si="376"/>
        <v>8368289</v>
      </c>
      <c r="Z102" s="550">
        <f t="shared" si="376"/>
        <v>8368289</v>
      </c>
      <c r="AA102" s="550">
        <f t="shared" si="376"/>
        <v>8368289</v>
      </c>
      <c r="AB102" s="550">
        <f t="shared" si="376"/>
        <v>8368289</v>
      </c>
      <c r="AC102" s="550">
        <f t="shared" si="376"/>
        <v>8368289</v>
      </c>
      <c r="AD102" s="551">
        <f t="shared" si="376"/>
        <v>8368289</v>
      </c>
      <c r="AE102" s="552">
        <f t="shared" si="376"/>
        <v>8368289</v>
      </c>
      <c r="AF102" s="550">
        <f t="shared" si="376"/>
        <v>8368289</v>
      </c>
      <c r="AG102" s="550">
        <f>ROUND(AF102*105%,0)</f>
        <v>8786703</v>
      </c>
      <c r="AH102" s="550">
        <f t="shared" si="365"/>
        <v>8786703</v>
      </c>
      <c r="AI102" s="550">
        <f t="shared" si="365"/>
        <v>8786703</v>
      </c>
      <c r="AJ102" s="550">
        <f t="shared" si="365"/>
        <v>8786703</v>
      </c>
      <c r="AK102" s="550">
        <f t="shared" si="365"/>
        <v>8786703</v>
      </c>
      <c r="AL102" s="550">
        <f t="shared" si="365"/>
        <v>8786703</v>
      </c>
      <c r="AM102" s="550">
        <f t="shared" si="365"/>
        <v>8786703</v>
      </c>
      <c r="AN102" s="550">
        <f t="shared" si="365"/>
        <v>8786703</v>
      </c>
      <c r="AO102" s="550">
        <f t="shared" si="365"/>
        <v>8786703</v>
      </c>
      <c r="AP102" s="691">
        <f t="shared" si="366"/>
        <v>8786703</v>
      </c>
      <c r="AQ102" s="691">
        <f t="shared" si="367"/>
        <v>8786703</v>
      </c>
      <c r="AR102" s="691">
        <f t="shared" si="368"/>
        <v>8786703</v>
      </c>
      <c r="AS102" s="697">
        <f t="shared" si="369"/>
        <v>9226038</v>
      </c>
      <c r="AT102" s="691">
        <f t="shared" ref="AT102:BB102" si="377">+AS102</f>
        <v>9226038</v>
      </c>
      <c r="AU102" s="691">
        <f t="shared" si="377"/>
        <v>9226038</v>
      </c>
      <c r="AV102" s="691">
        <f t="shared" si="377"/>
        <v>9226038</v>
      </c>
      <c r="AW102" s="691">
        <f t="shared" si="377"/>
        <v>9226038</v>
      </c>
      <c r="AX102" s="691">
        <f t="shared" si="377"/>
        <v>9226038</v>
      </c>
      <c r="AY102" s="691">
        <f t="shared" si="377"/>
        <v>9226038</v>
      </c>
      <c r="AZ102" s="691">
        <f t="shared" si="377"/>
        <v>9226038</v>
      </c>
      <c r="BA102" s="691">
        <f t="shared" si="377"/>
        <v>9226038</v>
      </c>
      <c r="BB102" s="551">
        <f t="shared" si="377"/>
        <v>9226038</v>
      </c>
      <c r="BC102" s="10" t="str">
        <f t="shared" si="371"/>
        <v>금융실행그룹수석보(CL3)</v>
      </c>
      <c r="BD102" s="544" t="str">
        <f t="shared" si="332"/>
        <v>금융실행그룹CL3(책임-수석보)</v>
      </c>
      <c r="BE102" s="552"/>
      <c r="BF102" s="550"/>
      <c r="BG102" s="550"/>
      <c r="BH102" s="551"/>
      <c r="BI102" s="552"/>
      <c r="BJ102" s="550"/>
      <c r="BK102" s="551"/>
      <c r="BL102" s="553"/>
      <c r="BM102" s="552"/>
      <c r="BN102" s="550"/>
      <c r="BO102" s="551"/>
      <c r="BP102" s="553"/>
      <c r="BQ102" s="554"/>
      <c r="BR102" s="555"/>
      <c r="BS102" s="556"/>
      <c r="BT102" s="549"/>
      <c r="BU102" s="539"/>
      <c r="BV102" s="539"/>
      <c r="BW102" s="544"/>
      <c r="BX102" s="544"/>
    </row>
    <row r="103" spans="1:76">
      <c r="A103" s="10" t="str">
        <f t="shared" si="300"/>
        <v>금융실행그룹CL2(사원-선임)</v>
      </c>
      <c r="B103" s="526" t="str">
        <f>B102</f>
        <v>금융실행그룹</v>
      </c>
      <c r="C103" s="527" t="s">
        <v>248</v>
      </c>
      <c r="D103" s="18" t="s">
        <v>102</v>
      </c>
      <c r="E103" s="17" t="s">
        <v>457</v>
      </c>
      <c r="F103" s="18" t="s">
        <v>461</v>
      </c>
      <c r="G103" s="552">
        <v>6006594</v>
      </c>
      <c r="H103" s="550">
        <v>6006594</v>
      </c>
      <c r="I103" s="550">
        <v>5315764</v>
      </c>
      <c r="J103" s="550">
        <f t="shared" ref="J103:T103" si="378">I103</f>
        <v>5315764</v>
      </c>
      <c r="K103" s="550">
        <f t="shared" si="378"/>
        <v>5315764</v>
      </c>
      <c r="L103" s="550">
        <f t="shared" si="378"/>
        <v>5315764</v>
      </c>
      <c r="M103" s="550">
        <f t="shared" si="378"/>
        <v>5315764</v>
      </c>
      <c r="N103" s="550">
        <f t="shared" si="378"/>
        <v>5315764</v>
      </c>
      <c r="O103" s="550">
        <f t="shared" si="378"/>
        <v>5315764</v>
      </c>
      <c r="P103" s="550">
        <f t="shared" si="378"/>
        <v>5315764</v>
      </c>
      <c r="Q103" s="550">
        <f t="shared" si="378"/>
        <v>5315764</v>
      </c>
      <c r="R103" s="551">
        <f t="shared" si="378"/>
        <v>5315764</v>
      </c>
      <c r="S103" s="552">
        <f t="shared" si="378"/>
        <v>5315764</v>
      </c>
      <c r="T103" s="550">
        <f t="shared" si="378"/>
        <v>5315764</v>
      </c>
      <c r="U103" s="550">
        <f>ROUND(T103*105%,0)</f>
        <v>5581552</v>
      </c>
      <c r="V103" s="47">
        <v>5628567</v>
      </c>
      <c r="W103" s="550">
        <f t="shared" ref="W103:AF103" si="379">V103</f>
        <v>5628567</v>
      </c>
      <c r="X103" s="550">
        <f t="shared" si="379"/>
        <v>5628567</v>
      </c>
      <c r="Y103" s="550">
        <f t="shared" si="379"/>
        <v>5628567</v>
      </c>
      <c r="Z103" s="550">
        <f t="shared" si="379"/>
        <v>5628567</v>
      </c>
      <c r="AA103" s="550">
        <f t="shared" si="379"/>
        <v>5628567</v>
      </c>
      <c r="AB103" s="550">
        <f t="shared" si="379"/>
        <v>5628567</v>
      </c>
      <c r="AC103" s="550">
        <f t="shared" si="379"/>
        <v>5628567</v>
      </c>
      <c r="AD103" s="551">
        <f t="shared" si="379"/>
        <v>5628567</v>
      </c>
      <c r="AE103" s="552">
        <f t="shared" si="379"/>
        <v>5628567</v>
      </c>
      <c r="AF103" s="550">
        <f t="shared" si="379"/>
        <v>5628567</v>
      </c>
      <c r="AG103" s="550">
        <f>ROUND(AF103*105%,0)</f>
        <v>5909995</v>
      </c>
      <c r="AH103" s="550">
        <f t="shared" si="365"/>
        <v>5909995</v>
      </c>
      <c r="AI103" s="550">
        <f t="shared" si="365"/>
        <v>5909995</v>
      </c>
      <c r="AJ103" s="550">
        <f t="shared" si="365"/>
        <v>5909995</v>
      </c>
      <c r="AK103" s="550">
        <f t="shared" si="365"/>
        <v>5909995</v>
      </c>
      <c r="AL103" s="550">
        <f t="shared" si="365"/>
        <v>5909995</v>
      </c>
      <c r="AM103" s="550">
        <f t="shared" si="365"/>
        <v>5909995</v>
      </c>
      <c r="AN103" s="550">
        <f t="shared" si="365"/>
        <v>5909995</v>
      </c>
      <c r="AO103" s="550">
        <f t="shared" si="365"/>
        <v>5909995</v>
      </c>
      <c r="AP103" s="691">
        <f t="shared" si="366"/>
        <v>5909995</v>
      </c>
      <c r="AQ103" s="691">
        <f t="shared" si="367"/>
        <v>5909995</v>
      </c>
      <c r="AR103" s="691">
        <f t="shared" si="368"/>
        <v>5909995</v>
      </c>
      <c r="AS103" s="697">
        <f t="shared" si="369"/>
        <v>6205495</v>
      </c>
      <c r="AT103" s="691">
        <f t="shared" ref="AT103:BB103" si="380">+AS103</f>
        <v>6205495</v>
      </c>
      <c r="AU103" s="691">
        <f t="shared" si="380"/>
        <v>6205495</v>
      </c>
      <c r="AV103" s="691">
        <f t="shared" si="380"/>
        <v>6205495</v>
      </c>
      <c r="AW103" s="691">
        <f t="shared" si="380"/>
        <v>6205495</v>
      </c>
      <c r="AX103" s="691">
        <f t="shared" si="380"/>
        <v>6205495</v>
      </c>
      <c r="AY103" s="691">
        <f t="shared" si="380"/>
        <v>6205495</v>
      </c>
      <c r="AZ103" s="691">
        <f t="shared" si="380"/>
        <v>6205495</v>
      </c>
      <c r="BA103" s="691">
        <f t="shared" si="380"/>
        <v>6205495</v>
      </c>
      <c r="BB103" s="551">
        <f t="shared" si="380"/>
        <v>6205495</v>
      </c>
      <c r="BC103" s="10" t="str">
        <f t="shared" si="371"/>
        <v>금융실행그룹책임(CL3)</v>
      </c>
      <c r="BD103" s="544" t="str">
        <f t="shared" si="332"/>
        <v>금융실행그룹CL2(사원-선임)</v>
      </c>
      <c r="BE103" s="552"/>
      <c r="BF103" s="550"/>
      <c r="BG103" s="550"/>
      <c r="BH103" s="551"/>
      <c r="BI103" s="552"/>
      <c r="BJ103" s="550"/>
      <c r="BK103" s="551"/>
      <c r="BL103" s="553"/>
      <c r="BM103" s="552"/>
      <c r="BN103" s="550"/>
      <c r="BO103" s="551"/>
      <c r="BP103" s="553"/>
      <c r="BQ103" s="554"/>
      <c r="BR103" s="555"/>
      <c r="BS103" s="556"/>
      <c r="BT103" s="549"/>
      <c r="BU103" s="539"/>
      <c r="BV103" s="539"/>
      <c r="BW103" s="544"/>
      <c r="BX103" s="544"/>
    </row>
    <row r="104" spans="1:76">
      <c r="A104" s="10" t="str">
        <f t="shared" si="300"/>
        <v>금융실행그룹</v>
      </c>
      <c r="B104" s="526" t="str">
        <f>B103</f>
        <v>금융실행그룹</v>
      </c>
      <c r="C104" s="527" t="s">
        <v>249</v>
      </c>
      <c r="D104" s="18" t="s">
        <v>103</v>
      </c>
      <c r="E104" s="17"/>
      <c r="F104" s="18"/>
      <c r="G104" s="45"/>
      <c r="H104" s="46"/>
      <c r="I104" s="47"/>
      <c r="J104" s="46"/>
      <c r="K104" s="46"/>
      <c r="L104" s="46"/>
      <c r="M104" s="46"/>
      <c r="N104" s="46"/>
      <c r="O104" s="46"/>
      <c r="P104" s="46"/>
      <c r="Q104" s="46"/>
      <c r="R104" s="48"/>
      <c r="S104" s="45"/>
      <c r="T104" s="46"/>
      <c r="U104" s="550"/>
      <c r="V104" s="47"/>
      <c r="W104" s="46"/>
      <c r="X104" s="46"/>
      <c r="Y104" s="46"/>
      <c r="Z104" s="46"/>
      <c r="AA104" s="46"/>
      <c r="AB104" s="46"/>
      <c r="AC104" s="46"/>
      <c r="AD104" s="48"/>
      <c r="AE104" s="45"/>
      <c r="AF104" s="46"/>
      <c r="AG104" s="47"/>
      <c r="AH104" s="46"/>
      <c r="AI104" s="46"/>
      <c r="AJ104" s="46"/>
      <c r="AK104" s="46"/>
      <c r="AL104" s="46"/>
      <c r="AM104" s="46"/>
      <c r="AN104" s="46"/>
      <c r="AO104" s="46"/>
      <c r="AP104" s="688"/>
      <c r="AQ104" s="688"/>
      <c r="AR104" s="688"/>
      <c r="AS104" s="697">
        <f t="shared" si="369"/>
        <v>0</v>
      </c>
      <c r="AT104" s="688">
        <f t="shared" ref="AT104:BB104" si="381">+AS104</f>
        <v>0</v>
      </c>
      <c r="AU104" s="688">
        <f t="shared" si="381"/>
        <v>0</v>
      </c>
      <c r="AV104" s="688">
        <f t="shared" si="381"/>
        <v>0</v>
      </c>
      <c r="AW104" s="688">
        <f t="shared" si="381"/>
        <v>0</v>
      </c>
      <c r="AX104" s="688">
        <f t="shared" si="381"/>
        <v>0</v>
      </c>
      <c r="AY104" s="688">
        <f t="shared" si="381"/>
        <v>0</v>
      </c>
      <c r="AZ104" s="688">
        <f t="shared" si="381"/>
        <v>0</v>
      </c>
      <c r="BA104" s="688">
        <f t="shared" si="381"/>
        <v>0</v>
      </c>
      <c r="BB104" s="48">
        <f t="shared" si="381"/>
        <v>0</v>
      </c>
      <c r="BC104" s="10" t="str">
        <f t="shared" si="371"/>
        <v>금융실행그룹선임(CL2)</v>
      </c>
      <c r="BD104" s="544" t="str">
        <f t="shared" si="332"/>
        <v>금융실행그룹</v>
      </c>
      <c r="BE104" s="45"/>
      <c r="BF104" s="46"/>
      <c r="BG104" s="46"/>
      <c r="BH104" s="48"/>
      <c r="BI104" s="45"/>
      <c r="BJ104" s="46"/>
      <c r="BK104" s="48"/>
      <c r="BL104" s="496"/>
      <c r="BM104" s="45"/>
      <c r="BN104" s="46"/>
      <c r="BO104" s="48"/>
      <c r="BP104" s="496"/>
      <c r="BQ104" s="487"/>
      <c r="BR104" s="481"/>
      <c r="BS104" s="473"/>
      <c r="BT104" s="13"/>
    </row>
    <row r="105" spans="1:76">
      <c r="A105" s="10" t="str">
        <f t="shared" si="300"/>
        <v>금융실행그룹</v>
      </c>
      <c r="B105" s="526" t="str">
        <f>B104</f>
        <v>금융실행그룹</v>
      </c>
      <c r="C105" s="529" t="s">
        <v>250</v>
      </c>
      <c r="D105" s="20" t="s">
        <v>104</v>
      </c>
      <c r="E105" s="19"/>
      <c r="F105" s="20"/>
      <c r="G105" s="49"/>
      <c r="H105" s="50"/>
      <c r="I105" s="51"/>
      <c r="J105" s="50"/>
      <c r="K105" s="50"/>
      <c r="L105" s="50"/>
      <c r="M105" s="50"/>
      <c r="N105" s="50"/>
      <c r="O105" s="50"/>
      <c r="P105" s="50"/>
      <c r="Q105" s="50"/>
      <c r="R105" s="52"/>
      <c r="S105" s="49"/>
      <c r="T105" s="50"/>
      <c r="U105" s="1199"/>
      <c r="V105" s="51"/>
      <c r="W105" s="50"/>
      <c r="X105" s="50"/>
      <c r="Y105" s="50"/>
      <c r="Z105" s="50"/>
      <c r="AA105" s="50"/>
      <c r="AB105" s="50"/>
      <c r="AC105" s="50"/>
      <c r="AD105" s="52"/>
      <c r="AE105" s="49"/>
      <c r="AF105" s="50"/>
      <c r="AG105" s="51"/>
      <c r="AH105" s="50"/>
      <c r="AI105" s="50"/>
      <c r="AJ105" s="50"/>
      <c r="AK105" s="50"/>
      <c r="AL105" s="50"/>
      <c r="AM105" s="50"/>
      <c r="AN105" s="50"/>
      <c r="AO105" s="50"/>
      <c r="AP105" s="689"/>
      <c r="AQ105" s="689"/>
      <c r="AR105" s="689"/>
      <c r="AS105" s="698">
        <f t="shared" si="369"/>
        <v>0</v>
      </c>
      <c r="AT105" s="689">
        <f t="shared" ref="AT105:BB105" si="382">+AS105</f>
        <v>0</v>
      </c>
      <c r="AU105" s="689">
        <f t="shared" si="382"/>
        <v>0</v>
      </c>
      <c r="AV105" s="689">
        <f t="shared" si="382"/>
        <v>0</v>
      </c>
      <c r="AW105" s="689">
        <f t="shared" si="382"/>
        <v>0</v>
      </c>
      <c r="AX105" s="689">
        <f t="shared" si="382"/>
        <v>0</v>
      </c>
      <c r="AY105" s="689">
        <f t="shared" si="382"/>
        <v>0</v>
      </c>
      <c r="AZ105" s="689">
        <f t="shared" si="382"/>
        <v>0</v>
      </c>
      <c r="BA105" s="689">
        <f t="shared" si="382"/>
        <v>0</v>
      </c>
      <c r="BB105" s="52">
        <f t="shared" si="382"/>
        <v>0</v>
      </c>
      <c r="BC105" s="10" t="str">
        <f t="shared" si="371"/>
        <v>금융실행그룹사원(CL1-CL2)</v>
      </c>
      <c r="BD105" s="544" t="str">
        <f t="shared" si="332"/>
        <v>금융실행그룹</v>
      </c>
      <c r="BE105" s="49"/>
      <c r="BF105" s="50"/>
      <c r="BG105" s="50"/>
      <c r="BH105" s="52"/>
      <c r="BI105" s="49"/>
      <c r="BJ105" s="50"/>
      <c r="BK105" s="52"/>
      <c r="BL105" s="497"/>
      <c r="BM105" s="49"/>
      <c r="BN105" s="50"/>
      <c r="BO105" s="52"/>
      <c r="BP105" s="497"/>
      <c r="BQ105" s="488"/>
      <c r="BR105" s="482"/>
      <c r="BS105" s="474"/>
      <c r="BT105" s="13"/>
    </row>
    <row r="106" spans="1:76">
      <c r="A106" s="10" t="str">
        <f t="shared" ref="A106:A111" si="383">+B106&amp;E106</f>
        <v>클라우드운영팀이사</v>
      </c>
      <c r="B106" s="523" t="s">
        <v>1061</v>
      </c>
      <c r="C106" s="525" t="s">
        <v>12</v>
      </c>
      <c r="D106" s="15" t="s">
        <v>105</v>
      </c>
      <c r="E106" s="16" t="s">
        <v>12</v>
      </c>
      <c r="F106" s="15" t="s">
        <v>82</v>
      </c>
      <c r="G106" s="25">
        <v>9459405</v>
      </c>
      <c r="H106" s="26">
        <v>9459405</v>
      </c>
      <c r="I106" s="27"/>
      <c r="J106" s="26">
        <f t="shared" ref="J106:T106" si="384">I106</f>
        <v>0</v>
      </c>
      <c r="K106" s="26">
        <f t="shared" si="384"/>
        <v>0</v>
      </c>
      <c r="L106" s="26">
        <f t="shared" si="384"/>
        <v>0</v>
      </c>
      <c r="M106" s="26">
        <f t="shared" si="384"/>
        <v>0</v>
      </c>
      <c r="N106" s="26">
        <f t="shared" si="384"/>
        <v>0</v>
      </c>
      <c r="O106" s="26">
        <f t="shared" si="384"/>
        <v>0</v>
      </c>
      <c r="P106" s="26">
        <f t="shared" si="384"/>
        <v>0</v>
      </c>
      <c r="Q106" s="26">
        <f t="shared" si="384"/>
        <v>0</v>
      </c>
      <c r="R106" s="28">
        <f t="shared" si="384"/>
        <v>0</v>
      </c>
      <c r="S106" s="25">
        <f t="shared" si="384"/>
        <v>0</v>
      </c>
      <c r="T106" s="26">
        <f t="shared" si="384"/>
        <v>0</v>
      </c>
      <c r="U106" s="1200">
        <f t="shared" si="122"/>
        <v>0</v>
      </c>
      <c r="V106" s="27">
        <f t="shared" ref="V106:AF106" si="385">U106</f>
        <v>0</v>
      </c>
      <c r="W106" s="26">
        <f t="shared" si="385"/>
        <v>0</v>
      </c>
      <c r="X106" s="26">
        <f t="shared" si="385"/>
        <v>0</v>
      </c>
      <c r="Y106" s="26">
        <f t="shared" si="385"/>
        <v>0</v>
      </c>
      <c r="Z106" s="26">
        <f t="shared" si="385"/>
        <v>0</v>
      </c>
      <c r="AA106" s="26">
        <f t="shared" si="385"/>
        <v>0</v>
      </c>
      <c r="AB106" s="26">
        <f t="shared" si="385"/>
        <v>0</v>
      </c>
      <c r="AC106" s="26">
        <f t="shared" si="385"/>
        <v>0</v>
      </c>
      <c r="AD106" s="28">
        <f t="shared" si="385"/>
        <v>0</v>
      </c>
      <c r="AE106" s="25">
        <f t="shared" si="385"/>
        <v>0</v>
      </c>
      <c r="AF106" s="26">
        <f t="shared" si="385"/>
        <v>0</v>
      </c>
      <c r="AG106" s="27">
        <f t="shared" si="124"/>
        <v>0</v>
      </c>
      <c r="AH106" s="26">
        <f t="shared" ref="AH106:AO109" si="386">AG106</f>
        <v>0</v>
      </c>
      <c r="AI106" s="26">
        <f t="shared" si="386"/>
        <v>0</v>
      </c>
      <c r="AJ106" s="26">
        <f t="shared" si="386"/>
        <v>0</v>
      </c>
      <c r="AK106" s="26">
        <f t="shared" si="386"/>
        <v>0</v>
      </c>
      <c r="AL106" s="26">
        <f t="shared" si="386"/>
        <v>0</v>
      </c>
      <c r="AM106" s="26">
        <f t="shared" si="386"/>
        <v>0</v>
      </c>
      <c r="AN106" s="26">
        <f t="shared" si="386"/>
        <v>0</v>
      </c>
      <c r="AO106" s="26">
        <f t="shared" si="386"/>
        <v>0</v>
      </c>
      <c r="AP106" s="684">
        <f>AC106</f>
        <v>0</v>
      </c>
      <c r="AQ106" s="684">
        <f t="shared" ref="AQ106:AR125" si="387">+AP106</f>
        <v>0</v>
      </c>
      <c r="AR106" s="684">
        <f t="shared" si="387"/>
        <v>0</v>
      </c>
      <c r="AS106" s="693">
        <f t="shared" si="125"/>
        <v>0</v>
      </c>
      <c r="AT106" s="684">
        <f t="shared" ref="AT106:BB106" si="388">+AS106</f>
        <v>0</v>
      </c>
      <c r="AU106" s="684">
        <f t="shared" si="388"/>
        <v>0</v>
      </c>
      <c r="AV106" s="684">
        <f t="shared" si="388"/>
        <v>0</v>
      </c>
      <c r="AW106" s="684">
        <f t="shared" si="388"/>
        <v>0</v>
      </c>
      <c r="AX106" s="684">
        <f t="shared" si="388"/>
        <v>0</v>
      </c>
      <c r="AY106" s="684">
        <f t="shared" si="388"/>
        <v>0</v>
      </c>
      <c r="AZ106" s="684">
        <f t="shared" si="388"/>
        <v>0</v>
      </c>
      <c r="BA106" s="684">
        <f t="shared" si="388"/>
        <v>0</v>
      </c>
      <c r="BB106" s="28">
        <f t="shared" si="388"/>
        <v>0</v>
      </c>
      <c r="BC106" s="10" t="str">
        <f t="shared" si="127"/>
        <v>클라우드운영팀이사</v>
      </c>
      <c r="BD106" s="10" t="str">
        <f>B106&amp;E106</f>
        <v>클라우드운영팀이사</v>
      </c>
      <c r="BE106" s="25">
        <v>10071670</v>
      </c>
      <c r="BF106" s="26">
        <v>316160</v>
      </c>
      <c r="BG106" s="26">
        <v>12525801.5</v>
      </c>
      <c r="BH106" s="28">
        <v>59932.064593301438</v>
      </c>
      <c r="BI106" s="25">
        <v>10416300</v>
      </c>
      <c r="BJ106" s="26">
        <v>22091</v>
      </c>
      <c r="BK106" s="28">
        <v>13076799</v>
      </c>
      <c r="BL106" s="492">
        <v>62568.416267942586</v>
      </c>
      <c r="BM106" s="25"/>
      <c r="BN106" s="26"/>
      <c r="BO106" s="28"/>
      <c r="BP106" s="492"/>
      <c r="BQ106" s="483">
        <f t="shared" si="98"/>
        <v>-1</v>
      </c>
      <c r="BR106" s="477">
        <f t="shared" si="99"/>
        <v>-1</v>
      </c>
      <c r="BS106" s="469">
        <f t="shared" si="100"/>
        <v>-1</v>
      </c>
      <c r="BT106" s="13"/>
    </row>
    <row r="107" spans="1:76">
      <c r="A107" s="10" t="str">
        <f t="shared" si="383"/>
        <v>클라우드운영팀CL4(수석)</v>
      </c>
      <c r="B107" s="526" t="str">
        <f>+B106</f>
        <v>클라우드운영팀</v>
      </c>
      <c r="C107" s="527" t="s">
        <v>246</v>
      </c>
      <c r="D107" s="18" t="s">
        <v>105</v>
      </c>
      <c r="E107" s="17" t="s">
        <v>445</v>
      </c>
      <c r="F107" s="18" t="s">
        <v>82</v>
      </c>
      <c r="G107" s="29">
        <v>9459405</v>
      </c>
      <c r="H107" s="30">
        <v>9459405</v>
      </c>
      <c r="I107" s="31">
        <v>9905294</v>
      </c>
      <c r="J107" s="30">
        <f t="shared" ref="J107:T107" si="389">I107</f>
        <v>9905294</v>
      </c>
      <c r="K107" s="30">
        <f t="shared" si="389"/>
        <v>9905294</v>
      </c>
      <c r="L107" s="30">
        <f t="shared" si="389"/>
        <v>9905294</v>
      </c>
      <c r="M107" s="30">
        <f t="shared" si="389"/>
        <v>9905294</v>
      </c>
      <c r="N107" s="32">
        <f t="shared" si="389"/>
        <v>9905294</v>
      </c>
      <c r="O107" s="32">
        <f t="shared" si="389"/>
        <v>9905294</v>
      </c>
      <c r="P107" s="30">
        <f t="shared" si="389"/>
        <v>9905294</v>
      </c>
      <c r="Q107" s="30">
        <f t="shared" si="389"/>
        <v>9905294</v>
      </c>
      <c r="R107" s="33">
        <f t="shared" si="389"/>
        <v>9905294</v>
      </c>
      <c r="S107" s="29">
        <f t="shared" si="389"/>
        <v>9905294</v>
      </c>
      <c r="T107" s="30">
        <f t="shared" si="389"/>
        <v>9905294</v>
      </c>
      <c r="U107" s="1201">
        <f t="shared" si="122"/>
        <v>10400559</v>
      </c>
      <c r="V107" s="31">
        <v>11080987</v>
      </c>
      <c r="W107" s="30">
        <f t="shared" ref="W107:AF107" si="390">V107</f>
        <v>11080987</v>
      </c>
      <c r="X107" s="30">
        <f t="shared" si="390"/>
        <v>11080987</v>
      </c>
      <c r="Y107" s="30">
        <f t="shared" si="390"/>
        <v>11080987</v>
      </c>
      <c r="Z107" s="32">
        <f t="shared" si="390"/>
        <v>11080987</v>
      </c>
      <c r="AA107" s="32">
        <f t="shared" si="390"/>
        <v>11080987</v>
      </c>
      <c r="AB107" s="30">
        <f t="shared" si="390"/>
        <v>11080987</v>
      </c>
      <c r="AC107" s="30">
        <f t="shared" si="390"/>
        <v>11080987</v>
      </c>
      <c r="AD107" s="33">
        <f t="shared" si="390"/>
        <v>11080987</v>
      </c>
      <c r="AE107" s="29">
        <f t="shared" si="390"/>
        <v>11080987</v>
      </c>
      <c r="AF107" s="30">
        <f t="shared" si="390"/>
        <v>11080987</v>
      </c>
      <c r="AG107" s="31">
        <f t="shared" si="124"/>
        <v>11635036</v>
      </c>
      <c r="AH107" s="30">
        <f t="shared" si="386"/>
        <v>11635036</v>
      </c>
      <c r="AI107" s="30">
        <f t="shared" si="386"/>
        <v>11635036</v>
      </c>
      <c r="AJ107" s="30">
        <f t="shared" si="386"/>
        <v>11635036</v>
      </c>
      <c r="AK107" s="30">
        <f t="shared" si="386"/>
        <v>11635036</v>
      </c>
      <c r="AL107" s="32">
        <f t="shared" si="386"/>
        <v>11635036</v>
      </c>
      <c r="AM107" s="32">
        <f t="shared" si="386"/>
        <v>11635036</v>
      </c>
      <c r="AN107" s="30">
        <f t="shared" si="386"/>
        <v>11635036</v>
      </c>
      <c r="AO107" s="30">
        <f t="shared" si="386"/>
        <v>11635036</v>
      </c>
      <c r="AP107" s="685">
        <f>AC107</f>
        <v>11080987</v>
      </c>
      <c r="AQ107" s="685">
        <f t="shared" si="387"/>
        <v>11080987</v>
      </c>
      <c r="AR107" s="685">
        <f t="shared" si="387"/>
        <v>11080987</v>
      </c>
      <c r="AS107" s="694">
        <f t="shared" si="125"/>
        <v>11635036</v>
      </c>
      <c r="AT107" s="685">
        <f t="shared" ref="AT107:BB107" si="391">+AS107</f>
        <v>11635036</v>
      </c>
      <c r="AU107" s="685">
        <f t="shared" si="391"/>
        <v>11635036</v>
      </c>
      <c r="AV107" s="685">
        <f t="shared" si="391"/>
        <v>11635036</v>
      </c>
      <c r="AW107" s="685">
        <f t="shared" si="391"/>
        <v>11635036</v>
      </c>
      <c r="AX107" s="685">
        <f t="shared" si="391"/>
        <v>11635036</v>
      </c>
      <c r="AY107" s="685">
        <f t="shared" si="391"/>
        <v>11635036</v>
      </c>
      <c r="AZ107" s="685">
        <f t="shared" si="391"/>
        <v>11635036</v>
      </c>
      <c r="BA107" s="685">
        <f t="shared" si="391"/>
        <v>11635036</v>
      </c>
      <c r="BB107" s="33">
        <f t="shared" si="391"/>
        <v>11635036</v>
      </c>
      <c r="BC107" s="10" t="str">
        <f t="shared" si="127"/>
        <v>클라우드운영팀수석(CL4)</v>
      </c>
      <c r="BD107" s="10" t="str">
        <f>B107&amp;E107</f>
        <v>클라우드운영팀CL4(수석)</v>
      </c>
      <c r="BE107" s="29">
        <v>6481164</v>
      </c>
      <c r="BF107" s="30">
        <v>319966.84210526315</v>
      </c>
      <c r="BG107" s="30">
        <v>7928592.3950877218</v>
      </c>
      <c r="BH107" s="33">
        <v>37935.848780324028</v>
      </c>
      <c r="BI107" s="29">
        <v>6819033</v>
      </c>
      <c r="BJ107" s="30">
        <v>73578</v>
      </c>
      <c r="BK107" s="33">
        <v>8272488</v>
      </c>
      <c r="BL107" s="493">
        <v>39581.282296650716</v>
      </c>
      <c r="BM107" s="29"/>
      <c r="BN107" s="30"/>
      <c r="BO107" s="33"/>
      <c r="BP107" s="493"/>
      <c r="BQ107" s="484">
        <f t="shared" si="98"/>
        <v>-1</v>
      </c>
      <c r="BR107" s="478">
        <f t="shared" si="99"/>
        <v>-1</v>
      </c>
      <c r="BS107" s="470">
        <f t="shared" si="100"/>
        <v>-1</v>
      </c>
      <c r="BT107" s="13"/>
    </row>
    <row r="108" spans="1:76">
      <c r="A108" s="10" t="str">
        <f t="shared" si="383"/>
        <v>클라우드운영팀CL3(책임-수석보)</v>
      </c>
      <c r="B108" s="526" t="str">
        <f>+B107</f>
        <v>클라우드운영팀</v>
      </c>
      <c r="C108" s="527" t="s">
        <v>247</v>
      </c>
      <c r="D108" s="18" t="s">
        <v>105</v>
      </c>
      <c r="E108" s="17" t="s">
        <v>455</v>
      </c>
      <c r="F108" s="18" t="s">
        <v>459</v>
      </c>
      <c r="G108" s="29">
        <v>7856143</v>
      </c>
      <c r="H108" s="30">
        <v>7856143</v>
      </c>
      <c r="I108" s="31">
        <v>8212751</v>
      </c>
      <c r="J108" s="30">
        <f t="shared" ref="J108:T108" si="392">I108</f>
        <v>8212751</v>
      </c>
      <c r="K108" s="30">
        <f t="shared" si="392"/>
        <v>8212751</v>
      </c>
      <c r="L108" s="30">
        <f t="shared" si="392"/>
        <v>8212751</v>
      </c>
      <c r="M108" s="30">
        <f t="shared" si="392"/>
        <v>8212751</v>
      </c>
      <c r="N108" s="34">
        <f t="shared" si="392"/>
        <v>8212751</v>
      </c>
      <c r="O108" s="32">
        <f t="shared" si="392"/>
        <v>8212751</v>
      </c>
      <c r="P108" s="30">
        <f t="shared" si="392"/>
        <v>8212751</v>
      </c>
      <c r="Q108" s="30">
        <f t="shared" si="392"/>
        <v>8212751</v>
      </c>
      <c r="R108" s="33">
        <f t="shared" si="392"/>
        <v>8212751</v>
      </c>
      <c r="S108" s="29">
        <f t="shared" si="392"/>
        <v>8212751</v>
      </c>
      <c r="T108" s="30">
        <f t="shared" si="392"/>
        <v>8212751</v>
      </c>
      <c r="U108" s="1201">
        <f t="shared" si="122"/>
        <v>8623389</v>
      </c>
      <c r="V108" s="31">
        <v>7376811</v>
      </c>
      <c r="W108" s="30">
        <f t="shared" ref="W108:AF108" si="393">V108</f>
        <v>7376811</v>
      </c>
      <c r="X108" s="30">
        <f t="shared" si="393"/>
        <v>7376811</v>
      </c>
      <c r="Y108" s="30">
        <f t="shared" si="393"/>
        <v>7376811</v>
      </c>
      <c r="Z108" s="34">
        <f t="shared" si="393"/>
        <v>7376811</v>
      </c>
      <c r="AA108" s="32">
        <f t="shared" si="393"/>
        <v>7376811</v>
      </c>
      <c r="AB108" s="30">
        <f t="shared" si="393"/>
        <v>7376811</v>
      </c>
      <c r="AC108" s="30">
        <f t="shared" si="393"/>
        <v>7376811</v>
      </c>
      <c r="AD108" s="33">
        <f t="shared" si="393"/>
        <v>7376811</v>
      </c>
      <c r="AE108" s="29">
        <f t="shared" si="393"/>
        <v>7376811</v>
      </c>
      <c r="AF108" s="30">
        <f t="shared" si="393"/>
        <v>7376811</v>
      </c>
      <c r="AG108" s="31">
        <f t="shared" si="124"/>
        <v>7745652</v>
      </c>
      <c r="AH108" s="30">
        <f t="shared" si="386"/>
        <v>7745652</v>
      </c>
      <c r="AI108" s="30">
        <f t="shared" si="386"/>
        <v>7745652</v>
      </c>
      <c r="AJ108" s="30">
        <f t="shared" si="386"/>
        <v>7745652</v>
      </c>
      <c r="AK108" s="30">
        <f t="shared" si="386"/>
        <v>7745652</v>
      </c>
      <c r="AL108" s="34">
        <f t="shared" si="386"/>
        <v>7745652</v>
      </c>
      <c r="AM108" s="32">
        <f t="shared" si="386"/>
        <v>7745652</v>
      </c>
      <c r="AN108" s="30">
        <f t="shared" si="386"/>
        <v>7745652</v>
      </c>
      <c r="AO108" s="30">
        <f t="shared" si="386"/>
        <v>7745652</v>
      </c>
      <c r="AP108" s="685">
        <f>AC108</f>
        <v>7376811</v>
      </c>
      <c r="AQ108" s="685">
        <f t="shared" si="387"/>
        <v>7376811</v>
      </c>
      <c r="AR108" s="685">
        <f t="shared" si="387"/>
        <v>7376811</v>
      </c>
      <c r="AS108" s="694">
        <f t="shared" si="125"/>
        <v>7745652</v>
      </c>
      <c r="AT108" s="685">
        <f t="shared" ref="AT108:BB108" si="394">+AS108</f>
        <v>7745652</v>
      </c>
      <c r="AU108" s="685">
        <f t="shared" si="394"/>
        <v>7745652</v>
      </c>
      <c r="AV108" s="685">
        <f t="shared" si="394"/>
        <v>7745652</v>
      </c>
      <c r="AW108" s="685">
        <f t="shared" si="394"/>
        <v>7745652</v>
      </c>
      <c r="AX108" s="685">
        <f t="shared" si="394"/>
        <v>7745652</v>
      </c>
      <c r="AY108" s="685">
        <f t="shared" si="394"/>
        <v>7745652</v>
      </c>
      <c r="AZ108" s="685">
        <f t="shared" si="394"/>
        <v>7745652</v>
      </c>
      <c r="BA108" s="685">
        <f t="shared" si="394"/>
        <v>7745652</v>
      </c>
      <c r="BB108" s="33">
        <f t="shared" si="394"/>
        <v>7745652</v>
      </c>
      <c r="BC108" s="10" t="str">
        <f t="shared" si="127"/>
        <v>클라우드운영팀수석보(CL3)</v>
      </c>
      <c r="BD108" s="10" t="str">
        <f>B108&amp;E108</f>
        <v>클라우드운영팀CL3(책임-수석보)</v>
      </c>
      <c r="BE108" s="29">
        <v>5123522</v>
      </c>
      <c r="BF108" s="30">
        <v>374659.87012987008</v>
      </c>
      <c r="BG108" s="30">
        <v>6300584.4509956697</v>
      </c>
      <c r="BH108" s="33">
        <v>30146.337086103682</v>
      </c>
      <c r="BI108" s="29">
        <v>5554016</v>
      </c>
      <c r="BJ108" s="30">
        <v>56625</v>
      </c>
      <c r="BK108" s="33">
        <v>6855946</v>
      </c>
      <c r="BL108" s="493">
        <v>32803.569377990432</v>
      </c>
      <c r="BM108" s="29"/>
      <c r="BN108" s="30"/>
      <c r="BO108" s="33"/>
      <c r="BP108" s="493"/>
      <c r="BQ108" s="484">
        <f t="shared" si="98"/>
        <v>-1</v>
      </c>
      <c r="BR108" s="478">
        <f t="shared" si="99"/>
        <v>-1</v>
      </c>
      <c r="BS108" s="470">
        <f t="shared" si="100"/>
        <v>-1</v>
      </c>
      <c r="BT108" s="13"/>
    </row>
    <row r="109" spans="1:76">
      <c r="A109" s="10" t="str">
        <f t="shared" si="383"/>
        <v>클라우드운영팀CL2(사원-선임)</v>
      </c>
      <c r="B109" s="526" t="str">
        <f>+B108</f>
        <v>클라우드운영팀</v>
      </c>
      <c r="C109" s="527" t="s">
        <v>248</v>
      </c>
      <c r="D109" s="18" t="s">
        <v>102</v>
      </c>
      <c r="E109" s="17" t="s">
        <v>457</v>
      </c>
      <c r="F109" s="18" t="s">
        <v>461</v>
      </c>
      <c r="G109" s="29">
        <v>6231007</v>
      </c>
      <c r="H109" s="30">
        <v>6231007</v>
      </c>
      <c r="I109" s="31">
        <v>5232869</v>
      </c>
      <c r="J109" s="30">
        <f t="shared" ref="J109:T109" si="395">I109</f>
        <v>5232869</v>
      </c>
      <c r="K109" s="30">
        <f t="shared" si="395"/>
        <v>5232869</v>
      </c>
      <c r="L109" s="30">
        <f t="shared" si="395"/>
        <v>5232869</v>
      </c>
      <c r="M109" s="30">
        <f t="shared" si="395"/>
        <v>5232869</v>
      </c>
      <c r="N109" s="34">
        <f t="shared" si="395"/>
        <v>5232869</v>
      </c>
      <c r="O109" s="32">
        <f t="shared" si="395"/>
        <v>5232869</v>
      </c>
      <c r="P109" s="30">
        <f t="shared" si="395"/>
        <v>5232869</v>
      </c>
      <c r="Q109" s="30">
        <f t="shared" si="395"/>
        <v>5232869</v>
      </c>
      <c r="R109" s="33">
        <f t="shared" si="395"/>
        <v>5232869</v>
      </c>
      <c r="S109" s="29">
        <f t="shared" si="395"/>
        <v>5232869</v>
      </c>
      <c r="T109" s="30">
        <f t="shared" si="395"/>
        <v>5232869</v>
      </c>
      <c r="U109" s="1201">
        <f t="shared" si="122"/>
        <v>5494512</v>
      </c>
      <c r="V109" s="31">
        <v>6380866</v>
      </c>
      <c r="W109" s="30">
        <f t="shared" ref="W109:AF109" si="396">V109</f>
        <v>6380866</v>
      </c>
      <c r="X109" s="30">
        <f t="shared" si="396"/>
        <v>6380866</v>
      </c>
      <c r="Y109" s="30">
        <f t="shared" si="396"/>
        <v>6380866</v>
      </c>
      <c r="Z109" s="34">
        <f t="shared" si="396"/>
        <v>6380866</v>
      </c>
      <c r="AA109" s="32">
        <f t="shared" si="396"/>
        <v>6380866</v>
      </c>
      <c r="AB109" s="30">
        <f t="shared" si="396"/>
        <v>6380866</v>
      </c>
      <c r="AC109" s="30">
        <f t="shared" si="396"/>
        <v>6380866</v>
      </c>
      <c r="AD109" s="33">
        <f t="shared" si="396"/>
        <v>6380866</v>
      </c>
      <c r="AE109" s="29">
        <f t="shared" si="396"/>
        <v>6380866</v>
      </c>
      <c r="AF109" s="30">
        <f t="shared" si="396"/>
        <v>6380866</v>
      </c>
      <c r="AG109" s="31">
        <f t="shared" si="124"/>
        <v>6699909</v>
      </c>
      <c r="AH109" s="30">
        <f t="shared" si="386"/>
        <v>6699909</v>
      </c>
      <c r="AI109" s="30">
        <f t="shared" si="386"/>
        <v>6699909</v>
      </c>
      <c r="AJ109" s="30">
        <f t="shared" si="386"/>
        <v>6699909</v>
      </c>
      <c r="AK109" s="30">
        <f t="shared" si="386"/>
        <v>6699909</v>
      </c>
      <c r="AL109" s="34">
        <f t="shared" si="386"/>
        <v>6699909</v>
      </c>
      <c r="AM109" s="32">
        <f t="shared" si="386"/>
        <v>6699909</v>
      </c>
      <c r="AN109" s="30">
        <f t="shared" si="386"/>
        <v>6699909</v>
      </c>
      <c r="AO109" s="30">
        <f t="shared" si="386"/>
        <v>6699909</v>
      </c>
      <c r="AP109" s="685">
        <f>AC109</f>
        <v>6380866</v>
      </c>
      <c r="AQ109" s="685">
        <f t="shared" si="387"/>
        <v>6380866</v>
      </c>
      <c r="AR109" s="685">
        <f t="shared" si="387"/>
        <v>6380866</v>
      </c>
      <c r="AS109" s="694">
        <f t="shared" si="125"/>
        <v>6699909</v>
      </c>
      <c r="AT109" s="685">
        <f t="shared" ref="AT109:BB109" si="397">+AS109</f>
        <v>6699909</v>
      </c>
      <c r="AU109" s="685">
        <f t="shared" si="397"/>
        <v>6699909</v>
      </c>
      <c r="AV109" s="685">
        <f t="shared" si="397"/>
        <v>6699909</v>
      </c>
      <c r="AW109" s="685">
        <f t="shared" si="397"/>
        <v>6699909</v>
      </c>
      <c r="AX109" s="685">
        <f t="shared" si="397"/>
        <v>6699909</v>
      </c>
      <c r="AY109" s="685">
        <f t="shared" si="397"/>
        <v>6699909</v>
      </c>
      <c r="AZ109" s="685">
        <f t="shared" si="397"/>
        <v>6699909</v>
      </c>
      <c r="BA109" s="685">
        <f t="shared" si="397"/>
        <v>6699909</v>
      </c>
      <c r="BB109" s="33">
        <f t="shared" si="397"/>
        <v>6699909</v>
      </c>
      <c r="BC109" s="10" t="str">
        <f t="shared" si="127"/>
        <v>클라우드운영팀책임(CL3)</v>
      </c>
      <c r="BD109" s="10" t="str">
        <f>B109&amp;E109</f>
        <v>클라우드운영팀CL2(사원-선임)</v>
      </c>
      <c r="BE109" s="29">
        <v>4042490</v>
      </c>
      <c r="BF109" s="30">
        <v>221633.66666666669</v>
      </c>
      <c r="BG109" s="30">
        <v>4985212.2895555552</v>
      </c>
      <c r="BH109" s="33">
        <v>23852.69038064859</v>
      </c>
      <c r="BI109" s="29">
        <v>4401162</v>
      </c>
      <c r="BJ109" s="30">
        <v>30258</v>
      </c>
      <c r="BK109" s="33">
        <v>5447486</v>
      </c>
      <c r="BL109" s="493">
        <v>26064.526315789473</v>
      </c>
      <c r="BM109" s="29"/>
      <c r="BN109" s="30"/>
      <c r="BO109" s="33"/>
      <c r="BP109" s="493"/>
      <c r="BQ109" s="484">
        <f t="shared" si="98"/>
        <v>-1</v>
      </c>
      <c r="BR109" s="478">
        <f t="shared" si="99"/>
        <v>-1</v>
      </c>
      <c r="BS109" s="470">
        <f t="shared" si="100"/>
        <v>-1</v>
      </c>
      <c r="BT109" s="13"/>
    </row>
    <row r="110" spans="1:76">
      <c r="A110" s="10" t="str">
        <f t="shared" si="383"/>
        <v>클라우드운영팀</v>
      </c>
      <c r="B110" s="526" t="str">
        <f>+B109</f>
        <v>클라우드운영팀</v>
      </c>
      <c r="C110" s="527" t="s">
        <v>249</v>
      </c>
      <c r="D110" s="18" t="s">
        <v>103</v>
      </c>
      <c r="E110" s="17"/>
      <c r="F110" s="18"/>
      <c r="G110" s="29"/>
      <c r="H110" s="30"/>
      <c r="I110" s="31">
        <f>ROUND(H110*105%,0)</f>
        <v>0</v>
      </c>
      <c r="J110" s="30"/>
      <c r="K110" s="30"/>
      <c r="L110" s="30"/>
      <c r="M110" s="30"/>
      <c r="N110" s="34"/>
      <c r="O110" s="32"/>
      <c r="P110" s="30"/>
      <c r="Q110" s="30"/>
      <c r="R110" s="33"/>
      <c r="S110" s="29"/>
      <c r="T110" s="30"/>
      <c r="U110" s="1201">
        <f t="shared" si="122"/>
        <v>0</v>
      </c>
      <c r="V110" s="31"/>
      <c r="W110" s="30"/>
      <c r="X110" s="30"/>
      <c r="Y110" s="30"/>
      <c r="Z110" s="34"/>
      <c r="AA110" s="32"/>
      <c r="AB110" s="30"/>
      <c r="AC110" s="30"/>
      <c r="AD110" s="33"/>
      <c r="AE110" s="29"/>
      <c r="AF110" s="30"/>
      <c r="AG110" s="31">
        <f t="shared" si="124"/>
        <v>0</v>
      </c>
      <c r="AH110" s="30"/>
      <c r="AI110" s="30"/>
      <c r="AJ110" s="30"/>
      <c r="AK110" s="30"/>
      <c r="AL110" s="34"/>
      <c r="AM110" s="32"/>
      <c r="AN110" s="30"/>
      <c r="AO110" s="30"/>
      <c r="AP110" s="685"/>
      <c r="AQ110" s="685">
        <f t="shared" si="387"/>
        <v>0</v>
      </c>
      <c r="AR110" s="685">
        <f t="shared" si="387"/>
        <v>0</v>
      </c>
      <c r="AS110" s="694">
        <f t="shared" si="125"/>
        <v>0</v>
      </c>
      <c r="AT110" s="685">
        <f t="shared" ref="AT110:BB110" si="398">+AS110</f>
        <v>0</v>
      </c>
      <c r="AU110" s="685">
        <f t="shared" si="398"/>
        <v>0</v>
      </c>
      <c r="AV110" s="685">
        <f t="shared" si="398"/>
        <v>0</v>
      </c>
      <c r="AW110" s="685">
        <f t="shared" si="398"/>
        <v>0</v>
      </c>
      <c r="AX110" s="685">
        <f t="shared" si="398"/>
        <v>0</v>
      </c>
      <c r="AY110" s="685">
        <f t="shared" si="398"/>
        <v>0</v>
      </c>
      <c r="AZ110" s="685">
        <f t="shared" si="398"/>
        <v>0</v>
      </c>
      <c r="BA110" s="685">
        <f t="shared" si="398"/>
        <v>0</v>
      </c>
      <c r="BB110" s="33">
        <f t="shared" si="398"/>
        <v>0</v>
      </c>
      <c r="BC110" s="10" t="str">
        <f t="shared" si="127"/>
        <v>클라우드운영팀선임(CL2)</v>
      </c>
      <c r="BE110" s="29">
        <v>0</v>
      </c>
      <c r="BF110" s="30"/>
      <c r="BG110" s="30"/>
      <c r="BH110" s="33"/>
      <c r="BI110" s="29">
        <v>0</v>
      </c>
      <c r="BJ110" s="30">
        <v>0</v>
      </c>
      <c r="BK110" s="33">
        <v>0</v>
      </c>
      <c r="BL110" s="493"/>
      <c r="BM110" s="29"/>
      <c r="BN110" s="30"/>
      <c r="BO110" s="33"/>
      <c r="BP110" s="493"/>
      <c r="BQ110" s="484" t="str">
        <f t="shared" si="98"/>
        <v/>
      </c>
      <c r="BR110" s="478" t="str">
        <f t="shared" si="99"/>
        <v/>
      </c>
      <c r="BS110" s="470" t="str">
        <f t="shared" si="100"/>
        <v/>
      </c>
      <c r="BT110" s="13"/>
    </row>
    <row r="111" spans="1:76">
      <c r="A111" s="10" t="str">
        <f t="shared" si="383"/>
        <v>클라우드운영팀</v>
      </c>
      <c r="B111" s="528" t="str">
        <f>+B110</f>
        <v>클라우드운영팀</v>
      </c>
      <c r="C111" s="529" t="s">
        <v>250</v>
      </c>
      <c r="D111" s="20" t="s">
        <v>104</v>
      </c>
      <c r="E111" s="19"/>
      <c r="F111" s="20"/>
      <c r="G111" s="35"/>
      <c r="H111" s="36"/>
      <c r="I111" s="37">
        <f>ROUND(H111*105%,0)</f>
        <v>0</v>
      </c>
      <c r="J111" s="36"/>
      <c r="K111" s="36"/>
      <c r="L111" s="36"/>
      <c r="M111" s="36"/>
      <c r="N111" s="38"/>
      <c r="O111" s="39"/>
      <c r="P111" s="36"/>
      <c r="Q111" s="36"/>
      <c r="R111" s="40"/>
      <c r="S111" s="35"/>
      <c r="T111" s="36"/>
      <c r="U111" s="1202">
        <f t="shared" si="122"/>
        <v>0</v>
      </c>
      <c r="V111" s="37"/>
      <c r="W111" s="36"/>
      <c r="X111" s="36"/>
      <c r="Y111" s="36"/>
      <c r="Z111" s="38"/>
      <c r="AA111" s="39"/>
      <c r="AB111" s="36"/>
      <c r="AC111" s="36"/>
      <c r="AD111" s="40"/>
      <c r="AE111" s="35"/>
      <c r="AF111" s="36"/>
      <c r="AG111" s="37">
        <f t="shared" si="124"/>
        <v>0</v>
      </c>
      <c r="AH111" s="36"/>
      <c r="AI111" s="36"/>
      <c r="AJ111" s="36"/>
      <c r="AK111" s="36"/>
      <c r="AL111" s="38"/>
      <c r="AM111" s="39"/>
      <c r="AN111" s="36"/>
      <c r="AO111" s="36"/>
      <c r="AP111" s="686"/>
      <c r="AQ111" s="686">
        <f t="shared" si="387"/>
        <v>0</v>
      </c>
      <c r="AR111" s="686">
        <f t="shared" si="387"/>
        <v>0</v>
      </c>
      <c r="AS111" s="695">
        <f t="shared" si="125"/>
        <v>0</v>
      </c>
      <c r="AT111" s="686">
        <f t="shared" ref="AT111:BB111" si="399">+AS111</f>
        <v>0</v>
      </c>
      <c r="AU111" s="686">
        <f t="shared" si="399"/>
        <v>0</v>
      </c>
      <c r="AV111" s="686">
        <f t="shared" si="399"/>
        <v>0</v>
      </c>
      <c r="AW111" s="686">
        <f t="shared" si="399"/>
        <v>0</v>
      </c>
      <c r="AX111" s="686">
        <f t="shared" si="399"/>
        <v>0</v>
      </c>
      <c r="AY111" s="686">
        <f t="shared" si="399"/>
        <v>0</v>
      </c>
      <c r="AZ111" s="686">
        <f t="shared" si="399"/>
        <v>0</v>
      </c>
      <c r="BA111" s="686">
        <f t="shared" si="399"/>
        <v>0</v>
      </c>
      <c r="BB111" s="40">
        <f t="shared" si="399"/>
        <v>0</v>
      </c>
      <c r="BC111" s="10" t="str">
        <f t="shared" si="127"/>
        <v>클라우드운영팀사원(CL1-CL2)</v>
      </c>
      <c r="BE111" s="35">
        <v>0</v>
      </c>
      <c r="BF111" s="36"/>
      <c r="BG111" s="36"/>
      <c r="BH111" s="40"/>
      <c r="BI111" s="35">
        <v>0</v>
      </c>
      <c r="BJ111" s="36">
        <v>0</v>
      </c>
      <c r="BK111" s="40">
        <v>0</v>
      </c>
      <c r="BL111" s="494"/>
      <c r="BM111" s="35"/>
      <c r="BN111" s="36"/>
      <c r="BO111" s="40"/>
      <c r="BP111" s="494"/>
      <c r="BQ111" s="485" t="str">
        <f t="shared" si="98"/>
        <v/>
      </c>
      <c r="BR111" s="479" t="str">
        <f t="shared" si="99"/>
        <v/>
      </c>
      <c r="BS111" s="471" t="str">
        <f t="shared" si="100"/>
        <v/>
      </c>
      <c r="BT111" s="13"/>
    </row>
    <row r="112" spans="1:76">
      <c r="A112" s="10" t="str">
        <f t="shared" ref="A112:A117" si="400">+B112&amp;E112</f>
        <v>인프라운영그룹이사</v>
      </c>
      <c r="B112" s="1215" t="s">
        <v>1122</v>
      </c>
      <c r="C112" s="525" t="s">
        <v>12</v>
      </c>
      <c r="D112" s="15" t="s">
        <v>105</v>
      </c>
      <c r="E112" s="16" t="s">
        <v>12</v>
      </c>
      <c r="F112" s="15" t="s">
        <v>82</v>
      </c>
      <c r="G112" s="543">
        <v>0</v>
      </c>
      <c r="H112" s="541">
        <v>0</v>
      </c>
      <c r="I112" s="541">
        <f>ROUND(H112*105%,0)</f>
        <v>0</v>
      </c>
      <c r="J112" s="541">
        <f t="shared" ref="J112:T112" si="401">I112</f>
        <v>0</v>
      </c>
      <c r="K112" s="541">
        <f t="shared" si="401"/>
        <v>0</v>
      </c>
      <c r="L112" s="541">
        <f t="shared" si="401"/>
        <v>0</v>
      </c>
      <c r="M112" s="541">
        <f t="shared" si="401"/>
        <v>0</v>
      </c>
      <c r="N112" s="541">
        <f t="shared" si="401"/>
        <v>0</v>
      </c>
      <c r="O112" s="541">
        <f t="shared" si="401"/>
        <v>0</v>
      </c>
      <c r="P112" s="541">
        <f t="shared" si="401"/>
        <v>0</v>
      </c>
      <c r="Q112" s="541">
        <f t="shared" si="401"/>
        <v>0</v>
      </c>
      <c r="R112" s="542">
        <f t="shared" si="401"/>
        <v>0</v>
      </c>
      <c r="S112" s="543">
        <f t="shared" si="401"/>
        <v>0</v>
      </c>
      <c r="T112" s="541">
        <f t="shared" si="401"/>
        <v>0</v>
      </c>
      <c r="U112" s="541">
        <f>ROUND(T112*105%,0)</f>
        <v>0</v>
      </c>
      <c r="V112" s="43">
        <f t="shared" ref="V112:AF112" si="402">U112</f>
        <v>0</v>
      </c>
      <c r="W112" s="541">
        <f t="shared" si="402"/>
        <v>0</v>
      </c>
      <c r="X112" s="541">
        <f t="shared" si="402"/>
        <v>0</v>
      </c>
      <c r="Y112" s="541">
        <f t="shared" si="402"/>
        <v>0</v>
      </c>
      <c r="Z112" s="541">
        <f t="shared" si="402"/>
        <v>0</v>
      </c>
      <c r="AA112" s="541">
        <f t="shared" si="402"/>
        <v>0</v>
      </c>
      <c r="AB112" s="541">
        <f t="shared" si="402"/>
        <v>0</v>
      </c>
      <c r="AC112" s="541">
        <f t="shared" si="402"/>
        <v>0</v>
      </c>
      <c r="AD112" s="542">
        <f t="shared" si="402"/>
        <v>0</v>
      </c>
      <c r="AE112" s="543">
        <f t="shared" si="402"/>
        <v>0</v>
      </c>
      <c r="AF112" s="541">
        <f t="shared" si="402"/>
        <v>0</v>
      </c>
      <c r="AG112" s="541">
        <f>ROUND(AF112*105%,0)</f>
        <v>0</v>
      </c>
      <c r="AH112" s="541">
        <f t="shared" ref="AH112:AO115" si="403">AG112</f>
        <v>0</v>
      </c>
      <c r="AI112" s="541">
        <f t="shared" si="403"/>
        <v>0</v>
      </c>
      <c r="AJ112" s="541">
        <f t="shared" si="403"/>
        <v>0</v>
      </c>
      <c r="AK112" s="541">
        <f t="shared" si="403"/>
        <v>0</v>
      </c>
      <c r="AL112" s="541">
        <f t="shared" si="403"/>
        <v>0</v>
      </c>
      <c r="AM112" s="541">
        <f t="shared" si="403"/>
        <v>0</v>
      </c>
      <c r="AN112" s="541">
        <f t="shared" si="403"/>
        <v>0</v>
      </c>
      <c r="AO112" s="541">
        <f t="shared" si="403"/>
        <v>0</v>
      </c>
      <c r="AP112" s="690">
        <f t="shared" ref="AP112:AP115" si="404">AO112</f>
        <v>0</v>
      </c>
      <c r="AQ112" s="690">
        <f t="shared" ref="AQ112:AQ115" si="405">AP112</f>
        <v>0</v>
      </c>
      <c r="AR112" s="690">
        <f t="shared" ref="AR112:AR115" si="406">AQ112</f>
        <v>0</v>
      </c>
      <c r="AS112" s="696">
        <f t="shared" ref="AS112:AS117" si="407">ROUND(AR112*105%,0)</f>
        <v>0</v>
      </c>
      <c r="AT112" s="690">
        <f t="shared" ref="AT112:BB117" si="408">+AS112</f>
        <v>0</v>
      </c>
      <c r="AU112" s="690">
        <f t="shared" si="408"/>
        <v>0</v>
      </c>
      <c r="AV112" s="690">
        <f t="shared" si="408"/>
        <v>0</v>
      </c>
      <c r="AW112" s="690">
        <f t="shared" si="408"/>
        <v>0</v>
      </c>
      <c r="AX112" s="690">
        <f t="shared" si="408"/>
        <v>0</v>
      </c>
      <c r="AY112" s="690">
        <f t="shared" si="408"/>
        <v>0</v>
      </c>
      <c r="AZ112" s="690">
        <f t="shared" si="408"/>
        <v>0</v>
      </c>
      <c r="BA112" s="690">
        <f t="shared" si="408"/>
        <v>0</v>
      </c>
      <c r="BB112" s="542">
        <f t="shared" si="408"/>
        <v>0</v>
      </c>
      <c r="BC112" s="10" t="str">
        <f t="shared" ref="BC112:BC117" si="409">B112&amp;C112</f>
        <v>인프라운영그룹이사</v>
      </c>
      <c r="BD112" s="544" t="str">
        <f t="shared" ref="BD112:BD117" si="410">B112&amp;E112</f>
        <v>인프라운영그룹이사</v>
      </c>
      <c r="BE112" s="543"/>
      <c r="BF112" s="541"/>
      <c r="BG112" s="541"/>
      <c r="BH112" s="542"/>
      <c r="BI112" s="543"/>
      <c r="BJ112" s="541"/>
      <c r="BK112" s="542"/>
      <c r="BL112" s="545"/>
      <c r="BM112" s="543"/>
      <c r="BN112" s="541"/>
      <c r="BO112" s="542"/>
      <c r="BP112" s="545"/>
      <c r="BQ112" s="546"/>
      <c r="BR112" s="547"/>
      <c r="BS112" s="548"/>
      <c r="BT112" s="549"/>
      <c r="BU112" s="539"/>
      <c r="BV112" s="539"/>
      <c r="BW112" s="544"/>
      <c r="BX112" s="544"/>
    </row>
    <row r="113" spans="1:76">
      <c r="A113" s="10" t="str">
        <f t="shared" si="400"/>
        <v>인프라운영그룹CL4(수석)</v>
      </c>
      <c r="B113" s="1216" t="str">
        <f>+B112</f>
        <v>인프라운영그룹</v>
      </c>
      <c r="C113" s="527" t="s">
        <v>246</v>
      </c>
      <c r="D113" s="18" t="s">
        <v>105</v>
      </c>
      <c r="E113" s="17" t="s">
        <v>445</v>
      </c>
      <c r="F113" s="18" t="s">
        <v>82</v>
      </c>
      <c r="G113" s="552">
        <v>9729711</v>
      </c>
      <c r="H113" s="550">
        <v>9729711</v>
      </c>
      <c r="I113" s="550">
        <v>10195563</v>
      </c>
      <c r="J113" s="550">
        <f t="shared" ref="J113:T113" si="411">I113</f>
        <v>10195563</v>
      </c>
      <c r="K113" s="550">
        <f t="shared" si="411"/>
        <v>10195563</v>
      </c>
      <c r="L113" s="550">
        <f t="shared" si="411"/>
        <v>10195563</v>
      </c>
      <c r="M113" s="550">
        <f t="shared" si="411"/>
        <v>10195563</v>
      </c>
      <c r="N113" s="550">
        <f t="shared" si="411"/>
        <v>10195563</v>
      </c>
      <c r="O113" s="550">
        <f t="shared" si="411"/>
        <v>10195563</v>
      </c>
      <c r="P113" s="550">
        <f t="shared" si="411"/>
        <v>10195563</v>
      </c>
      <c r="Q113" s="550">
        <f t="shared" si="411"/>
        <v>10195563</v>
      </c>
      <c r="R113" s="551">
        <f t="shared" si="411"/>
        <v>10195563</v>
      </c>
      <c r="S113" s="552">
        <f t="shared" si="411"/>
        <v>10195563</v>
      </c>
      <c r="T113" s="550">
        <f t="shared" si="411"/>
        <v>10195563</v>
      </c>
      <c r="U113" s="550">
        <f>ROUND(T113*105%,0)</f>
        <v>10705341</v>
      </c>
      <c r="V113" s="47">
        <v>10012383</v>
      </c>
      <c r="W113" s="550">
        <f t="shared" ref="W113:AF113" si="412">V113</f>
        <v>10012383</v>
      </c>
      <c r="X113" s="550">
        <f t="shared" si="412"/>
        <v>10012383</v>
      </c>
      <c r="Y113" s="550">
        <f t="shared" si="412"/>
        <v>10012383</v>
      </c>
      <c r="Z113" s="550">
        <f t="shared" si="412"/>
        <v>10012383</v>
      </c>
      <c r="AA113" s="550">
        <f t="shared" si="412"/>
        <v>10012383</v>
      </c>
      <c r="AB113" s="550">
        <f t="shared" si="412"/>
        <v>10012383</v>
      </c>
      <c r="AC113" s="550">
        <f t="shared" si="412"/>
        <v>10012383</v>
      </c>
      <c r="AD113" s="551">
        <f t="shared" si="412"/>
        <v>10012383</v>
      </c>
      <c r="AE113" s="552">
        <f t="shared" si="412"/>
        <v>10012383</v>
      </c>
      <c r="AF113" s="550">
        <f t="shared" si="412"/>
        <v>10012383</v>
      </c>
      <c r="AG113" s="550">
        <f>ROUND(AF113*105%,0)</f>
        <v>10513002</v>
      </c>
      <c r="AH113" s="550">
        <f t="shared" si="403"/>
        <v>10513002</v>
      </c>
      <c r="AI113" s="550">
        <f t="shared" si="403"/>
        <v>10513002</v>
      </c>
      <c r="AJ113" s="550">
        <f t="shared" si="403"/>
        <v>10513002</v>
      </c>
      <c r="AK113" s="550">
        <f t="shared" si="403"/>
        <v>10513002</v>
      </c>
      <c r="AL113" s="550">
        <f t="shared" si="403"/>
        <v>10513002</v>
      </c>
      <c r="AM113" s="550">
        <f t="shared" si="403"/>
        <v>10513002</v>
      </c>
      <c r="AN113" s="550">
        <f t="shared" si="403"/>
        <v>10513002</v>
      </c>
      <c r="AO113" s="550">
        <f t="shared" si="403"/>
        <v>10513002</v>
      </c>
      <c r="AP113" s="691">
        <f t="shared" si="404"/>
        <v>10513002</v>
      </c>
      <c r="AQ113" s="691">
        <f t="shared" si="405"/>
        <v>10513002</v>
      </c>
      <c r="AR113" s="691">
        <f t="shared" si="406"/>
        <v>10513002</v>
      </c>
      <c r="AS113" s="697">
        <f t="shared" si="407"/>
        <v>11038652</v>
      </c>
      <c r="AT113" s="691">
        <f t="shared" si="408"/>
        <v>11038652</v>
      </c>
      <c r="AU113" s="691">
        <f t="shared" si="408"/>
        <v>11038652</v>
      </c>
      <c r="AV113" s="691">
        <f t="shared" si="408"/>
        <v>11038652</v>
      </c>
      <c r="AW113" s="691">
        <f t="shared" si="408"/>
        <v>11038652</v>
      </c>
      <c r="AX113" s="691">
        <f t="shared" si="408"/>
        <v>11038652</v>
      </c>
      <c r="AY113" s="691">
        <f t="shared" si="408"/>
        <v>11038652</v>
      </c>
      <c r="AZ113" s="691">
        <f t="shared" si="408"/>
        <v>11038652</v>
      </c>
      <c r="BA113" s="691">
        <f t="shared" si="408"/>
        <v>11038652</v>
      </c>
      <c r="BB113" s="551">
        <f t="shared" si="408"/>
        <v>11038652</v>
      </c>
      <c r="BC113" s="10" t="str">
        <f t="shared" si="409"/>
        <v>인프라운영그룹수석(CL4)</v>
      </c>
      <c r="BD113" s="544" t="str">
        <f t="shared" si="410"/>
        <v>인프라운영그룹CL4(수석)</v>
      </c>
      <c r="BE113" s="552"/>
      <c r="BF113" s="550"/>
      <c r="BG113" s="550"/>
      <c r="BH113" s="551"/>
      <c r="BI113" s="552"/>
      <c r="BJ113" s="550"/>
      <c r="BK113" s="551"/>
      <c r="BL113" s="553"/>
      <c r="BM113" s="552"/>
      <c r="BN113" s="550"/>
      <c r="BO113" s="551"/>
      <c r="BP113" s="553"/>
      <c r="BQ113" s="554"/>
      <c r="BR113" s="555"/>
      <c r="BS113" s="556"/>
      <c r="BT113" s="549"/>
      <c r="BU113" s="539"/>
      <c r="BV113" s="539"/>
      <c r="BW113" s="544"/>
      <c r="BX113" s="544"/>
    </row>
    <row r="114" spans="1:76">
      <c r="A114" s="10" t="str">
        <f t="shared" si="400"/>
        <v>인프라운영그룹CL3(책임-수석보)</v>
      </c>
      <c r="B114" s="1216" t="str">
        <f>+B113</f>
        <v>인프라운영그룹</v>
      </c>
      <c r="C114" s="527" t="s">
        <v>247</v>
      </c>
      <c r="D114" s="18" t="s">
        <v>105</v>
      </c>
      <c r="E114" s="17" t="s">
        <v>455</v>
      </c>
      <c r="F114" s="18" t="s">
        <v>459</v>
      </c>
      <c r="G114" s="552">
        <v>7763367</v>
      </c>
      <c r="H114" s="550">
        <v>7763367</v>
      </c>
      <c r="I114" s="550">
        <v>7919147</v>
      </c>
      <c r="J114" s="550">
        <f t="shared" ref="J114:T114" si="413">I114</f>
        <v>7919147</v>
      </c>
      <c r="K114" s="550">
        <f t="shared" si="413"/>
        <v>7919147</v>
      </c>
      <c r="L114" s="550">
        <f t="shared" si="413"/>
        <v>7919147</v>
      </c>
      <c r="M114" s="550">
        <f t="shared" si="413"/>
        <v>7919147</v>
      </c>
      <c r="N114" s="550">
        <f t="shared" si="413"/>
        <v>7919147</v>
      </c>
      <c r="O114" s="550">
        <f t="shared" si="413"/>
        <v>7919147</v>
      </c>
      <c r="P114" s="550">
        <f t="shared" si="413"/>
        <v>7919147</v>
      </c>
      <c r="Q114" s="550">
        <f t="shared" si="413"/>
        <v>7919147</v>
      </c>
      <c r="R114" s="551">
        <f t="shared" si="413"/>
        <v>7919147</v>
      </c>
      <c r="S114" s="552">
        <f t="shared" si="413"/>
        <v>7919147</v>
      </c>
      <c r="T114" s="550">
        <f t="shared" si="413"/>
        <v>7919147</v>
      </c>
      <c r="U114" s="550">
        <f>ROUND(T114*105%,0)</f>
        <v>8315104</v>
      </c>
      <c r="V114" s="47">
        <v>8163794</v>
      </c>
      <c r="W114" s="550">
        <f t="shared" ref="W114:AF114" si="414">V114</f>
        <v>8163794</v>
      </c>
      <c r="X114" s="550">
        <f t="shared" si="414"/>
        <v>8163794</v>
      </c>
      <c r="Y114" s="550">
        <f t="shared" si="414"/>
        <v>8163794</v>
      </c>
      <c r="Z114" s="550">
        <f t="shared" si="414"/>
        <v>8163794</v>
      </c>
      <c r="AA114" s="550">
        <f t="shared" si="414"/>
        <v>8163794</v>
      </c>
      <c r="AB114" s="550">
        <f t="shared" si="414"/>
        <v>8163794</v>
      </c>
      <c r="AC114" s="550">
        <f t="shared" si="414"/>
        <v>8163794</v>
      </c>
      <c r="AD114" s="551">
        <f t="shared" si="414"/>
        <v>8163794</v>
      </c>
      <c r="AE114" s="552">
        <f t="shared" si="414"/>
        <v>8163794</v>
      </c>
      <c r="AF114" s="550">
        <f t="shared" si="414"/>
        <v>8163794</v>
      </c>
      <c r="AG114" s="550">
        <f>ROUND(AF114*105%,0)</f>
        <v>8571984</v>
      </c>
      <c r="AH114" s="550">
        <f t="shared" si="403"/>
        <v>8571984</v>
      </c>
      <c r="AI114" s="550">
        <f t="shared" si="403"/>
        <v>8571984</v>
      </c>
      <c r="AJ114" s="550">
        <f t="shared" si="403"/>
        <v>8571984</v>
      </c>
      <c r="AK114" s="550">
        <f t="shared" si="403"/>
        <v>8571984</v>
      </c>
      <c r="AL114" s="550">
        <f t="shared" si="403"/>
        <v>8571984</v>
      </c>
      <c r="AM114" s="550">
        <f t="shared" si="403"/>
        <v>8571984</v>
      </c>
      <c r="AN114" s="550">
        <f t="shared" si="403"/>
        <v>8571984</v>
      </c>
      <c r="AO114" s="550">
        <f t="shared" si="403"/>
        <v>8571984</v>
      </c>
      <c r="AP114" s="691">
        <f t="shared" si="404"/>
        <v>8571984</v>
      </c>
      <c r="AQ114" s="691">
        <f t="shared" si="405"/>
        <v>8571984</v>
      </c>
      <c r="AR114" s="691">
        <f t="shared" si="406"/>
        <v>8571984</v>
      </c>
      <c r="AS114" s="697">
        <f t="shared" si="407"/>
        <v>9000583</v>
      </c>
      <c r="AT114" s="691">
        <f t="shared" si="408"/>
        <v>9000583</v>
      </c>
      <c r="AU114" s="691">
        <f t="shared" si="408"/>
        <v>9000583</v>
      </c>
      <c r="AV114" s="691">
        <f t="shared" si="408"/>
        <v>9000583</v>
      </c>
      <c r="AW114" s="691">
        <f t="shared" si="408"/>
        <v>9000583</v>
      </c>
      <c r="AX114" s="691">
        <f t="shared" si="408"/>
        <v>9000583</v>
      </c>
      <c r="AY114" s="691">
        <f t="shared" si="408"/>
        <v>9000583</v>
      </c>
      <c r="AZ114" s="691">
        <f t="shared" si="408"/>
        <v>9000583</v>
      </c>
      <c r="BA114" s="691">
        <f t="shared" si="408"/>
        <v>9000583</v>
      </c>
      <c r="BB114" s="551">
        <f t="shared" si="408"/>
        <v>9000583</v>
      </c>
      <c r="BC114" s="10" t="str">
        <f t="shared" si="409"/>
        <v>인프라운영그룹수석보(CL3)</v>
      </c>
      <c r="BD114" s="544" t="str">
        <f t="shared" si="410"/>
        <v>인프라운영그룹CL3(책임-수석보)</v>
      </c>
      <c r="BE114" s="552"/>
      <c r="BF114" s="550"/>
      <c r="BG114" s="550"/>
      <c r="BH114" s="551"/>
      <c r="BI114" s="552"/>
      <c r="BJ114" s="550"/>
      <c r="BK114" s="551"/>
      <c r="BL114" s="553"/>
      <c r="BM114" s="552"/>
      <c r="BN114" s="550"/>
      <c r="BO114" s="551"/>
      <c r="BP114" s="553"/>
      <c r="BQ114" s="554"/>
      <c r="BR114" s="555"/>
      <c r="BS114" s="556"/>
      <c r="BT114" s="549"/>
      <c r="BU114" s="539"/>
      <c r="BV114" s="539"/>
      <c r="BW114" s="544"/>
      <c r="BX114" s="544"/>
    </row>
    <row r="115" spans="1:76">
      <c r="A115" s="10" t="str">
        <f t="shared" si="400"/>
        <v>인프라운영그룹CL2(사원-선임)</v>
      </c>
      <c r="B115" s="1216" t="str">
        <f>+B114</f>
        <v>인프라운영그룹</v>
      </c>
      <c r="C115" s="527" t="s">
        <v>248</v>
      </c>
      <c r="D115" s="18" t="s">
        <v>102</v>
      </c>
      <c r="E115" s="17" t="s">
        <v>457</v>
      </c>
      <c r="F115" s="18" t="s">
        <v>461</v>
      </c>
      <c r="G115" s="552">
        <v>6242073</v>
      </c>
      <c r="H115" s="550">
        <v>6242073</v>
      </c>
      <c r="I115" s="550">
        <v>6225016</v>
      </c>
      <c r="J115" s="550">
        <f t="shared" ref="J115:T115" si="415">I115</f>
        <v>6225016</v>
      </c>
      <c r="K115" s="550">
        <f t="shared" si="415"/>
        <v>6225016</v>
      </c>
      <c r="L115" s="550">
        <f t="shared" si="415"/>
        <v>6225016</v>
      </c>
      <c r="M115" s="550">
        <f t="shared" si="415"/>
        <v>6225016</v>
      </c>
      <c r="N115" s="550">
        <f t="shared" si="415"/>
        <v>6225016</v>
      </c>
      <c r="O115" s="550">
        <f t="shared" si="415"/>
        <v>6225016</v>
      </c>
      <c r="P115" s="550">
        <f t="shared" si="415"/>
        <v>6225016</v>
      </c>
      <c r="Q115" s="550">
        <f t="shared" si="415"/>
        <v>6225016</v>
      </c>
      <c r="R115" s="551">
        <f t="shared" si="415"/>
        <v>6225016</v>
      </c>
      <c r="S115" s="552">
        <f t="shared" si="415"/>
        <v>6225016</v>
      </c>
      <c r="T115" s="550">
        <f t="shared" si="415"/>
        <v>6225016</v>
      </c>
      <c r="U115" s="550">
        <f>ROUND(T115*105%,0)</f>
        <v>6536267</v>
      </c>
      <c r="V115" s="47">
        <v>6380866</v>
      </c>
      <c r="W115" s="550">
        <f t="shared" ref="W115:AF115" si="416">V115</f>
        <v>6380866</v>
      </c>
      <c r="X115" s="550">
        <f t="shared" si="416"/>
        <v>6380866</v>
      </c>
      <c r="Y115" s="550">
        <f t="shared" si="416"/>
        <v>6380866</v>
      </c>
      <c r="Z115" s="550">
        <f t="shared" si="416"/>
        <v>6380866</v>
      </c>
      <c r="AA115" s="550">
        <f t="shared" si="416"/>
        <v>6380866</v>
      </c>
      <c r="AB115" s="550">
        <f t="shared" si="416"/>
        <v>6380866</v>
      </c>
      <c r="AC115" s="550">
        <f t="shared" si="416"/>
        <v>6380866</v>
      </c>
      <c r="AD115" s="551">
        <f t="shared" si="416"/>
        <v>6380866</v>
      </c>
      <c r="AE115" s="552">
        <f t="shared" si="416"/>
        <v>6380866</v>
      </c>
      <c r="AF115" s="550">
        <f t="shared" si="416"/>
        <v>6380866</v>
      </c>
      <c r="AG115" s="550">
        <f>ROUND(AF115*105%,0)</f>
        <v>6699909</v>
      </c>
      <c r="AH115" s="550">
        <f t="shared" si="403"/>
        <v>6699909</v>
      </c>
      <c r="AI115" s="550">
        <f t="shared" si="403"/>
        <v>6699909</v>
      </c>
      <c r="AJ115" s="550">
        <f t="shared" si="403"/>
        <v>6699909</v>
      </c>
      <c r="AK115" s="550">
        <f t="shared" si="403"/>
        <v>6699909</v>
      </c>
      <c r="AL115" s="550">
        <f t="shared" si="403"/>
        <v>6699909</v>
      </c>
      <c r="AM115" s="550">
        <f t="shared" si="403"/>
        <v>6699909</v>
      </c>
      <c r="AN115" s="550">
        <f t="shared" si="403"/>
        <v>6699909</v>
      </c>
      <c r="AO115" s="550">
        <f t="shared" si="403"/>
        <v>6699909</v>
      </c>
      <c r="AP115" s="691">
        <f t="shared" si="404"/>
        <v>6699909</v>
      </c>
      <c r="AQ115" s="691">
        <f t="shared" si="405"/>
        <v>6699909</v>
      </c>
      <c r="AR115" s="691">
        <f t="shared" si="406"/>
        <v>6699909</v>
      </c>
      <c r="AS115" s="697">
        <f t="shared" si="407"/>
        <v>7034904</v>
      </c>
      <c r="AT115" s="691">
        <f t="shared" si="408"/>
        <v>7034904</v>
      </c>
      <c r="AU115" s="691">
        <f t="shared" si="408"/>
        <v>7034904</v>
      </c>
      <c r="AV115" s="691">
        <f t="shared" si="408"/>
        <v>7034904</v>
      </c>
      <c r="AW115" s="691">
        <f t="shared" si="408"/>
        <v>7034904</v>
      </c>
      <c r="AX115" s="691">
        <f t="shared" si="408"/>
        <v>7034904</v>
      </c>
      <c r="AY115" s="691">
        <f t="shared" si="408"/>
        <v>7034904</v>
      </c>
      <c r="AZ115" s="691">
        <f t="shared" si="408"/>
        <v>7034904</v>
      </c>
      <c r="BA115" s="691">
        <f t="shared" si="408"/>
        <v>7034904</v>
      </c>
      <c r="BB115" s="551">
        <f t="shared" si="408"/>
        <v>7034904</v>
      </c>
      <c r="BC115" s="10" t="str">
        <f t="shared" si="409"/>
        <v>인프라운영그룹책임(CL3)</v>
      </c>
      <c r="BD115" s="544" t="str">
        <f t="shared" si="410"/>
        <v>인프라운영그룹CL2(사원-선임)</v>
      </c>
      <c r="BE115" s="552"/>
      <c r="BF115" s="550"/>
      <c r="BG115" s="550"/>
      <c r="BH115" s="551"/>
      <c r="BI115" s="552"/>
      <c r="BJ115" s="550"/>
      <c r="BK115" s="551"/>
      <c r="BL115" s="553"/>
      <c r="BM115" s="552"/>
      <c r="BN115" s="550"/>
      <c r="BO115" s="551"/>
      <c r="BP115" s="553"/>
      <c r="BQ115" s="554"/>
      <c r="BR115" s="555"/>
      <c r="BS115" s="556"/>
      <c r="BT115" s="549"/>
      <c r="BU115" s="539"/>
      <c r="BV115" s="539"/>
      <c r="BW115" s="544"/>
      <c r="BX115" s="544"/>
    </row>
    <row r="116" spans="1:76">
      <c r="A116" s="10" t="str">
        <f t="shared" si="400"/>
        <v>인프라운영그룹</v>
      </c>
      <c r="B116" s="1216" t="str">
        <f>+B115</f>
        <v>인프라운영그룹</v>
      </c>
      <c r="C116" s="527" t="s">
        <v>249</v>
      </c>
      <c r="D116" s="18" t="s">
        <v>103</v>
      </c>
      <c r="E116" s="17"/>
      <c r="F116" s="18"/>
      <c r="G116" s="45"/>
      <c r="H116" s="46"/>
      <c r="I116" s="47"/>
      <c r="J116" s="46"/>
      <c r="K116" s="46"/>
      <c r="L116" s="46"/>
      <c r="M116" s="46"/>
      <c r="N116" s="46"/>
      <c r="O116" s="46"/>
      <c r="P116" s="46"/>
      <c r="Q116" s="46"/>
      <c r="R116" s="48"/>
      <c r="S116" s="45"/>
      <c r="T116" s="46"/>
      <c r="U116" s="550"/>
      <c r="V116" s="47"/>
      <c r="W116" s="46"/>
      <c r="X116" s="46"/>
      <c r="Y116" s="46"/>
      <c r="Z116" s="46"/>
      <c r="AA116" s="46"/>
      <c r="AB116" s="46"/>
      <c r="AC116" s="46"/>
      <c r="AD116" s="48"/>
      <c r="AE116" s="45"/>
      <c r="AF116" s="46"/>
      <c r="AG116" s="47"/>
      <c r="AH116" s="46"/>
      <c r="AI116" s="46"/>
      <c r="AJ116" s="46"/>
      <c r="AK116" s="46"/>
      <c r="AL116" s="46"/>
      <c r="AM116" s="46"/>
      <c r="AN116" s="46"/>
      <c r="AO116" s="46"/>
      <c r="AP116" s="688"/>
      <c r="AQ116" s="688"/>
      <c r="AR116" s="688"/>
      <c r="AS116" s="697">
        <f t="shared" si="407"/>
        <v>0</v>
      </c>
      <c r="AT116" s="688">
        <f t="shared" si="408"/>
        <v>0</v>
      </c>
      <c r="AU116" s="688">
        <f t="shared" si="408"/>
        <v>0</v>
      </c>
      <c r="AV116" s="688">
        <f t="shared" si="408"/>
        <v>0</v>
      </c>
      <c r="AW116" s="688">
        <f t="shared" si="408"/>
        <v>0</v>
      </c>
      <c r="AX116" s="688">
        <f t="shared" si="408"/>
        <v>0</v>
      </c>
      <c r="AY116" s="688">
        <f t="shared" si="408"/>
        <v>0</v>
      </c>
      <c r="AZ116" s="688">
        <f t="shared" si="408"/>
        <v>0</v>
      </c>
      <c r="BA116" s="688">
        <f t="shared" si="408"/>
        <v>0</v>
      </c>
      <c r="BB116" s="48">
        <f t="shared" si="408"/>
        <v>0</v>
      </c>
      <c r="BC116" s="10" t="str">
        <f t="shared" si="409"/>
        <v>인프라운영그룹선임(CL2)</v>
      </c>
      <c r="BD116" s="544" t="str">
        <f t="shared" si="410"/>
        <v>인프라운영그룹</v>
      </c>
      <c r="BE116" s="45"/>
      <c r="BF116" s="46"/>
      <c r="BG116" s="46"/>
      <c r="BH116" s="48"/>
      <c r="BI116" s="45"/>
      <c r="BJ116" s="46"/>
      <c r="BK116" s="48"/>
      <c r="BL116" s="496"/>
      <c r="BM116" s="45"/>
      <c r="BN116" s="46"/>
      <c r="BO116" s="48"/>
      <c r="BP116" s="496"/>
      <c r="BQ116" s="487"/>
      <c r="BR116" s="481"/>
      <c r="BS116" s="473"/>
      <c r="BT116" s="13"/>
    </row>
    <row r="117" spans="1:76">
      <c r="A117" s="10" t="str">
        <f t="shared" si="400"/>
        <v>인프라운영그룹</v>
      </c>
      <c r="B117" s="1217" t="str">
        <f>+B116</f>
        <v>인프라운영그룹</v>
      </c>
      <c r="C117" s="529" t="s">
        <v>250</v>
      </c>
      <c r="D117" s="20" t="s">
        <v>104</v>
      </c>
      <c r="E117" s="19"/>
      <c r="F117" s="20"/>
      <c r="G117" s="49"/>
      <c r="H117" s="50"/>
      <c r="I117" s="51"/>
      <c r="J117" s="50"/>
      <c r="K117" s="50"/>
      <c r="L117" s="50"/>
      <c r="M117" s="50"/>
      <c r="N117" s="50"/>
      <c r="O117" s="50"/>
      <c r="P117" s="50"/>
      <c r="Q117" s="50"/>
      <c r="R117" s="52"/>
      <c r="S117" s="49"/>
      <c r="T117" s="50"/>
      <c r="U117" s="1199"/>
      <c r="V117" s="51"/>
      <c r="W117" s="50"/>
      <c r="X117" s="50"/>
      <c r="Y117" s="50"/>
      <c r="Z117" s="50"/>
      <c r="AA117" s="50"/>
      <c r="AB117" s="50"/>
      <c r="AC117" s="50"/>
      <c r="AD117" s="52"/>
      <c r="AE117" s="49"/>
      <c r="AF117" s="50"/>
      <c r="AG117" s="51"/>
      <c r="AH117" s="50"/>
      <c r="AI117" s="50"/>
      <c r="AJ117" s="50"/>
      <c r="AK117" s="50"/>
      <c r="AL117" s="50"/>
      <c r="AM117" s="50"/>
      <c r="AN117" s="50"/>
      <c r="AO117" s="50"/>
      <c r="AP117" s="689"/>
      <c r="AQ117" s="689"/>
      <c r="AR117" s="689"/>
      <c r="AS117" s="698">
        <f t="shared" si="407"/>
        <v>0</v>
      </c>
      <c r="AT117" s="689">
        <f t="shared" si="408"/>
        <v>0</v>
      </c>
      <c r="AU117" s="689">
        <f t="shared" si="408"/>
        <v>0</v>
      </c>
      <c r="AV117" s="689">
        <f t="shared" si="408"/>
        <v>0</v>
      </c>
      <c r="AW117" s="689">
        <f t="shared" si="408"/>
        <v>0</v>
      </c>
      <c r="AX117" s="689">
        <f t="shared" si="408"/>
        <v>0</v>
      </c>
      <c r="AY117" s="689">
        <f t="shared" si="408"/>
        <v>0</v>
      </c>
      <c r="AZ117" s="689">
        <f t="shared" si="408"/>
        <v>0</v>
      </c>
      <c r="BA117" s="689">
        <f t="shared" si="408"/>
        <v>0</v>
      </c>
      <c r="BB117" s="52">
        <f t="shared" si="408"/>
        <v>0</v>
      </c>
      <c r="BC117" s="10" t="str">
        <f t="shared" si="409"/>
        <v>인프라운영그룹사원(CL1-CL2)</v>
      </c>
      <c r="BD117" s="544" t="str">
        <f t="shared" si="410"/>
        <v>인프라운영그룹</v>
      </c>
      <c r="BE117" s="49"/>
      <c r="BF117" s="50"/>
      <c r="BG117" s="50"/>
      <c r="BH117" s="52"/>
      <c r="BI117" s="49"/>
      <c r="BJ117" s="50"/>
      <c r="BK117" s="52"/>
      <c r="BL117" s="497"/>
      <c r="BM117" s="49"/>
      <c r="BN117" s="50"/>
      <c r="BO117" s="52"/>
      <c r="BP117" s="497"/>
      <c r="BQ117" s="488"/>
      <c r="BR117" s="482"/>
      <c r="BS117" s="474"/>
      <c r="BT117" s="13"/>
    </row>
    <row r="118" spans="1:76">
      <c r="A118" s="10" t="str">
        <f t="shared" ref="A118:A123" si="417">+B118&amp;E118</f>
        <v>ERP실행그룹이사</v>
      </c>
      <c r="B118" s="1203" t="s">
        <v>670</v>
      </c>
      <c r="C118" s="525" t="s">
        <v>12</v>
      </c>
      <c r="D118" s="15" t="s">
        <v>105</v>
      </c>
      <c r="E118" s="16" t="s">
        <v>12</v>
      </c>
      <c r="F118" s="15" t="s">
        <v>82</v>
      </c>
      <c r="G118" s="41">
        <v>9724136</v>
      </c>
      <c r="H118" s="42">
        <v>9724136</v>
      </c>
      <c r="I118" s="43">
        <v>15439211</v>
      </c>
      <c r="J118" s="42">
        <f t="shared" ref="J118:T118" si="418">I118</f>
        <v>15439211</v>
      </c>
      <c r="K118" s="42">
        <f t="shared" si="418"/>
        <v>15439211</v>
      </c>
      <c r="L118" s="42">
        <f t="shared" si="418"/>
        <v>15439211</v>
      </c>
      <c r="M118" s="42">
        <f t="shared" si="418"/>
        <v>15439211</v>
      </c>
      <c r="N118" s="42">
        <f t="shared" si="418"/>
        <v>15439211</v>
      </c>
      <c r="O118" s="42">
        <f t="shared" si="418"/>
        <v>15439211</v>
      </c>
      <c r="P118" s="42">
        <f t="shared" si="418"/>
        <v>15439211</v>
      </c>
      <c r="Q118" s="42">
        <f t="shared" si="418"/>
        <v>15439211</v>
      </c>
      <c r="R118" s="44">
        <f t="shared" si="418"/>
        <v>15439211</v>
      </c>
      <c r="S118" s="41">
        <f t="shared" si="418"/>
        <v>15439211</v>
      </c>
      <c r="T118" s="42">
        <f t="shared" si="418"/>
        <v>15439211</v>
      </c>
      <c r="U118" s="541">
        <f t="shared" ref="U118:U123" si="419">ROUND(T118*105%,0)</f>
        <v>16211172</v>
      </c>
      <c r="V118" s="43"/>
      <c r="W118" s="42">
        <f t="shared" ref="W118:AF118" si="420">V118</f>
        <v>0</v>
      </c>
      <c r="X118" s="42">
        <f t="shared" si="420"/>
        <v>0</v>
      </c>
      <c r="Y118" s="42">
        <f t="shared" si="420"/>
        <v>0</v>
      </c>
      <c r="Z118" s="42">
        <f t="shared" si="420"/>
        <v>0</v>
      </c>
      <c r="AA118" s="42">
        <f t="shared" si="420"/>
        <v>0</v>
      </c>
      <c r="AB118" s="42">
        <f t="shared" si="420"/>
        <v>0</v>
      </c>
      <c r="AC118" s="42">
        <f t="shared" si="420"/>
        <v>0</v>
      </c>
      <c r="AD118" s="44">
        <f t="shared" si="420"/>
        <v>0</v>
      </c>
      <c r="AE118" s="41">
        <f t="shared" si="420"/>
        <v>0</v>
      </c>
      <c r="AF118" s="42">
        <f t="shared" si="420"/>
        <v>0</v>
      </c>
      <c r="AG118" s="43">
        <f t="shared" ref="AG118:AG123" si="421">ROUND(AF118*105%,0)</f>
        <v>0</v>
      </c>
      <c r="AH118" s="42">
        <f t="shared" ref="AH118:AO121" si="422">AG118</f>
        <v>0</v>
      </c>
      <c r="AI118" s="42">
        <f t="shared" si="422"/>
        <v>0</v>
      </c>
      <c r="AJ118" s="42">
        <f t="shared" si="422"/>
        <v>0</v>
      </c>
      <c r="AK118" s="42">
        <f t="shared" si="422"/>
        <v>0</v>
      </c>
      <c r="AL118" s="42">
        <f t="shared" si="422"/>
        <v>0</v>
      </c>
      <c r="AM118" s="42">
        <f t="shared" si="422"/>
        <v>0</v>
      </c>
      <c r="AN118" s="42">
        <f t="shared" si="422"/>
        <v>0</v>
      </c>
      <c r="AO118" s="42">
        <f t="shared" si="422"/>
        <v>0</v>
      </c>
      <c r="AP118" s="687">
        <f t="shared" ref="AP118:AP121" si="423">AO118</f>
        <v>0</v>
      </c>
      <c r="AQ118" s="687">
        <f t="shared" ref="AQ118:AQ121" si="424">AP118</f>
        <v>0</v>
      </c>
      <c r="AR118" s="687">
        <f t="shared" ref="AR118:AR121" si="425">AQ118</f>
        <v>0</v>
      </c>
      <c r="AS118" s="696">
        <f t="shared" ref="AS118:AS123" si="426">ROUND(AR118*105%,0)</f>
        <v>0</v>
      </c>
      <c r="AT118" s="687">
        <f t="shared" ref="AT118:BB118" si="427">+AS118</f>
        <v>0</v>
      </c>
      <c r="AU118" s="687">
        <f t="shared" si="427"/>
        <v>0</v>
      </c>
      <c r="AV118" s="687">
        <f t="shared" si="427"/>
        <v>0</v>
      </c>
      <c r="AW118" s="687">
        <f t="shared" si="427"/>
        <v>0</v>
      </c>
      <c r="AX118" s="687">
        <f t="shared" si="427"/>
        <v>0</v>
      </c>
      <c r="AY118" s="687">
        <f t="shared" si="427"/>
        <v>0</v>
      </c>
      <c r="AZ118" s="687">
        <f t="shared" si="427"/>
        <v>0</v>
      </c>
      <c r="BA118" s="687">
        <f t="shared" si="427"/>
        <v>0</v>
      </c>
      <c r="BB118" s="44">
        <f t="shared" si="427"/>
        <v>0</v>
      </c>
      <c r="BC118" s="10" t="str">
        <f t="shared" ref="BC118:BC123" si="428">B118&amp;C118</f>
        <v>ERP실행그룹이사</v>
      </c>
      <c r="BD118" s="10" t="str">
        <f>B118&amp;E118</f>
        <v>ERP실행그룹이사</v>
      </c>
      <c r="BE118" s="41">
        <v>0</v>
      </c>
      <c r="BF118" s="42">
        <v>316160</v>
      </c>
      <c r="BG118" s="42">
        <v>12525801.5</v>
      </c>
      <c r="BH118" s="44">
        <v>59932.064593301438</v>
      </c>
      <c r="BI118" s="41">
        <v>0</v>
      </c>
      <c r="BJ118" s="42">
        <v>0</v>
      </c>
      <c r="BK118" s="44">
        <v>13098890</v>
      </c>
      <c r="BL118" s="495">
        <v>62674.114832535888</v>
      </c>
      <c r="BM118" s="41"/>
      <c r="BN118" s="42"/>
      <c r="BO118" s="44"/>
      <c r="BP118" s="495"/>
      <c r="BQ118" s="486" t="str">
        <f t="shared" ref="BQ118:BS123" si="429">+IFERROR(BM118/BI118-1,"")</f>
        <v/>
      </c>
      <c r="BR118" s="480" t="str">
        <f t="shared" si="429"/>
        <v/>
      </c>
      <c r="BS118" s="472">
        <f t="shared" si="429"/>
        <v>-1</v>
      </c>
      <c r="BT118" s="549"/>
      <c r="BU118" s="539"/>
      <c r="BV118" s="539"/>
      <c r="BW118" s="544"/>
    </row>
    <row r="119" spans="1:76">
      <c r="A119" s="10" t="str">
        <f t="shared" si="417"/>
        <v>ERP실행그룹CL4(수석)</v>
      </c>
      <c r="B119" s="1203" t="str">
        <f>+B118</f>
        <v>ERP실행그룹</v>
      </c>
      <c r="C119" s="527" t="s">
        <v>246</v>
      </c>
      <c r="D119" s="18" t="s">
        <v>110</v>
      </c>
      <c r="E119" s="17" t="s">
        <v>445</v>
      </c>
      <c r="F119" s="18" t="s">
        <v>82</v>
      </c>
      <c r="G119" s="45">
        <v>10524708</v>
      </c>
      <c r="H119" s="46">
        <v>10524708</v>
      </c>
      <c r="I119" s="47">
        <v>10465911</v>
      </c>
      <c r="J119" s="46">
        <f t="shared" ref="J119:T119" si="430">I119</f>
        <v>10465911</v>
      </c>
      <c r="K119" s="46">
        <f t="shared" si="430"/>
        <v>10465911</v>
      </c>
      <c r="L119" s="46">
        <f t="shared" si="430"/>
        <v>10465911</v>
      </c>
      <c r="M119" s="46">
        <f t="shared" si="430"/>
        <v>10465911</v>
      </c>
      <c r="N119" s="46">
        <f t="shared" si="430"/>
        <v>10465911</v>
      </c>
      <c r="O119" s="46">
        <f t="shared" si="430"/>
        <v>10465911</v>
      </c>
      <c r="P119" s="46">
        <f t="shared" si="430"/>
        <v>10465911</v>
      </c>
      <c r="Q119" s="46">
        <f t="shared" si="430"/>
        <v>10465911</v>
      </c>
      <c r="R119" s="48">
        <v>10465911</v>
      </c>
      <c r="S119" s="45">
        <f t="shared" si="430"/>
        <v>10465911</v>
      </c>
      <c r="T119" s="46">
        <f t="shared" si="430"/>
        <v>10465911</v>
      </c>
      <c r="U119" s="550">
        <f t="shared" si="419"/>
        <v>10989207</v>
      </c>
      <c r="V119" s="47"/>
      <c r="W119" s="46">
        <f t="shared" ref="W119:AF119" si="431">V119</f>
        <v>0</v>
      </c>
      <c r="X119" s="46">
        <f t="shared" si="431"/>
        <v>0</v>
      </c>
      <c r="Y119" s="46">
        <f t="shared" si="431"/>
        <v>0</v>
      </c>
      <c r="Z119" s="46">
        <f t="shared" si="431"/>
        <v>0</v>
      </c>
      <c r="AA119" s="46">
        <f t="shared" si="431"/>
        <v>0</v>
      </c>
      <c r="AB119" s="46">
        <f t="shared" si="431"/>
        <v>0</v>
      </c>
      <c r="AC119" s="46">
        <f t="shared" si="431"/>
        <v>0</v>
      </c>
      <c r="AD119" s="48">
        <f t="shared" si="431"/>
        <v>0</v>
      </c>
      <c r="AE119" s="45">
        <f t="shared" si="431"/>
        <v>0</v>
      </c>
      <c r="AF119" s="46">
        <f t="shared" si="431"/>
        <v>0</v>
      </c>
      <c r="AG119" s="47">
        <f t="shared" si="421"/>
        <v>0</v>
      </c>
      <c r="AH119" s="46">
        <f t="shared" si="422"/>
        <v>0</v>
      </c>
      <c r="AI119" s="46">
        <f t="shared" si="422"/>
        <v>0</v>
      </c>
      <c r="AJ119" s="46">
        <f t="shared" si="422"/>
        <v>0</v>
      </c>
      <c r="AK119" s="46">
        <f t="shared" si="422"/>
        <v>0</v>
      </c>
      <c r="AL119" s="46">
        <f t="shared" si="422"/>
        <v>0</v>
      </c>
      <c r="AM119" s="46">
        <f t="shared" si="422"/>
        <v>0</v>
      </c>
      <c r="AN119" s="46">
        <f t="shared" si="422"/>
        <v>0</v>
      </c>
      <c r="AO119" s="46">
        <f t="shared" si="422"/>
        <v>0</v>
      </c>
      <c r="AP119" s="688">
        <f t="shared" si="423"/>
        <v>0</v>
      </c>
      <c r="AQ119" s="688">
        <f t="shared" si="424"/>
        <v>0</v>
      </c>
      <c r="AR119" s="688">
        <f t="shared" si="425"/>
        <v>0</v>
      </c>
      <c r="AS119" s="697">
        <f t="shared" si="426"/>
        <v>0</v>
      </c>
      <c r="AT119" s="688">
        <f t="shared" ref="AT119:BB119" si="432">+AS119</f>
        <v>0</v>
      </c>
      <c r="AU119" s="688">
        <f t="shared" si="432"/>
        <v>0</v>
      </c>
      <c r="AV119" s="688">
        <f t="shared" si="432"/>
        <v>0</v>
      </c>
      <c r="AW119" s="688">
        <f t="shared" si="432"/>
        <v>0</v>
      </c>
      <c r="AX119" s="688">
        <f t="shared" si="432"/>
        <v>0</v>
      </c>
      <c r="AY119" s="688">
        <f t="shared" si="432"/>
        <v>0</v>
      </c>
      <c r="AZ119" s="688">
        <f t="shared" si="432"/>
        <v>0</v>
      </c>
      <c r="BA119" s="688">
        <f t="shared" si="432"/>
        <v>0</v>
      </c>
      <c r="BB119" s="48">
        <f t="shared" si="432"/>
        <v>0</v>
      </c>
      <c r="BC119" s="10" t="str">
        <f t="shared" si="428"/>
        <v>ERP실행그룹수석(CL4)</v>
      </c>
      <c r="BD119" s="10" t="str">
        <f>B119&amp;E119</f>
        <v>ERP실행그룹CL4(수석)</v>
      </c>
      <c r="BE119" s="45">
        <v>6404992</v>
      </c>
      <c r="BF119" s="46">
        <v>260644</v>
      </c>
      <c r="BG119" s="46">
        <v>7892681.8419999992</v>
      </c>
      <c r="BH119" s="48">
        <v>37764.027952153105</v>
      </c>
      <c r="BI119" s="45">
        <v>6658990</v>
      </c>
      <c r="BJ119" s="46">
        <v>71819</v>
      </c>
      <c r="BK119" s="48">
        <v>8113569</v>
      </c>
      <c r="BL119" s="496">
        <v>38820.904306220094</v>
      </c>
      <c r="BM119" s="45"/>
      <c r="BN119" s="46"/>
      <c r="BO119" s="48"/>
      <c r="BP119" s="496"/>
      <c r="BQ119" s="487">
        <f t="shared" si="429"/>
        <v>-1</v>
      </c>
      <c r="BR119" s="481">
        <f t="shared" si="429"/>
        <v>-1</v>
      </c>
      <c r="BS119" s="473">
        <f t="shared" si="429"/>
        <v>-1</v>
      </c>
      <c r="BT119" s="13"/>
    </row>
    <row r="120" spans="1:76">
      <c r="A120" s="10" t="str">
        <f t="shared" si="417"/>
        <v>ERP실행그룹CL3(책임-수석보)</v>
      </c>
      <c r="B120" s="1203" t="str">
        <f>+B119</f>
        <v>ERP실행그룹</v>
      </c>
      <c r="C120" s="527" t="s">
        <v>247</v>
      </c>
      <c r="D120" s="18" t="s">
        <v>110</v>
      </c>
      <c r="E120" s="17" t="s">
        <v>455</v>
      </c>
      <c r="F120" s="18" t="s">
        <v>459</v>
      </c>
      <c r="G120" s="45">
        <v>8414705</v>
      </c>
      <c r="H120" s="46">
        <v>8414705</v>
      </c>
      <c r="I120" s="47">
        <v>8519427</v>
      </c>
      <c r="J120" s="46">
        <f t="shared" ref="J120:T120" si="433">I120</f>
        <v>8519427</v>
      </c>
      <c r="K120" s="46">
        <f t="shared" si="433"/>
        <v>8519427</v>
      </c>
      <c r="L120" s="46">
        <f t="shared" si="433"/>
        <v>8519427</v>
      </c>
      <c r="M120" s="46">
        <f t="shared" si="433"/>
        <v>8519427</v>
      </c>
      <c r="N120" s="46">
        <f t="shared" si="433"/>
        <v>8519427</v>
      </c>
      <c r="O120" s="46">
        <f t="shared" si="433"/>
        <v>8519427</v>
      </c>
      <c r="P120" s="46">
        <f t="shared" si="433"/>
        <v>8519427</v>
      </c>
      <c r="Q120" s="46">
        <f t="shared" si="433"/>
        <v>8519427</v>
      </c>
      <c r="R120" s="48">
        <f t="shared" si="433"/>
        <v>8519427</v>
      </c>
      <c r="S120" s="45">
        <f t="shared" si="433"/>
        <v>8519427</v>
      </c>
      <c r="T120" s="46">
        <f t="shared" si="433"/>
        <v>8519427</v>
      </c>
      <c r="U120" s="550">
        <f t="shared" si="419"/>
        <v>8945398</v>
      </c>
      <c r="V120" s="47"/>
      <c r="W120" s="46">
        <f t="shared" ref="W120:AF120" si="434">V120</f>
        <v>0</v>
      </c>
      <c r="X120" s="46">
        <f t="shared" si="434"/>
        <v>0</v>
      </c>
      <c r="Y120" s="46">
        <f t="shared" si="434"/>
        <v>0</v>
      </c>
      <c r="Z120" s="46">
        <f t="shared" si="434"/>
        <v>0</v>
      </c>
      <c r="AA120" s="46">
        <f t="shared" si="434"/>
        <v>0</v>
      </c>
      <c r="AB120" s="46">
        <f t="shared" si="434"/>
        <v>0</v>
      </c>
      <c r="AC120" s="46">
        <f t="shared" si="434"/>
        <v>0</v>
      </c>
      <c r="AD120" s="48">
        <f t="shared" si="434"/>
        <v>0</v>
      </c>
      <c r="AE120" s="45">
        <f t="shared" si="434"/>
        <v>0</v>
      </c>
      <c r="AF120" s="46">
        <f t="shared" si="434"/>
        <v>0</v>
      </c>
      <c r="AG120" s="47">
        <f t="shared" si="421"/>
        <v>0</v>
      </c>
      <c r="AH120" s="46">
        <f t="shared" si="422"/>
        <v>0</v>
      </c>
      <c r="AI120" s="46">
        <f t="shared" si="422"/>
        <v>0</v>
      </c>
      <c r="AJ120" s="46">
        <f t="shared" si="422"/>
        <v>0</v>
      </c>
      <c r="AK120" s="46">
        <f t="shared" si="422"/>
        <v>0</v>
      </c>
      <c r="AL120" s="46">
        <f t="shared" si="422"/>
        <v>0</v>
      </c>
      <c r="AM120" s="46">
        <f t="shared" si="422"/>
        <v>0</v>
      </c>
      <c r="AN120" s="46">
        <f t="shared" si="422"/>
        <v>0</v>
      </c>
      <c r="AO120" s="46">
        <f t="shared" si="422"/>
        <v>0</v>
      </c>
      <c r="AP120" s="688">
        <f t="shared" si="423"/>
        <v>0</v>
      </c>
      <c r="AQ120" s="688">
        <f t="shared" si="424"/>
        <v>0</v>
      </c>
      <c r="AR120" s="688">
        <f t="shared" si="425"/>
        <v>0</v>
      </c>
      <c r="AS120" s="697">
        <f t="shared" si="426"/>
        <v>0</v>
      </c>
      <c r="AT120" s="688">
        <f t="shared" ref="AT120:BB120" si="435">+AS120</f>
        <v>0</v>
      </c>
      <c r="AU120" s="688">
        <f t="shared" si="435"/>
        <v>0</v>
      </c>
      <c r="AV120" s="688">
        <f t="shared" si="435"/>
        <v>0</v>
      </c>
      <c r="AW120" s="688">
        <f t="shared" si="435"/>
        <v>0</v>
      </c>
      <c r="AX120" s="688">
        <f t="shared" si="435"/>
        <v>0</v>
      </c>
      <c r="AY120" s="688">
        <f t="shared" si="435"/>
        <v>0</v>
      </c>
      <c r="AZ120" s="688">
        <f t="shared" si="435"/>
        <v>0</v>
      </c>
      <c r="BA120" s="688">
        <f t="shared" si="435"/>
        <v>0</v>
      </c>
      <c r="BB120" s="48">
        <f t="shared" si="435"/>
        <v>0</v>
      </c>
      <c r="BC120" s="10" t="str">
        <f t="shared" si="428"/>
        <v>ERP실행그룹수석보(CL3)</v>
      </c>
      <c r="BD120" s="10" t="str">
        <f>B120&amp;E120</f>
        <v>ERP실행그룹CL3(책임-수석보)</v>
      </c>
      <c r="BE120" s="45">
        <v>4939468</v>
      </c>
      <c r="BF120" s="46">
        <v>294927.85714285716</v>
      </c>
      <c r="BG120" s="46">
        <v>5940474.4744444443</v>
      </c>
      <c r="BH120" s="48">
        <v>28423.322844231792</v>
      </c>
      <c r="BI120" s="45">
        <v>5263708</v>
      </c>
      <c r="BJ120" s="46">
        <v>53666</v>
      </c>
      <c r="BK120" s="48">
        <v>6383266</v>
      </c>
      <c r="BL120" s="496">
        <v>30541.942583732056</v>
      </c>
      <c r="BM120" s="45"/>
      <c r="BN120" s="46"/>
      <c r="BO120" s="48"/>
      <c r="BP120" s="496"/>
      <c r="BQ120" s="487">
        <f t="shared" si="429"/>
        <v>-1</v>
      </c>
      <c r="BR120" s="481">
        <f t="shared" si="429"/>
        <v>-1</v>
      </c>
      <c r="BS120" s="473">
        <f t="shared" si="429"/>
        <v>-1</v>
      </c>
      <c r="BT120" s="13"/>
    </row>
    <row r="121" spans="1:76">
      <c r="A121" s="10" t="str">
        <f t="shared" si="417"/>
        <v>ERP실행그룹CL2(사원-선임)</v>
      </c>
      <c r="B121" s="1203" t="str">
        <f>+B120</f>
        <v>ERP실행그룹</v>
      </c>
      <c r="C121" s="527" t="s">
        <v>248</v>
      </c>
      <c r="D121" s="18" t="s">
        <v>111</v>
      </c>
      <c r="E121" s="17" t="s">
        <v>457</v>
      </c>
      <c r="F121" s="18" t="s">
        <v>461</v>
      </c>
      <c r="G121" s="45">
        <v>5468304</v>
      </c>
      <c r="H121" s="46">
        <v>5468304</v>
      </c>
      <c r="I121" s="47">
        <v>5415390</v>
      </c>
      <c r="J121" s="46">
        <f t="shared" ref="J121:T121" si="436">I121</f>
        <v>5415390</v>
      </c>
      <c r="K121" s="46">
        <f t="shared" si="436"/>
        <v>5415390</v>
      </c>
      <c r="L121" s="46">
        <f t="shared" si="436"/>
        <v>5415390</v>
      </c>
      <c r="M121" s="46">
        <f t="shared" si="436"/>
        <v>5415390</v>
      </c>
      <c r="N121" s="46">
        <f t="shared" si="436"/>
        <v>5415390</v>
      </c>
      <c r="O121" s="46">
        <f t="shared" si="436"/>
        <v>5415390</v>
      </c>
      <c r="P121" s="46">
        <f t="shared" si="436"/>
        <v>5415390</v>
      </c>
      <c r="Q121" s="46">
        <f t="shared" si="436"/>
        <v>5415390</v>
      </c>
      <c r="R121" s="48">
        <f t="shared" si="436"/>
        <v>5415390</v>
      </c>
      <c r="S121" s="45">
        <f t="shared" si="436"/>
        <v>5415390</v>
      </c>
      <c r="T121" s="46">
        <f t="shared" si="436"/>
        <v>5415390</v>
      </c>
      <c r="U121" s="550">
        <f t="shared" si="419"/>
        <v>5686160</v>
      </c>
      <c r="V121" s="47"/>
      <c r="W121" s="46">
        <f t="shared" ref="W121:AF121" si="437">V121</f>
        <v>0</v>
      </c>
      <c r="X121" s="46">
        <f t="shared" si="437"/>
        <v>0</v>
      </c>
      <c r="Y121" s="46">
        <f t="shared" si="437"/>
        <v>0</v>
      </c>
      <c r="Z121" s="46">
        <f t="shared" si="437"/>
        <v>0</v>
      </c>
      <c r="AA121" s="46">
        <f t="shared" si="437"/>
        <v>0</v>
      </c>
      <c r="AB121" s="46">
        <f t="shared" si="437"/>
        <v>0</v>
      </c>
      <c r="AC121" s="46">
        <f t="shared" si="437"/>
        <v>0</v>
      </c>
      <c r="AD121" s="48">
        <f t="shared" si="437"/>
        <v>0</v>
      </c>
      <c r="AE121" s="45">
        <f t="shared" si="437"/>
        <v>0</v>
      </c>
      <c r="AF121" s="46">
        <f t="shared" si="437"/>
        <v>0</v>
      </c>
      <c r="AG121" s="47">
        <f t="shared" si="421"/>
        <v>0</v>
      </c>
      <c r="AH121" s="46">
        <f t="shared" si="422"/>
        <v>0</v>
      </c>
      <c r="AI121" s="46">
        <f t="shared" si="422"/>
        <v>0</v>
      </c>
      <c r="AJ121" s="46">
        <f t="shared" si="422"/>
        <v>0</v>
      </c>
      <c r="AK121" s="46">
        <f t="shared" si="422"/>
        <v>0</v>
      </c>
      <c r="AL121" s="46">
        <f t="shared" si="422"/>
        <v>0</v>
      </c>
      <c r="AM121" s="46">
        <f t="shared" si="422"/>
        <v>0</v>
      </c>
      <c r="AN121" s="46">
        <f t="shared" si="422"/>
        <v>0</v>
      </c>
      <c r="AO121" s="46">
        <f t="shared" si="422"/>
        <v>0</v>
      </c>
      <c r="AP121" s="688">
        <f t="shared" si="423"/>
        <v>0</v>
      </c>
      <c r="AQ121" s="688">
        <f t="shared" si="424"/>
        <v>0</v>
      </c>
      <c r="AR121" s="688">
        <f t="shared" si="425"/>
        <v>0</v>
      </c>
      <c r="AS121" s="697">
        <f t="shared" si="426"/>
        <v>0</v>
      </c>
      <c r="AT121" s="688">
        <f t="shared" ref="AT121:BB121" si="438">+AS121</f>
        <v>0</v>
      </c>
      <c r="AU121" s="688">
        <f t="shared" si="438"/>
        <v>0</v>
      </c>
      <c r="AV121" s="688">
        <f t="shared" si="438"/>
        <v>0</v>
      </c>
      <c r="AW121" s="688">
        <f t="shared" si="438"/>
        <v>0</v>
      </c>
      <c r="AX121" s="688">
        <f t="shared" si="438"/>
        <v>0</v>
      </c>
      <c r="AY121" s="688">
        <f t="shared" si="438"/>
        <v>0</v>
      </c>
      <c r="AZ121" s="688">
        <f t="shared" si="438"/>
        <v>0</v>
      </c>
      <c r="BA121" s="688">
        <f t="shared" si="438"/>
        <v>0</v>
      </c>
      <c r="BB121" s="48">
        <f t="shared" si="438"/>
        <v>0</v>
      </c>
      <c r="BC121" s="10" t="str">
        <f t="shared" si="428"/>
        <v>ERP실행그룹책임(CL3)</v>
      </c>
      <c r="BD121" s="10" t="str">
        <f>B121&amp;E121</f>
        <v>ERP실행그룹CL2(사원-선임)</v>
      </c>
      <c r="BE121" s="45">
        <v>3959839</v>
      </c>
      <c r="BF121" s="46">
        <v>197632.72727272729</v>
      </c>
      <c r="BG121" s="46">
        <v>4758101.7874747459</v>
      </c>
      <c r="BH121" s="48">
        <v>22766.037260644716</v>
      </c>
      <c r="BI121" s="45">
        <v>4193648</v>
      </c>
      <c r="BJ121" s="46">
        <v>28797</v>
      </c>
      <c r="BK121" s="48">
        <v>5017249</v>
      </c>
      <c r="BL121" s="496">
        <v>24005.976076555024</v>
      </c>
      <c r="BM121" s="45"/>
      <c r="BN121" s="46"/>
      <c r="BO121" s="48"/>
      <c r="BP121" s="496"/>
      <c r="BQ121" s="487">
        <f t="shared" si="429"/>
        <v>-1</v>
      </c>
      <c r="BR121" s="481">
        <f t="shared" si="429"/>
        <v>-1</v>
      </c>
      <c r="BS121" s="473">
        <f t="shared" si="429"/>
        <v>-1</v>
      </c>
      <c r="BT121" s="13"/>
    </row>
    <row r="122" spans="1:76">
      <c r="A122" s="10" t="str">
        <f t="shared" si="417"/>
        <v>ERP실행그룹</v>
      </c>
      <c r="B122" s="1203" t="str">
        <f>+B121</f>
        <v>ERP실행그룹</v>
      </c>
      <c r="C122" s="527" t="s">
        <v>249</v>
      </c>
      <c r="D122" s="18" t="s">
        <v>112</v>
      </c>
      <c r="E122" s="17"/>
      <c r="F122" s="18"/>
      <c r="G122" s="45"/>
      <c r="H122" s="46"/>
      <c r="I122" s="47">
        <f>ROUND(H122*105%,0)</f>
        <v>0</v>
      </c>
      <c r="J122" s="46"/>
      <c r="K122" s="46"/>
      <c r="L122" s="46"/>
      <c r="M122" s="46"/>
      <c r="N122" s="46"/>
      <c r="O122" s="46"/>
      <c r="P122" s="46"/>
      <c r="Q122" s="46"/>
      <c r="R122" s="48"/>
      <c r="S122" s="45"/>
      <c r="T122" s="46"/>
      <c r="U122" s="550">
        <f t="shared" si="419"/>
        <v>0</v>
      </c>
      <c r="V122" s="47"/>
      <c r="W122" s="46"/>
      <c r="X122" s="46"/>
      <c r="Y122" s="46"/>
      <c r="Z122" s="46"/>
      <c r="AA122" s="46"/>
      <c r="AB122" s="46"/>
      <c r="AC122" s="46"/>
      <c r="AD122" s="48"/>
      <c r="AE122" s="45"/>
      <c r="AF122" s="46"/>
      <c r="AG122" s="47">
        <f t="shared" si="421"/>
        <v>0</v>
      </c>
      <c r="AH122" s="46"/>
      <c r="AI122" s="46"/>
      <c r="AJ122" s="46"/>
      <c r="AK122" s="46"/>
      <c r="AL122" s="46"/>
      <c r="AM122" s="46"/>
      <c r="AN122" s="46"/>
      <c r="AO122" s="46"/>
      <c r="AP122" s="688"/>
      <c r="AQ122" s="688"/>
      <c r="AR122" s="688"/>
      <c r="AS122" s="697">
        <f t="shared" si="426"/>
        <v>0</v>
      </c>
      <c r="AT122" s="688">
        <f t="shared" ref="AT122:BB122" si="439">+AS122</f>
        <v>0</v>
      </c>
      <c r="AU122" s="688">
        <f t="shared" si="439"/>
        <v>0</v>
      </c>
      <c r="AV122" s="688">
        <f t="shared" si="439"/>
        <v>0</v>
      </c>
      <c r="AW122" s="688">
        <f t="shared" si="439"/>
        <v>0</v>
      </c>
      <c r="AX122" s="688">
        <f t="shared" si="439"/>
        <v>0</v>
      </c>
      <c r="AY122" s="688">
        <f t="shared" si="439"/>
        <v>0</v>
      </c>
      <c r="AZ122" s="688">
        <f t="shared" si="439"/>
        <v>0</v>
      </c>
      <c r="BA122" s="688">
        <f t="shared" si="439"/>
        <v>0</v>
      </c>
      <c r="BB122" s="48">
        <f t="shared" si="439"/>
        <v>0</v>
      </c>
      <c r="BC122" s="10" t="str">
        <f t="shared" si="428"/>
        <v>ERP실행그룹선임(CL2)</v>
      </c>
      <c r="BD122" s="10" t="s">
        <v>451</v>
      </c>
      <c r="BE122" s="45">
        <v>0</v>
      </c>
      <c r="BF122" s="46"/>
      <c r="BG122" s="46"/>
      <c r="BH122" s="48"/>
      <c r="BI122" s="45">
        <v>0</v>
      </c>
      <c r="BJ122" s="46">
        <v>0</v>
      </c>
      <c r="BK122" s="48">
        <v>0</v>
      </c>
      <c r="BL122" s="496"/>
      <c r="BM122" s="45"/>
      <c r="BN122" s="46"/>
      <c r="BO122" s="48"/>
      <c r="BP122" s="496"/>
      <c r="BQ122" s="487" t="str">
        <f t="shared" si="429"/>
        <v/>
      </c>
      <c r="BR122" s="481" t="str">
        <f t="shared" si="429"/>
        <v/>
      </c>
      <c r="BS122" s="473" t="str">
        <f t="shared" si="429"/>
        <v/>
      </c>
      <c r="BT122" s="13"/>
    </row>
    <row r="123" spans="1:76">
      <c r="A123" s="10" t="str">
        <f t="shared" si="417"/>
        <v>ERP실행그룹</v>
      </c>
      <c r="B123" s="1204" t="str">
        <f>+B122</f>
        <v>ERP실행그룹</v>
      </c>
      <c r="C123" s="529" t="s">
        <v>250</v>
      </c>
      <c r="D123" s="20" t="s">
        <v>104</v>
      </c>
      <c r="E123" s="19"/>
      <c r="F123" s="20"/>
      <c r="G123" s="49"/>
      <c r="H123" s="50"/>
      <c r="I123" s="51">
        <f>ROUND(H123*105%,0)</f>
        <v>0</v>
      </c>
      <c r="J123" s="50"/>
      <c r="K123" s="50"/>
      <c r="L123" s="50"/>
      <c r="M123" s="50"/>
      <c r="N123" s="50"/>
      <c r="O123" s="50"/>
      <c r="P123" s="50"/>
      <c r="Q123" s="50"/>
      <c r="R123" s="52"/>
      <c r="S123" s="49"/>
      <c r="T123" s="50"/>
      <c r="U123" s="1199">
        <f t="shared" si="419"/>
        <v>0</v>
      </c>
      <c r="V123" s="51"/>
      <c r="W123" s="50"/>
      <c r="X123" s="50"/>
      <c r="Y123" s="50"/>
      <c r="Z123" s="50"/>
      <c r="AA123" s="50"/>
      <c r="AB123" s="50"/>
      <c r="AC123" s="50"/>
      <c r="AD123" s="52"/>
      <c r="AE123" s="49"/>
      <c r="AF123" s="50"/>
      <c r="AG123" s="51">
        <f t="shared" si="421"/>
        <v>0</v>
      </c>
      <c r="AH123" s="50"/>
      <c r="AI123" s="50"/>
      <c r="AJ123" s="50"/>
      <c r="AK123" s="50"/>
      <c r="AL123" s="50"/>
      <c r="AM123" s="50"/>
      <c r="AN123" s="50"/>
      <c r="AO123" s="50"/>
      <c r="AP123" s="689"/>
      <c r="AQ123" s="689"/>
      <c r="AR123" s="689"/>
      <c r="AS123" s="698">
        <f t="shared" si="426"/>
        <v>0</v>
      </c>
      <c r="AT123" s="689">
        <f t="shared" ref="AT123:BB123" si="440">+AS123</f>
        <v>0</v>
      </c>
      <c r="AU123" s="689">
        <f t="shared" si="440"/>
        <v>0</v>
      </c>
      <c r="AV123" s="689">
        <f t="shared" si="440"/>
        <v>0</v>
      </c>
      <c r="AW123" s="689">
        <f t="shared" si="440"/>
        <v>0</v>
      </c>
      <c r="AX123" s="689">
        <f t="shared" si="440"/>
        <v>0</v>
      </c>
      <c r="AY123" s="689">
        <f t="shared" si="440"/>
        <v>0</v>
      </c>
      <c r="AZ123" s="689">
        <f t="shared" si="440"/>
        <v>0</v>
      </c>
      <c r="BA123" s="689">
        <f t="shared" si="440"/>
        <v>0</v>
      </c>
      <c r="BB123" s="52">
        <f t="shared" si="440"/>
        <v>0</v>
      </c>
      <c r="BC123" s="10" t="str">
        <f t="shared" si="428"/>
        <v>ERP실행그룹사원(CL1-CL2)</v>
      </c>
      <c r="BD123" s="10" t="s">
        <v>452</v>
      </c>
      <c r="BE123" s="49">
        <v>0</v>
      </c>
      <c r="BF123" s="50"/>
      <c r="BG123" s="50"/>
      <c r="BH123" s="52"/>
      <c r="BI123" s="49">
        <v>0</v>
      </c>
      <c r="BJ123" s="50">
        <v>0</v>
      </c>
      <c r="BK123" s="52">
        <v>0</v>
      </c>
      <c r="BL123" s="497"/>
      <c r="BM123" s="49"/>
      <c r="BN123" s="50"/>
      <c r="BO123" s="52"/>
      <c r="BP123" s="497"/>
      <c r="BQ123" s="488" t="str">
        <f t="shared" si="429"/>
        <v/>
      </c>
      <c r="BR123" s="482" t="str">
        <f t="shared" si="429"/>
        <v/>
      </c>
      <c r="BS123" s="474" t="str">
        <f t="shared" si="429"/>
        <v/>
      </c>
      <c r="BT123" s="13"/>
    </row>
    <row r="124" spans="1:76">
      <c r="A124" s="10" t="str">
        <f t="shared" ref="A124:A129" si="441">+B124&amp;E124</f>
        <v>이사</v>
      </c>
      <c r="B124" s="523"/>
      <c r="C124" s="525" t="s">
        <v>12</v>
      </c>
      <c r="D124" s="15" t="s">
        <v>105</v>
      </c>
      <c r="E124" s="16" t="s">
        <v>12</v>
      </c>
      <c r="F124" s="15" t="s">
        <v>82</v>
      </c>
      <c r="G124" s="41"/>
      <c r="H124" s="42">
        <v>0</v>
      </c>
      <c r="I124" s="43">
        <f t="shared" ref="I124:I129" si="442">ROUND(H124*105%,0)</f>
        <v>0</v>
      </c>
      <c r="J124" s="42">
        <f t="shared" ref="J124:T124" si="443">I124</f>
        <v>0</v>
      </c>
      <c r="K124" s="42">
        <f t="shared" si="443"/>
        <v>0</v>
      </c>
      <c r="L124" s="42">
        <f t="shared" si="443"/>
        <v>0</v>
      </c>
      <c r="M124" s="42">
        <f t="shared" si="443"/>
        <v>0</v>
      </c>
      <c r="N124" s="42">
        <f t="shared" si="443"/>
        <v>0</v>
      </c>
      <c r="O124" s="42">
        <f t="shared" si="443"/>
        <v>0</v>
      </c>
      <c r="P124" s="42">
        <f t="shared" si="443"/>
        <v>0</v>
      </c>
      <c r="Q124" s="42">
        <f t="shared" si="443"/>
        <v>0</v>
      </c>
      <c r="R124" s="44">
        <f t="shared" si="443"/>
        <v>0</v>
      </c>
      <c r="S124" s="41">
        <f t="shared" si="443"/>
        <v>0</v>
      </c>
      <c r="T124" s="42">
        <f t="shared" si="443"/>
        <v>0</v>
      </c>
      <c r="U124" s="541">
        <f t="shared" si="122"/>
        <v>0</v>
      </c>
      <c r="V124" s="43">
        <f t="shared" ref="V124:AF124" si="444">U124</f>
        <v>0</v>
      </c>
      <c r="W124" s="42">
        <f t="shared" si="444"/>
        <v>0</v>
      </c>
      <c r="X124" s="42">
        <f t="shared" si="444"/>
        <v>0</v>
      </c>
      <c r="Y124" s="42">
        <f t="shared" si="444"/>
        <v>0</v>
      </c>
      <c r="Z124" s="42">
        <f t="shared" si="444"/>
        <v>0</v>
      </c>
      <c r="AA124" s="42">
        <f t="shared" si="444"/>
        <v>0</v>
      </c>
      <c r="AB124" s="42">
        <f t="shared" si="444"/>
        <v>0</v>
      </c>
      <c r="AC124" s="42">
        <f t="shared" si="444"/>
        <v>0</v>
      </c>
      <c r="AD124" s="44">
        <f t="shared" si="444"/>
        <v>0</v>
      </c>
      <c r="AE124" s="41">
        <f t="shared" si="444"/>
        <v>0</v>
      </c>
      <c r="AF124" s="42">
        <f t="shared" si="444"/>
        <v>0</v>
      </c>
      <c r="AG124" s="43">
        <f t="shared" si="124"/>
        <v>0</v>
      </c>
      <c r="AH124" s="42">
        <f t="shared" ref="AH124:AO127" si="445">AG124</f>
        <v>0</v>
      </c>
      <c r="AI124" s="42">
        <f t="shared" si="445"/>
        <v>0</v>
      </c>
      <c r="AJ124" s="42">
        <f t="shared" si="445"/>
        <v>0</v>
      </c>
      <c r="AK124" s="42">
        <f t="shared" si="445"/>
        <v>0</v>
      </c>
      <c r="AL124" s="42">
        <f t="shared" si="445"/>
        <v>0</v>
      </c>
      <c r="AM124" s="42">
        <f t="shared" si="445"/>
        <v>0</v>
      </c>
      <c r="AN124" s="42">
        <f t="shared" si="445"/>
        <v>0</v>
      </c>
      <c r="AO124" s="42">
        <f t="shared" si="445"/>
        <v>0</v>
      </c>
      <c r="AP124" s="687">
        <f>AC124</f>
        <v>0</v>
      </c>
      <c r="AQ124" s="687">
        <f t="shared" si="387"/>
        <v>0</v>
      </c>
      <c r="AR124" s="687">
        <f t="shared" si="387"/>
        <v>0</v>
      </c>
      <c r="AS124" s="696">
        <f t="shared" si="125"/>
        <v>0</v>
      </c>
      <c r="AT124" s="687">
        <f t="shared" ref="AT124:BB124" si="446">+AS124</f>
        <v>0</v>
      </c>
      <c r="AU124" s="687">
        <f t="shared" si="446"/>
        <v>0</v>
      </c>
      <c r="AV124" s="687">
        <f t="shared" si="446"/>
        <v>0</v>
      </c>
      <c r="AW124" s="687">
        <f t="shared" si="446"/>
        <v>0</v>
      </c>
      <c r="AX124" s="687">
        <f t="shared" si="446"/>
        <v>0</v>
      </c>
      <c r="AY124" s="687">
        <f t="shared" si="446"/>
        <v>0</v>
      </c>
      <c r="AZ124" s="687">
        <f t="shared" si="446"/>
        <v>0</v>
      </c>
      <c r="BA124" s="687">
        <f t="shared" si="446"/>
        <v>0</v>
      </c>
      <c r="BB124" s="44">
        <f t="shared" si="446"/>
        <v>0</v>
      </c>
      <c r="BC124" s="10" t="str">
        <f t="shared" si="127"/>
        <v>이사</v>
      </c>
      <c r="BD124" s="10" t="str">
        <f>B124&amp;E124</f>
        <v>이사</v>
      </c>
      <c r="BE124" s="41">
        <v>8198670</v>
      </c>
      <c r="BF124" s="42">
        <v>4530</v>
      </c>
      <c r="BG124" s="42">
        <v>9987344.7633333337</v>
      </c>
      <c r="BH124" s="44">
        <v>47786.338580542266</v>
      </c>
      <c r="BI124" s="41">
        <v>8064306</v>
      </c>
      <c r="BJ124" s="42">
        <v>17097</v>
      </c>
      <c r="BK124" s="44">
        <v>9618580</v>
      </c>
      <c r="BL124" s="495">
        <v>46021.913875598089</v>
      </c>
      <c r="BM124" s="41"/>
      <c r="BN124" s="42"/>
      <c r="BO124" s="44"/>
      <c r="BP124" s="495"/>
      <c r="BQ124" s="486">
        <f t="shared" ref="BQ124:BQ129" si="447">+IFERROR(BM124/BI124-1,"")</f>
        <v>-1</v>
      </c>
      <c r="BR124" s="480">
        <f t="shared" ref="BR124:BR129" si="448">+IFERROR(BN124/BJ124-1,"")</f>
        <v>-1</v>
      </c>
      <c r="BS124" s="472">
        <f t="shared" ref="BS124:BS129" si="449">+IFERROR(BO124/BK124-1,"")</f>
        <v>-1</v>
      </c>
      <c r="BT124" s="13"/>
    </row>
    <row r="125" spans="1:76">
      <c r="A125" s="10" t="str">
        <f t="shared" si="441"/>
        <v>CL4(수석)</v>
      </c>
      <c r="B125" s="526"/>
      <c r="C125" s="527" t="s">
        <v>246</v>
      </c>
      <c r="D125" s="18" t="s">
        <v>110</v>
      </c>
      <c r="E125" s="17" t="s">
        <v>445</v>
      </c>
      <c r="F125" s="18" t="s">
        <v>82</v>
      </c>
      <c r="G125" s="45">
        <v>9933170</v>
      </c>
      <c r="H125" s="46">
        <v>9933170</v>
      </c>
      <c r="I125" s="47">
        <v>10219900</v>
      </c>
      <c r="J125" s="46">
        <f t="shared" ref="J125:T125" si="450">I125</f>
        <v>10219900</v>
      </c>
      <c r="K125" s="46">
        <f t="shared" si="450"/>
        <v>10219900</v>
      </c>
      <c r="L125" s="46">
        <f t="shared" si="450"/>
        <v>10219900</v>
      </c>
      <c r="M125" s="46">
        <f t="shared" si="450"/>
        <v>10219900</v>
      </c>
      <c r="N125" s="46">
        <f t="shared" si="450"/>
        <v>10219900</v>
      </c>
      <c r="O125" s="46">
        <f t="shared" si="450"/>
        <v>10219900</v>
      </c>
      <c r="P125" s="46">
        <f t="shared" si="450"/>
        <v>10219900</v>
      </c>
      <c r="Q125" s="46">
        <f t="shared" si="450"/>
        <v>10219900</v>
      </c>
      <c r="R125" s="48">
        <f t="shared" si="450"/>
        <v>10219900</v>
      </c>
      <c r="S125" s="45">
        <f t="shared" si="450"/>
        <v>10219900</v>
      </c>
      <c r="T125" s="46">
        <f t="shared" si="450"/>
        <v>10219900</v>
      </c>
      <c r="U125" s="550">
        <f t="shared" si="122"/>
        <v>10730895</v>
      </c>
      <c r="V125" s="47"/>
      <c r="W125" s="46">
        <f t="shared" ref="W125:AF125" si="451">V125</f>
        <v>0</v>
      </c>
      <c r="X125" s="46">
        <f t="shared" si="451"/>
        <v>0</v>
      </c>
      <c r="Y125" s="46">
        <f t="shared" si="451"/>
        <v>0</v>
      </c>
      <c r="Z125" s="46">
        <f t="shared" si="451"/>
        <v>0</v>
      </c>
      <c r="AA125" s="46">
        <f t="shared" si="451"/>
        <v>0</v>
      </c>
      <c r="AB125" s="46">
        <f t="shared" si="451"/>
        <v>0</v>
      </c>
      <c r="AC125" s="46">
        <f t="shared" si="451"/>
        <v>0</v>
      </c>
      <c r="AD125" s="48">
        <f t="shared" si="451"/>
        <v>0</v>
      </c>
      <c r="AE125" s="45">
        <f t="shared" si="451"/>
        <v>0</v>
      </c>
      <c r="AF125" s="46">
        <f t="shared" si="451"/>
        <v>0</v>
      </c>
      <c r="AG125" s="47">
        <f t="shared" si="124"/>
        <v>0</v>
      </c>
      <c r="AH125" s="46">
        <f t="shared" si="445"/>
        <v>0</v>
      </c>
      <c r="AI125" s="46">
        <f t="shared" si="445"/>
        <v>0</v>
      </c>
      <c r="AJ125" s="46">
        <f t="shared" si="445"/>
        <v>0</v>
      </c>
      <c r="AK125" s="46">
        <f t="shared" si="445"/>
        <v>0</v>
      </c>
      <c r="AL125" s="46">
        <f t="shared" si="445"/>
        <v>0</v>
      </c>
      <c r="AM125" s="46">
        <f t="shared" si="445"/>
        <v>0</v>
      </c>
      <c r="AN125" s="46">
        <f t="shared" si="445"/>
        <v>0</v>
      </c>
      <c r="AO125" s="46">
        <f t="shared" si="445"/>
        <v>0</v>
      </c>
      <c r="AP125" s="688">
        <f>AC125</f>
        <v>0</v>
      </c>
      <c r="AQ125" s="688">
        <f t="shared" si="387"/>
        <v>0</v>
      </c>
      <c r="AR125" s="688">
        <f t="shared" si="387"/>
        <v>0</v>
      </c>
      <c r="AS125" s="697">
        <f t="shared" si="125"/>
        <v>0</v>
      </c>
      <c r="AT125" s="688">
        <f t="shared" ref="AT125:BB125" si="452">+AS125</f>
        <v>0</v>
      </c>
      <c r="AU125" s="688">
        <f t="shared" si="452"/>
        <v>0</v>
      </c>
      <c r="AV125" s="688">
        <f t="shared" si="452"/>
        <v>0</v>
      </c>
      <c r="AW125" s="688">
        <f t="shared" si="452"/>
        <v>0</v>
      </c>
      <c r="AX125" s="688">
        <f t="shared" si="452"/>
        <v>0</v>
      </c>
      <c r="AY125" s="688">
        <f t="shared" si="452"/>
        <v>0</v>
      </c>
      <c r="AZ125" s="688">
        <f t="shared" si="452"/>
        <v>0</v>
      </c>
      <c r="BA125" s="688">
        <f t="shared" si="452"/>
        <v>0</v>
      </c>
      <c r="BB125" s="48">
        <f t="shared" si="452"/>
        <v>0</v>
      </c>
      <c r="BC125" s="10" t="str">
        <f t="shared" si="127"/>
        <v>수석(CL4)</v>
      </c>
      <c r="BD125" s="10" t="str">
        <f>B125&amp;E125</f>
        <v>CL4(수석)</v>
      </c>
      <c r="BE125" s="45">
        <v>6467488</v>
      </c>
      <c r="BF125" s="46">
        <v>151830</v>
      </c>
      <c r="BG125" s="46">
        <v>7988334.4952631574</v>
      </c>
      <c r="BH125" s="48">
        <v>38221.696149584488</v>
      </c>
      <c r="BI125" s="45">
        <v>6691043</v>
      </c>
      <c r="BJ125" s="46">
        <v>72215</v>
      </c>
      <c r="BK125" s="48">
        <v>8235380</v>
      </c>
      <c r="BL125" s="496">
        <v>39403.732057416266</v>
      </c>
      <c r="BM125" s="45"/>
      <c r="BN125" s="46"/>
      <c r="BO125" s="48"/>
      <c r="BP125" s="496"/>
      <c r="BQ125" s="487">
        <f t="shared" si="447"/>
        <v>-1</v>
      </c>
      <c r="BR125" s="481">
        <f t="shared" si="448"/>
        <v>-1</v>
      </c>
      <c r="BS125" s="473">
        <f t="shared" si="449"/>
        <v>-1</v>
      </c>
      <c r="BT125" s="13"/>
    </row>
    <row r="126" spans="1:76">
      <c r="A126" s="10" t="str">
        <f t="shared" si="441"/>
        <v>CL3(책임-수석보)</v>
      </c>
      <c r="B126" s="526"/>
      <c r="C126" s="527" t="s">
        <v>247</v>
      </c>
      <c r="D126" s="18" t="s">
        <v>110</v>
      </c>
      <c r="E126" s="17" t="s">
        <v>455</v>
      </c>
      <c r="F126" s="18" t="s">
        <v>459</v>
      </c>
      <c r="G126" s="45">
        <v>8054700</v>
      </c>
      <c r="H126" s="46">
        <v>8054700</v>
      </c>
      <c r="I126" s="47">
        <v>8070182</v>
      </c>
      <c r="J126" s="46">
        <f t="shared" ref="J126:T126" si="453">I126</f>
        <v>8070182</v>
      </c>
      <c r="K126" s="46">
        <f t="shared" si="453"/>
        <v>8070182</v>
      </c>
      <c r="L126" s="46">
        <f t="shared" si="453"/>
        <v>8070182</v>
      </c>
      <c r="M126" s="46">
        <f t="shared" si="453"/>
        <v>8070182</v>
      </c>
      <c r="N126" s="46">
        <f t="shared" si="453"/>
        <v>8070182</v>
      </c>
      <c r="O126" s="46">
        <f t="shared" si="453"/>
        <v>8070182</v>
      </c>
      <c r="P126" s="46">
        <f t="shared" si="453"/>
        <v>8070182</v>
      </c>
      <c r="Q126" s="46">
        <f t="shared" si="453"/>
        <v>8070182</v>
      </c>
      <c r="R126" s="48">
        <f t="shared" si="453"/>
        <v>8070182</v>
      </c>
      <c r="S126" s="45">
        <f t="shared" si="453"/>
        <v>8070182</v>
      </c>
      <c r="T126" s="46">
        <f t="shared" si="453"/>
        <v>8070182</v>
      </c>
      <c r="U126" s="550">
        <f t="shared" si="122"/>
        <v>8473691</v>
      </c>
      <c r="V126" s="47"/>
      <c r="W126" s="46">
        <f t="shared" ref="W126:AF126" si="454">V126</f>
        <v>0</v>
      </c>
      <c r="X126" s="46">
        <f t="shared" si="454"/>
        <v>0</v>
      </c>
      <c r="Y126" s="46">
        <f t="shared" si="454"/>
        <v>0</v>
      </c>
      <c r="Z126" s="46">
        <f t="shared" si="454"/>
        <v>0</v>
      </c>
      <c r="AA126" s="46">
        <f t="shared" si="454"/>
        <v>0</v>
      </c>
      <c r="AB126" s="46">
        <f t="shared" si="454"/>
        <v>0</v>
      </c>
      <c r="AC126" s="46">
        <f t="shared" si="454"/>
        <v>0</v>
      </c>
      <c r="AD126" s="48">
        <f t="shared" si="454"/>
        <v>0</v>
      </c>
      <c r="AE126" s="45">
        <f t="shared" si="454"/>
        <v>0</v>
      </c>
      <c r="AF126" s="46">
        <f t="shared" si="454"/>
        <v>0</v>
      </c>
      <c r="AG126" s="47">
        <f t="shared" si="124"/>
        <v>0</v>
      </c>
      <c r="AH126" s="46">
        <f t="shared" si="445"/>
        <v>0</v>
      </c>
      <c r="AI126" s="46">
        <f t="shared" si="445"/>
        <v>0</v>
      </c>
      <c r="AJ126" s="46">
        <f t="shared" si="445"/>
        <v>0</v>
      </c>
      <c r="AK126" s="46">
        <f t="shared" si="445"/>
        <v>0</v>
      </c>
      <c r="AL126" s="46">
        <f t="shared" si="445"/>
        <v>0</v>
      </c>
      <c r="AM126" s="46">
        <f t="shared" si="445"/>
        <v>0</v>
      </c>
      <c r="AN126" s="46">
        <f t="shared" si="445"/>
        <v>0</v>
      </c>
      <c r="AO126" s="46">
        <f t="shared" si="445"/>
        <v>0</v>
      </c>
      <c r="AP126" s="688">
        <f>AC126</f>
        <v>0</v>
      </c>
      <c r="AQ126" s="688">
        <f t="shared" ref="AQ126:AR135" si="455">+AP126</f>
        <v>0</v>
      </c>
      <c r="AR126" s="688">
        <f t="shared" si="455"/>
        <v>0</v>
      </c>
      <c r="AS126" s="697">
        <f t="shared" si="125"/>
        <v>0</v>
      </c>
      <c r="AT126" s="688">
        <f t="shared" ref="AT126:BB126" si="456">+AS126</f>
        <v>0</v>
      </c>
      <c r="AU126" s="688">
        <f t="shared" si="456"/>
        <v>0</v>
      </c>
      <c r="AV126" s="688">
        <f t="shared" si="456"/>
        <v>0</v>
      </c>
      <c r="AW126" s="688">
        <f t="shared" si="456"/>
        <v>0</v>
      </c>
      <c r="AX126" s="688">
        <f t="shared" si="456"/>
        <v>0</v>
      </c>
      <c r="AY126" s="688">
        <f t="shared" si="456"/>
        <v>0</v>
      </c>
      <c r="AZ126" s="688">
        <f t="shared" si="456"/>
        <v>0</v>
      </c>
      <c r="BA126" s="688">
        <f t="shared" si="456"/>
        <v>0</v>
      </c>
      <c r="BB126" s="48">
        <f t="shared" si="456"/>
        <v>0</v>
      </c>
      <c r="BC126" s="10" t="str">
        <f t="shared" si="127"/>
        <v>수석보(CL3)</v>
      </c>
      <c r="BD126" s="10" t="str">
        <f>B126&amp;E126</f>
        <v>CL3(책임-수석보)</v>
      </c>
      <c r="BE126" s="45">
        <v>5020564</v>
      </c>
      <c r="BF126" s="46">
        <v>86933.139534883725</v>
      </c>
      <c r="BG126" s="46">
        <v>6260505.5644767443</v>
      </c>
      <c r="BH126" s="48">
        <v>29954.572078836096</v>
      </c>
      <c r="BI126" s="45">
        <v>5299189</v>
      </c>
      <c r="BJ126" s="46">
        <v>54024</v>
      </c>
      <c r="BK126" s="48">
        <v>6557924</v>
      </c>
      <c r="BL126" s="496">
        <v>31377.626794258373</v>
      </c>
      <c r="BM126" s="45"/>
      <c r="BN126" s="46"/>
      <c r="BO126" s="48"/>
      <c r="BP126" s="496"/>
      <c r="BQ126" s="487">
        <f t="shared" si="447"/>
        <v>-1</v>
      </c>
      <c r="BR126" s="481">
        <f t="shared" si="448"/>
        <v>-1</v>
      </c>
      <c r="BS126" s="473">
        <f t="shared" si="449"/>
        <v>-1</v>
      </c>
      <c r="BT126" s="13"/>
    </row>
    <row r="127" spans="1:76">
      <c r="A127" s="10" t="str">
        <f t="shared" si="441"/>
        <v>CL2(사원-선임)</v>
      </c>
      <c r="B127" s="526"/>
      <c r="C127" s="527" t="s">
        <v>248</v>
      </c>
      <c r="D127" s="18" t="s">
        <v>111</v>
      </c>
      <c r="E127" s="17" t="s">
        <v>457</v>
      </c>
      <c r="F127" s="18" t="s">
        <v>461</v>
      </c>
      <c r="G127" s="45">
        <v>6239307</v>
      </c>
      <c r="H127" s="46">
        <v>6239307</v>
      </c>
      <c r="I127" s="47">
        <v>6196404</v>
      </c>
      <c r="J127" s="46">
        <f t="shared" ref="J127:T127" si="457">I127</f>
        <v>6196404</v>
      </c>
      <c r="K127" s="46">
        <f t="shared" si="457"/>
        <v>6196404</v>
      </c>
      <c r="L127" s="46">
        <f t="shared" si="457"/>
        <v>6196404</v>
      </c>
      <c r="M127" s="46">
        <f t="shared" si="457"/>
        <v>6196404</v>
      </c>
      <c r="N127" s="46">
        <f t="shared" si="457"/>
        <v>6196404</v>
      </c>
      <c r="O127" s="46">
        <f t="shared" si="457"/>
        <v>6196404</v>
      </c>
      <c r="P127" s="46">
        <f t="shared" si="457"/>
        <v>6196404</v>
      </c>
      <c r="Q127" s="46">
        <f t="shared" si="457"/>
        <v>6196404</v>
      </c>
      <c r="R127" s="48">
        <f t="shared" si="457"/>
        <v>6196404</v>
      </c>
      <c r="S127" s="45">
        <f t="shared" si="457"/>
        <v>6196404</v>
      </c>
      <c r="T127" s="46">
        <f t="shared" si="457"/>
        <v>6196404</v>
      </c>
      <c r="U127" s="550">
        <f t="shared" si="122"/>
        <v>6506224</v>
      </c>
      <c r="V127" s="47"/>
      <c r="W127" s="46">
        <f t="shared" ref="W127:AF127" si="458">V127</f>
        <v>0</v>
      </c>
      <c r="X127" s="46">
        <f t="shared" si="458"/>
        <v>0</v>
      </c>
      <c r="Y127" s="46">
        <f t="shared" si="458"/>
        <v>0</v>
      </c>
      <c r="Z127" s="46">
        <f t="shared" si="458"/>
        <v>0</v>
      </c>
      <c r="AA127" s="46">
        <f t="shared" si="458"/>
        <v>0</v>
      </c>
      <c r="AB127" s="46">
        <f t="shared" si="458"/>
        <v>0</v>
      </c>
      <c r="AC127" s="46">
        <f t="shared" si="458"/>
        <v>0</v>
      </c>
      <c r="AD127" s="48">
        <f t="shared" si="458"/>
        <v>0</v>
      </c>
      <c r="AE127" s="45">
        <f t="shared" si="458"/>
        <v>0</v>
      </c>
      <c r="AF127" s="46">
        <f t="shared" si="458"/>
        <v>0</v>
      </c>
      <c r="AG127" s="47">
        <f t="shared" si="124"/>
        <v>0</v>
      </c>
      <c r="AH127" s="46">
        <f t="shared" si="445"/>
        <v>0</v>
      </c>
      <c r="AI127" s="46">
        <f t="shared" si="445"/>
        <v>0</v>
      </c>
      <c r="AJ127" s="46">
        <f t="shared" si="445"/>
        <v>0</v>
      </c>
      <c r="AK127" s="46">
        <f t="shared" si="445"/>
        <v>0</v>
      </c>
      <c r="AL127" s="46">
        <f t="shared" si="445"/>
        <v>0</v>
      </c>
      <c r="AM127" s="46">
        <f t="shared" si="445"/>
        <v>0</v>
      </c>
      <c r="AN127" s="46">
        <f t="shared" si="445"/>
        <v>0</v>
      </c>
      <c r="AO127" s="46">
        <f t="shared" si="445"/>
        <v>0</v>
      </c>
      <c r="AP127" s="688">
        <f>AC127</f>
        <v>0</v>
      </c>
      <c r="AQ127" s="688">
        <f t="shared" si="455"/>
        <v>0</v>
      </c>
      <c r="AR127" s="688">
        <f t="shared" si="455"/>
        <v>0</v>
      </c>
      <c r="AS127" s="697">
        <f t="shared" si="125"/>
        <v>0</v>
      </c>
      <c r="AT127" s="688">
        <f t="shared" ref="AT127:BB127" si="459">+AS127</f>
        <v>0</v>
      </c>
      <c r="AU127" s="688">
        <f t="shared" si="459"/>
        <v>0</v>
      </c>
      <c r="AV127" s="688">
        <f t="shared" si="459"/>
        <v>0</v>
      </c>
      <c r="AW127" s="688">
        <f t="shared" si="459"/>
        <v>0</v>
      </c>
      <c r="AX127" s="688">
        <f t="shared" si="459"/>
        <v>0</v>
      </c>
      <c r="AY127" s="688">
        <f t="shared" si="459"/>
        <v>0</v>
      </c>
      <c r="AZ127" s="688">
        <f t="shared" si="459"/>
        <v>0</v>
      </c>
      <c r="BA127" s="688">
        <f t="shared" si="459"/>
        <v>0</v>
      </c>
      <c r="BB127" s="48">
        <f t="shared" si="459"/>
        <v>0</v>
      </c>
      <c r="BC127" s="10" t="str">
        <f t="shared" si="127"/>
        <v>책임(CL3)</v>
      </c>
      <c r="BD127" s="10" t="str">
        <f>B127&amp;E127</f>
        <v>CL2(사원-선임)</v>
      </c>
      <c r="BE127" s="45">
        <v>3917445</v>
      </c>
      <c r="BF127" s="46">
        <v>43938.23529411765</v>
      </c>
      <c r="BG127" s="46">
        <v>4776172.7793464055</v>
      </c>
      <c r="BH127" s="48">
        <v>22852.501336585672</v>
      </c>
      <c r="BI127" s="45">
        <v>4056029</v>
      </c>
      <c r="BJ127" s="46">
        <v>27870</v>
      </c>
      <c r="BK127" s="48">
        <v>4908282</v>
      </c>
      <c r="BL127" s="496">
        <v>23484.602870813396</v>
      </c>
      <c r="BM127" s="45"/>
      <c r="BN127" s="46"/>
      <c r="BO127" s="48"/>
      <c r="BP127" s="496"/>
      <c r="BQ127" s="487">
        <f t="shared" si="447"/>
        <v>-1</v>
      </c>
      <c r="BR127" s="481">
        <f t="shared" si="448"/>
        <v>-1</v>
      </c>
      <c r="BS127" s="473">
        <f t="shared" si="449"/>
        <v>-1</v>
      </c>
      <c r="BT127" s="13"/>
    </row>
    <row r="128" spans="1:76">
      <c r="A128" s="10" t="str">
        <f t="shared" si="441"/>
        <v/>
      </c>
      <c r="B128" s="526"/>
      <c r="C128" s="527" t="s">
        <v>249</v>
      </c>
      <c r="D128" s="18" t="s">
        <v>112</v>
      </c>
      <c r="E128" s="17"/>
      <c r="F128" s="18"/>
      <c r="G128" s="45"/>
      <c r="H128" s="46"/>
      <c r="I128" s="47">
        <f t="shared" si="442"/>
        <v>0</v>
      </c>
      <c r="J128" s="46"/>
      <c r="K128" s="46"/>
      <c r="L128" s="46"/>
      <c r="M128" s="46"/>
      <c r="N128" s="46"/>
      <c r="O128" s="46"/>
      <c r="P128" s="46"/>
      <c r="Q128" s="46"/>
      <c r="R128" s="48"/>
      <c r="S128" s="45"/>
      <c r="T128" s="46"/>
      <c r="U128" s="550">
        <f t="shared" si="122"/>
        <v>0</v>
      </c>
      <c r="V128" s="47"/>
      <c r="W128" s="46"/>
      <c r="X128" s="46"/>
      <c r="Y128" s="46"/>
      <c r="Z128" s="46"/>
      <c r="AA128" s="46"/>
      <c r="AB128" s="46"/>
      <c r="AC128" s="46"/>
      <c r="AD128" s="48"/>
      <c r="AE128" s="45"/>
      <c r="AF128" s="46"/>
      <c r="AG128" s="47">
        <f t="shared" si="124"/>
        <v>0</v>
      </c>
      <c r="AH128" s="46"/>
      <c r="AI128" s="46"/>
      <c r="AJ128" s="46"/>
      <c r="AK128" s="46"/>
      <c r="AL128" s="46"/>
      <c r="AM128" s="46"/>
      <c r="AN128" s="46"/>
      <c r="AO128" s="46"/>
      <c r="AP128" s="688"/>
      <c r="AQ128" s="688">
        <f t="shared" si="455"/>
        <v>0</v>
      </c>
      <c r="AR128" s="688">
        <f t="shared" si="455"/>
        <v>0</v>
      </c>
      <c r="AS128" s="697">
        <f t="shared" si="125"/>
        <v>0</v>
      </c>
      <c r="AT128" s="688">
        <f t="shared" ref="AT128:BB128" si="460">+AS128</f>
        <v>0</v>
      </c>
      <c r="AU128" s="688">
        <f t="shared" si="460"/>
        <v>0</v>
      </c>
      <c r="AV128" s="688">
        <f t="shared" si="460"/>
        <v>0</v>
      </c>
      <c r="AW128" s="688">
        <f t="shared" si="460"/>
        <v>0</v>
      </c>
      <c r="AX128" s="688">
        <f t="shared" si="460"/>
        <v>0</v>
      </c>
      <c r="AY128" s="688">
        <f t="shared" si="460"/>
        <v>0</v>
      </c>
      <c r="AZ128" s="688">
        <f t="shared" si="460"/>
        <v>0</v>
      </c>
      <c r="BA128" s="688">
        <f t="shared" si="460"/>
        <v>0</v>
      </c>
      <c r="BB128" s="48">
        <f t="shared" si="460"/>
        <v>0</v>
      </c>
      <c r="BC128" s="10" t="str">
        <f t="shared" si="127"/>
        <v>선임(CL2)</v>
      </c>
      <c r="BD128" s="10" t="s">
        <v>451</v>
      </c>
      <c r="BE128" s="45">
        <v>0</v>
      </c>
      <c r="BF128" s="46"/>
      <c r="BG128" s="46"/>
      <c r="BH128" s="48"/>
      <c r="BI128" s="45">
        <v>0</v>
      </c>
      <c r="BJ128" s="46">
        <v>0</v>
      </c>
      <c r="BK128" s="48">
        <v>0</v>
      </c>
      <c r="BL128" s="496"/>
      <c r="BM128" s="45"/>
      <c r="BN128" s="46"/>
      <c r="BO128" s="48"/>
      <c r="BP128" s="496"/>
      <c r="BQ128" s="487" t="str">
        <f t="shared" si="447"/>
        <v/>
      </c>
      <c r="BR128" s="481" t="str">
        <f t="shared" si="448"/>
        <v/>
      </c>
      <c r="BS128" s="473" t="str">
        <f t="shared" si="449"/>
        <v/>
      </c>
      <c r="BT128" s="13"/>
    </row>
    <row r="129" spans="1:72">
      <c r="A129" s="10" t="str">
        <f t="shared" si="441"/>
        <v/>
      </c>
      <c r="B129" s="528"/>
      <c r="C129" s="529" t="s">
        <v>250</v>
      </c>
      <c r="D129" s="20" t="s">
        <v>104</v>
      </c>
      <c r="E129" s="19"/>
      <c r="F129" s="20"/>
      <c r="G129" s="49"/>
      <c r="H129" s="50"/>
      <c r="I129" s="51">
        <f t="shared" si="442"/>
        <v>0</v>
      </c>
      <c r="J129" s="50"/>
      <c r="K129" s="50"/>
      <c r="L129" s="50"/>
      <c r="M129" s="50"/>
      <c r="N129" s="50"/>
      <c r="O129" s="50"/>
      <c r="P129" s="50"/>
      <c r="Q129" s="50"/>
      <c r="R129" s="52"/>
      <c r="S129" s="49"/>
      <c r="T129" s="50"/>
      <c r="U129" s="1199">
        <f t="shared" si="122"/>
        <v>0</v>
      </c>
      <c r="V129" s="51"/>
      <c r="W129" s="50"/>
      <c r="X129" s="50"/>
      <c r="Y129" s="50"/>
      <c r="Z129" s="50"/>
      <c r="AA129" s="50"/>
      <c r="AB129" s="50"/>
      <c r="AC129" s="50"/>
      <c r="AD129" s="52"/>
      <c r="AE129" s="49"/>
      <c r="AF129" s="50"/>
      <c r="AG129" s="51">
        <f t="shared" si="124"/>
        <v>0</v>
      </c>
      <c r="AH129" s="50"/>
      <c r="AI129" s="50"/>
      <c r="AJ129" s="50"/>
      <c r="AK129" s="50"/>
      <c r="AL129" s="50"/>
      <c r="AM129" s="50"/>
      <c r="AN129" s="50"/>
      <c r="AO129" s="50"/>
      <c r="AP129" s="689"/>
      <c r="AQ129" s="689">
        <f t="shared" si="455"/>
        <v>0</v>
      </c>
      <c r="AR129" s="689">
        <f t="shared" si="455"/>
        <v>0</v>
      </c>
      <c r="AS129" s="698">
        <f t="shared" si="125"/>
        <v>0</v>
      </c>
      <c r="AT129" s="689">
        <f t="shared" ref="AT129:BB129" si="461">+AS129</f>
        <v>0</v>
      </c>
      <c r="AU129" s="689">
        <f t="shared" si="461"/>
        <v>0</v>
      </c>
      <c r="AV129" s="689">
        <f t="shared" si="461"/>
        <v>0</v>
      </c>
      <c r="AW129" s="689">
        <f t="shared" si="461"/>
        <v>0</v>
      </c>
      <c r="AX129" s="689">
        <f t="shared" si="461"/>
        <v>0</v>
      </c>
      <c r="AY129" s="689">
        <f t="shared" si="461"/>
        <v>0</v>
      </c>
      <c r="AZ129" s="689">
        <f t="shared" si="461"/>
        <v>0</v>
      </c>
      <c r="BA129" s="689">
        <f t="shared" si="461"/>
        <v>0</v>
      </c>
      <c r="BB129" s="52">
        <f t="shared" si="461"/>
        <v>0</v>
      </c>
      <c r="BC129" s="10" t="str">
        <f t="shared" si="127"/>
        <v>사원(CL1-CL2)</v>
      </c>
      <c r="BD129" s="10" t="s">
        <v>452</v>
      </c>
      <c r="BE129" s="49">
        <v>0</v>
      </c>
      <c r="BF129" s="50"/>
      <c r="BG129" s="50"/>
      <c r="BH129" s="52"/>
      <c r="BI129" s="49">
        <v>0</v>
      </c>
      <c r="BJ129" s="50">
        <v>0</v>
      </c>
      <c r="BK129" s="52">
        <v>0</v>
      </c>
      <c r="BL129" s="497"/>
      <c r="BM129" s="49"/>
      <c r="BN129" s="50"/>
      <c r="BO129" s="52"/>
      <c r="BP129" s="497"/>
      <c r="BQ129" s="488" t="str">
        <f t="shared" si="447"/>
        <v/>
      </c>
      <c r="BR129" s="482" t="str">
        <f t="shared" si="448"/>
        <v/>
      </c>
      <c r="BS129" s="474" t="str">
        <f t="shared" si="449"/>
        <v/>
      </c>
      <c r="BT129" s="13"/>
    </row>
    <row r="130" spans="1:72">
      <c r="A130" s="10" t="str">
        <f t="shared" ref="A130:A135" si="462">+B130&amp;E130</f>
        <v>이사</v>
      </c>
      <c r="B130" s="523"/>
      <c r="C130" s="525" t="s">
        <v>12</v>
      </c>
      <c r="D130" s="15" t="s">
        <v>105</v>
      </c>
      <c r="E130" s="16" t="s">
        <v>12</v>
      </c>
      <c r="F130" s="15" t="s">
        <v>82</v>
      </c>
      <c r="G130" s="41">
        <v>10709577</v>
      </c>
      <c r="H130" s="42">
        <v>10709577</v>
      </c>
      <c r="I130" s="43">
        <f t="shared" ref="I130:I135" si="463">ROUND(H130*105%,0)</f>
        <v>11245056</v>
      </c>
      <c r="J130" s="42">
        <f t="shared" ref="J130:T130" si="464">I130</f>
        <v>11245056</v>
      </c>
      <c r="K130" s="42">
        <f t="shared" si="464"/>
        <v>11245056</v>
      </c>
      <c r="L130" s="42">
        <f t="shared" si="464"/>
        <v>11245056</v>
      </c>
      <c r="M130" s="42">
        <f t="shared" si="464"/>
        <v>11245056</v>
      </c>
      <c r="N130" s="42">
        <f t="shared" si="464"/>
        <v>11245056</v>
      </c>
      <c r="O130" s="42">
        <f t="shared" si="464"/>
        <v>11245056</v>
      </c>
      <c r="P130" s="42">
        <f t="shared" si="464"/>
        <v>11245056</v>
      </c>
      <c r="Q130" s="42">
        <f t="shared" si="464"/>
        <v>11245056</v>
      </c>
      <c r="R130" s="44">
        <f t="shared" si="464"/>
        <v>11245056</v>
      </c>
      <c r="S130" s="41">
        <f t="shared" si="464"/>
        <v>11245056</v>
      </c>
      <c r="T130" s="42">
        <f t="shared" si="464"/>
        <v>11245056</v>
      </c>
      <c r="U130" s="541">
        <f t="shared" si="122"/>
        <v>11807309</v>
      </c>
      <c r="V130" s="43"/>
      <c r="W130" s="42">
        <f t="shared" ref="W130:AF130" si="465">V130</f>
        <v>0</v>
      </c>
      <c r="X130" s="42">
        <f t="shared" si="465"/>
        <v>0</v>
      </c>
      <c r="Y130" s="42">
        <f t="shared" si="465"/>
        <v>0</v>
      </c>
      <c r="Z130" s="42">
        <f t="shared" si="465"/>
        <v>0</v>
      </c>
      <c r="AA130" s="42">
        <f t="shared" si="465"/>
        <v>0</v>
      </c>
      <c r="AB130" s="42">
        <f t="shared" si="465"/>
        <v>0</v>
      </c>
      <c r="AC130" s="42">
        <f t="shared" si="465"/>
        <v>0</v>
      </c>
      <c r="AD130" s="44">
        <f t="shared" si="465"/>
        <v>0</v>
      </c>
      <c r="AE130" s="41">
        <f t="shared" si="465"/>
        <v>0</v>
      </c>
      <c r="AF130" s="42">
        <f t="shared" si="465"/>
        <v>0</v>
      </c>
      <c r="AG130" s="43">
        <f t="shared" si="124"/>
        <v>0</v>
      </c>
      <c r="AH130" s="42">
        <f t="shared" ref="AH130:AO133" si="466">AG130</f>
        <v>0</v>
      </c>
      <c r="AI130" s="42">
        <f t="shared" si="466"/>
        <v>0</v>
      </c>
      <c r="AJ130" s="42">
        <f t="shared" si="466"/>
        <v>0</v>
      </c>
      <c r="AK130" s="42">
        <f t="shared" si="466"/>
        <v>0</v>
      </c>
      <c r="AL130" s="42">
        <f t="shared" si="466"/>
        <v>0</v>
      </c>
      <c r="AM130" s="42">
        <f t="shared" si="466"/>
        <v>0</v>
      </c>
      <c r="AN130" s="42">
        <f t="shared" si="466"/>
        <v>0</v>
      </c>
      <c r="AO130" s="42">
        <f t="shared" si="466"/>
        <v>0</v>
      </c>
      <c r="AP130" s="687">
        <f>AC130</f>
        <v>0</v>
      </c>
      <c r="AQ130" s="687">
        <f t="shared" si="455"/>
        <v>0</v>
      </c>
      <c r="AR130" s="687">
        <f t="shared" si="455"/>
        <v>0</v>
      </c>
      <c r="AS130" s="696">
        <f t="shared" si="125"/>
        <v>0</v>
      </c>
      <c r="AT130" s="687">
        <f t="shared" ref="AT130:BB130" si="467">+AS130</f>
        <v>0</v>
      </c>
      <c r="AU130" s="687">
        <f t="shared" si="467"/>
        <v>0</v>
      </c>
      <c r="AV130" s="687">
        <f t="shared" si="467"/>
        <v>0</v>
      </c>
      <c r="AW130" s="687">
        <f t="shared" si="467"/>
        <v>0</v>
      </c>
      <c r="AX130" s="687">
        <f t="shared" si="467"/>
        <v>0</v>
      </c>
      <c r="AY130" s="687">
        <f t="shared" si="467"/>
        <v>0</v>
      </c>
      <c r="AZ130" s="687">
        <f t="shared" si="467"/>
        <v>0</v>
      </c>
      <c r="BA130" s="687">
        <f t="shared" si="467"/>
        <v>0</v>
      </c>
      <c r="BB130" s="44">
        <f t="shared" si="467"/>
        <v>0</v>
      </c>
      <c r="BC130" s="10" t="str">
        <f t="shared" si="127"/>
        <v>이사</v>
      </c>
      <c r="BD130" s="10" t="str">
        <f>B130&amp;E130</f>
        <v>이사</v>
      </c>
      <c r="BE130" s="41">
        <v>8217335</v>
      </c>
      <c r="BF130" s="42">
        <v>163835</v>
      </c>
      <c r="BG130" s="42">
        <v>10117332.918333333</v>
      </c>
      <c r="BH130" s="44">
        <v>48408.291475279104</v>
      </c>
      <c r="BI130" s="41">
        <v>7976025</v>
      </c>
      <c r="BJ130" s="42">
        <v>16902</v>
      </c>
      <c r="BK130" s="44">
        <v>9632712</v>
      </c>
      <c r="BL130" s="495">
        <v>46089.531100478467</v>
      </c>
      <c r="BM130" s="41"/>
      <c r="BN130" s="42"/>
      <c r="BO130" s="44"/>
      <c r="BP130" s="495"/>
      <c r="BQ130" s="486">
        <f t="shared" ref="BQ130:BQ135" si="468">+IFERROR(BM130/BI130-1,"")</f>
        <v>-1</v>
      </c>
      <c r="BR130" s="480">
        <f t="shared" ref="BR130:BR135" si="469">+IFERROR(BN130/BJ130-1,"")</f>
        <v>-1</v>
      </c>
      <c r="BS130" s="472">
        <f t="shared" ref="BS130:BS135" si="470">+IFERROR(BO130/BK130-1,"")</f>
        <v>-1</v>
      </c>
      <c r="BT130" s="13"/>
    </row>
    <row r="131" spans="1:72">
      <c r="A131" s="10" t="str">
        <f t="shared" si="462"/>
        <v>CL4(수석)</v>
      </c>
      <c r="B131" s="764"/>
      <c r="C131" s="527" t="s">
        <v>246</v>
      </c>
      <c r="D131" s="18" t="s">
        <v>110</v>
      </c>
      <c r="E131" s="17" t="s">
        <v>445</v>
      </c>
      <c r="F131" s="18" t="s">
        <v>82</v>
      </c>
      <c r="G131" s="45">
        <v>9444301</v>
      </c>
      <c r="H131" s="46">
        <v>9444301</v>
      </c>
      <c r="I131" s="47">
        <v>9434115</v>
      </c>
      <c r="J131" s="46">
        <f t="shared" ref="J131:T131" si="471">I131</f>
        <v>9434115</v>
      </c>
      <c r="K131" s="46">
        <f t="shared" si="471"/>
        <v>9434115</v>
      </c>
      <c r="L131" s="46">
        <f t="shared" si="471"/>
        <v>9434115</v>
      </c>
      <c r="M131" s="46">
        <f t="shared" si="471"/>
        <v>9434115</v>
      </c>
      <c r="N131" s="46">
        <f t="shared" si="471"/>
        <v>9434115</v>
      </c>
      <c r="O131" s="46">
        <f t="shared" si="471"/>
        <v>9434115</v>
      </c>
      <c r="P131" s="46">
        <f t="shared" si="471"/>
        <v>9434115</v>
      </c>
      <c r="Q131" s="46">
        <f t="shared" si="471"/>
        <v>9434115</v>
      </c>
      <c r="R131" s="48">
        <f t="shared" si="471"/>
        <v>9434115</v>
      </c>
      <c r="S131" s="45">
        <f t="shared" si="471"/>
        <v>9434115</v>
      </c>
      <c r="T131" s="46">
        <f t="shared" si="471"/>
        <v>9434115</v>
      </c>
      <c r="U131" s="550">
        <f t="shared" si="122"/>
        <v>9905821</v>
      </c>
      <c r="V131" s="47"/>
      <c r="W131" s="46">
        <f t="shared" ref="W131:AF131" si="472">V131</f>
        <v>0</v>
      </c>
      <c r="X131" s="46">
        <f t="shared" si="472"/>
        <v>0</v>
      </c>
      <c r="Y131" s="46">
        <f t="shared" si="472"/>
        <v>0</v>
      </c>
      <c r="Z131" s="46">
        <f t="shared" si="472"/>
        <v>0</v>
      </c>
      <c r="AA131" s="46">
        <f t="shared" si="472"/>
        <v>0</v>
      </c>
      <c r="AB131" s="46">
        <f t="shared" si="472"/>
        <v>0</v>
      </c>
      <c r="AC131" s="46">
        <f t="shared" si="472"/>
        <v>0</v>
      </c>
      <c r="AD131" s="48">
        <f t="shared" si="472"/>
        <v>0</v>
      </c>
      <c r="AE131" s="45">
        <f t="shared" si="472"/>
        <v>0</v>
      </c>
      <c r="AF131" s="46">
        <f t="shared" si="472"/>
        <v>0</v>
      </c>
      <c r="AG131" s="47">
        <f t="shared" si="124"/>
        <v>0</v>
      </c>
      <c r="AH131" s="46">
        <f t="shared" si="466"/>
        <v>0</v>
      </c>
      <c r="AI131" s="46">
        <f t="shared" si="466"/>
        <v>0</v>
      </c>
      <c r="AJ131" s="46">
        <f t="shared" si="466"/>
        <v>0</v>
      </c>
      <c r="AK131" s="46">
        <f t="shared" si="466"/>
        <v>0</v>
      </c>
      <c r="AL131" s="46">
        <f t="shared" si="466"/>
        <v>0</v>
      </c>
      <c r="AM131" s="46">
        <f t="shared" si="466"/>
        <v>0</v>
      </c>
      <c r="AN131" s="46">
        <f t="shared" si="466"/>
        <v>0</v>
      </c>
      <c r="AO131" s="46">
        <f t="shared" si="466"/>
        <v>0</v>
      </c>
      <c r="AP131" s="688">
        <f>AC131</f>
        <v>0</v>
      </c>
      <c r="AQ131" s="688">
        <f t="shared" si="455"/>
        <v>0</v>
      </c>
      <c r="AR131" s="688">
        <f t="shared" si="455"/>
        <v>0</v>
      </c>
      <c r="AS131" s="697">
        <f t="shared" si="125"/>
        <v>0</v>
      </c>
      <c r="AT131" s="688">
        <f t="shared" ref="AT131:BB131" si="473">+AS131</f>
        <v>0</v>
      </c>
      <c r="AU131" s="688">
        <f t="shared" si="473"/>
        <v>0</v>
      </c>
      <c r="AV131" s="688">
        <f t="shared" si="473"/>
        <v>0</v>
      </c>
      <c r="AW131" s="688">
        <f t="shared" si="473"/>
        <v>0</v>
      </c>
      <c r="AX131" s="688">
        <f t="shared" si="473"/>
        <v>0</v>
      </c>
      <c r="AY131" s="688">
        <f t="shared" si="473"/>
        <v>0</v>
      </c>
      <c r="AZ131" s="688">
        <f t="shared" si="473"/>
        <v>0</v>
      </c>
      <c r="BA131" s="688">
        <f t="shared" si="473"/>
        <v>0</v>
      </c>
      <c r="BB131" s="48">
        <f t="shared" si="473"/>
        <v>0</v>
      </c>
      <c r="BC131" s="10" t="str">
        <f t="shared" si="127"/>
        <v>수석(CL4)</v>
      </c>
      <c r="BD131" s="10" t="str">
        <f>B131&amp;E131</f>
        <v>CL4(수석)</v>
      </c>
      <c r="BE131" s="45">
        <v>6574149</v>
      </c>
      <c r="BF131" s="46">
        <v>304427.58620689658</v>
      </c>
      <c r="BG131" s="46">
        <v>8174873.7499999981</v>
      </c>
      <c r="BH131" s="48">
        <v>39114.228468899513</v>
      </c>
      <c r="BI131" s="45">
        <v>6719038</v>
      </c>
      <c r="BJ131" s="46">
        <v>72502</v>
      </c>
      <c r="BK131" s="48">
        <v>8317833</v>
      </c>
      <c r="BL131" s="496">
        <v>39798.244019138758</v>
      </c>
      <c r="BM131" s="45"/>
      <c r="BN131" s="46"/>
      <c r="BO131" s="48"/>
      <c r="BP131" s="496"/>
      <c r="BQ131" s="487">
        <f t="shared" si="468"/>
        <v>-1</v>
      </c>
      <c r="BR131" s="481">
        <f t="shared" si="469"/>
        <v>-1</v>
      </c>
      <c r="BS131" s="473">
        <f t="shared" si="470"/>
        <v>-1</v>
      </c>
      <c r="BT131" s="13"/>
    </row>
    <row r="132" spans="1:72">
      <c r="A132" s="10" t="str">
        <f t="shared" si="462"/>
        <v>CL3(책임-수석보)</v>
      </c>
      <c r="B132" s="526"/>
      <c r="C132" s="527" t="s">
        <v>247</v>
      </c>
      <c r="D132" s="18" t="s">
        <v>110</v>
      </c>
      <c r="E132" s="17" t="s">
        <v>455</v>
      </c>
      <c r="F132" s="18" t="s">
        <v>459</v>
      </c>
      <c r="G132" s="45">
        <v>7781820</v>
      </c>
      <c r="H132" s="46">
        <v>7781820</v>
      </c>
      <c r="I132" s="47">
        <v>8088382</v>
      </c>
      <c r="J132" s="46">
        <f t="shared" ref="J132:T132" si="474">I132</f>
        <v>8088382</v>
      </c>
      <c r="K132" s="46">
        <f t="shared" si="474"/>
        <v>8088382</v>
      </c>
      <c r="L132" s="46">
        <f t="shared" si="474"/>
        <v>8088382</v>
      </c>
      <c r="M132" s="46">
        <f t="shared" si="474"/>
        <v>8088382</v>
      </c>
      <c r="N132" s="46">
        <f t="shared" si="474"/>
        <v>8088382</v>
      </c>
      <c r="O132" s="46">
        <f t="shared" si="474"/>
        <v>8088382</v>
      </c>
      <c r="P132" s="46">
        <f t="shared" si="474"/>
        <v>8088382</v>
      </c>
      <c r="Q132" s="46">
        <f t="shared" si="474"/>
        <v>8088382</v>
      </c>
      <c r="R132" s="48">
        <f t="shared" si="474"/>
        <v>8088382</v>
      </c>
      <c r="S132" s="45">
        <f t="shared" si="474"/>
        <v>8088382</v>
      </c>
      <c r="T132" s="46">
        <f t="shared" si="474"/>
        <v>8088382</v>
      </c>
      <c r="U132" s="550">
        <f t="shared" si="122"/>
        <v>8492801</v>
      </c>
      <c r="V132" s="47"/>
      <c r="W132" s="46">
        <f t="shared" ref="W132:AF132" si="475">V132</f>
        <v>0</v>
      </c>
      <c r="X132" s="46">
        <f t="shared" si="475"/>
        <v>0</v>
      </c>
      <c r="Y132" s="46">
        <f t="shared" si="475"/>
        <v>0</v>
      </c>
      <c r="Z132" s="46">
        <f t="shared" si="475"/>
        <v>0</v>
      </c>
      <c r="AA132" s="46">
        <f t="shared" si="475"/>
        <v>0</v>
      </c>
      <c r="AB132" s="46">
        <f t="shared" si="475"/>
        <v>0</v>
      </c>
      <c r="AC132" s="46">
        <f t="shared" si="475"/>
        <v>0</v>
      </c>
      <c r="AD132" s="48">
        <f t="shared" si="475"/>
        <v>0</v>
      </c>
      <c r="AE132" s="45">
        <f t="shared" si="475"/>
        <v>0</v>
      </c>
      <c r="AF132" s="46">
        <f t="shared" si="475"/>
        <v>0</v>
      </c>
      <c r="AG132" s="47">
        <f t="shared" si="124"/>
        <v>0</v>
      </c>
      <c r="AH132" s="46">
        <f t="shared" si="466"/>
        <v>0</v>
      </c>
      <c r="AI132" s="46">
        <f t="shared" si="466"/>
        <v>0</v>
      </c>
      <c r="AJ132" s="46">
        <f t="shared" si="466"/>
        <v>0</v>
      </c>
      <c r="AK132" s="46">
        <f t="shared" si="466"/>
        <v>0</v>
      </c>
      <c r="AL132" s="46">
        <f t="shared" si="466"/>
        <v>0</v>
      </c>
      <c r="AM132" s="46">
        <f t="shared" si="466"/>
        <v>0</v>
      </c>
      <c r="AN132" s="46">
        <f t="shared" si="466"/>
        <v>0</v>
      </c>
      <c r="AO132" s="46">
        <f t="shared" si="466"/>
        <v>0</v>
      </c>
      <c r="AP132" s="688">
        <f>AC132</f>
        <v>0</v>
      </c>
      <c r="AQ132" s="688">
        <f t="shared" si="455"/>
        <v>0</v>
      </c>
      <c r="AR132" s="688">
        <f t="shared" si="455"/>
        <v>0</v>
      </c>
      <c r="AS132" s="697">
        <f t="shared" si="125"/>
        <v>0</v>
      </c>
      <c r="AT132" s="688">
        <f t="shared" ref="AT132:BB132" si="476">+AS132</f>
        <v>0</v>
      </c>
      <c r="AU132" s="688">
        <f t="shared" si="476"/>
        <v>0</v>
      </c>
      <c r="AV132" s="688">
        <f t="shared" si="476"/>
        <v>0</v>
      </c>
      <c r="AW132" s="688">
        <f t="shared" si="476"/>
        <v>0</v>
      </c>
      <c r="AX132" s="688">
        <f t="shared" si="476"/>
        <v>0</v>
      </c>
      <c r="AY132" s="688">
        <f t="shared" si="476"/>
        <v>0</v>
      </c>
      <c r="AZ132" s="688">
        <f t="shared" si="476"/>
        <v>0</v>
      </c>
      <c r="BA132" s="688">
        <f t="shared" si="476"/>
        <v>0</v>
      </c>
      <c r="BB132" s="48">
        <f t="shared" si="476"/>
        <v>0</v>
      </c>
      <c r="BC132" s="10" t="str">
        <f t="shared" si="127"/>
        <v>수석보(CL3)</v>
      </c>
      <c r="BD132" s="10" t="str">
        <f>B132&amp;E132</f>
        <v>CL3(책임-수석보)</v>
      </c>
      <c r="BE132" s="45">
        <v>5102055</v>
      </c>
      <c r="BF132" s="46">
        <v>145410.19607843139</v>
      </c>
      <c r="BG132" s="46">
        <v>6421957.9961002162</v>
      </c>
      <c r="BH132" s="48">
        <v>30727.071751675674</v>
      </c>
      <c r="BI132" s="45">
        <v>5332655</v>
      </c>
      <c r="BJ132" s="46">
        <v>54370</v>
      </c>
      <c r="BK132" s="48">
        <v>6691264</v>
      </c>
      <c r="BL132" s="496">
        <v>32015.617224880381</v>
      </c>
      <c r="BM132" s="45"/>
      <c r="BN132" s="46"/>
      <c r="BO132" s="48"/>
      <c r="BP132" s="496"/>
      <c r="BQ132" s="487">
        <f t="shared" si="468"/>
        <v>-1</v>
      </c>
      <c r="BR132" s="481">
        <f t="shared" si="469"/>
        <v>-1</v>
      </c>
      <c r="BS132" s="473">
        <f t="shared" si="470"/>
        <v>-1</v>
      </c>
      <c r="BT132" s="13"/>
    </row>
    <row r="133" spans="1:72">
      <c r="A133" s="10" t="str">
        <f t="shared" si="462"/>
        <v>CL2(사원-선임)</v>
      </c>
      <c r="B133" s="526"/>
      <c r="C133" s="527" t="s">
        <v>248</v>
      </c>
      <c r="D133" s="18" t="s">
        <v>111</v>
      </c>
      <c r="E133" s="17" t="s">
        <v>457</v>
      </c>
      <c r="F133" s="18" t="s">
        <v>461</v>
      </c>
      <c r="G133" s="45">
        <v>6040616</v>
      </c>
      <c r="H133" s="46">
        <v>6040616</v>
      </c>
      <c r="I133" s="47">
        <v>6115226</v>
      </c>
      <c r="J133" s="46">
        <f t="shared" ref="J133:T133" si="477">I133</f>
        <v>6115226</v>
      </c>
      <c r="K133" s="46">
        <f t="shared" si="477"/>
        <v>6115226</v>
      </c>
      <c r="L133" s="46">
        <f t="shared" si="477"/>
        <v>6115226</v>
      </c>
      <c r="M133" s="46">
        <f t="shared" si="477"/>
        <v>6115226</v>
      </c>
      <c r="N133" s="46">
        <f t="shared" si="477"/>
        <v>6115226</v>
      </c>
      <c r="O133" s="46">
        <f t="shared" si="477"/>
        <v>6115226</v>
      </c>
      <c r="P133" s="46">
        <f t="shared" si="477"/>
        <v>6115226</v>
      </c>
      <c r="Q133" s="46">
        <f t="shared" si="477"/>
        <v>6115226</v>
      </c>
      <c r="R133" s="48">
        <f t="shared" si="477"/>
        <v>6115226</v>
      </c>
      <c r="S133" s="45">
        <f t="shared" si="477"/>
        <v>6115226</v>
      </c>
      <c r="T133" s="46">
        <f t="shared" si="477"/>
        <v>6115226</v>
      </c>
      <c r="U133" s="550">
        <f t="shared" si="122"/>
        <v>6420987</v>
      </c>
      <c r="V133" s="47"/>
      <c r="W133" s="46">
        <f t="shared" ref="W133:AF133" si="478">V133</f>
        <v>0</v>
      </c>
      <c r="X133" s="46">
        <f t="shared" si="478"/>
        <v>0</v>
      </c>
      <c r="Y133" s="46">
        <f t="shared" si="478"/>
        <v>0</v>
      </c>
      <c r="Z133" s="46">
        <f t="shared" si="478"/>
        <v>0</v>
      </c>
      <c r="AA133" s="46">
        <f t="shared" si="478"/>
        <v>0</v>
      </c>
      <c r="AB133" s="46">
        <f t="shared" si="478"/>
        <v>0</v>
      </c>
      <c r="AC133" s="46">
        <f t="shared" si="478"/>
        <v>0</v>
      </c>
      <c r="AD133" s="48">
        <f t="shared" si="478"/>
        <v>0</v>
      </c>
      <c r="AE133" s="45">
        <f t="shared" si="478"/>
        <v>0</v>
      </c>
      <c r="AF133" s="46">
        <f t="shared" si="478"/>
        <v>0</v>
      </c>
      <c r="AG133" s="47">
        <f t="shared" si="124"/>
        <v>0</v>
      </c>
      <c r="AH133" s="46">
        <f t="shared" si="466"/>
        <v>0</v>
      </c>
      <c r="AI133" s="46">
        <f t="shared" si="466"/>
        <v>0</v>
      </c>
      <c r="AJ133" s="46">
        <f t="shared" si="466"/>
        <v>0</v>
      </c>
      <c r="AK133" s="46">
        <f t="shared" si="466"/>
        <v>0</v>
      </c>
      <c r="AL133" s="46">
        <f t="shared" si="466"/>
        <v>0</v>
      </c>
      <c r="AM133" s="46">
        <f t="shared" si="466"/>
        <v>0</v>
      </c>
      <c r="AN133" s="46">
        <f t="shared" si="466"/>
        <v>0</v>
      </c>
      <c r="AO133" s="46">
        <f t="shared" si="466"/>
        <v>0</v>
      </c>
      <c r="AP133" s="688">
        <f>AC133</f>
        <v>0</v>
      </c>
      <c r="AQ133" s="688">
        <f t="shared" si="455"/>
        <v>0</v>
      </c>
      <c r="AR133" s="688">
        <f t="shared" si="455"/>
        <v>0</v>
      </c>
      <c r="AS133" s="697">
        <f t="shared" si="125"/>
        <v>0</v>
      </c>
      <c r="AT133" s="688">
        <f t="shared" ref="AT133:BB133" si="479">+AS133</f>
        <v>0</v>
      </c>
      <c r="AU133" s="688">
        <f t="shared" si="479"/>
        <v>0</v>
      </c>
      <c r="AV133" s="688">
        <f t="shared" si="479"/>
        <v>0</v>
      </c>
      <c r="AW133" s="688">
        <f t="shared" si="479"/>
        <v>0</v>
      </c>
      <c r="AX133" s="688">
        <f t="shared" si="479"/>
        <v>0</v>
      </c>
      <c r="AY133" s="688">
        <f t="shared" si="479"/>
        <v>0</v>
      </c>
      <c r="AZ133" s="688">
        <f t="shared" si="479"/>
        <v>0</v>
      </c>
      <c r="BA133" s="688">
        <f t="shared" si="479"/>
        <v>0</v>
      </c>
      <c r="BB133" s="48">
        <f t="shared" si="479"/>
        <v>0</v>
      </c>
      <c r="BC133" s="10" t="str">
        <f t="shared" si="127"/>
        <v>책임(CL3)</v>
      </c>
      <c r="BD133" s="10" t="str">
        <f>B133&amp;E133</f>
        <v>CL2(사원-선임)</v>
      </c>
      <c r="BE133" s="45">
        <v>4052535</v>
      </c>
      <c r="BF133" s="46">
        <v>123582.45614035087</v>
      </c>
      <c r="BG133" s="46">
        <v>5068699.6364327492</v>
      </c>
      <c r="BH133" s="48">
        <v>24252.151370491621</v>
      </c>
      <c r="BI133" s="45">
        <v>4172183</v>
      </c>
      <c r="BJ133" s="46">
        <v>28656</v>
      </c>
      <c r="BK133" s="48">
        <v>5186277</v>
      </c>
      <c r="BL133" s="496">
        <v>24814.722488038278</v>
      </c>
      <c r="BM133" s="45"/>
      <c r="BN133" s="46"/>
      <c r="BO133" s="48"/>
      <c r="BP133" s="496"/>
      <c r="BQ133" s="487">
        <f t="shared" si="468"/>
        <v>-1</v>
      </c>
      <c r="BR133" s="481">
        <f t="shared" si="469"/>
        <v>-1</v>
      </c>
      <c r="BS133" s="473">
        <f t="shared" si="470"/>
        <v>-1</v>
      </c>
      <c r="BT133" s="13"/>
    </row>
    <row r="134" spans="1:72">
      <c r="A134" s="10" t="str">
        <f t="shared" si="462"/>
        <v/>
      </c>
      <c r="B134" s="526"/>
      <c r="C134" s="527" t="s">
        <v>249</v>
      </c>
      <c r="D134" s="18" t="s">
        <v>112</v>
      </c>
      <c r="E134" s="17"/>
      <c r="F134" s="18"/>
      <c r="G134" s="45"/>
      <c r="H134" s="46"/>
      <c r="I134" s="47">
        <f t="shared" si="463"/>
        <v>0</v>
      </c>
      <c r="J134" s="46"/>
      <c r="K134" s="46"/>
      <c r="L134" s="46"/>
      <c r="M134" s="46"/>
      <c r="N134" s="46"/>
      <c r="O134" s="46"/>
      <c r="P134" s="46"/>
      <c r="Q134" s="46"/>
      <c r="R134" s="48"/>
      <c r="S134" s="45"/>
      <c r="T134" s="46"/>
      <c r="U134" s="550">
        <f t="shared" ref="U134:U135" si="480">ROUND(T134*105%,0)</f>
        <v>0</v>
      </c>
      <c r="V134" s="47"/>
      <c r="W134" s="46"/>
      <c r="X134" s="46"/>
      <c r="Y134" s="46"/>
      <c r="Z134" s="46"/>
      <c r="AA134" s="46"/>
      <c r="AB134" s="46"/>
      <c r="AC134" s="46"/>
      <c r="AD134" s="48"/>
      <c r="AE134" s="45"/>
      <c r="AF134" s="46"/>
      <c r="AG134" s="47">
        <f t="shared" ref="AG134:AG135" si="481">ROUND(AF134*105%,0)</f>
        <v>0</v>
      </c>
      <c r="AH134" s="46"/>
      <c r="AI134" s="46"/>
      <c r="AJ134" s="46"/>
      <c r="AK134" s="46"/>
      <c r="AL134" s="46"/>
      <c r="AM134" s="46"/>
      <c r="AN134" s="46"/>
      <c r="AO134" s="46"/>
      <c r="AP134" s="688"/>
      <c r="AQ134" s="688">
        <f t="shared" si="455"/>
        <v>0</v>
      </c>
      <c r="AR134" s="688">
        <f t="shared" si="455"/>
        <v>0</v>
      </c>
      <c r="AS134" s="697">
        <f t="shared" ref="AS134:AS135" si="482">ROUND(AR134*105%,0)</f>
        <v>0</v>
      </c>
      <c r="AT134" s="688">
        <f t="shared" ref="AT134:BB134" si="483">+AS134</f>
        <v>0</v>
      </c>
      <c r="AU134" s="688">
        <f t="shared" si="483"/>
        <v>0</v>
      </c>
      <c r="AV134" s="688">
        <f t="shared" si="483"/>
        <v>0</v>
      </c>
      <c r="AW134" s="688">
        <f t="shared" si="483"/>
        <v>0</v>
      </c>
      <c r="AX134" s="688">
        <f t="shared" si="483"/>
        <v>0</v>
      </c>
      <c r="AY134" s="688">
        <f t="shared" si="483"/>
        <v>0</v>
      </c>
      <c r="AZ134" s="688">
        <f t="shared" si="483"/>
        <v>0</v>
      </c>
      <c r="BA134" s="688">
        <f t="shared" si="483"/>
        <v>0</v>
      </c>
      <c r="BB134" s="48">
        <f t="shared" si="483"/>
        <v>0</v>
      </c>
      <c r="BC134" s="10" t="str">
        <f t="shared" ref="BC134:BC135" si="484">B134&amp;C134</f>
        <v>선임(CL2)</v>
      </c>
      <c r="BD134" s="10" t="s">
        <v>451</v>
      </c>
      <c r="BE134" s="45">
        <v>0</v>
      </c>
      <c r="BF134" s="46"/>
      <c r="BG134" s="46"/>
      <c r="BH134" s="48"/>
      <c r="BI134" s="45">
        <v>0</v>
      </c>
      <c r="BJ134" s="46">
        <v>0</v>
      </c>
      <c r="BK134" s="48">
        <v>0</v>
      </c>
      <c r="BL134" s="496"/>
      <c r="BM134" s="45"/>
      <c r="BN134" s="46"/>
      <c r="BO134" s="48"/>
      <c r="BP134" s="496"/>
      <c r="BQ134" s="487" t="str">
        <f t="shared" si="468"/>
        <v/>
      </c>
      <c r="BR134" s="481" t="str">
        <f t="shared" si="469"/>
        <v/>
      </c>
      <c r="BS134" s="473" t="str">
        <f t="shared" si="470"/>
        <v/>
      </c>
      <c r="BT134" s="13"/>
    </row>
    <row r="135" spans="1:72">
      <c r="A135" s="10" t="str">
        <f t="shared" si="462"/>
        <v/>
      </c>
      <c r="B135" s="528"/>
      <c r="C135" s="529" t="s">
        <v>250</v>
      </c>
      <c r="D135" s="20" t="s">
        <v>104</v>
      </c>
      <c r="E135" s="19"/>
      <c r="F135" s="20"/>
      <c r="G135" s="49"/>
      <c r="H135" s="50"/>
      <c r="I135" s="51">
        <f t="shared" si="463"/>
        <v>0</v>
      </c>
      <c r="J135" s="50"/>
      <c r="K135" s="50"/>
      <c r="L135" s="50"/>
      <c r="M135" s="50"/>
      <c r="N135" s="50"/>
      <c r="O135" s="50"/>
      <c r="P135" s="50"/>
      <c r="Q135" s="50"/>
      <c r="R135" s="52"/>
      <c r="S135" s="49"/>
      <c r="T135" s="50"/>
      <c r="U135" s="1199">
        <f t="shared" si="480"/>
        <v>0</v>
      </c>
      <c r="V135" s="51"/>
      <c r="W135" s="50"/>
      <c r="X135" s="50"/>
      <c r="Y135" s="50"/>
      <c r="Z135" s="50"/>
      <c r="AA135" s="50"/>
      <c r="AB135" s="50"/>
      <c r="AC135" s="50"/>
      <c r="AD135" s="52"/>
      <c r="AE135" s="49"/>
      <c r="AF135" s="50"/>
      <c r="AG135" s="51">
        <f t="shared" si="481"/>
        <v>0</v>
      </c>
      <c r="AH135" s="50"/>
      <c r="AI135" s="50"/>
      <c r="AJ135" s="50"/>
      <c r="AK135" s="50"/>
      <c r="AL135" s="50"/>
      <c r="AM135" s="50"/>
      <c r="AN135" s="50"/>
      <c r="AO135" s="50"/>
      <c r="AP135" s="689"/>
      <c r="AQ135" s="689">
        <f t="shared" si="455"/>
        <v>0</v>
      </c>
      <c r="AR135" s="689">
        <f t="shared" si="455"/>
        <v>0</v>
      </c>
      <c r="AS135" s="698">
        <f t="shared" si="482"/>
        <v>0</v>
      </c>
      <c r="AT135" s="689">
        <f t="shared" ref="AT135:BB135" si="485">+AS135</f>
        <v>0</v>
      </c>
      <c r="AU135" s="689">
        <f t="shared" si="485"/>
        <v>0</v>
      </c>
      <c r="AV135" s="689">
        <f t="shared" si="485"/>
        <v>0</v>
      </c>
      <c r="AW135" s="689">
        <f t="shared" si="485"/>
        <v>0</v>
      </c>
      <c r="AX135" s="689">
        <f t="shared" si="485"/>
        <v>0</v>
      </c>
      <c r="AY135" s="689">
        <f t="shared" si="485"/>
        <v>0</v>
      </c>
      <c r="AZ135" s="689">
        <f t="shared" si="485"/>
        <v>0</v>
      </c>
      <c r="BA135" s="689">
        <f t="shared" si="485"/>
        <v>0</v>
      </c>
      <c r="BB135" s="52">
        <f t="shared" si="485"/>
        <v>0</v>
      </c>
      <c r="BC135" s="10" t="str">
        <f t="shared" si="484"/>
        <v>사원(CL1-CL2)</v>
      </c>
      <c r="BD135" s="10" t="s">
        <v>452</v>
      </c>
      <c r="BE135" s="49">
        <v>0</v>
      </c>
      <c r="BF135" s="50"/>
      <c r="BG135" s="50"/>
      <c r="BH135" s="52"/>
      <c r="BI135" s="49">
        <v>0</v>
      </c>
      <c r="BJ135" s="50">
        <v>0</v>
      </c>
      <c r="BK135" s="52">
        <v>0</v>
      </c>
      <c r="BL135" s="497"/>
      <c r="BM135" s="49"/>
      <c r="BN135" s="50"/>
      <c r="BO135" s="52"/>
      <c r="BP135" s="497"/>
      <c r="BQ135" s="488" t="str">
        <f t="shared" si="468"/>
        <v/>
      </c>
      <c r="BR135" s="482" t="str">
        <f t="shared" si="469"/>
        <v/>
      </c>
      <c r="BS135" s="474" t="str">
        <f t="shared" si="470"/>
        <v/>
      </c>
      <c r="BT135" s="13"/>
    </row>
  </sheetData>
  <autoFilter ref="A3:BX135"/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2:BX135"/>
  <sheetViews>
    <sheetView showGridLines="0" zoomScale="115" zoomScaleNormal="115" workbookViewId="0">
      <pane xSplit="6" ySplit="3" topLeftCell="R4" activePane="bottomRight" state="frozen"/>
      <selection activeCell="Q25" sqref="Q25"/>
      <selection pane="topRight" activeCell="Q25" sqref="Q25"/>
      <selection pane="bottomLeft" activeCell="Q25" sqref="Q25"/>
      <selection pane="bottomRight" activeCell="Q25" sqref="Q25"/>
    </sheetView>
  </sheetViews>
  <sheetFormatPr defaultColWidth="8.5625" defaultRowHeight="13.15"/>
  <cols>
    <col min="1" max="1" width="1" style="521" customWidth="1"/>
    <col min="2" max="2" width="24.3125" style="521" bestFit="1" customWidth="1"/>
    <col min="3" max="4" width="8.8125" style="10" hidden="1" customWidth="1"/>
    <col min="5" max="6" width="11" style="10" customWidth="1"/>
    <col min="7" max="20" width="8.0625" style="13" customWidth="1"/>
    <col min="21" max="21" width="8.0625" style="1205" customWidth="1"/>
    <col min="22" max="54" width="8.0625" style="13" customWidth="1"/>
    <col min="55" max="58" width="8.5625" style="10" customWidth="1"/>
    <col min="59" max="60" width="9.0625" style="539" bestFit="1" customWidth="1"/>
    <col min="61" max="16384" width="8.5625" style="10"/>
  </cols>
  <sheetData>
    <row r="2" spans="1:60">
      <c r="B2" s="521" t="s">
        <v>109</v>
      </c>
      <c r="E2" s="422" t="s">
        <v>450</v>
      </c>
    </row>
    <row r="3" spans="1:60" s="11" customFormat="1">
      <c r="A3" s="530"/>
      <c r="B3" s="523" t="s">
        <v>85</v>
      </c>
      <c r="C3" s="14" t="s">
        <v>84</v>
      </c>
      <c r="D3" s="15" t="s">
        <v>83</v>
      </c>
      <c r="E3" s="14" t="s">
        <v>449</v>
      </c>
      <c r="F3" s="15" t="s">
        <v>83</v>
      </c>
      <c r="G3" s="21">
        <v>202501</v>
      </c>
      <c r="H3" s="22">
        <v>202502</v>
      </c>
      <c r="I3" s="23">
        <v>202503</v>
      </c>
      <c r="J3" s="22">
        <v>202504</v>
      </c>
      <c r="K3" s="22">
        <v>202505</v>
      </c>
      <c r="L3" s="22">
        <v>202506</v>
      </c>
      <c r="M3" s="22">
        <v>202507</v>
      </c>
      <c r="N3" s="22">
        <v>202508</v>
      </c>
      <c r="O3" s="22">
        <v>202509</v>
      </c>
      <c r="P3" s="22">
        <v>202510</v>
      </c>
      <c r="Q3" s="22">
        <v>202511</v>
      </c>
      <c r="R3" s="24">
        <v>202512</v>
      </c>
      <c r="S3" s="21">
        <v>202601</v>
      </c>
      <c r="T3" s="22">
        <v>202602</v>
      </c>
      <c r="U3" s="1206">
        <v>202603</v>
      </c>
      <c r="V3" s="23">
        <v>202604</v>
      </c>
      <c r="W3" s="22">
        <v>202605</v>
      </c>
      <c r="X3" s="22">
        <v>202606</v>
      </c>
      <c r="Y3" s="22">
        <v>202607</v>
      </c>
      <c r="Z3" s="22">
        <v>202608</v>
      </c>
      <c r="AA3" s="22">
        <v>202609</v>
      </c>
      <c r="AB3" s="22">
        <v>202610</v>
      </c>
      <c r="AC3" s="22">
        <v>202611</v>
      </c>
      <c r="AD3" s="24">
        <v>202612</v>
      </c>
      <c r="AE3" s="21">
        <v>202701</v>
      </c>
      <c r="AF3" s="22">
        <v>202702</v>
      </c>
      <c r="AG3" s="23">
        <v>202703</v>
      </c>
      <c r="AH3" s="22">
        <v>202704</v>
      </c>
      <c r="AI3" s="22">
        <v>202705</v>
      </c>
      <c r="AJ3" s="22">
        <v>202706</v>
      </c>
      <c r="AK3" s="22">
        <v>202707</v>
      </c>
      <c r="AL3" s="22">
        <v>202708</v>
      </c>
      <c r="AM3" s="22">
        <v>202709</v>
      </c>
      <c r="AN3" s="22">
        <v>202710</v>
      </c>
      <c r="AO3" s="22">
        <v>202711</v>
      </c>
      <c r="AP3" s="24">
        <v>202712</v>
      </c>
      <c r="AQ3" s="21">
        <v>202801</v>
      </c>
      <c r="AR3" s="22">
        <v>202802</v>
      </c>
      <c r="AS3" s="23">
        <v>202803</v>
      </c>
      <c r="AT3" s="22">
        <v>202804</v>
      </c>
      <c r="AU3" s="22">
        <v>202805</v>
      </c>
      <c r="AV3" s="22">
        <v>202806</v>
      </c>
      <c r="AW3" s="22">
        <v>202807</v>
      </c>
      <c r="AX3" s="22">
        <v>202808</v>
      </c>
      <c r="AY3" s="22">
        <v>202809</v>
      </c>
      <c r="AZ3" s="22">
        <v>202810</v>
      </c>
      <c r="BA3" s="22">
        <v>202811</v>
      </c>
      <c r="BB3" s="24">
        <v>202812</v>
      </c>
      <c r="BG3" s="540"/>
      <c r="BH3" s="540"/>
    </row>
    <row r="4" spans="1:60">
      <c r="A4" s="523" t="str">
        <f t="shared" ref="A4:A111" si="0">+B4&amp;E4</f>
        <v>MES실행그룹이사</v>
      </c>
      <c r="B4" s="523" t="s">
        <v>913</v>
      </c>
      <c r="C4" s="16" t="s">
        <v>12</v>
      </c>
      <c r="D4" s="15" t="s">
        <v>105</v>
      </c>
      <c r="E4" s="16" t="s">
        <v>12</v>
      </c>
      <c r="F4" s="15" t="s">
        <v>82</v>
      </c>
      <c r="G4" s="25">
        <v>0</v>
      </c>
      <c r="H4" s="26">
        <v>0</v>
      </c>
      <c r="I4" s="27">
        <f t="shared" ref="I4:S4" si="1">H4</f>
        <v>0</v>
      </c>
      <c r="J4" s="26">
        <f t="shared" si="1"/>
        <v>0</v>
      </c>
      <c r="K4" s="26">
        <f t="shared" si="1"/>
        <v>0</v>
      </c>
      <c r="L4" s="26">
        <f t="shared" si="1"/>
        <v>0</v>
      </c>
      <c r="M4" s="26">
        <f t="shared" si="1"/>
        <v>0</v>
      </c>
      <c r="N4" s="26">
        <f t="shared" si="1"/>
        <v>0</v>
      </c>
      <c r="O4" s="26">
        <f t="shared" si="1"/>
        <v>0</v>
      </c>
      <c r="P4" s="26">
        <f t="shared" si="1"/>
        <v>0</v>
      </c>
      <c r="Q4" s="26">
        <f t="shared" si="1"/>
        <v>0</v>
      </c>
      <c r="R4" s="28">
        <f t="shared" si="1"/>
        <v>0</v>
      </c>
      <c r="S4" s="25">
        <f t="shared" si="1"/>
        <v>0</v>
      </c>
      <c r="T4" s="26">
        <f t="shared" ref="T4:U7" si="2">S4</f>
        <v>0</v>
      </c>
      <c r="U4" s="1207">
        <f t="shared" si="2"/>
        <v>0</v>
      </c>
      <c r="V4" s="27">
        <f t="shared" ref="V4:AE4" si="3">U4</f>
        <v>0</v>
      </c>
      <c r="W4" s="26">
        <f t="shared" si="3"/>
        <v>0</v>
      </c>
      <c r="X4" s="26">
        <f t="shared" si="3"/>
        <v>0</v>
      </c>
      <c r="Y4" s="26">
        <f t="shared" si="3"/>
        <v>0</v>
      </c>
      <c r="Z4" s="26">
        <f t="shared" si="3"/>
        <v>0</v>
      </c>
      <c r="AA4" s="26">
        <f t="shared" si="3"/>
        <v>0</v>
      </c>
      <c r="AB4" s="26">
        <f t="shared" si="3"/>
        <v>0</v>
      </c>
      <c r="AC4" s="26">
        <f t="shared" si="3"/>
        <v>0</v>
      </c>
      <c r="AD4" s="28">
        <f t="shared" si="3"/>
        <v>0</v>
      </c>
      <c r="AE4" s="25">
        <f t="shared" si="3"/>
        <v>0</v>
      </c>
      <c r="AF4" s="26">
        <f t="shared" ref="AF4:AG7" si="4">AE4</f>
        <v>0</v>
      </c>
      <c r="AG4" s="27">
        <f t="shared" si="4"/>
        <v>0</v>
      </c>
      <c r="AH4" s="26">
        <f t="shared" ref="AH4:AO7" si="5">AG4</f>
        <v>0</v>
      </c>
      <c r="AI4" s="26">
        <f t="shared" si="5"/>
        <v>0</v>
      </c>
      <c r="AJ4" s="26">
        <f t="shared" si="5"/>
        <v>0</v>
      </c>
      <c r="AK4" s="26">
        <f t="shared" si="5"/>
        <v>0</v>
      </c>
      <c r="AL4" s="26">
        <f t="shared" si="5"/>
        <v>0</v>
      </c>
      <c r="AM4" s="26">
        <f t="shared" si="5"/>
        <v>0</v>
      </c>
      <c r="AN4" s="26">
        <f t="shared" si="5"/>
        <v>0</v>
      </c>
      <c r="AO4" s="26">
        <f t="shared" si="5"/>
        <v>0</v>
      </c>
      <c r="AP4" s="28">
        <f>AC4</f>
        <v>0</v>
      </c>
      <c r="AQ4" s="684">
        <f t="shared" ref="AQ4:BB4" si="6">+AP4</f>
        <v>0</v>
      </c>
      <c r="AR4" s="684">
        <f t="shared" si="6"/>
        <v>0</v>
      </c>
      <c r="AS4" s="693">
        <f t="shared" ref="AS4:AS7" si="7">AR4</f>
        <v>0</v>
      </c>
      <c r="AT4" s="684">
        <f t="shared" si="6"/>
        <v>0</v>
      </c>
      <c r="AU4" s="684">
        <f t="shared" si="6"/>
        <v>0</v>
      </c>
      <c r="AV4" s="684">
        <f t="shared" si="6"/>
        <v>0</v>
      </c>
      <c r="AW4" s="684">
        <f t="shared" si="6"/>
        <v>0</v>
      </c>
      <c r="AX4" s="684">
        <f t="shared" si="6"/>
        <v>0</v>
      </c>
      <c r="AY4" s="684">
        <f t="shared" si="6"/>
        <v>0</v>
      </c>
      <c r="AZ4" s="684">
        <f t="shared" si="6"/>
        <v>0</v>
      </c>
      <c r="BA4" s="684">
        <f t="shared" si="6"/>
        <v>0</v>
      </c>
      <c r="BB4" s="28">
        <f t="shared" si="6"/>
        <v>0</v>
      </c>
      <c r="BC4" s="10" t="str">
        <f t="shared" ref="BC4:BC35" si="8">B4&amp;C4</f>
        <v>MES실행그룹이사</v>
      </c>
      <c r="BD4" s="10" t="str">
        <f>B4&amp;E4</f>
        <v>MES실행그룹이사</v>
      </c>
      <c r="BG4" s="540"/>
      <c r="BH4" s="540"/>
    </row>
    <row r="5" spans="1:60">
      <c r="A5" s="526" t="str">
        <f t="shared" si="0"/>
        <v>MES실행그룹CL4(수석)</v>
      </c>
      <c r="B5" s="526" t="str">
        <f>+B4</f>
        <v>MES실행그룹</v>
      </c>
      <c r="C5" s="17" t="s">
        <v>246</v>
      </c>
      <c r="D5" s="18" t="s">
        <v>105</v>
      </c>
      <c r="E5" s="17" t="s">
        <v>445</v>
      </c>
      <c r="F5" s="18" t="s">
        <v>82</v>
      </c>
      <c r="G5" s="29">
        <v>857838</v>
      </c>
      <c r="H5" s="30">
        <v>857838</v>
      </c>
      <c r="I5" s="31">
        <v>961434</v>
      </c>
      <c r="J5" s="30">
        <f t="shared" ref="J5:S5" si="9">I5</f>
        <v>961434</v>
      </c>
      <c r="K5" s="30">
        <f t="shared" si="9"/>
        <v>961434</v>
      </c>
      <c r="L5" s="30">
        <f t="shared" si="9"/>
        <v>961434</v>
      </c>
      <c r="M5" s="30">
        <f t="shared" si="9"/>
        <v>961434</v>
      </c>
      <c r="N5" s="32">
        <f t="shared" si="9"/>
        <v>961434</v>
      </c>
      <c r="O5" s="32">
        <f t="shared" si="9"/>
        <v>961434</v>
      </c>
      <c r="P5" s="30">
        <f t="shared" si="9"/>
        <v>961434</v>
      </c>
      <c r="Q5" s="30">
        <f t="shared" si="9"/>
        <v>961434</v>
      </c>
      <c r="R5" s="33">
        <f t="shared" si="9"/>
        <v>961434</v>
      </c>
      <c r="S5" s="29">
        <f t="shared" si="9"/>
        <v>961434</v>
      </c>
      <c r="T5" s="30">
        <f t="shared" si="2"/>
        <v>961434</v>
      </c>
      <c r="U5" s="1208">
        <f t="shared" si="2"/>
        <v>961434</v>
      </c>
      <c r="V5" s="31">
        <v>906980</v>
      </c>
      <c r="W5" s="30">
        <f t="shared" ref="W5:AE5" si="10">V5</f>
        <v>906980</v>
      </c>
      <c r="X5" s="30">
        <f t="shared" si="10"/>
        <v>906980</v>
      </c>
      <c r="Y5" s="30">
        <f t="shared" si="10"/>
        <v>906980</v>
      </c>
      <c r="Z5" s="32">
        <f t="shared" si="10"/>
        <v>906980</v>
      </c>
      <c r="AA5" s="32">
        <f t="shared" si="10"/>
        <v>906980</v>
      </c>
      <c r="AB5" s="30">
        <f t="shared" si="10"/>
        <v>906980</v>
      </c>
      <c r="AC5" s="30">
        <f t="shared" si="10"/>
        <v>906980</v>
      </c>
      <c r="AD5" s="33">
        <f t="shared" si="10"/>
        <v>906980</v>
      </c>
      <c r="AE5" s="29">
        <f t="shared" si="10"/>
        <v>906980</v>
      </c>
      <c r="AF5" s="30">
        <f t="shared" si="4"/>
        <v>906980</v>
      </c>
      <c r="AG5" s="31">
        <f t="shared" si="4"/>
        <v>906980</v>
      </c>
      <c r="AH5" s="30">
        <f t="shared" si="5"/>
        <v>906980</v>
      </c>
      <c r="AI5" s="30">
        <f t="shared" si="5"/>
        <v>906980</v>
      </c>
      <c r="AJ5" s="30">
        <f t="shared" si="5"/>
        <v>906980</v>
      </c>
      <c r="AK5" s="30">
        <f t="shared" si="5"/>
        <v>906980</v>
      </c>
      <c r="AL5" s="32">
        <f t="shared" si="5"/>
        <v>906980</v>
      </c>
      <c r="AM5" s="32">
        <f t="shared" si="5"/>
        <v>906980</v>
      </c>
      <c r="AN5" s="30">
        <f t="shared" si="5"/>
        <v>906980</v>
      </c>
      <c r="AO5" s="30">
        <f t="shared" si="5"/>
        <v>906980</v>
      </c>
      <c r="AP5" s="33">
        <f>AC5</f>
        <v>906980</v>
      </c>
      <c r="AQ5" s="685">
        <f t="shared" ref="AQ5:BB5" si="11">+AP5</f>
        <v>906980</v>
      </c>
      <c r="AR5" s="685">
        <f t="shared" si="11"/>
        <v>906980</v>
      </c>
      <c r="AS5" s="694">
        <f t="shared" si="7"/>
        <v>906980</v>
      </c>
      <c r="AT5" s="685">
        <f t="shared" si="11"/>
        <v>906980</v>
      </c>
      <c r="AU5" s="685">
        <f t="shared" si="11"/>
        <v>906980</v>
      </c>
      <c r="AV5" s="685">
        <f t="shared" si="11"/>
        <v>906980</v>
      </c>
      <c r="AW5" s="685">
        <f t="shared" si="11"/>
        <v>906980</v>
      </c>
      <c r="AX5" s="685">
        <f t="shared" si="11"/>
        <v>906980</v>
      </c>
      <c r="AY5" s="685">
        <f t="shared" si="11"/>
        <v>906980</v>
      </c>
      <c r="AZ5" s="685">
        <f t="shared" si="11"/>
        <v>906980</v>
      </c>
      <c r="BA5" s="685">
        <f t="shared" si="11"/>
        <v>906980</v>
      </c>
      <c r="BB5" s="33">
        <f t="shared" si="11"/>
        <v>906980</v>
      </c>
      <c r="BC5" s="10" t="str">
        <f t="shared" si="8"/>
        <v>MES실행그룹수석(CL4)</v>
      </c>
      <c r="BD5" s="10" t="str">
        <f>B5&amp;E5</f>
        <v>MES실행그룹CL4(수석)</v>
      </c>
      <c r="BG5" s="540"/>
      <c r="BH5" s="540"/>
    </row>
    <row r="6" spans="1:60">
      <c r="A6" s="526" t="str">
        <f t="shared" si="0"/>
        <v>MES실행그룹CL3(책임-수석보)</v>
      </c>
      <c r="B6" s="526" t="str">
        <f>+B5</f>
        <v>MES실행그룹</v>
      </c>
      <c r="C6" s="17" t="s">
        <v>247</v>
      </c>
      <c r="D6" s="18" t="s">
        <v>105</v>
      </c>
      <c r="E6" s="17" t="s">
        <v>455</v>
      </c>
      <c r="F6" s="18" t="s">
        <v>459</v>
      </c>
      <c r="G6" s="29">
        <v>735461</v>
      </c>
      <c r="H6" s="30">
        <v>735461</v>
      </c>
      <c r="I6" s="31">
        <v>831435</v>
      </c>
      <c r="J6" s="30">
        <f t="shared" ref="J6:S6" si="12">I6</f>
        <v>831435</v>
      </c>
      <c r="K6" s="30">
        <f t="shared" si="12"/>
        <v>831435</v>
      </c>
      <c r="L6" s="30">
        <f t="shared" si="12"/>
        <v>831435</v>
      </c>
      <c r="M6" s="30">
        <f t="shared" si="12"/>
        <v>831435</v>
      </c>
      <c r="N6" s="34">
        <f t="shared" si="12"/>
        <v>831435</v>
      </c>
      <c r="O6" s="32">
        <f t="shared" si="12"/>
        <v>831435</v>
      </c>
      <c r="P6" s="30">
        <f t="shared" si="12"/>
        <v>831435</v>
      </c>
      <c r="Q6" s="30">
        <f t="shared" si="12"/>
        <v>831435</v>
      </c>
      <c r="R6" s="33">
        <f t="shared" si="12"/>
        <v>831435</v>
      </c>
      <c r="S6" s="29">
        <f t="shared" si="12"/>
        <v>831435</v>
      </c>
      <c r="T6" s="30">
        <f t="shared" si="2"/>
        <v>831435</v>
      </c>
      <c r="U6" s="1208">
        <f t="shared" si="2"/>
        <v>831435</v>
      </c>
      <c r="V6" s="31">
        <v>817567</v>
      </c>
      <c r="W6" s="30">
        <f t="shared" ref="W6:AE6" si="13">V6</f>
        <v>817567</v>
      </c>
      <c r="X6" s="30">
        <f t="shared" si="13"/>
        <v>817567</v>
      </c>
      <c r="Y6" s="30">
        <f t="shared" si="13"/>
        <v>817567</v>
      </c>
      <c r="Z6" s="34">
        <f t="shared" si="13"/>
        <v>817567</v>
      </c>
      <c r="AA6" s="32">
        <f t="shared" si="13"/>
        <v>817567</v>
      </c>
      <c r="AB6" s="30">
        <f t="shared" si="13"/>
        <v>817567</v>
      </c>
      <c r="AC6" s="30">
        <f t="shared" si="13"/>
        <v>817567</v>
      </c>
      <c r="AD6" s="33">
        <f t="shared" si="13"/>
        <v>817567</v>
      </c>
      <c r="AE6" s="29">
        <f t="shared" si="13"/>
        <v>817567</v>
      </c>
      <c r="AF6" s="30">
        <f t="shared" si="4"/>
        <v>817567</v>
      </c>
      <c r="AG6" s="31">
        <f t="shared" si="4"/>
        <v>817567</v>
      </c>
      <c r="AH6" s="30">
        <f t="shared" si="5"/>
        <v>817567</v>
      </c>
      <c r="AI6" s="30">
        <f t="shared" si="5"/>
        <v>817567</v>
      </c>
      <c r="AJ6" s="30">
        <f t="shared" si="5"/>
        <v>817567</v>
      </c>
      <c r="AK6" s="30">
        <f t="shared" si="5"/>
        <v>817567</v>
      </c>
      <c r="AL6" s="34">
        <f t="shared" si="5"/>
        <v>817567</v>
      </c>
      <c r="AM6" s="32">
        <f t="shared" si="5"/>
        <v>817567</v>
      </c>
      <c r="AN6" s="30">
        <f t="shared" si="5"/>
        <v>817567</v>
      </c>
      <c r="AO6" s="30">
        <f t="shared" si="5"/>
        <v>817567</v>
      </c>
      <c r="AP6" s="33">
        <f>AC6</f>
        <v>817567</v>
      </c>
      <c r="AQ6" s="685">
        <f t="shared" ref="AQ6:BB6" si="14">+AP6</f>
        <v>817567</v>
      </c>
      <c r="AR6" s="685">
        <f t="shared" si="14"/>
        <v>817567</v>
      </c>
      <c r="AS6" s="694">
        <f t="shared" si="7"/>
        <v>817567</v>
      </c>
      <c r="AT6" s="685">
        <f t="shared" si="14"/>
        <v>817567</v>
      </c>
      <c r="AU6" s="685">
        <f t="shared" si="14"/>
        <v>817567</v>
      </c>
      <c r="AV6" s="685">
        <f t="shared" si="14"/>
        <v>817567</v>
      </c>
      <c r="AW6" s="685">
        <f t="shared" si="14"/>
        <v>817567</v>
      </c>
      <c r="AX6" s="685">
        <f t="shared" si="14"/>
        <v>817567</v>
      </c>
      <c r="AY6" s="685">
        <f t="shared" si="14"/>
        <v>817567</v>
      </c>
      <c r="AZ6" s="685">
        <f t="shared" si="14"/>
        <v>817567</v>
      </c>
      <c r="BA6" s="685">
        <f t="shared" si="14"/>
        <v>817567</v>
      </c>
      <c r="BB6" s="33">
        <f t="shared" si="14"/>
        <v>817567</v>
      </c>
      <c r="BC6" s="10" t="str">
        <f t="shared" si="8"/>
        <v>MES실행그룹수석보(CL3)</v>
      </c>
      <c r="BD6" s="10" t="str">
        <f>B6&amp;E6</f>
        <v>MES실행그룹CL3(책임-수석보)</v>
      </c>
      <c r="BG6" s="540"/>
      <c r="BH6" s="540"/>
    </row>
    <row r="7" spans="1:60">
      <c r="A7" s="526" t="str">
        <f t="shared" si="0"/>
        <v>MES실행그룹CL2(사원-선임)</v>
      </c>
      <c r="B7" s="526" t="str">
        <f>+B6</f>
        <v>MES실행그룹</v>
      </c>
      <c r="C7" s="17" t="s">
        <v>248</v>
      </c>
      <c r="D7" s="18" t="s">
        <v>102</v>
      </c>
      <c r="E7" s="17" t="s">
        <v>457</v>
      </c>
      <c r="F7" s="18" t="s">
        <v>461</v>
      </c>
      <c r="G7" s="29">
        <v>496266</v>
      </c>
      <c r="H7" s="30">
        <v>496266</v>
      </c>
      <c r="I7" s="31">
        <v>604913</v>
      </c>
      <c r="J7" s="30">
        <f t="shared" ref="J7:S7" si="15">I7</f>
        <v>604913</v>
      </c>
      <c r="K7" s="30">
        <f t="shared" si="15"/>
        <v>604913</v>
      </c>
      <c r="L7" s="30">
        <f t="shared" si="15"/>
        <v>604913</v>
      </c>
      <c r="M7" s="30">
        <f t="shared" si="15"/>
        <v>604913</v>
      </c>
      <c r="N7" s="34">
        <f t="shared" si="15"/>
        <v>604913</v>
      </c>
      <c r="O7" s="32">
        <f t="shared" si="15"/>
        <v>604913</v>
      </c>
      <c r="P7" s="30">
        <f t="shared" si="15"/>
        <v>604913</v>
      </c>
      <c r="Q7" s="30">
        <f t="shared" si="15"/>
        <v>604913</v>
      </c>
      <c r="R7" s="33">
        <f t="shared" si="15"/>
        <v>604913</v>
      </c>
      <c r="S7" s="29">
        <f t="shared" si="15"/>
        <v>604913</v>
      </c>
      <c r="T7" s="30">
        <f t="shared" si="2"/>
        <v>604913</v>
      </c>
      <c r="U7" s="1208">
        <f t="shared" si="2"/>
        <v>604913</v>
      </c>
      <c r="V7" s="31">
        <v>649104</v>
      </c>
      <c r="W7" s="30">
        <f t="shared" ref="W7:AE7" si="16">V7</f>
        <v>649104</v>
      </c>
      <c r="X7" s="30">
        <f t="shared" si="16"/>
        <v>649104</v>
      </c>
      <c r="Y7" s="30">
        <f t="shared" si="16"/>
        <v>649104</v>
      </c>
      <c r="Z7" s="34">
        <f t="shared" si="16"/>
        <v>649104</v>
      </c>
      <c r="AA7" s="32">
        <f t="shared" si="16"/>
        <v>649104</v>
      </c>
      <c r="AB7" s="30">
        <f t="shared" si="16"/>
        <v>649104</v>
      </c>
      <c r="AC7" s="30">
        <f t="shared" si="16"/>
        <v>649104</v>
      </c>
      <c r="AD7" s="33">
        <f t="shared" si="16"/>
        <v>649104</v>
      </c>
      <c r="AE7" s="29">
        <f t="shared" si="16"/>
        <v>649104</v>
      </c>
      <c r="AF7" s="30">
        <f t="shared" si="4"/>
        <v>649104</v>
      </c>
      <c r="AG7" s="31">
        <f t="shared" si="4"/>
        <v>649104</v>
      </c>
      <c r="AH7" s="30">
        <f t="shared" si="5"/>
        <v>649104</v>
      </c>
      <c r="AI7" s="30">
        <f t="shared" si="5"/>
        <v>649104</v>
      </c>
      <c r="AJ7" s="30">
        <f t="shared" si="5"/>
        <v>649104</v>
      </c>
      <c r="AK7" s="30">
        <f t="shared" si="5"/>
        <v>649104</v>
      </c>
      <c r="AL7" s="34">
        <f t="shared" si="5"/>
        <v>649104</v>
      </c>
      <c r="AM7" s="32">
        <f t="shared" si="5"/>
        <v>649104</v>
      </c>
      <c r="AN7" s="30">
        <f t="shared" si="5"/>
        <v>649104</v>
      </c>
      <c r="AO7" s="30">
        <f t="shared" si="5"/>
        <v>649104</v>
      </c>
      <c r="AP7" s="33">
        <f>AC7</f>
        <v>649104</v>
      </c>
      <c r="AQ7" s="685">
        <f t="shared" ref="AQ7:BB7" si="17">+AP7</f>
        <v>649104</v>
      </c>
      <c r="AR7" s="685">
        <f t="shared" si="17"/>
        <v>649104</v>
      </c>
      <c r="AS7" s="694">
        <f t="shared" si="7"/>
        <v>649104</v>
      </c>
      <c r="AT7" s="685">
        <f t="shared" si="17"/>
        <v>649104</v>
      </c>
      <c r="AU7" s="685">
        <f t="shared" si="17"/>
        <v>649104</v>
      </c>
      <c r="AV7" s="685">
        <f t="shared" si="17"/>
        <v>649104</v>
      </c>
      <c r="AW7" s="685">
        <f t="shared" si="17"/>
        <v>649104</v>
      </c>
      <c r="AX7" s="685">
        <f t="shared" si="17"/>
        <v>649104</v>
      </c>
      <c r="AY7" s="685">
        <f t="shared" si="17"/>
        <v>649104</v>
      </c>
      <c r="AZ7" s="685">
        <f t="shared" si="17"/>
        <v>649104</v>
      </c>
      <c r="BA7" s="685">
        <f t="shared" si="17"/>
        <v>649104</v>
      </c>
      <c r="BB7" s="33">
        <f t="shared" si="17"/>
        <v>649104</v>
      </c>
      <c r="BC7" s="10" t="str">
        <f t="shared" si="8"/>
        <v>MES실행그룹책임(CL3)</v>
      </c>
      <c r="BD7" s="10" t="str">
        <f>B7&amp;E7</f>
        <v>MES실행그룹CL2(사원-선임)</v>
      </c>
      <c r="BG7" s="540"/>
      <c r="BH7" s="540"/>
    </row>
    <row r="8" spans="1:60">
      <c r="A8" s="526" t="str">
        <f t="shared" si="0"/>
        <v>MES실행그룹</v>
      </c>
      <c r="B8" s="526" t="str">
        <f>+B7</f>
        <v>MES실행그룹</v>
      </c>
      <c r="C8" s="17" t="s">
        <v>249</v>
      </c>
      <c r="D8" s="18" t="s">
        <v>103</v>
      </c>
      <c r="E8" s="17"/>
      <c r="F8" s="18"/>
      <c r="G8" s="29"/>
      <c r="H8" s="30"/>
      <c r="I8" s="31"/>
      <c r="J8" s="30"/>
      <c r="K8" s="30"/>
      <c r="L8" s="30"/>
      <c r="M8" s="30"/>
      <c r="N8" s="34"/>
      <c r="O8" s="32"/>
      <c r="P8" s="30"/>
      <c r="Q8" s="30"/>
      <c r="R8" s="33"/>
      <c r="S8" s="29"/>
      <c r="T8" s="30"/>
      <c r="U8" s="1208"/>
      <c r="V8" s="31"/>
      <c r="W8" s="30"/>
      <c r="X8" s="30"/>
      <c r="Y8" s="30"/>
      <c r="Z8" s="34"/>
      <c r="AA8" s="32"/>
      <c r="AB8" s="30"/>
      <c r="AC8" s="30"/>
      <c r="AD8" s="33"/>
      <c r="AE8" s="29"/>
      <c r="AF8" s="30"/>
      <c r="AG8" s="31"/>
      <c r="AH8" s="30"/>
      <c r="AI8" s="30"/>
      <c r="AJ8" s="30"/>
      <c r="AK8" s="30"/>
      <c r="AL8" s="34"/>
      <c r="AM8" s="32"/>
      <c r="AN8" s="30"/>
      <c r="AO8" s="30"/>
      <c r="AP8" s="33"/>
      <c r="AQ8" s="685">
        <f t="shared" ref="AQ8:BB8" si="18">+AP8</f>
        <v>0</v>
      </c>
      <c r="AR8" s="685">
        <f t="shared" si="18"/>
        <v>0</v>
      </c>
      <c r="AS8" s="694"/>
      <c r="AT8" s="685">
        <f t="shared" si="18"/>
        <v>0</v>
      </c>
      <c r="AU8" s="685">
        <f t="shared" si="18"/>
        <v>0</v>
      </c>
      <c r="AV8" s="685">
        <f t="shared" si="18"/>
        <v>0</v>
      </c>
      <c r="AW8" s="685">
        <f t="shared" si="18"/>
        <v>0</v>
      </c>
      <c r="AX8" s="685">
        <f t="shared" si="18"/>
        <v>0</v>
      </c>
      <c r="AY8" s="685">
        <f t="shared" si="18"/>
        <v>0</v>
      </c>
      <c r="AZ8" s="685">
        <f t="shared" si="18"/>
        <v>0</v>
      </c>
      <c r="BA8" s="685">
        <f t="shared" si="18"/>
        <v>0</v>
      </c>
      <c r="BB8" s="33">
        <f t="shared" si="18"/>
        <v>0</v>
      </c>
      <c r="BC8" s="10" t="str">
        <f t="shared" si="8"/>
        <v>MES실행그룹선임(CL2)</v>
      </c>
      <c r="BG8" s="540"/>
      <c r="BH8" s="540"/>
    </row>
    <row r="9" spans="1:60" ht="10.5" customHeight="1">
      <c r="A9" s="528" t="str">
        <f t="shared" si="0"/>
        <v>MES실행그룹</v>
      </c>
      <c r="B9" s="528" t="str">
        <f>+B8</f>
        <v>MES실행그룹</v>
      </c>
      <c r="C9" s="19" t="s">
        <v>250</v>
      </c>
      <c r="D9" s="20" t="s">
        <v>104</v>
      </c>
      <c r="E9" s="19"/>
      <c r="F9" s="20"/>
      <c r="G9" s="35"/>
      <c r="H9" s="36"/>
      <c r="I9" s="37"/>
      <c r="J9" s="36"/>
      <c r="K9" s="36"/>
      <c r="L9" s="36"/>
      <c r="M9" s="36"/>
      <c r="N9" s="38"/>
      <c r="O9" s="39"/>
      <c r="P9" s="36"/>
      <c r="Q9" s="36"/>
      <c r="R9" s="40"/>
      <c r="S9" s="35"/>
      <c r="T9" s="36"/>
      <c r="U9" s="1209"/>
      <c r="V9" s="37"/>
      <c r="W9" s="36"/>
      <c r="X9" s="36"/>
      <c r="Y9" s="36"/>
      <c r="Z9" s="38"/>
      <c r="AA9" s="39"/>
      <c r="AB9" s="36"/>
      <c r="AC9" s="36"/>
      <c r="AD9" s="40"/>
      <c r="AE9" s="35"/>
      <c r="AF9" s="36"/>
      <c r="AG9" s="37"/>
      <c r="AH9" s="36"/>
      <c r="AI9" s="36"/>
      <c r="AJ9" s="36"/>
      <c r="AK9" s="36"/>
      <c r="AL9" s="38"/>
      <c r="AM9" s="39"/>
      <c r="AN9" s="36"/>
      <c r="AO9" s="36"/>
      <c r="AP9" s="40"/>
      <c r="AQ9" s="686">
        <f t="shared" ref="AQ9:BB9" si="19">+AP9</f>
        <v>0</v>
      </c>
      <c r="AR9" s="686">
        <f t="shared" si="19"/>
        <v>0</v>
      </c>
      <c r="AS9" s="695"/>
      <c r="AT9" s="686">
        <f t="shared" si="19"/>
        <v>0</v>
      </c>
      <c r="AU9" s="686">
        <f t="shared" si="19"/>
        <v>0</v>
      </c>
      <c r="AV9" s="686">
        <f t="shared" si="19"/>
        <v>0</v>
      </c>
      <c r="AW9" s="686">
        <f t="shared" si="19"/>
        <v>0</v>
      </c>
      <c r="AX9" s="686">
        <f t="shared" si="19"/>
        <v>0</v>
      </c>
      <c r="AY9" s="686">
        <f t="shared" si="19"/>
        <v>0</v>
      </c>
      <c r="AZ9" s="686">
        <f t="shared" si="19"/>
        <v>0</v>
      </c>
      <c r="BA9" s="686">
        <f t="shared" si="19"/>
        <v>0</v>
      </c>
      <c r="BB9" s="40">
        <f t="shared" si="19"/>
        <v>0</v>
      </c>
      <c r="BC9" s="10" t="str">
        <f t="shared" si="8"/>
        <v>MES실행그룹사원(CL1-CL2)</v>
      </c>
      <c r="BG9" s="540"/>
      <c r="BH9" s="540"/>
    </row>
    <row r="10" spans="1:60">
      <c r="A10" s="523" t="str">
        <f t="shared" si="0"/>
        <v>Remote Development Center이사</v>
      </c>
      <c r="B10" s="523" t="s">
        <v>967</v>
      </c>
      <c r="C10" s="16" t="s">
        <v>12</v>
      </c>
      <c r="D10" s="15" t="s">
        <v>105</v>
      </c>
      <c r="E10" s="16" t="s">
        <v>12</v>
      </c>
      <c r="F10" s="15" t="s">
        <v>82</v>
      </c>
      <c r="G10" s="25">
        <v>0</v>
      </c>
      <c r="H10" s="26">
        <v>0</v>
      </c>
      <c r="I10" s="27">
        <f t="shared" ref="I10:S10" si="20">H10</f>
        <v>0</v>
      </c>
      <c r="J10" s="26">
        <f t="shared" si="20"/>
        <v>0</v>
      </c>
      <c r="K10" s="26">
        <f t="shared" si="20"/>
        <v>0</v>
      </c>
      <c r="L10" s="26">
        <f t="shared" si="20"/>
        <v>0</v>
      </c>
      <c r="M10" s="26">
        <f t="shared" si="20"/>
        <v>0</v>
      </c>
      <c r="N10" s="26">
        <f t="shared" si="20"/>
        <v>0</v>
      </c>
      <c r="O10" s="26">
        <f t="shared" si="20"/>
        <v>0</v>
      </c>
      <c r="P10" s="26">
        <f t="shared" si="20"/>
        <v>0</v>
      </c>
      <c r="Q10" s="26">
        <f t="shared" si="20"/>
        <v>0</v>
      </c>
      <c r="R10" s="28">
        <f t="shared" si="20"/>
        <v>0</v>
      </c>
      <c r="S10" s="25">
        <f t="shared" si="20"/>
        <v>0</v>
      </c>
      <c r="T10" s="26">
        <f t="shared" ref="T10:U13" si="21">S10</f>
        <v>0</v>
      </c>
      <c r="U10" s="1207">
        <f t="shared" si="21"/>
        <v>0</v>
      </c>
      <c r="V10" s="27">
        <f t="shared" ref="V10:AE10" si="22">U10</f>
        <v>0</v>
      </c>
      <c r="W10" s="26">
        <f t="shared" si="22"/>
        <v>0</v>
      </c>
      <c r="X10" s="26">
        <f t="shared" si="22"/>
        <v>0</v>
      </c>
      <c r="Y10" s="26">
        <f t="shared" si="22"/>
        <v>0</v>
      </c>
      <c r="Z10" s="26">
        <f t="shared" si="22"/>
        <v>0</v>
      </c>
      <c r="AA10" s="26">
        <f t="shared" si="22"/>
        <v>0</v>
      </c>
      <c r="AB10" s="26">
        <f t="shared" si="22"/>
        <v>0</v>
      </c>
      <c r="AC10" s="26">
        <f t="shared" si="22"/>
        <v>0</v>
      </c>
      <c r="AD10" s="28">
        <f t="shared" si="22"/>
        <v>0</v>
      </c>
      <c r="AE10" s="25">
        <f t="shared" si="22"/>
        <v>0</v>
      </c>
      <c r="AF10" s="26">
        <f t="shared" ref="AF10:AG13" si="23">AE10</f>
        <v>0</v>
      </c>
      <c r="AG10" s="27">
        <f t="shared" si="23"/>
        <v>0</v>
      </c>
      <c r="AH10" s="26">
        <f t="shared" ref="AH10:AO13" si="24">AG10</f>
        <v>0</v>
      </c>
      <c r="AI10" s="26">
        <f t="shared" si="24"/>
        <v>0</v>
      </c>
      <c r="AJ10" s="26">
        <f t="shared" si="24"/>
        <v>0</v>
      </c>
      <c r="AK10" s="26">
        <f t="shared" si="24"/>
        <v>0</v>
      </c>
      <c r="AL10" s="26">
        <f t="shared" si="24"/>
        <v>0</v>
      </c>
      <c r="AM10" s="26">
        <f t="shared" si="24"/>
        <v>0</v>
      </c>
      <c r="AN10" s="26">
        <f t="shared" si="24"/>
        <v>0</v>
      </c>
      <c r="AO10" s="26">
        <f t="shared" si="24"/>
        <v>0</v>
      </c>
      <c r="AP10" s="28">
        <f>AC10</f>
        <v>0</v>
      </c>
      <c r="AQ10" s="684">
        <f t="shared" ref="AQ10:BB10" si="25">+AP10</f>
        <v>0</v>
      </c>
      <c r="AR10" s="684">
        <f t="shared" si="25"/>
        <v>0</v>
      </c>
      <c r="AS10" s="693">
        <f t="shared" ref="AS10:AS13" si="26">AR10</f>
        <v>0</v>
      </c>
      <c r="AT10" s="684">
        <f t="shared" si="25"/>
        <v>0</v>
      </c>
      <c r="AU10" s="684">
        <f t="shared" si="25"/>
        <v>0</v>
      </c>
      <c r="AV10" s="684">
        <f t="shared" si="25"/>
        <v>0</v>
      </c>
      <c r="AW10" s="684">
        <f t="shared" si="25"/>
        <v>0</v>
      </c>
      <c r="AX10" s="684">
        <f t="shared" si="25"/>
        <v>0</v>
      </c>
      <c r="AY10" s="684">
        <f t="shared" si="25"/>
        <v>0</v>
      </c>
      <c r="AZ10" s="684">
        <f t="shared" si="25"/>
        <v>0</v>
      </c>
      <c r="BA10" s="684">
        <f t="shared" si="25"/>
        <v>0</v>
      </c>
      <c r="BB10" s="28">
        <f t="shared" si="25"/>
        <v>0</v>
      </c>
      <c r="BC10" s="10" t="str">
        <f t="shared" si="8"/>
        <v>Remote Development Center이사</v>
      </c>
      <c r="BD10" s="10" t="str">
        <f>B10&amp;E10</f>
        <v>Remote Development Center이사</v>
      </c>
      <c r="BG10" s="540"/>
      <c r="BH10" s="540"/>
    </row>
    <row r="11" spans="1:60">
      <c r="A11" s="526" t="str">
        <f t="shared" si="0"/>
        <v>Remote Development CenterCL4(수석)</v>
      </c>
      <c r="B11" s="526" t="str">
        <f>+B10</f>
        <v>Remote Development Center</v>
      </c>
      <c r="C11" s="17" t="s">
        <v>246</v>
      </c>
      <c r="D11" s="18" t="s">
        <v>105</v>
      </c>
      <c r="E11" s="17" t="s">
        <v>445</v>
      </c>
      <c r="F11" s="18" t="s">
        <v>82</v>
      </c>
      <c r="G11" s="29">
        <v>809740</v>
      </c>
      <c r="H11" s="30">
        <v>809740</v>
      </c>
      <c r="I11" s="31">
        <v>929576</v>
      </c>
      <c r="J11" s="30">
        <f t="shared" ref="J11:S11" si="27">I11</f>
        <v>929576</v>
      </c>
      <c r="K11" s="30">
        <f t="shared" si="27"/>
        <v>929576</v>
      </c>
      <c r="L11" s="30">
        <f t="shared" si="27"/>
        <v>929576</v>
      </c>
      <c r="M11" s="30">
        <f t="shared" si="27"/>
        <v>929576</v>
      </c>
      <c r="N11" s="32">
        <f t="shared" si="27"/>
        <v>929576</v>
      </c>
      <c r="O11" s="32">
        <f t="shared" si="27"/>
        <v>929576</v>
      </c>
      <c r="P11" s="30">
        <f t="shared" si="27"/>
        <v>929576</v>
      </c>
      <c r="Q11" s="30">
        <f t="shared" si="27"/>
        <v>929576</v>
      </c>
      <c r="R11" s="33">
        <f t="shared" si="27"/>
        <v>929576</v>
      </c>
      <c r="S11" s="29">
        <f t="shared" si="27"/>
        <v>929576</v>
      </c>
      <c r="T11" s="30">
        <f t="shared" si="21"/>
        <v>929576</v>
      </c>
      <c r="U11" s="1208">
        <f t="shared" si="21"/>
        <v>929576</v>
      </c>
      <c r="V11" s="31">
        <v>928167</v>
      </c>
      <c r="W11" s="30">
        <f t="shared" ref="W11:AE11" si="28">V11</f>
        <v>928167</v>
      </c>
      <c r="X11" s="30">
        <f t="shared" si="28"/>
        <v>928167</v>
      </c>
      <c r="Y11" s="30">
        <f t="shared" si="28"/>
        <v>928167</v>
      </c>
      <c r="Z11" s="32">
        <f t="shared" si="28"/>
        <v>928167</v>
      </c>
      <c r="AA11" s="32">
        <f t="shared" si="28"/>
        <v>928167</v>
      </c>
      <c r="AB11" s="30">
        <f t="shared" si="28"/>
        <v>928167</v>
      </c>
      <c r="AC11" s="30">
        <f t="shared" si="28"/>
        <v>928167</v>
      </c>
      <c r="AD11" s="33">
        <f t="shared" si="28"/>
        <v>928167</v>
      </c>
      <c r="AE11" s="29">
        <f t="shared" si="28"/>
        <v>928167</v>
      </c>
      <c r="AF11" s="30">
        <f t="shared" si="23"/>
        <v>928167</v>
      </c>
      <c r="AG11" s="31">
        <f t="shared" si="23"/>
        <v>928167</v>
      </c>
      <c r="AH11" s="30">
        <f t="shared" si="24"/>
        <v>928167</v>
      </c>
      <c r="AI11" s="30">
        <f t="shared" si="24"/>
        <v>928167</v>
      </c>
      <c r="AJ11" s="30">
        <f t="shared" si="24"/>
        <v>928167</v>
      </c>
      <c r="AK11" s="30">
        <f t="shared" si="24"/>
        <v>928167</v>
      </c>
      <c r="AL11" s="32">
        <f t="shared" si="24"/>
        <v>928167</v>
      </c>
      <c r="AM11" s="32">
        <f t="shared" si="24"/>
        <v>928167</v>
      </c>
      <c r="AN11" s="30">
        <f t="shared" si="24"/>
        <v>928167</v>
      </c>
      <c r="AO11" s="30">
        <f t="shared" si="24"/>
        <v>928167</v>
      </c>
      <c r="AP11" s="33">
        <f>AC11</f>
        <v>928167</v>
      </c>
      <c r="AQ11" s="685">
        <f t="shared" ref="AQ11:BB11" si="29">+AP11</f>
        <v>928167</v>
      </c>
      <c r="AR11" s="685">
        <f t="shared" si="29"/>
        <v>928167</v>
      </c>
      <c r="AS11" s="694">
        <f t="shared" si="26"/>
        <v>928167</v>
      </c>
      <c r="AT11" s="685">
        <f t="shared" si="29"/>
        <v>928167</v>
      </c>
      <c r="AU11" s="685">
        <f t="shared" si="29"/>
        <v>928167</v>
      </c>
      <c r="AV11" s="685">
        <f t="shared" si="29"/>
        <v>928167</v>
      </c>
      <c r="AW11" s="685">
        <f t="shared" si="29"/>
        <v>928167</v>
      </c>
      <c r="AX11" s="685">
        <f t="shared" si="29"/>
        <v>928167</v>
      </c>
      <c r="AY11" s="685">
        <f t="shared" si="29"/>
        <v>928167</v>
      </c>
      <c r="AZ11" s="685">
        <f t="shared" si="29"/>
        <v>928167</v>
      </c>
      <c r="BA11" s="685">
        <f t="shared" si="29"/>
        <v>928167</v>
      </c>
      <c r="BB11" s="33">
        <f t="shared" si="29"/>
        <v>928167</v>
      </c>
      <c r="BC11" s="10" t="str">
        <f t="shared" si="8"/>
        <v>Remote Development Center수석(CL4)</v>
      </c>
      <c r="BD11" s="10" t="str">
        <f>B11&amp;E11</f>
        <v>Remote Development CenterCL4(수석)</v>
      </c>
      <c r="BG11" s="540"/>
      <c r="BH11" s="540"/>
    </row>
    <row r="12" spans="1:60">
      <c r="A12" s="526" t="str">
        <f t="shared" si="0"/>
        <v>Remote Development CenterCL3(책임-수석보)</v>
      </c>
      <c r="B12" s="526" t="str">
        <f>+B11</f>
        <v>Remote Development Center</v>
      </c>
      <c r="C12" s="17" t="s">
        <v>247</v>
      </c>
      <c r="D12" s="18" t="s">
        <v>105</v>
      </c>
      <c r="E12" s="17" t="s">
        <v>455</v>
      </c>
      <c r="F12" s="18" t="s">
        <v>459</v>
      </c>
      <c r="G12" s="29">
        <v>693994</v>
      </c>
      <c r="H12" s="30">
        <v>693994</v>
      </c>
      <c r="I12" s="31">
        <v>798540</v>
      </c>
      <c r="J12" s="30">
        <f t="shared" ref="J12:S12" si="30">I12</f>
        <v>798540</v>
      </c>
      <c r="K12" s="30">
        <f t="shared" si="30"/>
        <v>798540</v>
      </c>
      <c r="L12" s="30">
        <f t="shared" si="30"/>
        <v>798540</v>
      </c>
      <c r="M12" s="30">
        <f t="shared" si="30"/>
        <v>798540</v>
      </c>
      <c r="N12" s="34">
        <f t="shared" si="30"/>
        <v>798540</v>
      </c>
      <c r="O12" s="32">
        <f t="shared" si="30"/>
        <v>798540</v>
      </c>
      <c r="P12" s="30">
        <f t="shared" si="30"/>
        <v>798540</v>
      </c>
      <c r="Q12" s="30">
        <f t="shared" si="30"/>
        <v>798540</v>
      </c>
      <c r="R12" s="33">
        <f t="shared" si="30"/>
        <v>798540</v>
      </c>
      <c r="S12" s="29">
        <f t="shared" si="30"/>
        <v>798540</v>
      </c>
      <c r="T12" s="30">
        <f t="shared" si="21"/>
        <v>798540</v>
      </c>
      <c r="U12" s="1208">
        <f t="shared" si="21"/>
        <v>798540</v>
      </c>
      <c r="V12" s="31">
        <v>779173</v>
      </c>
      <c r="W12" s="30">
        <f t="shared" ref="W12:AE12" si="31">V12</f>
        <v>779173</v>
      </c>
      <c r="X12" s="30">
        <f t="shared" si="31"/>
        <v>779173</v>
      </c>
      <c r="Y12" s="30">
        <f t="shared" si="31"/>
        <v>779173</v>
      </c>
      <c r="Z12" s="34">
        <f t="shared" si="31"/>
        <v>779173</v>
      </c>
      <c r="AA12" s="32">
        <f t="shared" si="31"/>
        <v>779173</v>
      </c>
      <c r="AB12" s="30">
        <f t="shared" si="31"/>
        <v>779173</v>
      </c>
      <c r="AC12" s="30">
        <f t="shared" si="31"/>
        <v>779173</v>
      </c>
      <c r="AD12" s="33">
        <f t="shared" si="31"/>
        <v>779173</v>
      </c>
      <c r="AE12" s="29">
        <f t="shared" si="31"/>
        <v>779173</v>
      </c>
      <c r="AF12" s="30">
        <f t="shared" si="23"/>
        <v>779173</v>
      </c>
      <c r="AG12" s="31">
        <f t="shared" si="23"/>
        <v>779173</v>
      </c>
      <c r="AH12" s="30">
        <f t="shared" si="24"/>
        <v>779173</v>
      </c>
      <c r="AI12" s="30">
        <f t="shared" si="24"/>
        <v>779173</v>
      </c>
      <c r="AJ12" s="30">
        <f t="shared" si="24"/>
        <v>779173</v>
      </c>
      <c r="AK12" s="30">
        <f t="shared" si="24"/>
        <v>779173</v>
      </c>
      <c r="AL12" s="34">
        <f t="shared" si="24"/>
        <v>779173</v>
      </c>
      <c r="AM12" s="32">
        <f t="shared" si="24"/>
        <v>779173</v>
      </c>
      <c r="AN12" s="30">
        <f t="shared" si="24"/>
        <v>779173</v>
      </c>
      <c r="AO12" s="30">
        <f t="shared" si="24"/>
        <v>779173</v>
      </c>
      <c r="AP12" s="33">
        <f>AC12</f>
        <v>779173</v>
      </c>
      <c r="AQ12" s="685">
        <f t="shared" ref="AQ12:BB12" si="32">+AP12</f>
        <v>779173</v>
      </c>
      <c r="AR12" s="685">
        <f t="shared" si="32"/>
        <v>779173</v>
      </c>
      <c r="AS12" s="694">
        <f t="shared" si="26"/>
        <v>779173</v>
      </c>
      <c r="AT12" s="685">
        <f t="shared" si="32"/>
        <v>779173</v>
      </c>
      <c r="AU12" s="685">
        <f t="shared" si="32"/>
        <v>779173</v>
      </c>
      <c r="AV12" s="685">
        <f t="shared" si="32"/>
        <v>779173</v>
      </c>
      <c r="AW12" s="685">
        <f t="shared" si="32"/>
        <v>779173</v>
      </c>
      <c r="AX12" s="685">
        <f t="shared" si="32"/>
        <v>779173</v>
      </c>
      <c r="AY12" s="685">
        <f t="shared" si="32"/>
        <v>779173</v>
      </c>
      <c r="AZ12" s="685">
        <f t="shared" si="32"/>
        <v>779173</v>
      </c>
      <c r="BA12" s="685">
        <f t="shared" si="32"/>
        <v>779173</v>
      </c>
      <c r="BB12" s="33">
        <f t="shared" si="32"/>
        <v>779173</v>
      </c>
      <c r="BC12" s="10" t="str">
        <f t="shared" si="8"/>
        <v>Remote Development Center수석보(CL3)</v>
      </c>
      <c r="BD12" s="10" t="str">
        <f>B12&amp;E12</f>
        <v>Remote Development CenterCL3(책임-수석보)</v>
      </c>
      <c r="BG12" s="540"/>
      <c r="BH12" s="540"/>
    </row>
    <row r="13" spans="1:60">
      <c r="A13" s="526" t="str">
        <f t="shared" si="0"/>
        <v>Remote Development CenterCL2(사원-선임)</v>
      </c>
      <c r="B13" s="526" t="str">
        <f>+B12</f>
        <v>Remote Development Center</v>
      </c>
      <c r="C13" s="17" t="s">
        <v>248</v>
      </c>
      <c r="D13" s="18" t="s">
        <v>102</v>
      </c>
      <c r="E13" s="17" t="s">
        <v>457</v>
      </c>
      <c r="F13" s="18" t="s">
        <v>461</v>
      </c>
      <c r="G13" s="29">
        <v>496266</v>
      </c>
      <c r="H13" s="30">
        <v>496266</v>
      </c>
      <c r="I13" s="31">
        <v>584029</v>
      </c>
      <c r="J13" s="30">
        <f t="shared" ref="J13:S13" si="33">I13</f>
        <v>584029</v>
      </c>
      <c r="K13" s="30">
        <f t="shared" si="33"/>
        <v>584029</v>
      </c>
      <c r="L13" s="30">
        <f t="shared" si="33"/>
        <v>584029</v>
      </c>
      <c r="M13" s="30">
        <f t="shared" si="33"/>
        <v>584029</v>
      </c>
      <c r="N13" s="34">
        <f t="shared" si="33"/>
        <v>584029</v>
      </c>
      <c r="O13" s="32">
        <f t="shared" si="33"/>
        <v>584029</v>
      </c>
      <c r="P13" s="30">
        <f t="shared" si="33"/>
        <v>584029</v>
      </c>
      <c r="Q13" s="30">
        <f t="shared" si="33"/>
        <v>584029</v>
      </c>
      <c r="R13" s="33">
        <f t="shared" si="33"/>
        <v>584029</v>
      </c>
      <c r="S13" s="29">
        <f t="shared" si="33"/>
        <v>584029</v>
      </c>
      <c r="T13" s="30">
        <f t="shared" si="21"/>
        <v>584029</v>
      </c>
      <c r="U13" s="1208">
        <f t="shared" si="21"/>
        <v>584029</v>
      </c>
      <c r="V13" s="31">
        <v>649104</v>
      </c>
      <c r="W13" s="30">
        <f t="shared" ref="W13:AE13" si="34">V13</f>
        <v>649104</v>
      </c>
      <c r="X13" s="30">
        <f t="shared" si="34"/>
        <v>649104</v>
      </c>
      <c r="Y13" s="30">
        <f t="shared" si="34"/>
        <v>649104</v>
      </c>
      <c r="Z13" s="34">
        <f t="shared" si="34"/>
        <v>649104</v>
      </c>
      <c r="AA13" s="32">
        <f t="shared" si="34"/>
        <v>649104</v>
      </c>
      <c r="AB13" s="30">
        <f t="shared" si="34"/>
        <v>649104</v>
      </c>
      <c r="AC13" s="30">
        <f t="shared" si="34"/>
        <v>649104</v>
      </c>
      <c r="AD13" s="33">
        <f t="shared" si="34"/>
        <v>649104</v>
      </c>
      <c r="AE13" s="29">
        <f t="shared" si="34"/>
        <v>649104</v>
      </c>
      <c r="AF13" s="30">
        <f t="shared" si="23"/>
        <v>649104</v>
      </c>
      <c r="AG13" s="31">
        <f t="shared" si="23"/>
        <v>649104</v>
      </c>
      <c r="AH13" s="30">
        <f t="shared" si="24"/>
        <v>649104</v>
      </c>
      <c r="AI13" s="30">
        <f t="shared" si="24"/>
        <v>649104</v>
      </c>
      <c r="AJ13" s="30">
        <f t="shared" si="24"/>
        <v>649104</v>
      </c>
      <c r="AK13" s="30">
        <f t="shared" si="24"/>
        <v>649104</v>
      </c>
      <c r="AL13" s="34">
        <f t="shared" si="24"/>
        <v>649104</v>
      </c>
      <c r="AM13" s="32">
        <f t="shared" si="24"/>
        <v>649104</v>
      </c>
      <c r="AN13" s="30">
        <f t="shared" si="24"/>
        <v>649104</v>
      </c>
      <c r="AO13" s="30">
        <f t="shared" si="24"/>
        <v>649104</v>
      </c>
      <c r="AP13" s="33">
        <f>AC13</f>
        <v>649104</v>
      </c>
      <c r="AQ13" s="685">
        <f t="shared" ref="AQ13:BB13" si="35">+AP13</f>
        <v>649104</v>
      </c>
      <c r="AR13" s="685">
        <f t="shared" si="35"/>
        <v>649104</v>
      </c>
      <c r="AS13" s="694">
        <f t="shared" si="26"/>
        <v>649104</v>
      </c>
      <c r="AT13" s="685">
        <f t="shared" si="35"/>
        <v>649104</v>
      </c>
      <c r="AU13" s="685">
        <f t="shared" si="35"/>
        <v>649104</v>
      </c>
      <c r="AV13" s="685">
        <f t="shared" si="35"/>
        <v>649104</v>
      </c>
      <c r="AW13" s="685">
        <f t="shared" si="35"/>
        <v>649104</v>
      </c>
      <c r="AX13" s="685">
        <f t="shared" si="35"/>
        <v>649104</v>
      </c>
      <c r="AY13" s="685">
        <f t="shared" si="35"/>
        <v>649104</v>
      </c>
      <c r="AZ13" s="685">
        <f t="shared" si="35"/>
        <v>649104</v>
      </c>
      <c r="BA13" s="685">
        <f t="shared" si="35"/>
        <v>649104</v>
      </c>
      <c r="BB13" s="33">
        <f t="shared" si="35"/>
        <v>649104</v>
      </c>
      <c r="BC13" s="10" t="str">
        <f t="shared" si="8"/>
        <v>Remote Development Center책임(CL3)</v>
      </c>
      <c r="BD13" s="10" t="str">
        <f>B13&amp;E13</f>
        <v>Remote Development CenterCL2(사원-선임)</v>
      </c>
      <c r="BG13" s="540"/>
      <c r="BH13" s="540"/>
    </row>
    <row r="14" spans="1:60">
      <c r="A14" s="526" t="str">
        <f t="shared" si="0"/>
        <v>Remote Development Center</v>
      </c>
      <c r="B14" s="526" t="str">
        <f>+B13</f>
        <v>Remote Development Center</v>
      </c>
      <c r="C14" s="17" t="s">
        <v>249</v>
      </c>
      <c r="D14" s="18" t="s">
        <v>103</v>
      </c>
      <c r="E14" s="17"/>
      <c r="F14" s="18"/>
      <c r="G14" s="29"/>
      <c r="H14" s="30"/>
      <c r="I14" s="31"/>
      <c r="J14" s="30"/>
      <c r="K14" s="30"/>
      <c r="L14" s="30"/>
      <c r="M14" s="30"/>
      <c r="N14" s="34"/>
      <c r="O14" s="32"/>
      <c r="P14" s="30"/>
      <c r="Q14" s="30"/>
      <c r="R14" s="33"/>
      <c r="S14" s="29"/>
      <c r="T14" s="30"/>
      <c r="U14" s="1208"/>
      <c r="V14" s="31"/>
      <c r="W14" s="30"/>
      <c r="X14" s="30"/>
      <c r="Y14" s="30"/>
      <c r="Z14" s="34"/>
      <c r="AA14" s="32"/>
      <c r="AB14" s="30"/>
      <c r="AC14" s="30"/>
      <c r="AD14" s="33"/>
      <c r="AE14" s="29"/>
      <c r="AF14" s="30"/>
      <c r="AG14" s="31"/>
      <c r="AH14" s="30"/>
      <c r="AI14" s="30"/>
      <c r="AJ14" s="30"/>
      <c r="AK14" s="30"/>
      <c r="AL14" s="34"/>
      <c r="AM14" s="32"/>
      <c r="AN14" s="30"/>
      <c r="AO14" s="30"/>
      <c r="AP14" s="33"/>
      <c r="AQ14" s="685">
        <f t="shared" ref="AQ14:BB14" si="36">+AP14</f>
        <v>0</v>
      </c>
      <c r="AR14" s="685">
        <f t="shared" si="36"/>
        <v>0</v>
      </c>
      <c r="AS14" s="694"/>
      <c r="AT14" s="685">
        <f t="shared" si="36"/>
        <v>0</v>
      </c>
      <c r="AU14" s="685">
        <f t="shared" si="36"/>
        <v>0</v>
      </c>
      <c r="AV14" s="685">
        <f t="shared" si="36"/>
        <v>0</v>
      </c>
      <c r="AW14" s="685">
        <f t="shared" si="36"/>
        <v>0</v>
      </c>
      <c r="AX14" s="685">
        <f t="shared" si="36"/>
        <v>0</v>
      </c>
      <c r="AY14" s="685">
        <f t="shared" si="36"/>
        <v>0</v>
      </c>
      <c r="AZ14" s="685">
        <f t="shared" si="36"/>
        <v>0</v>
      </c>
      <c r="BA14" s="685">
        <f t="shared" si="36"/>
        <v>0</v>
      </c>
      <c r="BB14" s="33">
        <f t="shared" si="36"/>
        <v>0</v>
      </c>
      <c r="BC14" s="10" t="str">
        <f t="shared" si="8"/>
        <v>Remote Development Center선임(CL2)</v>
      </c>
      <c r="BG14" s="540"/>
      <c r="BH14" s="540"/>
    </row>
    <row r="15" spans="1:60">
      <c r="A15" s="528" t="str">
        <f t="shared" si="0"/>
        <v>Remote Development Center</v>
      </c>
      <c r="B15" s="528" t="str">
        <f>+B14</f>
        <v>Remote Development Center</v>
      </c>
      <c r="C15" s="19" t="s">
        <v>250</v>
      </c>
      <c r="D15" s="20" t="s">
        <v>104</v>
      </c>
      <c r="E15" s="19"/>
      <c r="F15" s="20"/>
      <c r="G15" s="35"/>
      <c r="H15" s="36"/>
      <c r="I15" s="37"/>
      <c r="J15" s="36"/>
      <c r="K15" s="36"/>
      <c r="L15" s="36"/>
      <c r="M15" s="36"/>
      <c r="N15" s="38"/>
      <c r="O15" s="39"/>
      <c r="P15" s="36"/>
      <c r="Q15" s="36"/>
      <c r="R15" s="40"/>
      <c r="S15" s="35"/>
      <c r="T15" s="36"/>
      <c r="U15" s="1209"/>
      <c r="V15" s="37"/>
      <c r="W15" s="36"/>
      <c r="X15" s="36"/>
      <c r="Y15" s="36"/>
      <c r="Z15" s="38"/>
      <c r="AA15" s="39"/>
      <c r="AB15" s="36"/>
      <c r="AC15" s="36"/>
      <c r="AD15" s="40"/>
      <c r="AE15" s="35"/>
      <c r="AF15" s="36"/>
      <c r="AG15" s="37"/>
      <c r="AH15" s="36"/>
      <c r="AI15" s="36"/>
      <c r="AJ15" s="36"/>
      <c r="AK15" s="36"/>
      <c r="AL15" s="38"/>
      <c r="AM15" s="39"/>
      <c r="AN15" s="36"/>
      <c r="AO15" s="36"/>
      <c r="AP15" s="40"/>
      <c r="AQ15" s="686">
        <f t="shared" ref="AQ15:BB15" si="37">+AP15</f>
        <v>0</v>
      </c>
      <c r="AR15" s="686">
        <f t="shared" si="37"/>
        <v>0</v>
      </c>
      <c r="AS15" s="695"/>
      <c r="AT15" s="686">
        <f t="shared" si="37"/>
        <v>0</v>
      </c>
      <c r="AU15" s="686">
        <f t="shared" si="37"/>
        <v>0</v>
      </c>
      <c r="AV15" s="686">
        <f t="shared" si="37"/>
        <v>0</v>
      </c>
      <c r="AW15" s="686">
        <f t="shared" si="37"/>
        <v>0</v>
      </c>
      <c r="AX15" s="686">
        <f t="shared" si="37"/>
        <v>0</v>
      </c>
      <c r="AY15" s="686">
        <f t="shared" si="37"/>
        <v>0</v>
      </c>
      <c r="AZ15" s="686">
        <f t="shared" si="37"/>
        <v>0</v>
      </c>
      <c r="BA15" s="686">
        <f t="shared" si="37"/>
        <v>0</v>
      </c>
      <c r="BB15" s="40">
        <f t="shared" si="37"/>
        <v>0</v>
      </c>
      <c r="BC15" s="10" t="str">
        <f t="shared" si="8"/>
        <v>Remote Development Center사원(CL1-CL2)</v>
      </c>
      <c r="BG15" s="540"/>
      <c r="BH15" s="540"/>
    </row>
    <row r="16" spans="1:60">
      <c r="A16" s="523" t="str">
        <f t="shared" ref="A16:A21" si="38">+B16&amp;E16</f>
        <v>고객서비스그룹이사</v>
      </c>
      <c r="B16" s="523" t="s">
        <v>668</v>
      </c>
      <c r="C16" s="16" t="s">
        <v>12</v>
      </c>
      <c r="D16" s="15" t="s">
        <v>105</v>
      </c>
      <c r="E16" s="16" t="s">
        <v>12</v>
      </c>
      <c r="F16" s="15" t="s">
        <v>82</v>
      </c>
      <c r="G16" s="41">
        <v>2255940</v>
      </c>
      <c r="H16" s="42">
        <v>2255940</v>
      </c>
      <c r="I16" s="43">
        <v>993917</v>
      </c>
      <c r="J16" s="42">
        <f t="shared" ref="J16:U16" si="39">I16</f>
        <v>993917</v>
      </c>
      <c r="K16" s="42">
        <f t="shared" si="39"/>
        <v>993917</v>
      </c>
      <c r="L16" s="42">
        <f t="shared" si="39"/>
        <v>993917</v>
      </c>
      <c r="M16" s="42">
        <f t="shared" si="39"/>
        <v>993917</v>
      </c>
      <c r="N16" s="42">
        <f t="shared" si="39"/>
        <v>993917</v>
      </c>
      <c r="O16" s="42">
        <f t="shared" si="39"/>
        <v>993917</v>
      </c>
      <c r="P16" s="42">
        <f t="shared" si="39"/>
        <v>993917</v>
      </c>
      <c r="Q16" s="42">
        <f t="shared" si="39"/>
        <v>993917</v>
      </c>
      <c r="R16" s="44">
        <f t="shared" si="39"/>
        <v>993917</v>
      </c>
      <c r="S16" s="41">
        <f t="shared" si="39"/>
        <v>993917</v>
      </c>
      <c r="T16" s="42">
        <f t="shared" si="39"/>
        <v>993917</v>
      </c>
      <c r="U16" s="1210">
        <f t="shared" si="39"/>
        <v>993917</v>
      </c>
      <c r="V16" s="43"/>
      <c r="W16" s="42">
        <f t="shared" ref="W16:AE16" si="40">V16</f>
        <v>0</v>
      </c>
      <c r="X16" s="42">
        <f t="shared" si="40"/>
        <v>0</v>
      </c>
      <c r="Y16" s="42">
        <f t="shared" si="40"/>
        <v>0</v>
      </c>
      <c r="Z16" s="42">
        <f t="shared" si="40"/>
        <v>0</v>
      </c>
      <c r="AA16" s="42">
        <f t="shared" si="40"/>
        <v>0</v>
      </c>
      <c r="AB16" s="42">
        <f t="shared" si="40"/>
        <v>0</v>
      </c>
      <c r="AC16" s="42">
        <f t="shared" si="40"/>
        <v>0</v>
      </c>
      <c r="AD16" s="44">
        <f t="shared" si="40"/>
        <v>0</v>
      </c>
      <c r="AE16" s="41">
        <f t="shared" si="40"/>
        <v>0</v>
      </c>
      <c r="AF16" s="42">
        <f t="shared" ref="AF16:AG19" si="41">AE16</f>
        <v>0</v>
      </c>
      <c r="AG16" s="43">
        <f t="shared" si="41"/>
        <v>0</v>
      </c>
      <c r="AH16" s="42">
        <f t="shared" ref="AH16:AO19" si="42">AG16</f>
        <v>0</v>
      </c>
      <c r="AI16" s="42">
        <f t="shared" si="42"/>
        <v>0</v>
      </c>
      <c r="AJ16" s="42">
        <f t="shared" si="42"/>
        <v>0</v>
      </c>
      <c r="AK16" s="42">
        <f t="shared" si="42"/>
        <v>0</v>
      </c>
      <c r="AL16" s="42">
        <f t="shared" si="42"/>
        <v>0</v>
      </c>
      <c r="AM16" s="42">
        <f t="shared" si="42"/>
        <v>0</v>
      </c>
      <c r="AN16" s="42">
        <f t="shared" si="42"/>
        <v>0</v>
      </c>
      <c r="AO16" s="42">
        <f t="shared" si="42"/>
        <v>0</v>
      </c>
      <c r="AP16" s="44">
        <f>AC16</f>
        <v>0</v>
      </c>
      <c r="AQ16" s="687">
        <f t="shared" ref="AQ16:BB16" si="43">+AP16</f>
        <v>0</v>
      </c>
      <c r="AR16" s="687">
        <f t="shared" si="43"/>
        <v>0</v>
      </c>
      <c r="AS16" s="696">
        <f t="shared" ref="AS16:AS19" si="44">AR16</f>
        <v>0</v>
      </c>
      <c r="AT16" s="687">
        <f t="shared" si="43"/>
        <v>0</v>
      </c>
      <c r="AU16" s="687">
        <f t="shared" si="43"/>
        <v>0</v>
      </c>
      <c r="AV16" s="687">
        <f t="shared" si="43"/>
        <v>0</v>
      </c>
      <c r="AW16" s="687">
        <f t="shared" si="43"/>
        <v>0</v>
      </c>
      <c r="AX16" s="687">
        <f t="shared" si="43"/>
        <v>0</v>
      </c>
      <c r="AY16" s="687">
        <f t="shared" si="43"/>
        <v>0</v>
      </c>
      <c r="AZ16" s="687">
        <f t="shared" si="43"/>
        <v>0</v>
      </c>
      <c r="BA16" s="687">
        <f t="shared" si="43"/>
        <v>0</v>
      </c>
      <c r="BB16" s="44">
        <f t="shared" si="43"/>
        <v>0</v>
      </c>
      <c r="BC16" s="10" t="str">
        <f t="shared" ref="BC16:BC21" si="45">B16&amp;C16</f>
        <v>고객서비스그룹이사</v>
      </c>
      <c r="BD16" s="10" t="str">
        <f>B16&amp;E16</f>
        <v>고객서비스그룹이사</v>
      </c>
      <c r="BG16" s="540"/>
      <c r="BH16" s="540"/>
    </row>
    <row r="17" spans="1:60">
      <c r="A17" s="526" t="str">
        <f t="shared" si="38"/>
        <v>고객서비스그룹CL4(수석)</v>
      </c>
      <c r="B17" s="526" t="str">
        <f>+B16</f>
        <v>고객서비스그룹</v>
      </c>
      <c r="C17" s="17" t="s">
        <v>246</v>
      </c>
      <c r="D17" s="18" t="s">
        <v>105</v>
      </c>
      <c r="E17" s="17" t="s">
        <v>445</v>
      </c>
      <c r="F17" s="18" t="s">
        <v>82</v>
      </c>
      <c r="G17" s="45">
        <v>886010</v>
      </c>
      <c r="H17" s="46">
        <v>886010</v>
      </c>
      <c r="I17" s="47">
        <v>993917</v>
      </c>
      <c r="J17" s="46">
        <f t="shared" ref="J17:U17" si="46">I17</f>
        <v>993917</v>
      </c>
      <c r="K17" s="46">
        <f t="shared" si="46"/>
        <v>993917</v>
      </c>
      <c r="L17" s="46">
        <f t="shared" si="46"/>
        <v>993917</v>
      </c>
      <c r="M17" s="46">
        <f t="shared" si="46"/>
        <v>993917</v>
      </c>
      <c r="N17" s="46">
        <f t="shared" si="46"/>
        <v>993917</v>
      </c>
      <c r="O17" s="46">
        <f t="shared" si="46"/>
        <v>993917</v>
      </c>
      <c r="P17" s="46">
        <f t="shared" si="46"/>
        <v>993917</v>
      </c>
      <c r="Q17" s="46">
        <f t="shared" si="46"/>
        <v>993917</v>
      </c>
      <c r="R17" s="48">
        <f t="shared" si="46"/>
        <v>993917</v>
      </c>
      <c r="S17" s="45">
        <f t="shared" si="46"/>
        <v>993917</v>
      </c>
      <c r="T17" s="46">
        <f t="shared" si="46"/>
        <v>993917</v>
      </c>
      <c r="U17" s="1211">
        <f t="shared" si="46"/>
        <v>993917</v>
      </c>
      <c r="V17" s="47">
        <v>871076</v>
      </c>
      <c r="W17" s="46">
        <f t="shared" ref="W17:AE17" si="47">V17</f>
        <v>871076</v>
      </c>
      <c r="X17" s="46">
        <f t="shared" si="47"/>
        <v>871076</v>
      </c>
      <c r="Y17" s="46">
        <f t="shared" si="47"/>
        <v>871076</v>
      </c>
      <c r="Z17" s="46">
        <f t="shared" si="47"/>
        <v>871076</v>
      </c>
      <c r="AA17" s="46">
        <f t="shared" si="47"/>
        <v>871076</v>
      </c>
      <c r="AB17" s="46">
        <f t="shared" si="47"/>
        <v>871076</v>
      </c>
      <c r="AC17" s="46">
        <f t="shared" si="47"/>
        <v>871076</v>
      </c>
      <c r="AD17" s="48">
        <f t="shared" si="47"/>
        <v>871076</v>
      </c>
      <c r="AE17" s="45">
        <f t="shared" si="47"/>
        <v>871076</v>
      </c>
      <c r="AF17" s="46">
        <f t="shared" si="41"/>
        <v>871076</v>
      </c>
      <c r="AG17" s="47">
        <f t="shared" si="41"/>
        <v>871076</v>
      </c>
      <c r="AH17" s="46">
        <f t="shared" si="42"/>
        <v>871076</v>
      </c>
      <c r="AI17" s="46">
        <f t="shared" si="42"/>
        <v>871076</v>
      </c>
      <c r="AJ17" s="46">
        <f t="shared" si="42"/>
        <v>871076</v>
      </c>
      <c r="AK17" s="46">
        <f t="shared" si="42"/>
        <v>871076</v>
      </c>
      <c r="AL17" s="46">
        <f t="shared" si="42"/>
        <v>871076</v>
      </c>
      <c r="AM17" s="46">
        <f t="shared" si="42"/>
        <v>871076</v>
      </c>
      <c r="AN17" s="46">
        <f t="shared" si="42"/>
        <v>871076</v>
      </c>
      <c r="AO17" s="46">
        <f t="shared" si="42"/>
        <v>871076</v>
      </c>
      <c r="AP17" s="48">
        <f>AC17</f>
        <v>871076</v>
      </c>
      <c r="AQ17" s="688">
        <f t="shared" ref="AQ17:BB17" si="48">+AP17</f>
        <v>871076</v>
      </c>
      <c r="AR17" s="688">
        <f t="shared" si="48"/>
        <v>871076</v>
      </c>
      <c r="AS17" s="697">
        <f t="shared" si="44"/>
        <v>871076</v>
      </c>
      <c r="AT17" s="688">
        <f t="shared" si="48"/>
        <v>871076</v>
      </c>
      <c r="AU17" s="688">
        <f t="shared" si="48"/>
        <v>871076</v>
      </c>
      <c r="AV17" s="688">
        <f t="shared" si="48"/>
        <v>871076</v>
      </c>
      <c r="AW17" s="688">
        <f t="shared" si="48"/>
        <v>871076</v>
      </c>
      <c r="AX17" s="688">
        <f t="shared" si="48"/>
        <v>871076</v>
      </c>
      <c r="AY17" s="688">
        <f t="shared" si="48"/>
        <v>871076</v>
      </c>
      <c r="AZ17" s="688">
        <f t="shared" si="48"/>
        <v>871076</v>
      </c>
      <c r="BA17" s="688">
        <f t="shared" si="48"/>
        <v>871076</v>
      </c>
      <c r="BB17" s="48">
        <f t="shared" si="48"/>
        <v>871076</v>
      </c>
      <c r="BC17" s="10" t="str">
        <f t="shared" si="45"/>
        <v>고객서비스그룹수석(CL4)</v>
      </c>
      <c r="BD17" s="10" t="str">
        <f>B17&amp;E17</f>
        <v>고객서비스그룹CL4(수석)</v>
      </c>
      <c r="BG17" s="540"/>
      <c r="BH17" s="540"/>
    </row>
    <row r="18" spans="1:60">
      <c r="A18" s="526" t="str">
        <f t="shared" si="38"/>
        <v>고객서비스그룹CL3(책임-수석보)</v>
      </c>
      <c r="B18" s="526" t="str">
        <f>+B17</f>
        <v>고객서비스그룹</v>
      </c>
      <c r="C18" s="17" t="s">
        <v>247</v>
      </c>
      <c r="D18" s="18" t="s">
        <v>105</v>
      </c>
      <c r="E18" s="17" t="s">
        <v>455</v>
      </c>
      <c r="F18" s="18" t="s">
        <v>459</v>
      </c>
      <c r="G18" s="45">
        <v>691032</v>
      </c>
      <c r="H18" s="46">
        <v>691032</v>
      </c>
      <c r="I18" s="47">
        <v>788289</v>
      </c>
      <c r="J18" s="46">
        <f t="shared" ref="J18:U18" si="49">I18</f>
        <v>788289</v>
      </c>
      <c r="K18" s="46">
        <f t="shared" si="49"/>
        <v>788289</v>
      </c>
      <c r="L18" s="46">
        <f t="shared" si="49"/>
        <v>788289</v>
      </c>
      <c r="M18" s="46">
        <f t="shared" si="49"/>
        <v>788289</v>
      </c>
      <c r="N18" s="46">
        <f t="shared" si="49"/>
        <v>788289</v>
      </c>
      <c r="O18" s="46">
        <f t="shared" si="49"/>
        <v>788289</v>
      </c>
      <c r="P18" s="46">
        <f t="shared" si="49"/>
        <v>788289</v>
      </c>
      <c r="Q18" s="46">
        <f t="shared" si="49"/>
        <v>788289</v>
      </c>
      <c r="R18" s="48">
        <f t="shared" si="49"/>
        <v>788289</v>
      </c>
      <c r="S18" s="45">
        <f t="shared" si="49"/>
        <v>788289</v>
      </c>
      <c r="T18" s="46">
        <f t="shared" si="49"/>
        <v>788289</v>
      </c>
      <c r="U18" s="1211">
        <f t="shared" si="49"/>
        <v>788289</v>
      </c>
      <c r="V18" s="47">
        <v>743566</v>
      </c>
      <c r="W18" s="46">
        <f t="shared" ref="W18:AE18" si="50">V18</f>
        <v>743566</v>
      </c>
      <c r="X18" s="46">
        <f t="shared" si="50"/>
        <v>743566</v>
      </c>
      <c r="Y18" s="46">
        <f t="shared" si="50"/>
        <v>743566</v>
      </c>
      <c r="Z18" s="46">
        <f t="shared" si="50"/>
        <v>743566</v>
      </c>
      <c r="AA18" s="46">
        <f t="shared" si="50"/>
        <v>743566</v>
      </c>
      <c r="AB18" s="46">
        <f t="shared" si="50"/>
        <v>743566</v>
      </c>
      <c r="AC18" s="46">
        <f t="shared" si="50"/>
        <v>743566</v>
      </c>
      <c r="AD18" s="48">
        <f t="shared" si="50"/>
        <v>743566</v>
      </c>
      <c r="AE18" s="45">
        <f t="shared" si="50"/>
        <v>743566</v>
      </c>
      <c r="AF18" s="46">
        <f t="shared" si="41"/>
        <v>743566</v>
      </c>
      <c r="AG18" s="47">
        <f t="shared" si="41"/>
        <v>743566</v>
      </c>
      <c r="AH18" s="46">
        <f t="shared" si="42"/>
        <v>743566</v>
      </c>
      <c r="AI18" s="46">
        <f t="shared" si="42"/>
        <v>743566</v>
      </c>
      <c r="AJ18" s="46">
        <f t="shared" si="42"/>
        <v>743566</v>
      </c>
      <c r="AK18" s="46">
        <f t="shared" si="42"/>
        <v>743566</v>
      </c>
      <c r="AL18" s="46">
        <f t="shared" si="42"/>
        <v>743566</v>
      </c>
      <c r="AM18" s="46">
        <f t="shared" si="42"/>
        <v>743566</v>
      </c>
      <c r="AN18" s="46">
        <f t="shared" si="42"/>
        <v>743566</v>
      </c>
      <c r="AO18" s="46">
        <f t="shared" si="42"/>
        <v>743566</v>
      </c>
      <c r="AP18" s="48">
        <f>AC18</f>
        <v>743566</v>
      </c>
      <c r="AQ18" s="688">
        <f t="shared" ref="AQ18:BB18" si="51">+AP18</f>
        <v>743566</v>
      </c>
      <c r="AR18" s="688">
        <f t="shared" si="51"/>
        <v>743566</v>
      </c>
      <c r="AS18" s="697">
        <f t="shared" si="44"/>
        <v>743566</v>
      </c>
      <c r="AT18" s="688">
        <f t="shared" si="51"/>
        <v>743566</v>
      </c>
      <c r="AU18" s="688">
        <f t="shared" si="51"/>
        <v>743566</v>
      </c>
      <c r="AV18" s="688">
        <f t="shared" si="51"/>
        <v>743566</v>
      </c>
      <c r="AW18" s="688">
        <f t="shared" si="51"/>
        <v>743566</v>
      </c>
      <c r="AX18" s="688">
        <f t="shared" si="51"/>
        <v>743566</v>
      </c>
      <c r="AY18" s="688">
        <f t="shared" si="51"/>
        <v>743566</v>
      </c>
      <c r="AZ18" s="688">
        <f t="shared" si="51"/>
        <v>743566</v>
      </c>
      <c r="BA18" s="688">
        <f t="shared" si="51"/>
        <v>743566</v>
      </c>
      <c r="BB18" s="48">
        <f t="shared" si="51"/>
        <v>743566</v>
      </c>
      <c r="BC18" s="10" t="str">
        <f t="shared" si="45"/>
        <v>고객서비스그룹수석보(CL3)</v>
      </c>
      <c r="BD18" s="10" t="str">
        <f>B18&amp;E18</f>
        <v>고객서비스그룹CL3(책임-수석보)</v>
      </c>
      <c r="BG18" s="540"/>
      <c r="BH18" s="540"/>
    </row>
    <row r="19" spans="1:60">
      <c r="A19" s="526" t="str">
        <f t="shared" si="38"/>
        <v>고객서비스그룹CL2(사원-선임)</v>
      </c>
      <c r="B19" s="526" t="str">
        <f>+B18</f>
        <v>고객서비스그룹</v>
      </c>
      <c r="C19" s="17" t="s">
        <v>248</v>
      </c>
      <c r="D19" s="18" t="s">
        <v>102</v>
      </c>
      <c r="E19" s="17" t="s">
        <v>457</v>
      </c>
      <c r="F19" s="18" t="s">
        <v>461</v>
      </c>
      <c r="G19" s="45">
        <v>497230</v>
      </c>
      <c r="H19" s="46">
        <v>497230</v>
      </c>
      <c r="I19" s="47">
        <v>620023</v>
      </c>
      <c r="J19" s="46">
        <f t="shared" ref="J19:U19" si="52">I19</f>
        <v>620023</v>
      </c>
      <c r="K19" s="46">
        <f t="shared" si="52"/>
        <v>620023</v>
      </c>
      <c r="L19" s="46">
        <f t="shared" si="52"/>
        <v>620023</v>
      </c>
      <c r="M19" s="46">
        <f t="shared" si="52"/>
        <v>620023</v>
      </c>
      <c r="N19" s="46">
        <f t="shared" si="52"/>
        <v>620023</v>
      </c>
      <c r="O19" s="46">
        <f t="shared" si="52"/>
        <v>620023</v>
      </c>
      <c r="P19" s="46">
        <f t="shared" si="52"/>
        <v>620023</v>
      </c>
      <c r="Q19" s="46">
        <f t="shared" si="52"/>
        <v>620023</v>
      </c>
      <c r="R19" s="48">
        <f t="shared" si="52"/>
        <v>620023</v>
      </c>
      <c r="S19" s="45">
        <f t="shared" si="52"/>
        <v>620023</v>
      </c>
      <c r="T19" s="46">
        <f t="shared" si="52"/>
        <v>620023</v>
      </c>
      <c r="U19" s="1211">
        <f t="shared" si="52"/>
        <v>620023</v>
      </c>
      <c r="V19" s="47">
        <v>639120</v>
      </c>
      <c r="W19" s="46">
        <f t="shared" ref="W19:AE19" si="53">V19</f>
        <v>639120</v>
      </c>
      <c r="X19" s="46">
        <f t="shared" si="53"/>
        <v>639120</v>
      </c>
      <c r="Y19" s="46">
        <f t="shared" si="53"/>
        <v>639120</v>
      </c>
      <c r="Z19" s="46">
        <f t="shared" si="53"/>
        <v>639120</v>
      </c>
      <c r="AA19" s="46">
        <f t="shared" si="53"/>
        <v>639120</v>
      </c>
      <c r="AB19" s="46">
        <f t="shared" si="53"/>
        <v>639120</v>
      </c>
      <c r="AC19" s="46">
        <f t="shared" si="53"/>
        <v>639120</v>
      </c>
      <c r="AD19" s="48">
        <f t="shared" si="53"/>
        <v>639120</v>
      </c>
      <c r="AE19" s="45">
        <f t="shared" si="53"/>
        <v>639120</v>
      </c>
      <c r="AF19" s="46">
        <f t="shared" si="41"/>
        <v>639120</v>
      </c>
      <c r="AG19" s="47">
        <f t="shared" si="41"/>
        <v>639120</v>
      </c>
      <c r="AH19" s="46">
        <f t="shared" si="42"/>
        <v>639120</v>
      </c>
      <c r="AI19" s="46">
        <f t="shared" si="42"/>
        <v>639120</v>
      </c>
      <c r="AJ19" s="46">
        <f t="shared" si="42"/>
        <v>639120</v>
      </c>
      <c r="AK19" s="46">
        <f t="shared" si="42"/>
        <v>639120</v>
      </c>
      <c r="AL19" s="46">
        <f t="shared" si="42"/>
        <v>639120</v>
      </c>
      <c r="AM19" s="46">
        <f t="shared" si="42"/>
        <v>639120</v>
      </c>
      <c r="AN19" s="46">
        <f t="shared" si="42"/>
        <v>639120</v>
      </c>
      <c r="AO19" s="46">
        <f t="shared" si="42"/>
        <v>639120</v>
      </c>
      <c r="AP19" s="48">
        <f>AC19</f>
        <v>639120</v>
      </c>
      <c r="AQ19" s="688">
        <f t="shared" ref="AQ19:BB19" si="54">+AP19</f>
        <v>639120</v>
      </c>
      <c r="AR19" s="688">
        <f t="shared" si="54"/>
        <v>639120</v>
      </c>
      <c r="AS19" s="697">
        <f t="shared" si="44"/>
        <v>639120</v>
      </c>
      <c r="AT19" s="688">
        <f t="shared" si="54"/>
        <v>639120</v>
      </c>
      <c r="AU19" s="688">
        <f t="shared" si="54"/>
        <v>639120</v>
      </c>
      <c r="AV19" s="688">
        <f t="shared" si="54"/>
        <v>639120</v>
      </c>
      <c r="AW19" s="688">
        <f t="shared" si="54"/>
        <v>639120</v>
      </c>
      <c r="AX19" s="688">
        <f t="shared" si="54"/>
        <v>639120</v>
      </c>
      <c r="AY19" s="688">
        <f t="shared" si="54"/>
        <v>639120</v>
      </c>
      <c r="AZ19" s="688">
        <f t="shared" si="54"/>
        <v>639120</v>
      </c>
      <c r="BA19" s="688">
        <f t="shared" si="54"/>
        <v>639120</v>
      </c>
      <c r="BB19" s="48">
        <f t="shared" si="54"/>
        <v>639120</v>
      </c>
      <c r="BC19" s="10" t="str">
        <f t="shared" si="45"/>
        <v>고객서비스그룹책임(CL3)</v>
      </c>
      <c r="BD19" s="10" t="str">
        <f>B19&amp;E19</f>
        <v>고객서비스그룹CL2(사원-선임)</v>
      </c>
      <c r="BG19" s="540"/>
      <c r="BH19" s="540"/>
    </row>
    <row r="20" spans="1:60">
      <c r="A20" s="526" t="str">
        <f t="shared" si="38"/>
        <v>고객서비스그룹</v>
      </c>
      <c r="B20" s="526" t="str">
        <f>+B19</f>
        <v>고객서비스그룹</v>
      </c>
      <c r="C20" s="17" t="s">
        <v>249</v>
      </c>
      <c r="D20" s="18" t="s">
        <v>103</v>
      </c>
      <c r="E20" s="17"/>
      <c r="F20" s="18"/>
      <c r="G20" s="45"/>
      <c r="H20" s="46"/>
      <c r="I20" s="47"/>
      <c r="J20" s="46"/>
      <c r="K20" s="46"/>
      <c r="L20" s="46"/>
      <c r="M20" s="46"/>
      <c r="N20" s="46"/>
      <c r="O20" s="46"/>
      <c r="P20" s="46"/>
      <c r="Q20" s="46"/>
      <c r="R20" s="48"/>
      <c r="S20" s="45"/>
      <c r="T20" s="46"/>
      <c r="U20" s="1211"/>
      <c r="V20" s="47"/>
      <c r="W20" s="46"/>
      <c r="X20" s="46"/>
      <c r="Y20" s="46"/>
      <c r="Z20" s="46"/>
      <c r="AA20" s="46"/>
      <c r="AB20" s="46"/>
      <c r="AC20" s="46"/>
      <c r="AD20" s="48"/>
      <c r="AE20" s="45"/>
      <c r="AF20" s="46"/>
      <c r="AG20" s="47"/>
      <c r="AH20" s="46"/>
      <c r="AI20" s="46"/>
      <c r="AJ20" s="46"/>
      <c r="AK20" s="46"/>
      <c r="AL20" s="46"/>
      <c r="AM20" s="46"/>
      <c r="AN20" s="46"/>
      <c r="AO20" s="46"/>
      <c r="AP20" s="48"/>
      <c r="AQ20" s="688">
        <f t="shared" ref="AQ20:BB20" si="55">+AP20</f>
        <v>0</v>
      </c>
      <c r="AR20" s="688">
        <f t="shared" si="55"/>
        <v>0</v>
      </c>
      <c r="AS20" s="697"/>
      <c r="AT20" s="688">
        <f t="shared" si="55"/>
        <v>0</v>
      </c>
      <c r="AU20" s="688">
        <f t="shared" si="55"/>
        <v>0</v>
      </c>
      <c r="AV20" s="688">
        <f t="shared" si="55"/>
        <v>0</v>
      </c>
      <c r="AW20" s="688">
        <f t="shared" si="55"/>
        <v>0</v>
      </c>
      <c r="AX20" s="688">
        <f t="shared" si="55"/>
        <v>0</v>
      </c>
      <c r="AY20" s="688">
        <f t="shared" si="55"/>
        <v>0</v>
      </c>
      <c r="AZ20" s="688">
        <f t="shared" si="55"/>
        <v>0</v>
      </c>
      <c r="BA20" s="688">
        <f t="shared" si="55"/>
        <v>0</v>
      </c>
      <c r="BB20" s="48">
        <f t="shared" si="55"/>
        <v>0</v>
      </c>
      <c r="BC20" s="10" t="str">
        <f t="shared" si="45"/>
        <v>고객서비스그룹선임(CL2)</v>
      </c>
      <c r="BD20" s="10" t="s">
        <v>451</v>
      </c>
      <c r="BG20" s="540"/>
      <c r="BH20" s="540"/>
    </row>
    <row r="21" spans="1:60">
      <c r="A21" s="528" t="str">
        <f t="shared" si="38"/>
        <v>고객서비스그룹</v>
      </c>
      <c r="B21" s="528" t="str">
        <f>+B20</f>
        <v>고객서비스그룹</v>
      </c>
      <c r="C21" s="19" t="s">
        <v>250</v>
      </c>
      <c r="D21" s="20" t="s">
        <v>104</v>
      </c>
      <c r="E21" s="19"/>
      <c r="F21" s="20"/>
      <c r="G21" s="49"/>
      <c r="H21" s="50"/>
      <c r="I21" s="51"/>
      <c r="J21" s="50"/>
      <c r="K21" s="50"/>
      <c r="L21" s="50"/>
      <c r="M21" s="50"/>
      <c r="N21" s="50"/>
      <c r="O21" s="50"/>
      <c r="P21" s="50"/>
      <c r="Q21" s="50"/>
      <c r="R21" s="52"/>
      <c r="S21" s="49"/>
      <c r="T21" s="50"/>
      <c r="U21" s="1212"/>
      <c r="V21" s="51"/>
      <c r="W21" s="50"/>
      <c r="X21" s="50"/>
      <c r="Y21" s="50"/>
      <c r="Z21" s="50"/>
      <c r="AA21" s="50"/>
      <c r="AB21" s="50"/>
      <c r="AC21" s="50"/>
      <c r="AD21" s="52"/>
      <c r="AE21" s="49"/>
      <c r="AF21" s="50"/>
      <c r="AG21" s="51"/>
      <c r="AH21" s="50"/>
      <c r="AI21" s="50"/>
      <c r="AJ21" s="50"/>
      <c r="AK21" s="50"/>
      <c r="AL21" s="50"/>
      <c r="AM21" s="50"/>
      <c r="AN21" s="50"/>
      <c r="AO21" s="50"/>
      <c r="AP21" s="52"/>
      <c r="AQ21" s="689">
        <f t="shared" ref="AQ21:BB21" si="56">+AP21</f>
        <v>0</v>
      </c>
      <c r="AR21" s="689">
        <f t="shared" si="56"/>
        <v>0</v>
      </c>
      <c r="AS21" s="698"/>
      <c r="AT21" s="689">
        <f t="shared" si="56"/>
        <v>0</v>
      </c>
      <c r="AU21" s="689">
        <f t="shared" si="56"/>
        <v>0</v>
      </c>
      <c r="AV21" s="689">
        <f t="shared" si="56"/>
        <v>0</v>
      </c>
      <c r="AW21" s="689">
        <f t="shared" si="56"/>
        <v>0</v>
      </c>
      <c r="AX21" s="689">
        <f t="shared" si="56"/>
        <v>0</v>
      </c>
      <c r="AY21" s="689">
        <f t="shared" si="56"/>
        <v>0</v>
      </c>
      <c r="AZ21" s="689">
        <f t="shared" si="56"/>
        <v>0</v>
      </c>
      <c r="BA21" s="689">
        <f t="shared" si="56"/>
        <v>0</v>
      </c>
      <c r="BB21" s="52">
        <f t="shared" si="56"/>
        <v>0</v>
      </c>
      <c r="BC21" s="10" t="str">
        <f t="shared" si="45"/>
        <v>고객서비스그룹사원(CL1-CL2)</v>
      </c>
      <c r="BD21" s="10" t="s">
        <v>452</v>
      </c>
      <c r="BG21" s="540"/>
      <c r="BH21" s="540"/>
    </row>
    <row r="22" spans="1:60">
      <c r="A22" s="523" t="str">
        <f t="shared" ref="A22:A27" si="57">+B22&amp;E22</f>
        <v>설비자동화그룹이사</v>
      </c>
      <c r="B22" s="523" t="s">
        <v>915</v>
      </c>
      <c r="C22" s="16" t="s">
        <v>12</v>
      </c>
      <c r="D22" s="15" t="s">
        <v>105</v>
      </c>
      <c r="E22" s="16" t="s">
        <v>12</v>
      </c>
      <c r="F22" s="15" t="s">
        <v>82</v>
      </c>
      <c r="G22" s="25"/>
      <c r="H22" s="26"/>
      <c r="I22" s="27">
        <f t="shared" ref="I22:S22" si="58">H22</f>
        <v>0</v>
      </c>
      <c r="J22" s="26">
        <f t="shared" si="58"/>
        <v>0</v>
      </c>
      <c r="K22" s="26">
        <f t="shared" si="58"/>
        <v>0</v>
      </c>
      <c r="L22" s="26">
        <f t="shared" si="58"/>
        <v>0</v>
      </c>
      <c r="M22" s="26">
        <f t="shared" si="58"/>
        <v>0</v>
      </c>
      <c r="N22" s="26">
        <f t="shared" si="58"/>
        <v>0</v>
      </c>
      <c r="O22" s="26">
        <f t="shared" si="58"/>
        <v>0</v>
      </c>
      <c r="P22" s="26">
        <f t="shared" si="58"/>
        <v>0</v>
      </c>
      <c r="Q22" s="26">
        <f t="shared" si="58"/>
        <v>0</v>
      </c>
      <c r="R22" s="28">
        <f t="shared" si="58"/>
        <v>0</v>
      </c>
      <c r="S22" s="25">
        <f t="shared" si="58"/>
        <v>0</v>
      </c>
      <c r="T22" s="26">
        <f t="shared" ref="T22:U25" si="59">S22</f>
        <v>0</v>
      </c>
      <c r="U22" s="1207">
        <f t="shared" si="59"/>
        <v>0</v>
      </c>
      <c r="V22" s="27">
        <f t="shared" ref="V22:AE22" si="60">U22</f>
        <v>0</v>
      </c>
      <c r="W22" s="26">
        <f t="shared" si="60"/>
        <v>0</v>
      </c>
      <c r="X22" s="26">
        <f t="shared" si="60"/>
        <v>0</v>
      </c>
      <c r="Y22" s="26">
        <f t="shared" si="60"/>
        <v>0</v>
      </c>
      <c r="Z22" s="26">
        <f t="shared" si="60"/>
        <v>0</v>
      </c>
      <c r="AA22" s="26">
        <f t="shared" si="60"/>
        <v>0</v>
      </c>
      <c r="AB22" s="26">
        <f t="shared" si="60"/>
        <v>0</v>
      </c>
      <c r="AC22" s="26">
        <f t="shared" si="60"/>
        <v>0</v>
      </c>
      <c r="AD22" s="28">
        <f t="shared" si="60"/>
        <v>0</v>
      </c>
      <c r="AE22" s="25">
        <f t="shared" si="60"/>
        <v>0</v>
      </c>
      <c r="AF22" s="26">
        <f t="shared" ref="AF22:AG25" si="61">AE22</f>
        <v>0</v>
      </c>
      <c r="AG22" s="27">
        <f t="shared" si="61"/>
        <v>0</v>
      </c>
      <c r="AH22" s="26">
        <f t="shared" ref="AH22:AO25" si="62">AG22</f>
        <v>0</v>
      </c>
      <c r="AI22" s="26">
        <f t="shared" si="62"/>
        <v>0</v>
      </c>
      <c r="AJ22" s="26">
        <f t="shared" si="62"/>
        <v>0</v>
      </c>
      <c r="AK22" s="26">
        <f t="shared" si="62"/>
        <v>0</v>
      </c>
      <c r="AL22" s="26">
        <f t="shared" si="62"/>
        <v>0</v>
      </c>
      <c r="AM22" s="26">
        <f t="shared" si="62"/>
        <v>0</v>
      </c>
      <c r="AN22" s="26">
        <f t="shared" si="62"/>
        <v>0</v>
      </c>
      <c r="AO22" s="26">
        <f t="shared" si="62"/>
        <v>0</v>
      </c>
      <c r="AP22" s="28">
        <f>AC22</f>
        <v>0</v>
      </c>
      <c r="AQ22" s="684">
        <f t="shared" ref="AQ22:BB22" si="63">+AP22</f>
        <v>0</v>
      </c>
      <c r="AR22" s="684">
        <f t="shared" si="63"/>
        <v>0</v>
      </c>
      <c r="AS22" s="693">
        <f t="shared" ref="AS22:AS25" si="64">AR22</f>
        <v>0</v>
      </c>
      <c r="AT22" s="684">
        <f t="shared" si="63"/>
        <v>0</v>
      </c>
      <c r="AU22" s="684">
        <f t="shared" si="63"/>
        <v>0</v>
      </c>
      <c r="AV22" s="684">
        <f t="shared" si="63"/>
        <v>0</v>
      </c>
      <c r="AW22" s="684">
        <f t="shared" si="63"/>
        <v>0</v>
      </c>
      <c r="AX22" s="684">
        <f t="shared" si="63"/>
        <v>0</v>
      </c>
      <c r="AY22" s="684">
        <f t="shared" si="63"/>
        <v>0</v>
      </c>
      <c r="AZ22" s="684">
        <f t="shared" si="63"/>
        <v>0</v>
      </c>
      <c r="BA22" s="684">
        <f t="shared" si="63"/>
        <v>0</v>
      </c>
      <c r="BB22" s="28">
        <f t="shared" si="63"/>
        <v>0</v>
      </c>
      <c r="BC22" s="10" t="str">
        <f t="shared" si="8"/>
        <v>설비자동화그룹이사</v>
      </c>
      <c r="BD22" s="10" t="str">
        <f>B22&amp;E22</f>
        <v>설비자동화그룹이사</v>
      </c>
      <c r="BG22" s="540"/>
      <c r="BH22" s="540"/>
    </row>
    <row r="23" spans="1:60">
      <c r="A23" s="526" t="str">
        <f t="shared" si="57"/>
        <v>설비자동화그룹CL4(수석)</v>
      </c>
      <c r="B23" s="526" t="str">
        <f>+B22</f>
        <v>설비자동화그룹</v>
      </c>
      <c r="C23" s="17" t="s">
        <v>246</v>
      </c>
      <c r="D23" s="18" t="s">
        <v>105</v>
      </c>
      <c r="E23" s="17" t="s">
        <v>445</v>
      </c>
      <c r="F23" s="18" t="s">
        <v>82</v>
      </c>
      <c r="G23" s="29">
        <v>729710</v>
      </c>
      <c r="H23" s="30">
        <v>729710</v>
      </c>
      <c r="I23" s="31">
        <v>920769</v>
      </c>
      <c r="J23" s="30">
        <f t="shared" ref="J23:S23" si="65">I23</f>
        <v>920769</v>
      </c>
      <c r="K23" s="30">
        <f t="shared" si="65"/>
        <v>920769</v>
      </c>
      <c r="L23" s="30">
        <f t="shared" si="65"/>
        <v>920769</v>
      </c>
      <c r="M23" s="30">
        <f t="shared" si="65"/>
        <v>920769</v>
      </c>
      <c r="N23" s="32">
        <f t="shared" si="65"/>
        <v>920769</v>
      </c>
      <c r="O23" s="32">
        <f t="shared" si="65"/>
        <v>920769</v>
      </c>
      <c r="P23" s="30">
        <f t="shared" si="65"/>
        <v>920769</v>
      </c>
      <c r="Q23" s="30">
        <f t="shared" si="65"/>
        <v>920769</v>
      </c>
      <c r="R23" s="33">
        <f t="shared" si="65"/>
        <v>920769</v>
      </c>
      <c r="S23" s="29">
        <f t="shared" si="65"/>
        <v>920769</v>
      </c>
      <c r="T23" s="30">
        <f t="shared" si="59"/>
        <v>920769</v>
      </c>
      <c r="U23" s="1208">
        <f t="shared" si="59"/>
        <v>920769</v>
      </c>
      <c r="V23" s="31">
        <v>828024</v>
      </c>
      <c r="W23" s="30">
        <f t="shared" ref="W23:AE23" si="66">V23</f>
        <v>828024</v>
      </c>
      <c r="X23" s="30">
        <f t="shared" si="66"/>
        <v>828024</v>
      </c>
      <c r="Y23" s="30">
        <f t="shared" si="66"/>
        <v>828024</v>
      </c>
      <c r="Z23" s="32">
        <f t="shared" si="66"/>
        <v>828024</v>
      </c>
      <c r="AA23" s="32">
        <f t="shared" si="66"/>
        <v>828024</v>
      </c>
      <c r="AB23" s="30">
        <f t="shared" si="66"/>
        <v>828024</v>
      </c>
      <c r="AC23" s="30">
        <f t="shared" si="66"/>
        <v>828024</v>
      </c>
      <c r="AD23" s="33">
        <f t="shared" si="66"/>
        <v>828024</v>
      </c>
      <c r="AE23" s="29">
        <f t="shared" si="66"/>
        <v>828024</v>
      </c>
      <c r="AF23" s="30">
        <f t="shared" si="61"/>
        <v>828024</v>
      </c>
      <c r="AG23" s="31">
        <f t="shared" si="61"/>
        <v>828024</v>
      </c>
      <c r="AH23" s="30">
        <f t="shared" si="62"/>
        <v>828024</v>
      </c>
      <c r="AI23" s="30">
        <f t="shared" si="62"/>
        <v>828024</v>
      </c>
      <c r="AJ23" s="30">
        <f t="shared" si="62"/>
        <v>828024</v>
      </c>
      <c r="AK23" s="30">
        <f t="shared" si="62"/>
        <v>828024</v>
      </c>
      <c r="AL23" s="32">
        <f t="shared" si="62"/>
        <v>828024</v>
      </c>
      <c r="AM23" s="32">
        <f t="shared" si="62"/>
        <v>828024</v>
      </c>
      <c r="AN23" s="30">
        <f t="shared" si="62"/>
        <v>828024</v>
      </c>
      <c r="AO23" s="30">
        <f t="shared" si="62"/>
        <v>828024</v>
      </c>
      <c r="AP23" s="33">
        <f>AC23</f>
        <v>828024</v>
      </c>
      <c r="AQ23" s="685">
        <f t="shared" ref="AQ23:BB23" si="67">+AP23</f>
        <v>828024</v>
      </c>
      <c r="AR23" s="685">
        <f t="shared" si="67"/>
        <v>828024</v>
      </c>
      <c r="AS23" s="694">
        <f t="shared" si="64"/>
        <v>828024</v>
      </c>
      <c r="AT23" s="685">
        <f t="shared" si="67"/>
        <v>828024</v>
      </c>
      <c r="AU23" s="685">
        <f t="shared" si="67"/>
        <v>828024</v>
      </c>
      <c r="AV23" s="685">
        <f t="shared" si="67"/>
        <v>828024</v>
      </c>
      <c r="AW23" s="685">
        <f t="shared" si="67"/>
        <v>828024</v>
      </c>
      <c r="AX23" s="685">
        <f t="shared" si="67"/>
        <v>828024</v>
      </c>
      <c r="AY23" s="685">
        <f t="shared" si="67"/>
        <v>828024</v>
      </c>
      <c r="AZ23" s="685">
        <f t="shared" si="67"/>
        <v>828024</v>
      </c>
      <c r="BA23" s="685">
        <f t="shared" si="67"/>
        <v>828024</v>
      </c>
      <c r="BB23" s="33">
        <f t="shared" si="67"/>
        <v>828024</v>
      </c>
      <c r="BC23" s="10" t="str">
        <f t="shared" si="8"/>
        <v>설비자동화그룹수석(CL4)</v>
      </c>
      <c r="BD23" s="10" t="str">
        <f>B23&amp;E23</f>
        <v>설비자동화그룹CL4(수석)</v>
      </c>
      <c r="BG23" s="540"/>
      <c r="BH23" s="540"/>
    </row>
    <row r="24" spans="1:60">
      <c r="A24" s="526" t="str">
        <f t="shared" si="57"/>
        <v>설비자동화그룹CL3(책임-수석보)</v>
      </c>
      <c r="B24" s="526" t="str">
        <f>+B23</f>
        <v>설비자동화그룹</v>
      </c>
      <c r="C24" s="17" t="s">
        <v>247</v>
      </c>
      <c r="D24" s="18" t="s">
        <v>105</v>
      </c>
      <c r="E24" s="17" t="s">
        <v>455</v>
      </c>
      <c r="F24" s="18" t="s">
        <v>459</v>
      </c>
      <c r="G24" s="29">
        <v>680284</v>
      </c>
      <c r="H24" s="30">
        <v>680284</v>
      </c>
      <c r="I24" s="31">
        <v>802333</v>
      </c>
      <c r="J24" s="30">
        <f t="shared" ref="J24:S24" si="68">I24</f>
        <v>802333</v>
      </c>
      <c r="K24" s="30">
        <f t="shared" si="68"/>
        <v>802333</v>
      </c>
      <c r="L24" s="30">
        <f t="shared" si="68"/>
        <v>802333</v>
      </c>
      <c r="M24" s="30">
        <f t="shared" si="68"/>
        <v>802333</v>
      </c>
      <c r="N24" s="34">
        <f t="shared" si="68"/>
        <v>802333</v>
      </c>
      <c r="O24" s="32">
        <f t="shared" si="68"/>
        <v>802333</v>
      </c>
      <c r="P24" s="30">
        <f t="shared" si="68"/>
        <v>802333</v>
      </c>
      <c r="Q24" s="30">
        <f t="shared" si="68"/>
        <v>802333</v>
      </c>
      <c r="R24" s="33">
        <f t="shared" si="68"/>
        <v>802333</v>
      </c>
      <c r="S24" s="29">
        <f t="shared" si="68"/>
        <v>802333</v>
      </c>
      <c r="T24" s="30">
        <f t="shared" si="59"/>
        <v>802333</v>
      </c>
      <c r="U24" s="1208">
        <f t="shared" si="59"/>
        <v>802333</v>
      </c>
      <c r="V24" s="31">
        <v>747359</v>
      </c>
      <c r="W24" s="30">
        <f t="shared" ref="W24:AE24" si="69">V24</f>
        <v>747359</v>
      </c>
      <c r="X24" s="30">
        <f t="shared" si="69"/>
        <v>747359</v>
      </c>
      <c r="Y24" s="30">
        <f t="shared" si="69"/>
        <v>747359</v>
      </c>
      <c r="Z24" s="34">
        <f t="shared" si="69"/>
        <v>747359</v>
      </c>
      <c r="AA24" s="32">
        <f t="shared" si="69"/>
        <v>747359</v>
      </c>
      <c r="AB24" s="30">
        <f t="shared" si="69"/>
        <v>747359</v>
      </c>
      <c r="AC24" s="30">
        <f t="shared" si="69"/>
        <v>747359</v>
      </c>
      <c r="AD24" s="33">
        <f t="shared" si="69"/>
        <v>747359</v>
      </c>
      <c r="AE24" s="29">
        <f t="shared" si="69"/>
        <v>747359</v>
      </c>
      <c r="AF24" s="30">
        <f t="shared" si="61"/>
        <v>747359</v>
      </c>
      <c r="AG24" s="31">
        <f t="shared" si="61"/>
        <v>747359</v>
      </c>
      <c r="AH24" s="30">
        <f t="shared" si="62"/>
        <v>747359</v>
      </c>
      <c r="AI24" s="30">
        <f t="shared" si="62"/>
        <v>747359</v>
      </c>
      <c r="AJ24" s="30">
        <f t="shared" si="62"/>
        <v>747359</v>
      </c>
      <c r="AK24" s="30">
        <f t="shared" si="62"/>
        <v>747359</v>
      </c>
      <c r="AL24" s="34">
        <f t="shared" si="62"/>
        <v>747359</v>
      </c>
      <c r="AM24" s="32">
        <f t="shared" si="62"/>
        <v>747359</v>
      </c>
      <c r="AN24" s="30">
        <f t="shared" si="62"/>
        <v>747359</v>
      </c>
      <c r="AO24" s="30">
        <f t="shared" si="62"/>
        <v>747359</v>
      </c>
      <c r="AP24" s="33">
        <f>AC24</f>
        <v>747359</v>
      </c>
      <c r="AQ24" s="685">
        <f t="shared" ref="AQ24:BB24" si="70">+AP24</f>
        <v>747359</v>
      </c>
      <c r="AR24" s="685">
        <f t="shared" si="70"/>
        <v>747359</v>
      </c>
      <c r="AS24" s="694">
        <f t="shared" si="64"/>
        <v>747359</v>
      </c>
      <c r="AT24" s="685">
        <f t="shared" si="70"/>
        <v>747359</v>
      </c>
      <c r="AU24" s="685">
        <f t="shared" si="70"/>
        <v>747359</v>
      </c>
      <c r="AV24" s="685">
        <f t="shared" si="70"/>
        <v>747359</v>
      </c>
      <c r="AW24" s="685">
        <f t="shared" si="70"/>
        <v>747359</v>
      </c>
      <c r="AX24" s="685">
        <f t="shared" si="70"/>
        <v>747359</v>
      </c>
      <c r="AY24" s="685">
        <f t="shared" si="70"/>
        <v>747359</v>
      </c>
      <c r="AZ24" s="685">
        <f t="shared" si="70"/>
        <v>747359</v>
      </c>
      <c r="BA24" s="685">
        <f t="shared" si="70"/>
        <v>747359</v>
      </c>
      <c r="BB24" s="33">
        <f t="shared" si="70"/>
        <v>747359</v>
      </c>
      <c r="BC24" s="10" t="str">
        <f t="shared" si="8"/>
        <v>설비자동화그룹수석보(CL3)</v>
      </c>
      <c r="BD24" s="10" t="str">
        <f>B24&amp;E24</f>
        <v>설비자동화그룹CL3(책임-수석보)</v>
      </c>
      <c r="BG24" s="540"/>
      <c r="BH24" s="540"/>
    </row>
    <row r="25" spans="1:60">
      <c r="A25" s="526" t="str">
        <f t="shared" si="57"/>
        <v>설비자동화그룹CL2(사원-선임)</v>
      </c>
      <c r="B25" s="526" t="str">
        <f>+B24</f>
        <v>설비자동화그룹</v>
      </c>
      <c r="C25" s="17" t="s">
        <v>248</v>
      </c>
      <c r="D25" s="18" t="s">
        <v>102</v>
      </c>
      <c r="E25" s="17" t="s">
        <v>457</v>
      </c>
      <c r="F25" s="18" t="s">
        <v>461</v>
      </c>
      <c r="G25" s="29">
        <v>510514</v>
      </c>
      <c r="H25" s="30">
        <v>510514</v>
      </c>
      <c r="I25" s="31">
        <v>577473</v>
      </c>
      <c r="J25" s="30">
        <f t="shared" ref="J25:S25" si="71">I25</f>
        <v>577473</v>
      </c>
      <c r="K25" s="30">
        <f t="shared" si="71"/>
        <v>577473</v>
      </c>
      <c r="L25" s="30">
        <f t="shared" si="71"/>
        <v>577473</v>
      </c>
      <c r="M25" s="30">
        <f t="shared" si="71"/>
        <v>577473</v>
      </c>
      <c r="N25" s="34">
        <f t="shared" si="71"/>
        <v>577473</v>
      </c>
      <c r="O25" s="32">
        <f t="shared" si="71"/>
        <v>577473</v>
      </c>
      <c r="P25" s="30">
        <f t="shared" si="71"/>
        <v>577473</v>
      </c>
      <c r="Q25" s="30">
        <f t="shared" si="71"/>
        <v>577473</v>
      </c>
      <c r="R25" s="33">
        <f t="shared" si="71"/>
        <v>577473</v>
      </c>
      <c r="S25" s="29">
        <f t="shared" si="71"/>
        <v>577473</v>
      </c>
      <c r="T25" s="30">
        <f t="shared" si="59"/>
        <v>577473</v>
      </c>
      <c r="U25" s="1208">
        <f t="shared" si="59"/>
        <v>577473</v>
      </c>
      <c r="V25" s="31">
        <v>612158</v>
      </c>
      <c r="W25" s="30">
        <f t="shared" ref="W25:AE25" si="72">V25</f>
        <v>612158</v>
      </c>
      <c r="X25" s="30">
        <f t="shared" si="72"/>
        <v>612158</v>
      </c>
      <c r="Y25" s="30">
        <f t="shared" si="72"/>
        <v>612158</v>
      </c>
      <c r="Z25" s="34">
        <f t="shared" si="72"/>
        <v>612158</v>
      </c>
      <c r="AA25" s="32">
        <f t="shared" si="72"/>
        <v>612158</v>
      </c>
      <c r="AB25" s="30">
        <f t="shared" si="72"/>
        <v>612158</v>
      </c>
      <c r="AC25" s="30">
        <f t="shared" si="72"/>
        <v>612158</v>
      </c>
      <c r="AD25" s="33">
        <f t="shared" si="72"/>
        <v>612158</v>
      </c>
      <c r="AE25" s="29">
        <f t="shared" si="72"/>
        <v>612158</v>
      </c>
      <c r="AF25" s="30">
        <f t="shared" si="61"/>
        <v>612158</v>
      </c>
      <c r="AG25" s="31">
        <f t="shared" si="61"/>
        <v>612158</v>
      </c>
      <c r="AH25" s="30">
        <f t="shared" si="62"/>
        <v>612158</v>
      </c>
      <c r="AI25" s="30">
        <f t="shared" si="62"/>
        <v>612158</v>
      </c>
      <c r="AJ25" s="30">
        <f t="shared" si="62"/>
        <v>612158</v>
      </c>
      <c r="AK25" s="30">
        <f t="shared" si="62"/>
        <v>612158</v>
      </c>
      <c r="AL25" s="34">
        <f t="shared" si="62"/>
        <v>612158</v>
      </c>
      <c r="AM25" s="32">
        <f t="shared" si="62"/>
        <v>612158</v>
      </c>
      <c r="AN25" s="30">
        <f t="shared" si="62"/>
        <v>612158</v>
      </c>
      <c r="AO25" s="30">
        <f t="shared" si="62"/>
        <v>612158</v>
      </c>
      <c r="AP25" s="33">
        <f>AC25</f>
        <v>612158</v>
      </c>
      <c r="AQ25" s="685">
        <f t="shared" ref="AQ25:BB25" si="73">+AP25</f>
        <v>612158</v>
      </c>
      <c r="AR25" s="685">
        <f t="shared" si="73"/>
        <v>612158</v>
      </c>
      <c r="AS25" s="694">
        <f t="shared" si="64"/>
        <v>612158</v>
      </c>
      <c r="AT25" s="685">
        <f t="shared" si="73"/>
        <v>612158</v>
      </c>
      <c r="AU25" s="685">
        <f t="shared" si="73"/>
        <v>612158</v>
      </c>
      <c r="AV25" s="685">
        <f t="shared" si="73"/>
        <v>612158</v>
      </c>
      <c r="AW25" s="685">
        <f t="shared" si="73"/>
        <v>612158</v>
      </c>
      <c r="AX25" s="685">
        <f t="shared" si="73"/>
        <v>612158</v>
      </c>
      <c r="AY25" s="685">
        <f t="shared" si="73"/>
        <v>612158</v>
      </c>
      <c r="AZ25" s="685">
        <f t="shared" si="73"/>
        <v>612158</v>
      </c>
      <c r="BA25" s="685">
        <f t="shared" si="73"/>
        <v>612158</v>
      </c>
      <c r="BB25" s="33">
        <f t="shared" si="73"/>
        <v>612158</v>
      </c>
      <c r="BC25" s="10" t="str">
        <f t="shared" si="8"/>
        <v>설비자동화그룹책임(CL3)</v>
      </c>
      <c r="BD25" s="10" t="str">
        <f>B25&amp;E25</f>
        <v>설비자동화그룹CL2(사원-선임)</v>
      </c>
      <c r="BG25" s="540"/>
      <c r="BH25" s="540"/>
    </row>
    <row r="26" spans="1:60">
      <c r="A26" s="526" t="str">
        <f t="shared" si="57"/>
        <v>설비자동화그룹</v>
      </c>
      <c r="B26" s="526" t="str">
        <f>+B25</f>
        <v>설비자동화그룹</v>
      </c>
      <c r="C26" s="17" t="s">
        <v>249</v>
      </c>
      <c r="D26" s="18" t="s">
        <v>103</v>
      </c>
      <c r="E26" s="17"/>
      <c r="F26" s="18"/>
      <c r="G26" s="29"/>
      <c r="H26" s="30"/>
      <c r="I26" s="31"/>
      <c r="J26" s="30"/>
      <c r="K26" s="30"/>
      <c r="L26" s="30"/>
      <c r="M26" s="30"/>
      <c r="N26" s="34"/>
      <c r="O26" s="32"/>
      <c r="P26" s="30"/>
      <c r="Q26" s="30"/>
      <c r="R26" s="33"/>
      <c r="S26" s="29"/>
      <c r="T26" s="30"/>
      <c r="U26" s="1208"/>
      <c r="V26" s="31"/>
      <c r="W26" s="30"/>
      <c r="X26" s="30"/>
      <c r="Y26" s="30"/>
      <c r="Z26" s="34"/>
      <c r="AA26" s="32"/>
      <c r="AB26" s="30"/>
      <c r="AC26" s="30"/>
      <c r="AD26" s="33"/>
      <c r="AE26" s="29"/>
      <c r="AF26" s="30"/>
      <c r="AG26" s="31"/>
      <c r="AH26" s="30"/>
      <c r="AI26" s="30"/>
      <c r="AJ26" s="30"/>
      <c r="AK26" s="30"/>
      <c r="AL26" s="34"/>
      <c r="AM26" s="32"/>
      <c r="AN26" s="30"/>
      <c r="AO26" s="30"/>
      <c r="AP26" s="33"/>
      <c r="AQ26" s="685">
        <f t="shared" ref="AQ26:BB26" si="74">+AP26</f>
        <v>0</v>
      </c>
      <c r="AR26" s="685">
        <f t="shared" si="74"/>
        <v>0</v>
      </c>
      <c r="AS26" s="694"/>
      <c r="AT26" s="685">
        <f t="shared" si="74"/>
        <v>0</v>
      </c>
      <c r="AU26" s="685">
        <f t="shared" si="74"/>
        <v>0</v>
      </c>
      <c r="AV26" s="685">
        <f t="shared" si="74"/>
        <v>0</v>
      </c>
      <c r="AW26" s="685">
        <f t="shared" si="74"/>
        <v>0</v>
      </c>
      <c r="AX26" s="685">
        <f t="shared" si="74"/>
        <v>0</v>
      </c>
      <c r="AY26" s="685">
        <f t="shared" si="74"/>
        <v>0</v>
      </c>
      <c r="AZ26" s="685">
        <f t="shared" si="74"/>
        <v>0</v>
      </c>
      <c r="BA26" s="685">
        <f t="shared" si="74"/>
        <v>0</v>
      </c>
      <c r="BB26" s="33">
        <f t="shared" si="74"/>
        <v>0</v>
      </c>
      <c r="BC26" s="10" t="str">
        <f t="shared" si="8"/>
        <v>설비자동화그룹선임(CL2)</v>
      </c>
      <c r="BG26" s="540"/>
      <c r="BH26" s="540"/>
    </row>
    <row r="27" spans="1:60">
      <c r="A27" s="528" t="str">
        <f t="shared" si="57"/>
        <v>설비자동화그룹</v>
      </c>
      <c r="B27" s="528" t="str">
        <f>+B26</f>
        <v>설비자동화그룹</v>
      </c>
      <c r="C27" s="19" t="s">
        <v>250</v>
      </c>
      <c r="D27" s="20" t="s">
        <v>104</v>
      </c>
      <c r="E27" s="19"/>
      <c r="F27" s="20"/>
      <c r="G27" s="35"/>
      <c r="H27" s="36"/>
      <c r="I27" s="37"/>
      <c r="J27" s="36"/>
      <c r="K27" s="36"/>
      <c r="L27" s="36"/>
      <c r="M27" s="36"/>
      <c r="N27" s="38"/>
      <c r="O27" s="39"/>
      <c r="P27" s="36"/>
      <c r="Q27" s="36"/>
      <c r="R27" s="40"/>
      <c r="S27" s="35"/>
      <c r="T27" s="36"/>
      <c r="U27" s="1209"/>
      <c r="V27" s="37"/>
      <c r="W27" s="36"/>
      <c r="X27" s="36"/>
      <c r="Y27" s="36"/>
      <c r="Z27" s="38"/>
      <c r="AA27" s="39"/>
      <c r="AB27" s="36"/>
      <c r="AC27" s="36"/>
      <c r="AD27" s="40"/>
      <c r="AE27" s="35"/>
      <c r="AF27" s="36"/>
      <c r="AG27" s="37"/>
      <c r="AH27" s="36"/>
      <c r="AI27" s="36"/>
      <c r="AJ27" s="36"/>
      <c r="AK27" s="36"/>
      <c r="AL27" s="38"/>
      <c r="AM27" s="39"/>
      <c r="AN27" s="36"/>
      <c r="AO27" s="36"/>
      <c r="AP27" s="40"/>
      <c r="AQ27" s="686">
        <f t="shared" ref="AQ27:BB27" si="75">+AP27</f>
        <v>0</v>
      </c>
      <c r="AR27" s="686">
        <f t="shared" si="75"/>
        <v>0</v>
      </c>
      <c r="AS27" s="695"/>
      <c r="AT27" s="686">
        <f t="shared" si="75"/>
        <v>0</v>
      </c>
      <c r="AU27" s="686">
        <f t="shared" si="75"/>
        <v>0</v>
      </c>
      <c r="AV27" s="686">
        <f t="shared" si="75"/>
        <v>0</v>
      </c>
      <c r="AW27" s="686">
        <f t="shared" si="75"/>
        <v>0</v>
      </c>
      <c r="AX27" s="686">
        <f t="shared" si="75"/>
        <v>0</v>
      </c>
      <c r="AY27" s="686">
        <f t="shared" si="75"/>
        <v>0</v>
      </c>
      <c r="AZ27" s="686">
        <f t="shared" si="75"/>
        <v>0</v>
      </c>
      <c r="BA27" s="686">
        <f t="shared" si="75"/>
        <v>0</v>
      </c>
      <c r="BB27" s="40">
        <f t="shared" si="75"/>
        <v>0</v>
      </c>
      <c r="BC27" s="10" t="str">
        <f t="shared" si="8"/>
        <v>설비자동화그룹사원(CL1-CL2)</v>
      </c>
      <c r="BG27" s="540"/>
      <c r="BH27" s="540"/>
    </row>
    <row r="28" spans="1:60">
      <c r="A28" s="523" t="str">
        <f t="shared" si="0"/>
        <v>제조로보틱스그룹이사</v>
      </c>
      <c r="B28" s="523" t="s">
        <v>916</v>
      </c>
      <c r="C28" s="16" t="s">
        <v>12</v>
      </c>
      <c r="D28" s="15" t="s">
        <v>105</v>
      </c>
      <c r="E28" s="16" t="s">
        <v>12</v>
      </c>
      <c r="F28" s="15" t="s">
        <v>82</v>
      </c>
      <c r="G28" s="41">
        <v>0</v>
      </c>
      <c r="H28" s="42">
        <v>0</v>
      </c>
      <c r="I28" s="43">
        <f t="shared" ref="I28:S28" si="76">H28</f>
        <v>0</v>
      </c>
      <c r="J28" s="42">
        <f t="shared" si="76"/>
        <v>0</v>
      </c>
      <c r="K28" s="42">
        <f t="shared" si="76"/>
        <v>0</v>
      </c>
      <c r="L28" s="42">
        <f t="shared" si="76"/>
        <v>0</v>
      </c>
      <c r="M28" s="42">
        <f t="shared" si="76"/>
        <v>0</v>
      </c>
      <c r="N28" s="42">
        <f t="shared" si="76"/>
        <v>0</v>
      </c>
      <c r="O28" s="42">
        <f t="shared" si="76"/>
        <v>0</v>
      </c>
      <c r="P28" s="42">
        <f t="shared" si="76"/>
        <v>0</v>
      </c>
      <c r="Q28" s="42">
        <f t="shared" si="76"/>
        <v>0</v>
      </c>
      <c r="R28" s="44">
        <f t="shared" si="76"/>
        <v>0</v>
      </c>
      <c r="S28" s="41">
        <f t="shared" si="76"/>
        <v>0</v>
      </c>
      <c r="T28" s="42">
        <f t="shared" ref="T28:U31" si="77">S28</f>
        <v>0</v>
      </c>
      <c r="U28" s="1210">
        <f t="shared" si="77"/>
        <v>0</v>
      </c>
      <c r="V28" s="43">
        <f t="shared" ref="V28:AE28" si="78">U28</f>
        <v>0</v>
      </c>
      <c r="W28" s="42">
        <f t="shared" si="78"/>
        <v>0</v>
      </c>
      <c r="X28" s="42">
        <f t="shared" si="78"/>
        <v>0</v>
      </c>
      <c r="Y28" s="42">
        <f t="shared" si="78"/>
        <v>0</v>
      </c>
      <c r="Z28" s="42">
        <f t="shared" si="78"/>
        <v>0</v>
      </c>
      <c r="AA28" s="42">
        <f t="shared" si="78"/>
        <v>0</v>
      </c>
      <c r="AB28" s="42">
        <f t="shared" si="78"/>
        <v>0</v>
      </c>
      <c r="AC28" s="42">
        <f t="shared" si="78"/>
        <v>0</v>
      </c>
      <c r="AD28" s="44">
        <f t="shared" si="78"/>
        <v>0</v>
      </c>
      <c r="AE28" s="41">
        <f t="shared" si="78"/>
        <v>0</v>
      </c>
      <c r="AF28" s="42">
        <f t="shared" ref="AF28:AG31" si="79">AE28</f>
        <v>0</v>
      </c>
      <c r="AG28" s="43">
        <f t="shared" si="79"/>
        <v>0</v>
      </c>
      <c r="AH28" s="42">
        <f t="shared" ref="AH28:AO31" si="80">AG28</f>
        <v>0</v>
      </c>
      <c r="AI28" s="42">
        <f t="shared" si="80"/>
        <v>0</v>
      </c>
      <c r="AJ28" s="42">
        <f t="shared" si="80"/>
        <v>0</v>
      </c>
      <c r="AK28" s="42">
        <f t="shared" si="80"/>
        <v>0</v>
      </c>
      <c r="AL28" s="42">
        <f t="shared" si="80"/>
        <v>0</v>
      </c>
      <c r="AM28" s="42">
        <f t="shared" si="80"/>
        <v>0</v>
      </c>
      <c r="AN28" s="42">
        <f t="shared" si="80"/>
        <v>0</v>
      </c>
      <c r="AO28" s="42">
        <f t="shared" si="80"/>
        <v>0</v>
      </c>
      <c r="AP28" s="44">
        <f>AC28</f>
        <v>0</v>
      </c>
      <c r="AQ28" s="687">
        <f t="shared" ref="AQ28:BB28" si="81">+AP28</f>
        <v>0</v>
      </c>
      <c r="AR28" s="687">
        <f t="shared" si="81"/>
        <v>0</v>
      </c>
      <c r="AS28" s="696">
        <f t="shared" ref="AS28:AS31" si="82">AR28</f>
        <v>0</v>
      </c>
      <c r="AT28" s="687">
        <f t="shared" si="81"/>
        <v>0</v>
      </c>
      <c r="AU28" s="687">
        <f t="shared" si="81"/>
        <v>0</v>
      </c>
      <c r="AV28" s="687">
        <f t="shared" si="81"/>
        <v>0</v>
      </c>
      <c r="AW28" s="687">
        <f t="shared" si="81"/>
        <v>0</v>
      </c>
      <c r="AX28" s="687">
        <f t="shared" si="81"/>
        <v>0</v>
      </c>
      <c r="AY28" s="687">
        <f t="shared" si="81"/>
        <v>0</v>
      </c>
      <c r="AZ28" s="687">
        <f t="shared" si="81"/>
        <v>0</v>
      </c>
      <c r="BA28" s="687">
        <f t="shared" si="81"/>
        <v>0</v>
      </c>
      <c r="BB28" s="44">
        <f t="shared" si="81"/>
        <v>0</v>
      </c>
      <c r="BC28" s="10" t="str">
        <f t="shared" si="8"/>
        <v>제조로보틱스그룹이사</v>
      </c>
      <c r="BD28" s="10" t="str">
        <f>B28&amp;E28</f>
        <v>제조로보틱스그룹이사</v>
      </c>
      <c r="BG28" s="540"/>
      <c r="BH28" s="540"/>
    </row>
    <row r="29" spans="1:60">
      <c r="A29" s="526" t="str">
        <f t="shared" si="0"/>
        <v>제조로보틱스그룹CL4(수석)</v>
      </c>
      <c r="B29" s="526" t="str">
        <f>+B28</f>
        <v>제조로보틱스그룹</v>
      </c>
      <c r="C29" s="17" t="s">
        <v>246</v>
      </c>
      <c r="D29" s="18" t="s">
        <v>105</v>
      </c>
      <c r="E29" s="17" t="s">
        <v>445</v>
      </c>
      <c r="F29" s="18" t="s">
        <v>82</v>
      </c>
      <c r="G29" s="45">
        <v>936388</v>
      </c>
      <c r="H29" s="46">
        <v>936388</v>
      </c>
      <c r="I29" s="47">
        <v>981585</v>
      </c>
      <c r="J29" s="46">
        <f t="shared" ref="J29:Q29" si="83">I29</f>
        <v>981585</v>
      </c>
      <c r="K29" s="46">
        <f t="shared" si="83"/>
        <v>981585</v>
      </c>
      <c r="L29" s="46">
        <f t="shared" si="83"/>
        <v>981585</v>
      </c>
      <c r="M29" s="46">
        <f t="shared" si="83"/>
        <v>981585</v>
      </c>
      <c r="N29" s="46">
        <f t="shared" si="83"/>
        <v>981585</v>
      </c>
      <c r="O29" s="46">
        <f t="shared" si="83"/>
        <v>981585</v>
      </c>
      <c r="P29" s="46">
        <f t="shared" si="83"/>
        <v>981585</v>
      </c>
      <c r="Q29" s="46">
        <f t="shared" si="83"/>
        <v>981585</v>
      </c>
      <c r="R29" s="48">
        <v>948416</v>
      </c>
      <c r="S29" s="45">
        <v>948416</v>
      </c>
      <c r="T29" s="46">
        <f t="shared" si="77"/>
        <v>948416</v>
      </c>
      <c r="U29" s="1208">
        <f t="shared" si="77"/>
        <v>948416</v>
      </c>
      <c r="V29" s="47">
        <v>889064</v>
      </c>
      <c r="W29" s="46">
        <f t="shared" ref="W29:AE29" si="84">V29</f>
        <v>889064</v>
      </c>
      <c r="X29" s="46">
        <f t="shared" si="84"/>
        <v>889064</v>
      </c>
      <c r="Y29" s="46">
        <f t="shared" si="84"/>
        <v>889064</v>
      </c>
      <c r="Z29" s="46">
        <f t="shared" si="84"/>
        <v>889064</v>
      </c>
      <c r="AA29" s="46">
        <f t="shared" si="84"/>
        <v>889064</v>
      </c>
      <c r="AB29" s="46">
        <f t="shared" si="84"/>
        <v>889064</v>
      </c>
      <c r="AC29" s="46">
        <f t="shared" si="84"/>
        <v>889064</v>
      </c>
      <c r="AD29" s="48">
        <f t="shared" si="84"/>
        <v>889064</v>
      </c>
      <c r="AE29" s="45">
        <f t="shared" si="84"/>
        <v>889064</v>
      </c>
      <c r="AF29" s="46">
        <f t="shared" si="79"/>
        <v>889064</v>
      </c>
      <c r="AG29" s="47">
        <f t="shared" si="79"/>
        <v>889064</v>
      </c>
      <c r="AH29" s="46">
        <f t="shared" si="80"/>
        <v>889064</v>
      </c>
      <c r="AI29" s="46">
        <f t="shared" si="80"/>
        <v>889064</v>
      </c>
      <c r="AJ29" s="46">
        <f t="shared" si="80"/>
        <v>889064</v>
      </c>
      <c r="AK29" s="46">
        <f t="shared" si="80"/>
        <v>889064</v>
      </c>
      <c r="AL29" s="46">
        <f t="shared" si="80"/>
        <v>889064</v>
      </c>
      <c r="AM29" s="46">
        <f t="shared" si="80"/>
        <v>889064</v>
      </c>
      <c r="AN29" s="46">
        <f t="shared" si="80"/>
        <v>889064</v>
      </c>
      <c r="AO29" s="46">
        <f t="shared" si="80"/>
        <v>889064</v>
      </c>
      <c r="AP29" s="48">
        <f>AC29</f>
        <v>889064</v>
      </c>
      <c r="AQ29" s="688">
        <f t="shared" ref="AQ29:BB29" si="85">+AP29</f>
        <v>889064</v>
      </c>
      <c r="AR29" s="688">
        <f t="shared" si="85"/>
        <v>889064</v>
      </c>
      <c r="AS29" s="697">
        <f t="shared" si="82"/>
        <v>889064</v>
      </c>
      <c r="AT29" s="688">
        <f t="shared" si="85"/>
        <v>889064</v>
      </c>
      <c r="AU29" s="688">
        <f t="shared" si="85"/>
        <v>889064</v>
      </c>
      <c r="AV29" s="688">
        <f t="shared" si="85"/>
        <v>889064</v>
      </c>
      <c r="AW29" s="688">
        <f t="shared" si="85"/>
        <v>889064</v>
      </c>
      <c r="AX29" s="688">
        <f t="shared" si="85"/>
        <v>889064</v>
      </c>
      <c r="AY29" s="688">
        <f t="shared" si="85"/>
        <v>889064</v>
      </c>
      <c r="AZ29" s="688">
        <f t="shared" si="85"/>
        <v>889064</v>
      </c>
      <c r="BA29" s="688">
        <f t="shared" si="85"/>
        <v>889064</v>
      </c>
      <c r="BB29" s="48">
        <f t="shared" si="85"/>
        <v>889064</v>
      </c>
      <c r="BC29" s="10" t="str">
        <f t="shared" si="8"/>
        <v>제조로보틱스그룹수석(CL4)</v>
      </c>
      <c r="BD29" s="10" t="str">
        <f>B29&amp;E29</f>
        <v>제조로보틱스그룹CL4(수석)</v>
      </c>
      <c r="BG29" s="540"/>
      <c r="BH29" s="540"/>
    </row>
    <row r="30" spans="1:60">
      <c r="A30" s="526" t="str">
        <f t="shared" si="0"/>
        <v>제조로보틱스그룹CL3(책임-수석보)</v>
      </c>
      <c r="B30" s="526" t="str">
        <f>+B29</f>
        <v>제조로보틱스그룹</v>
      </c>
      <c r="C30" s="17" t="s">
        <v>247</v>
      </c>
      <c r="D30" s="18" t="s">
        <v>105</v>
      </c>
      <c r="E30" s="17" t="s">
        <v>455</v>
      </c>
      <c r="F30" s="18" t="s">
        <v>459</v>
      </c>
      <c r="G30" s="45">
        <v>717032</v>
      </c>
      <c r="H30" s="46">
        <v>717032</v>
      </c>
      <c r="I30" s="47">
        <v>797734</v>
      </c>
      <c r="J30" s="46">
        <f t="shared" ref="J30:Q30" si="86">I30</f>
        <v>797734</v>
      </c>
      <c r="K30" s="46">
        <f t="shared" si="86"/>
        <v>797734</v>
      </c>
      <c r="L30" s="46">
        <f t="shared" si="86"/>
        <v>797734</v>
      </c>
      <c r="M30" s="46">
        <f t="shared" si="86"/>
        <v>797734</v>
      </c>
      <c r="N30" s="46">
        <f t="shared" si="86"/>
        <v>797734</v>
      </c>
      <c r="O30" s="46">
        <f t="shared" si="86"/>
        <v>797734</v>
      </c>
      <c r="P30" s="46">
        <f t="shared" si="86"/>
        <v>797734</v>
      </c>
      <c r="Q30" s="46">
        <f t="shared" si="86"/>
        <v>797734</v>
      </c>
      <c r="R30" s="48">
        <v>789943</v>
      </c>
      <c r="S30" s="45">
        <v>789943</v>
      </c>
      <c r="T30" s="46">
        <f t="shared" si="77"/>
        <v>789943</v>
      </c>
      <c r="U30" s="1208">
        <f t="shared" si="77"/>
        <v>789943</v>
      </c>
      <c r="V30" s="47">
        <v>713804</v>
      </c>
      <c r="W30" s="46">
        <f t="shared" ref="W30:AE30" si="87">V30</f>
        <v>713804</v>
      </c>
      <c r="X30" s="46">
        <f t="shared" si="87"/>
        <v>713804</v>
      </c>
      <c r="Y30" s="46">
        <f t="shared" si="87"/>
        <v>713804</v>
      </c>
      <c r="Z30" s="46">
        <f t="shared" si="87"/>
        <v>713804</v>
      </c>
      <c r="AA30" s="46">
        <f t="shared" si="87"/>
        <v>713804</v>
      </c>
      <c r="AB30" s="46">
        <f t="shared" si="87"/>
        <v>713804</v>
      </c>
      <c r="AC30" s="46">
        <f t="shared" si="87"/>
        <v>713804</v>
      </c>
      <c r="AD30" s="48">
        <f t="shared" si="87"/>
        <v>713804</v>
      </c>
      <c r="AE30" s="45">
        <f t="shared" si="87"/>
        <v>713804</v>
      </c>
      <c r="AF30" s="46">
        <f t="shared" si="79"/>
        <v>713804</v>
      </c>
      <c r="AG30" s="47">
        <f t="shared" si="79"/>
        <v>713804</v>
      </c>
      <c r="AH30" s="46">
        <f t="shared" si="80"/>
        <v>713804</v>
      </c>
      <c r="AI30" s="46">
        <f t="shared" si="80"/>
        <v>713804</v>
      </c>
      <c r="AJ30" s="46">
        <f t="shared" si="80"/>
        <v>713804</v>
      </c>
      <c r="AK30" s="46">
        <f t="shared" si="80"/>
        <v>713804</v>
      </c>
      <c r="AL30" s="46">
        <f t="shared" si="80"/>
        <v>713804</v>
      </c>
      <c r="AM30" s="46">
        <f t="shared" si="80"/>
        <v>713804</v>
      </c>
      <c r="AN30" s="46">
        <f t="shared" si="80"/>
        <v>713804</v>
      </c>
      <c r="AO30" s="46">
        <f t="shared" si="80"/>
        <v>713804</v>
      </c>
      <c r="AP30" s="48">
        <f>AC30</f>
        <v>713804</v>
      </c>
      <c r="AQ30" s="688">
        <f t="shared" ref="AQ30:BB30" si="88">+AP30</f>
        <v>713804</v>
      </c>
      <c r="AR30" s="688">
        <f t="shared" si="88"/>
        <v>713804</v>
      </c>
      <c r="AS30" s="697">
        <f t="shared" si="82"/>
        <v>713804</v>
      </c>
      <c r="AT30" s="688">
        <f t="shared" si="88"/>
        <v>713804</v>
      </c>
      <c r="AU30" s="688">
        <f t="shared" si="88"/>
        <v>713804</v>
      </c>
      <c r="AV30" s="688">
        <f t="shared" si="88"/>
        <v>713804</v>
      </c>
      <c r="AW30" s="688">
        <f t="shared" si="88"/>
        <v>713804</v>
      </c>
      <c r="AX30" s="688">
        <f t="shared" si="88"/>
        <v>713804</v>
      </c>
      <c r="AY30" s="688">
        <f t="shared" si="88"/>
        <v>713804</v>
      </c>
      <c r="AZ30" s="688">
        <f t="shared" si="88"/>
        <v>713804</v>
      </c>
      <c r="BA30" s="688">
        <f t="shared" si="88"/>
        <v>713804</v>
      </c>
      <c r="BB30" s="48">
        <f t="shared" si="88"/>
        <v>713804</v>
      </c>
      <c r="BC30" s="10" t="str">
        <f t="shared" si="8"/>
        <v>제조로보틱스그룹수석보(CL3)</v>
      </c>
      <c r="BD30" s="10" t="str">
        <f>B30&amp;E30</f>
        <v>제조로보틱스그룹CL3(책임-수석보)</v>
      </c>
      <c r="BG30" s="540"/>
      <c r="BH30" s="540"/>
    </row>
    <row r="31" spans="1:60">
      <c r="A31" s="526" t="str">
        <f t="shared" si="0"/>
        <v>제조로보틱스그룹CL2(사원-선임)</v>
      </c>
      <c r="B31" s="526" t="str">
        <f>+B30</f>
        <v>제조로보틱스그룹</v>
      </c>
      <c r="C31" s="17" t="s">
        <v>248</v>
      </c>
      <c r="D31" s="18" t="s">
        <v>102</v>
      </c>
      <c r="E31" s="17" t="s">
        <v>457</v>
      </c>
      <c r="F31" s="18" t="s">
        <v>461</v>
      </c>
      <c r="G31" s="45">
        <v>565060</v>
      </c>
      <c r="H31" s="46">
        <v>565060</v>
      </c>
      <c r="I31" s="47">
        <v>625919</v>
      </c>
      <c r="J31" s="46">
        <f t="shared" ref="J31:Q31" si="89">I31</f>
        <v>625919</v>
      </c>
      <c r="K31" s="46">
        <f t="shared" si="89"/>
        <v>625919</v>
      </c>
      <c r="L31" s="46">
        <f t="shared" si="89"/>
        <v>625919</v>
      </c>
      <c r="M31" s="46">
        <f t="shared" si="89"/>
        <v>625919</v>
      </c>
      <c r="N31" s="46">
        <f t="shared" si="89"/>
        <v>625919</v>
      </c>
      <c r="O31" s="46">
        <f t="shared" si="89"/>
        <v>625919</v>
      </c>
      <c r="P31" s="46">
        <f t="shared" si="89"/>
        <v>625919</v>
      </c>
      <c r="Q31" s="46">
        <f t="shared" si="89"/>
        <v>625919</v>
      </c>
      <c r="R31" s="48">
        <v>636657</v>
      </c>
      <c r="S31" s="45">
        <v>636657</v>
      </c>
      <c r="T31" s="46">
        <f t="shared" si="77"/>
        <v>636657</v>
      </c>
      <c r="U31" s="1208">
        <f t="shared" si="77"/>
        <v>636657</v>
      </c>
      <c r="V31" s="47">
        <v>634841</v>
      </c>
      <c r="W31" s="46">
        <f t="shared" ref="W31:AE31" si="90">V31</f>
        <v>634841</v>
      </c>
      <c r="X31" s="46">
        <f t="shared" si="90"/>
        <v>634841</v>
      </c>
      <c r="Y31" s="46">
        <f t="shared" si="90"/>
        <v>634841</v>
      </c>
      <c r="Z31" s="46">
        <f t="shared" si="90"/>
        <v>634841</v>
      </c>
      <c r="AA31" s="46">
        <f t="shared" si="90"/>
        <v>634841</v>
      </c>
      <c r="AB31" s="46">
        <f t="shared" si="90"/>
        <v>634841</v>
      </c>
      <c r="AC31" s="46">
        <f t="shared" si="90"/>
        <v>634841</v>
      </c>
      <c r="AD31" s="48">
        <f t="shared" si="90"/>
        <v>634841</v>
      </c>
      <c r="AE31" s="45">
        <f t="shared" si="90"/>
        <v>634841</v>
      </c>
      <c r="AF31" s="46">
        <f t="shared" si="79"/>
        <v>634841</v>
      </c>
      <c r="AG31" s="47">
        <f t="shared" si="79"/>
        <v>634841</v>
      </c>
      <c r="AH31" s="46">
        <f t="shared" si="80"/>
        <v>634841</v>
      </c>
      <c r="AI31" s="46">
        <f t="shared" si="80"/>
        <v>634841</v>
      </c>
      <c r="AJ31" s="46">
        <f t="shared" si="80"/>
        <v>634841</v>
      </c>
      <c r="AK31" s="46">
        <f t="shared" si="80"/>
        <v>634841</v>
      </c>
      <c r="AL31" s="46">
        <f t="shared" si="80"/>
        <v>634841</v>
      </c>
      <c r="AM31" s="46">
        <f t="shared" si="80"/>
        <v>634841</v>
      </c>
      <c r="AN31" s="46">
        <f t="shared" si="80"/>
        <v>634841</v>
      </c>
      <c r="AO31" s="46">
        <f t="shared" si="80"/>
        <v>634841</v>
      </c>
      <c r="AP31" s="48">
        <f>AC31</f>
        <v>634841</v>
      </c>
      <c r="AQ31" s="688">
        <f t="shared" ref="AQ31:BB31" si="91">+AP31</f>
        <v>634841</v>
      </c>
      <c r="AR31" s="688">
        <f t="shared" si="91"/>
        <v>634841</v>
      </c>
      <c r="AS31" s="697">
        <f t="shared" si="82"/>
        <v>634841</v>
      </c>
      <c r="AT31" s="688">
        <f t="shared" si="91"/>
        <v>634841</v>
      </c>
      <c r="AU31" s="688">
        <f t="shared" si="91"/>
        <v>634841</v>
      </c>
      <c r="AV31" s="688">
        <f t="shared" si="91"/>
        <v>634841</v>
      </c>
      <c r="AW31" s="688">
        <f t="shared" si="91"/>
        <v>634841</v>
      </c>
      <c r="AX31" s="688">
        <f t="shared" si="91"/>
        <v>634841</v>
      </c>
      <c r="AY31" s="688">
        <f t="shared" si="91"/>
        <v>634841</v>
      </c>
      <c r="AZ31" s="688">
        <f t="shared" si="91"/>
        <v>634841</v>
      </c>
      <c r="BA31" s="688">
        <f t="shared" si="91"/>
        <v>634841</v>
      </c>
      <c r="BB31" s="48">
        <f t="shared" si="91"/>
        <v>634841</v>
      </c>
      <c r="BC31" s="10" t="str">
        <f t="shared" si="8"/>
        <v>제조로보틱스그룹책임(CL3)</v>
      </c>
      <c r="BD31" s="10" t="str">
        <f>B31&amp;E31</f>
        <v>제조로보틱스그룹CL2(사원-선임)</v>
      </c>
      <c r="BG31" s="540"/>
      <c r="BH31" s="540"/>
    </row>
    <row r="32" spans="1:60">
      <c r="A32" s="526" t="str">
        <f t="shared" si="0"/>
        <v>제조로보틱스그룹</v>
      </c>
      <c r="B32" s="526" t="str">
        <f>+B31</f>
        <v>제조로보틱스그룹</v>
      </c>
      <c r="C32" s="17" t="s">
        <v>249</v>
      </c>
      <c r="D32" s="18" t="s">
        <v>103</v>
      </c>
      <c r="E32" s="17"/>
      <c r="F32" s="18"/>
      <c r="G32" s="45"/>
      <c r="H32" s="46"/>
      <c r="I32" s="47"/>
      <c r="J32" s="46"/>
      <c r="K32" s="46"/>
      <c r="L32" s="46"/>
      <c r="M32" s="46"/>
      <c r="N32" s="46"/>
      <c r="O32" s="46"/>
      <c r="P32" s="46"/>
      <c r="Q32" s="46"/>
      <c r="R32" s="48"/>
      <c r="S32" s="45"/>
      <c r="T32" s="46"/>
      <c r="U32" s="1211"/>
      <c r="V32" s="47"/>
      <c r="W32" s="46"/>
      <c r="X32" s="46"/>
      <c r="Y32" s="46"/>
      <c r="Z32" s="46"/>
      <c r="AA32" s="46"/>
      <c r="AB32" s="46"/>
      <c r="AC32" s="46"/>
      <c r="AD32" s="48"/>
      <c r="AE32" s="45"/>
      <c r="AF32" s="46"/>
      <c r="AG32" s="47"/>
      <c r="AH32" s="46"/>
      <c r="AI32" s="46"/>
      <c r="AJ32" s="46"/>
      <c r="AK32" s="46"/>
      <c r="AL32" s="46"/>
      <c r="AM32" s="46"/>
      <c r="AN32" s="46"/>
      <c r="AO32" s="46"/>
      <c r="AP32" s="48"/>
      <c r="AQ32" s="688">
        <f t="shared" ref="AQ32:BB32" si="92">+AP32</f>
        <v>0</v>
      </c>
      <c r="AR32" s="688">
        <f t="shared" si="92"/>
        <v>0</v>
      </c>
      <c r="AS32" s="697"/>
      <c r="AT32" s="688">
        <f t="shared" si="92"/>
        <v>0</v>
      </c>
      <c r="AU32" s="688">
        <f t="shared" si="92"/>
        <v>0</v>
      </c>
      <c r="AV32" s="688">
        <f t="shared" si="92"/>
        <v>0</v>
      </c>
      <c r="AW32" s="688">
        <f t="shared" si="92"/>
        <v>0</v>
      </c>
      <c r="AX32" s="688">
        <f t="shared" si="92"/>
        <v>0</v>
      </c>
      <c r="AY32" s="688">
        <f t="shared" si="92"/>
        <v>0</v>
      </c>
      <c r="AZ32" s="688">
        <f t="shared" si="92"/>
        <v>0</v>
      </c>
      <c r="BA32" s="688">
        <f t="shared" si="92"/>
        <v>0</v>
      </c>
      <c r="BB32" s="48">
        <f t="shared" si="92"/>
        <v>0</v>
      </c>
      <c r="BC32" s="10" t="str">
        <f t="shared" si="8"/>
        <v>제조로보틱스그룹선임(CL2)</v>
      </c>
      <c r="BG32" s="540"/>
      <c r="BH32" s="540"/>
    </row>
    <row r="33" spans="1:76">
      <c r="A33" s="528" t="str">
        <f t="shared" si="0"/>
        <v>제조로보틱스그룹</v>
      </c>
      <c r="B33" s="528" t="str">
        <f>+B32</f>
        <v>제조로보틱스그룹</v>
      </c>
      <c r="C33" s="19" t="s">
        <v>250</v>
      </c>
      <c r="D33" s="20" t="s">
        <v>104</v>
      </c>
      <c r="E33" s="19"/>
      <c r="F33" s="20"/>
      <c r="G33" s="49"/>
      <c r="H33" s="50"/>
      <c r="I33" s="51"/>
      <c r="J33" s="50"/>
      <c r="K33" s="50"/>
      <c r="L33" s="50"/>
      <c r="M33" s="50"/>
      <c r="N33" s="50"/>
      <c r="O33" s="50"/>
      <c r="P33" s="50"/>
      <c r="Q33" s="50"/>
      <c r="R33" s="52"/>
      <c r="S33" s="49"/>
      <c r="T33" s="50"/>
      <c r="U33" s="1212"/>
      <c r="V33" s="51"/>
      <c r="W33" s="50"/>
      <c r="X33" s="50"/>
      <c r="Y33" s="50"/>
      <c r="Z33" s="50"/>
      <c r="AA33" s="50"/>
      <c r="AB33" s="50"/>
      <c r="AC33" s="50"/>
      <c r="AD33" s="52"/>
      <c r="AE33" s="49"/>
      <c r="AF33" s="50"/>
      <c r="AG33" s="51"/>
      <c r="AH33" s="50"/>
      <c r="AI33" s="50"/>
      <c r="AJ33" s="50"/>
      <c r="AK33" s="50"/>
      <c r="AL33" s="50"/>
      <c r="AM33" s="50"/>
      <c r="AN33" s="50"/>
      <c r="AO33" s="50"/>
      <c r="AP33" s="52"/>
      <c r="AQ33" s="689">
        <f t="shared" ref="AQ33:BB33" si="93">+AP33</f>
        <v>0</v>
      </c>
      <c r="AR33" s="689">
        <f t="shared" si="93"/>
        <v>0</v>
      </c>
      <c r="AS33" s="698"/>
      <c r="AT33" s="689">
        <f t="shared" si="93"/>
        <v>0</v>
      </c>
      <c r="AU33" s="689">
        <f t="shared" si="93"/>
        <v>0</v>
      </c>
      <c r="AV33" s="689">
        <f t="shared" si="93"/>
        <v>0</v>
      </c>
      <c r="AW33" s="689">
        <f t="shared" si="93"/>
        <v>0</v>
      </c>
      <c r="AX33" s="689">
        <f t="shared" si="93"/>
        <v>0</v>
      </c>
      <c r="AY33" s="689">
        <f t="shared" si="93"/>
        <v>0</v>
      </c>
      <c r="AZ33" s="689">
        <f t="shared" si="93"/>
        <v>0</v>
      </c>
      <c r="BA33" s="689">
        <f t="shared" si="93"/>
        <v>0</v>
      </c>
      <c r="BB33" s="52">
        <f t="shared" si="93"/>
        <v>0</v>
      </c>
      <c r="BC33" s="10" t="str">
        <f t="shared" si="8"/>
        <v>제조로보틱스그룹사원(CL1-CL2)</v>
      </c>
      <c r="BG33" s="540"/>
      <c r="BH33" s="540"/>
    </row>
    <row r="34" spans="1:76">
      <c r="A34" s="523" t="str">
        <f t="shared" si="0"/>
        <v>아키텍처그룹이사</v>
      </c>
      <c r="B34" s="523" t="s">
        <v>669</v>
      </c>
      <c r="C34" s="16" t="s">
        <v>12</v>
      </c>
      <c r="D34" s="15" t="s">
        <v>105</v>
      </c>
      <c r="E34" s="16" t="s">
        <v>12</v>
      </c>
      <c r="F34" s="15" t="s">
        <v>82</v>
      </c>
      <c r="G34" s="25">
        <v>0</v>
      </c>
      <c r="H34" s="26">
        <v>0</v>
      </c>
      <c r="I34" s="27">
        <f t="shared" ref="I34:U34" si="94">H34</f>
        <v>0</v>
      </c>
      <c r="J34" s="26">
        <f t="shared" si="94"/>
        <v>0</v>
      </c>
      <c r="K34" s="26">
        <f t="shared" si="94"/>
        <v>0</v>
      </c>
      <c r="L34" s="26">
        <f t="shared" si="94"/>
        <v>0</v>
      </c>
      <c r="M34" s="26">
        <f t="shared" si="94"/>
        <v>0</v>
      </c>
      <c r="N34" s="26">
        <f t="shared" si="94"/>
        <v>0</v>
      </c>
      <c r="O34" s="26">
        <f t="shared" si="94"/>
        <v>0</v>
      </c>
      <c r="P34" s="26">
        <f t="shared" si="94"/>
        <v>0</v>
      </c>
      <c r="Q34" s="26">
        <f t="shared" si="94"/>
        <v>0</v>
      </c>
      <c r="R34" s="28">
        <f t="shared" si="94"/>
        <v>0</v>
      </c>
      <c r="S34" s="25">
        <f t="shared" si="94"/>
        <v>0</v>
      </c>
      <c r="T34" s="26">
        <f t="shared" si="94"/>
        <v>0</v>
      </c>
      <c r="U34" s="1207">
        <f t="shared" si="94"/>
        <v>0</v>
      </c>
      <c r="V34" s="27">
        <f t="shared" ref="V34:AE34" si="95">U34</f>
        <v>0</v>
      </c>
      <c r="W34" s="26">
        <f t="shared" si="95"/>
        <v>0</v>
      </c>
      <c r="X34" s="26">
        <f t="shared" si="95"/>
        <v>0</v>
      </c>
      <c r="Y34" s="26">
        <f t="shared" si="95"/>
        <v>0</v>
      </c>
      <c r="Z34" s="26">
        <f t="shared" si="95"/>
        <v>0</v>
      </c>
      <c r="AA34" s="26">
        <f t="shared" si="95"/>
        <v>0</v>
      </c>
      <c r="AB34" s="26">
        <f t="shared" si="95"/>
        <v>0</v>
      </c>
      <c r="AC34" s="26">
        <f t="shared" si="95"/>
        <v>0</v>
      </c>
      <c r="AD34" s="28">
        <f t="shared" si="95"/>
        <v>0</v>
      </c>
      <c r="AE34" s="25">
        <f t="shared" si="95"/>
        <v>0</v>
      </c>
      <c r="AF34" s="26">
        <f t="shared" ref="AF34:AG37" si="96">AE34</f>
        <v>0</v>
      </c>
      <c r="AG34" s="27">
        <f t="shared" si="96"/>
        <v>0</v>
      </c>
      <c r="AH34" s="26">
        <f t="shared" ref="AH34:AO37" si="97">AG34</f>
        <v>0</v>
      </c>
      <c r="AI34" s="26">
        <f t="shared" si="97"/>
        <v>0</v>
      </c>
      <c r="AJ34" s="26">
        <f t="shared" si="97"/>
        <v>0</v>
      </c>
      <c r="AK34" s="26">
        <f t="shared" si="97"/>
        <v>0</v>
      </c>
      <c r="AL34" s="26">
        <f t="shared" si="97"/>
        <v>0</v>
      </c>
      <c r="AM34" s="26">
        <f t="shared" si="97"/>
        <v>0</v>
      </c>
      <c r="AN34" s="26">
        <f t="shared" si="97"/>
        <v>0</v>
      </c>
      <c r="AO34" s="26">
        <f t="shared" si="97"/>
        <v>0</v>
      </c>
      <c r="AP34" s="28">
        <f>AC34</f>
        <v>0</v>
      </c>
      <c r="AQ34" s="684">
        <f t="shared" ref="AQ34:BB34" si="98">+AP34</f>
        <v>0</v>
      </c>
      <c r="AR34" s="684">
        <f t="shared" si="98"/>
        <v>0</v>
      </c>
      <c r="AS34" s="693">
        <f t="shared" ref="AS34:AS37" si="99">AR34</f>
        <v>0</v>
      </c>
      <c r="AT34" s="684">
        <f t="shared" si="98"/>
        <v>0</v>
      </c>
      <c r="AU34" s="684">
        <f t="shared" si="98"/>
        <v>0</v>
      </c>
      <c r="AV34" s="684">
        <f t="shared" si="98"/>
        <v>0</v>
      </c>
      <c r="AW34" s="684">
        <f t="shared" si="98"/>
        <v>0</v>
      </c>
      <c r="AX34" s="684">
        <f t="shared" si="98"/>
        <v>0</v>
      </c>
      <c r="AY34" s="684">
        <f t="shared" si="98"/>
        <v>0</v>
      </c>
      <c r="AZ34" s="684">
        <f t="shared" si="98"/>
        <v>0</v>
      </c>
      <c r="BA34" s="684">
        <f t="shared" si="98"/>
        <v>0</v>
      </c>
      <c r="BB34" s="28">
        <f t="shared" si="98"/>
        <v>0</v>
      </c>
      <c r="BC34" s="10" t="str">
        <f t="shared" si="8"/>
        <v>아키텍처그룹이사</v>
      </c>
      <c r="BD34" s="10" t="str">
        <f>B34&amp;E34</f>
        <v>아키텍처그룹이사</v>
      </c>
      <c r="BG34" s="540"/>
      <c r="BH34" s="540"/>
    </row>
    <row r="35" spans="1:76">
      <c r="A35" s="526" t="str">
        <f t="shared" si="0"/>
        <v>아키텍처그룹CL4(수석)</v>
      </c>
      <c r="B35" s="526" t="str">
        <f>+B34</f>
        <v>아키텍처그룹</v>
      </c>
      <c r="C35" s="17" t="s">
        <v>246</v>
      </c>
      <c r="D35" s="18" t="s">
        <v>105</v>
      </c>
      <c r="E35" s="17" t="s">
        <v>445</v>
      </c>
      <c r="F35" s="18" t="s">
        <v>82</v>
      </c>
      <c r="G35" s="29">
        <v>847272</v>
      </c>
      <c r="H35" s="30">
        <v>847272</v>
      </c>
      <c r="I35" s="31">
        <v>927786</v>
      </c>
      <c r="J35" s="30">
        <f t="shared" ref="J35:U35" si="100">I35</f>
        <v>927786</v>
      </c>
      <c r="K35" s="30">
        <f t="shared" si="100"/>
        <v>927786</v>
      </c>
      <c r="L35" s="30">
        <f t="shared" si="100"/>
        <v>927786</v>
      </c>
      <c r="M35" s="30">
        <f t="shared" si="100"/>
        <v>927786</v>
      </c>
      <c r="N35" s="32">
        <f t="shared" si="100"/>
        <v>927786</v>
      </c>
      <c r="O35" s="32">
        <f t="shared" si="100"/>
        <v>927786</v>
      </c>
      <c r="P35" s="30">
        <f t="shared" si="100"/>
        <v>927786</v>
      </c>
      <c r="Q35" s="30">
        <f t="shared" si="100"/>
        <v>927786</v>
      </c>
      <c r="R35" s="33">
        <f t="shared" si="100"/>
        <v>927786</v>
      </c>
      <c r="S35" s="29">
        <f t="shared" si="100"/>
        <v>927786</v>
      </c>
      <c r="T35" s="30">
        <f t="shared" si="100"/>
        <v>927786</v>
      </c>
      <c r="U35" s="1208">
        <f t="shared" si="100"/>
        <v>927786</v>
      </c>
      <c r="V35" s="31">
        <v>912385</v>
      </c>
      <c r="W35" s="30">
        <f t="shared" ref="W35:AE35" si="101">V35</f>
        <v>912385</v>
      </c>
      <c r="X35" s="30">
        <f t="shared" si="101"/>
        <v>912385</v>
      </c>
      <c r="Y35" s="30">
        <f t="shared" si="101"/>
        <v>912385</v>
      </c>
      <c r="Z35" s="32">
        <f t="shared" si="101"/>
        <v>912385</v>
      </c>
      <c r="AA35" s="32">
        <f t="shared" si="101"/>
        <v>912385</v>
      </c>
      <c r="AB35" s="30">
        <f t="shared" si="101"/>
        <v>912385</v>
      </c>
      <c r="AC35" s="30">
        <f t="shared" si="101"/>
        <v>912385</v>
      </c>
      <c r="AD35" s="33">
        <f t="shared" si="101"/>
        <v>912385</v>
      </c>
      <c r="AE35" s="29">
        <f t="shared" si="101"/>
        <v>912385</v>
      </c>
      <c r="AF35" s="30">
        <f t="shared" si="96"/>
        <v>912385</v>
      </c>
      <c r="AG35" s="31">
        <f t="shared" si="96"/>
        <v>912385</v>
      </c>
      <c r="AH35" s="30">
        <f t="shared" si="97"/>
        <v>912385</v>
      </c>
      <c r="AI35" s="30">
        <f t="shared" si="97"/>
        <v>912385</v>
      </c>
      <c r="AJ35" s="30">
        <f t="shared" si="97"/>
        <v>912385</v>
      </c>
      <c r="AK35" s="30">
        <f t="shared" si="97"/>
        <v>912385</v>
      </c>
      <c r="AL35" s="32">
        <f t="shared" si="97"/>
        <v>912385</v>
      </c>
      <c r="AM35" s="32">
        <f t="shared" si="97"/>
        <v>912385</v>
      </c>
      <c r="AN35" s="30">
        <f t="shared" si="97"/>
        <v>912385</v>
      </c>
      <c r="AO35" s="30">
        <f t="shared" si="97"/>
        <v>912385</v>
      </c>
      <c r="AP35" s="33">
        <f>AC35</f>
        <v>912385</v>
      </c>
      <c r="AQ35" s="685">
        <f t="shared" ref="AQ35:BB35" si="102">+AP35</f>
        <v>912385</v>
      </c>
      <c r="AR35" s="685">
        <f t="shared" si="102"/>
        <v>912385</v>
      </c>
      <c r="AS35" s="694">
        <f t="shared" si="99"/>
        <v>912385</v>
      </c>
      <c r="AT35" s="685">
        <f t="shared" si="102"/>
        <v>912385</v>
      </c>
      <c r="AU35" s="685">
        <f t="shared" si="102"/>
        <v>912385</v>
      </c>
      <c r="AV35" s="685">
        <f t="shared" si="102"/>
        <v>912385</v>
      </c>
      <c r="AW35" s="685">
        <f t="shared" si="102"/>
        <v>912385</v>
      </c>
      <c r="AX35" s="685">
        <f t="shared" si="102"/>
        <v>912385</v>
      </c>
      <c r="AY35" s="685">
        <f t="shared" si="102"/>
        <v>912385</v>
      </c>
      <c r="AZ35" s="685">
        <f t="shared" si="102"/>
        <v>912385</v>
      </c>
      <c r="BA35" s="685">
        <f t="shared" si="102"/>
        <v>912385</v>
      </c>
      <c r="BB35" s="33">
        <f t="shared" si="102"/>
        <v>912385</v>
      </c>
      <c r="BC35" s="10" t="str">
        <f t="shared" si="8"/>
        <v>아키텍처그룹수석(CL4)</v>
      </c>
      <c r="BD35" s="10" t="str">
        <f>B35&amp;E35</f>
        <v>아키텍처그룹CL4(수석)</v>
      </c>
      <c r="BG35" s="540"/>
      <c r="BH35" s="540"/>
    </row>
    <row r="36" spans="1:76">
      <c r="A36" s="526" t="str">
        <f t="shared" si="0"/>
        <v>아키텍처그룹CL3(책임-수석보)</v>
      </c>
      <c r="B36" s="526" t="str">
        <f>+B35</f>
        <v>아키텍처그룹</v>
      </c>
      <c r="C36" s="17" t="s">
        <v>247</v>
      </c>
      <c r="D36" s="18" t="s">
        <v>105</v>
      </c>
      <c r="E36" s="17" t="s">
        <v>455</v>
      </c>
      <c r="F36" s="18" t="s">
        <v>459</v>
      </c>
      <c r="G36" s="29">
        <v>678293</v>
      </c>
      <c r="H36" s="30">
        <v>678293</v>
      </c>
      <c r="I36" s="31">
        <v>791603</v>
      </c>
      <c r="J36" s="30">
        <f t="shared" ref="J36:U36" si="103">I36</f>
        <v>791603</v>
      </c>
      <c r="K36" s="30">
        <f t="shared" si="103"/>
        <v>791603</v>
      </c>
      <c r="L36" s="30">
        <f t="shared" si="103"/>
        <v>791603</v>
      </c>
      <c r="M36" s="30">
        <f t="shared" si="103"/>
        <v>791603</v>
      </c>
      <c r="N36" s="34">
        <f t="shared" si="103"/>
        <v>791603</v>
      </c>
      <c r="O36" s="32">
        <f t="shared" si="103"/>
        <v>791603</v>
      </c>
      <c r="P36" s="30">
        <f t="shared" si="103"/>
        <v>791603</v>
      </c>
      <c r="Q36" s="30">
        <f t="shared" si="103"/>
        <v>791603</v>
      </c>
      <c r="R36" s="33">
        <f t="shared" si="103"/>
        <v>791603</v>
      </c>
      <c r="S36" s="29">
        <f t="shared" si="103"/>
        <v>791603</v>
      </c>
      <c r="T36" s="30">
        <f t="shared" si="103"/>
        <v>791603</v>
      </c>
      <c r="U36" s="1208">
        <f t="shared" si="103"/>
        <v>791603</v>
      </c>
      <c r="V36" s="31">
        <v>707290</v>
      </c>
      <c r="W36" s="30">
        <f t="shared" ref="W36:AE36" si="104">V36</f>
        <v>707290</v>
      </c>
      <c r="X36" s="30">
        <f t="shared" si="104"/>
        <v>707290</v>
      </c>
      <c r="Y36" s="30">
        <f t="shared" si="104"/>
        <v>707290</v>
      </c>
      <c r="Z36" s="34">
        <f t="shared" si="104"/>
        <v>707290</v>
      </c>
      <c r="AA36" s="32">
        <f t="shared" si="104"/>
        <v>707290</v>
      </c>
      <c r="AB36" s="30">
        <f t="shared" si="104"/>
        <v>707290</v>
      </c>
      <c r="AC36" s="30">
        <f t="shared" si="104"/>
        <v>707290</v>
      </c>
      <c r="AD36" s="33">
        <f t="shared" si="104"/>
        <v>707290</v>
      </c>
      <c r="AE36" s="29">
        <f t="shared" si="104"/>
        <v>707290</v>
      </c>
      <c r="AF36" s="30">
        <f t="shared" si="96"/>
        <v>707290</v>
      </c>
      <c r="AG36" s="31">
        <f t="shared" si="96"/>
        <v>707290</v>
      </c>
      <c r="AH36" s="30">
        <f t="shared" si="97"/>
        <v>707290</v>
      </c>
      <c r="AI36" s="30">
        <f t="shared" si="97"/>
        <v>707290</v>
      </c>
      <c r="AJ36" s="30">
        <f t="shared" si="97"/>
        <v>707290</v>
      </c>
      <c r="AK36" s="30">
        <f t="shared" si="97"/>
        <v>707290</v>
      </c>
      <c r="AL36" s="34">
        <f t="shared" si="97"/>
        <v>707290</v>
      </c>
      <c r="AM36" s="32">
        <f t="shared" si="97"/>
        <v>707290</v>
      </c>
      <c r="AN36" s="30">
        <f t="shared" si="97"/>
        <v>707290</v>
      </c>
      <c r="AO36" s="30">
        <f t="shared" si="97"/>
        <v>707290</v>
      </c>
      <c r="AP36" s="33">
        <f>AC36</f>
        <v>707290</v>
      </c>
      <c r="AQ36" s="685">
        <f t="shared" ref="AQ36:BB36" si="105">+AP36</f>
        <v>707290</v>
      </c>
      <c r="AR36" s="685">
        <f t="shared" si="105"/>
        <v>707290</v>
      </c>
      <c r="AS36" s="694">
        <f t="shared" si="99"/>
        <v>707290</v>
      </c>
      <c r="AT36" s="685">
        <f t="shared" si="105"/>
        <v>707290</v>
      </c>
      <c r="AU36" s="685">
        <f t="shared" si="105"/>
        <v>707290</v>
      </c>
      <c r="AV36" s="685">
        <f t="shared" si="105"/>
        <v>707290</v>
      </c>
      <c r="AW36" s="685">
        <f t="shared" si="105"/>
        <v>707290</v>
      </c>
      <c r="AX36" s="685">
        <f t="shared" si="105"/>
        <v>707290</v>
      </c>
      <c r="AY36" s="685">
        <f t="shared" si="105"/>
        <v>707290</v>
      </c>
      <c r="AZ36" s="685">
        <f t="shared" si="105"/>
        <v>707290</v>
      </c>
      <c r="BA36" s="685">
        <f t="shared" si="105"/>
        <v>707290</v>
      </c>
      <c r="BB36" s="33">
        <f t="shared" si="105"/>
        <v>707290</v>
      </c>
      <c r="BC36" s="10" t="str">
        <f t="shared" ref="BC36:BC133" si="106">B36&amp;C36</f>
        <v>아키텍처그룹수석보(CL3)</v>
      </c>
      <c r="BD36" s="10" t="str">
        <f>B36&amp;E36</f>
        <v>아키텍처그룹CL3(책임-수석보)</v>
      </c>
      <c r="BG36" s="540"/>
      <c r="BH36" s="540"/>
    </row>
    <row r="37" spans="1:76">
      <c r="A37" s="526" t="str">
        <f t="shared" si="0"/>
        <v>아키텍처그룹CL2(사원-선임)</v>
      </c>
      <c r="B37" s="526" t="str">
        <f>+B36</f>
        <v>아키텍처그룹</v>
      </c>
      <c r="C37" s="17" t="s">
        <v>248</v>
      </c>
      <c r="D37" s="18" t="s">
        <v>102</v>
      </c>
      <c r="E37" s="17" t="s">
        <v>457</v>
      </c>
      <c r="F37" s="18" t="s">
        <v>461</v>
      </c>
      <c r="G37" s="29">
        <v>549810</v>
      </c>
      <c r="H37" s="30">
        <v>549810</v>
      </c>
      <c r="I37" s="31">
        <v>518321</v>
      </c>
      <c r="J37" s="30">
        <f t="shared" ref="J37:U37" si="107">I37</f>
        <v>518321</v>
      </c>
      <c r="K37" s="30">
        <f t="shared" si="107"/>
        <v>518321</v>
      </c>
      <c r="L37" s="30">
        <f t="shared" si="107"/>
        <v>518321</v>
      </c>
      <c r="M37" s="30">
        <f t="shared" si="107"/>
        <v>518321</v>
      </c>
      <c r="N37" s="34">
        <f t="shared" si="107"/>
        <v>518321</v>
      </c>
      <c r="O37" s="32">
        <f t="shared" si="107"/>
        <v>518321</v>
      </c>
      <c r="P37" s="30">
        <f t="shared" si="107"/>
        <v>518321</v>
      </c>
      <c r="Q37" s="30">
        <f t="shared" si="107"/>
        <v>518321</v>
      </c>
      <c r="R37" s="33">
        <f t="shared" si="107"/>
        <v>518321</v>
      </c>
      <c r="S37" s="29">
        <f t="shared" si="107"/>
        <v>518321</v>
      </c>
      <c r="T37" s="30">
        <f t="shared" si="107"/>
        <v>518321</v>
      </c>
      <c r="U37" s="1208">
        <f t="shared" si="107"/>
        <v>518321</v>
      </c>
      <c r="V37" s="31">
        <v>642805</v>
      </c>
      <c r="W37" s="30">
        <f t="shared" ref="W37:AE37" si="108">V37</f>
        <v>642805</v>
      </c>
      <c r="X37" s="30">
        <f t="shared" si="108"/>
        <v>642805</v>
      </c>
      <c r="Y37" s="30">
        <f t="shared" si="108"/>
        <v>642805</v>
      </c>
      <c r="Z37" s="34">
        <f t="shared" si="108"/>
        <v>642805</v>
      </c>
      <c r="AA37" s="32">
        <f t="shared" si="108"/>
        <v>642805</v>
      </c>
      <c r="AB37" s="30">
        <f t="shared" si="108"/>
        <v>642805</v>
      </c>
      <c r="AC37" s="30">
        <f t="shared" si="108"/>
        <v>642805</v>
      </c>
      <c r="AD37" s="33">
        <f t="shared" si="108"/>
        <v>642805</v>
      </c>
      <c r="AE37" s="29">
        <f t="shared" si="108"/>
        <v>642805</v>
      </c>
      <c r="AF37" s="30">
        <f t="shared" si="96"/>
        <v>642805</v>
      </c>
      <c r="AG37" s="31">
        <f t="shared" si="96"/>
        <v>642805</v>
      </c>
      <c r="AH37" s="30">
        <f t="shared" si="97"/>
        <v>642805</v>
      </c>
      <c r="AI37" s="30">
        <f t="shared" si="97"/>
        <v>642805</v>
      </c>
      <c r="AJ37" s="30">
        <f t="shared" si="97"/>
        <v>642805</v>
      </c>
      <c r="AK37" s="30">
        <f t="shared" si="97"/>
        <v>642805</v>
      </c>
      <c r="AL37" s="34">
        <f t="shared" si="97"/>
        <v>642805</v>
      </c>
      <c r="AM37" s="32">
        <f t="shared" si="97"/>
        <v>642805</v>
      </c>
      <c r="AN37" s="30">
        <f t="shared" si="97"/>
        <v>642805</v>
      </c>
      <c r="AO37" s="30">
        <f t="shared" si="97"/>
        <v>642805</v>
      </c>
      <c r="AP37" s="33">
        <f>AC37</f>
        <v>642805</v>
      </c>
      <c r="AQ37" s="685">
        <f t="shared" ref="AQ37:BB37" si="109">+AP37</f>
        <v>642805</v>
      </c>
      <c r="AR37" s="685">
        <f t="shared" si="109"/>
        <v>642805</v>
      </c>
      <c r="AS37" s="694">
        <f t="shared" si="99"/>
        <v>642805</v>
      </c>
      <c r="AT37" s="685">
        <f t="shared" si="109"/>
        <v>642805</v>
      </c>
      <c r="AU37" s="685">
        <f t="shared" si="109"/>
        <v>642805</v>
      </c>
      <c r="AV37" s="685">
        <f t="shared" si="109"/>
        <v>642805</v>
      </c>
      <c r="AW37" s="685">
        <f t="shared" si="109"/>
        <v>642805</v>
      </c>
      <c r="AX37" s="685">
        <f t="shared" si="109"/>
        <v>642805</v>
      </c>
      <c r="AY37" s="685">
        <f t="shared" si="109"/>
        <v>642805</v>
      </c>
      <c r="AZ37" s="685">
        <f t="shared" si="109"/>
        <v>642805</v>
      </c>
      <c r="BA37" s="685">
        <f t="shared" si="109"/>
        <v>642805</v>
      </c>
      <c r="BB37" s="33">
        <f t="shared" si="109"/>
        <v>642805</v>
      </c>
      <c r="BC37" s="10" t="str">
        <f t="shared" si="106"/>
        <v>아키텍처그룹책임(CL3)</v>
      </c>
      <c r="BD37" s="10" t="str">
        <f>B37&amp;E37</f>
        <v>아키텍처그룹CL2(사원-선임)</v>
      </c>
      <c r="BG37" s="540"/>
      <c r="BH37" s="540"/>
    </row>
    <row r="38" spans="1:76">
      <c r="A38" s="526" t="str">
        <f t="shared" si="0"/>
        <v>아키텍처그룹</v>
      </c>
      <c r="B38" s="526" t="str">
        <f>+B37</f>
        <v>아키텍처그룹</v>
      </c>
      <c r="C38" s="17" t="s">
        <v>249</v>
      </c>
      <c r="D38" s="18" t="s">
        <v>103</v>
      </c>
      <c r="E38" s="17"/>
      <c r="F38" s="18"/>
      <c r="G38" s="29"/>
      <c r="H38" s="30"/>
      <c r="I38" s="31"/>
      <c r="J38" s="30"/>
      <c r="K38" s="30"/>
      <c r="L38" s="30"/>
      <c r="M38" s="30"/>
      <c r="N38" s="34"/>
      <c r="O38" s="32"/>
      <c r="P38" s="30"/>
      <c r="Q38" s="30"/>
      <c r="R38" s="33"/>
      <c r="S38" s="29"/>
      <c r="T38" s="30"/>
      <c r="U38" s="1208"/>
      <c r="V38" s="31"/>
      <c r="W38" s="30"/>
      <c r="X38" s="30"/>
      <c r="Y38" s="30"/>
      <c r="Z38" s="34"/>
      <c r="AA38" s="32"/>
      <c r="AB38" s="30"/>
      <c r="AC38" s="30"/>
      <c r="AD38" s="33"/>
      <c r="AE38" s="29"/>
      <c r="AF38" s="30"/>
      <c r="AG38" s="31"/>
      <c r="AH38" s="30"/>
      <c r="AI38" s="30"/>
      <c r="AJ38" s="30"/>
      <c r="AK38" s="30"/>
      <c r="AL38" s="34"/>
      <c r="AM38" s="32"/>
      <c r="AN38" s="30"/>
      <c r="AO38" s="30"/>
      <c r="AP38" s="33"/>
      <c r="AQ38" s="685">
        <f t="shared" ref="AQ38:BB38" si="110">+AP38</f>
        <v>0</v>
      </c>
      <c r="AR38" s="685">
        <f t="shared" si="110"/>
        <v>0</v>
      </c>
      <c r="AS38" s="694"/>
      <c r="AT38" s="685">
        <f t="shared" si="110"/>
        <v>0</v>
      </c>
      <c r="AU38" s="685">
        <f t="shared" si="110"/>
        <v>0</v>
      </c>
      <c r="AV38" s="685">
        <f t="shared" si="110"/>
        <v>0</v>
      </c>
      <c r="AW38" s="685">
        <f t="shared" si="110"/>
        <v>0</v>
      </c>
      <c r="AX38" s="685">
        <f t="shared" si="110"/>
        <v>0</v>
      </c>
      <c r="AY38" s="685">
        <f t="shared" si="110"/>
        <v>0</v>
      </c>
      <c r="AZ38" s="685">
        <f t="shared" si="110"/>
        <v>0</v>
      </c>
      <c r="BA38" s="685">
        <f t="shared" si="110"/>
        <v>0</v>
      </c>
      <c r="BB38" s="33">
        <f t="shared" si="110"/>
        <v>0</v>
      </c>
      <c r="BC38" s="10" t="str">
        <f t="shared" si="106"/>
        <v>아키텍처그룹선임(CL2)</v>
      </c>
      <c r="BG38" s="540"/>
      <c r="BH38" s="540"/>
    </row>
    <row r="39" spans="1:76">
      <c r="A39" s="528" t="str">
        <f t="shared" si="0"/>
        <v>아키텍처그룹</v>
      </c>
      <c r="B39" s="528" t="str">
        <f>+B38</f>
        <v>아키텍처그룹</v>
      </c>
      <c r="C39" s="19" t="s">
        <v>250</v>
      </c>
      <c r="D39" s="20" t="s">
        <v>104</v>
      </c>
      <c r="E39" s="19"/>
      <c r="F39" s="20"/>
      <c r="G39" s="35"/>
      <c r="H39" s="36"/>
      <c r="I39" s="37"/>
      <c r="J39" s="36"/>
      <c r="K39" s="36"/>
      <c r="L39" s="36"/>
      <c r="M39" s="36"/>
      <c r="N39" s="38"/>
      <c r="O39" s="39"/>
      <c r="P39" s="36"/>
      <c r="Q39" s="36"/>
      <c r="R39" s="40"/>
      <c r="S39" s="35"/>
      <c r="T39" s="36"/>
      <c r="U39" s="1209"/>
      <c r="V39" s="37"/>
      <c r="W39" s="36"/>
      <c r="X39" s="36"/>
      <c r="Y39" s="36"/>
      <c r="Z39" s="38"/>
      <c r="AA39" s="39"/>
      <c r="AB39" s="36"/>
      <c r="AC39" s="36"/>
      <c r="AD39" s="40"/>
      <c r="AE39" s="35"/>
      <c r="AF39" s="36"/>
      <c r="AG39" s="37"/>
      <c r="AH39" s="36"/>
      <c r="AI39" s="36"/>
      <c r="AJ39" s="36"/>
      <c r="AK39" s="36"/>
      <c r="AL39" s="38"/>
      <c r="AM39" s="39"/>
      <c r="AN39" s="36"/>
      <c r="AO39" s="36"/>
      <c r="AP39" s="40"/>
      <c r="AQ39" s="686">
        <f t="shared" ref="AQ39:BB39" si="111">+AP39</f>
        <v>0</v>
      </c>
      <c r="AR39" s="686">
        <f t="shared" si="111"/>
        <v>0</v>
      </c>
      <c r="AS39" s="695"/>
      <c r="AT39" s="686">
        <f t="shared" si="111"/>
        <v>0</v>
      </c>
      <c r="AU39" s="686">
        <f t="shared" si="111"/>
        <v>0</v>
      </c>
      <c r="AV39" s="686">
        <f t="shared" si="111"/>
        <v>0</v>
      </c>
      <c r="AW39" s="686">
        <f t="shared" si="111"/>
        <v>0</v>
      </c>
      <c r="AX39" s="686">
        <f t="shared" si="111"/>
        <v>0</v>
      </c>
      <c r="AY39" s="686">
        <f t="shared" si="111"/>
        <v>0</v>
      </c>
      <c r="AZ39" s="686">
        <f t="shared" si="111"/>
        <v>0</v>
      </c>
      <c r="BA39" s="686">
        <f t="shared" si="111"/>
        <v>0</v>
      </c>
      <c r="BB39" s="40">
        <f t="shared" si="111"/>
        <v>0</v>
      </c>
      <c r="BC39" s="10" t="str">
        <f t="shared" si="106"/>
        <v>아키텍처그룹사원(CL1-CL2)</v>
      </c>
      <c r="BG39" s="540"/>
      <c r="BH39" s="540"/>
    </row>
    <row r="40" spans="1:76">
      <c r="A40" s="10" t="str">
        <f t="shared" ref="A40:A76" si="112">+B40&amp;E40</f>
        <v>DS MES그룹이사</v>
      </c>
      <c r="B40" s="523" t="s">
        <v>1000</v>
      </c>
      <c r="C40" s="525" t="s">
        <v>12</v>
      </c>
      <c r="D40" s="15" t="s">
        <v>105</v>
      </c>
      <c r="E40" s="16" t="s">
        <v>12</v>
      </c>
      <c r="F40" s="15" t="s">
        <v>82</v>
      </c>
      <c r="G40" s="543">
        <v>0</v>
      </c>
      <c r="H40" s="541">
        <v>0</v>
      </c>
      <c r="I40" s="541">
        <f>ROUND(H40*105%,0)</f>
        <v>0</v>
      </c>
      <c r="J40" s="541">
        <f t="shared" ref="J40:U40" si="113">I40</f>
        <v>0</v>
      </c>
      <c r="K40" s="541">
        <f t="shared" si="113"/>
        <v>0</v>
      </c>
      <c r="L40" s="541">
        <f t="shared" si="113"/>
        <v>0</v>
      </c>
      <c r="M40" s="541">
        <f t="shared" si="113"/>
        <v>0</v>
      </c>
      <c r="N40" s="541">
        <f t="shared" si="113"/>
        <v>0</v>
      </c>
      <c r="O40" s="541">
        <f t="shared" si="113"/>
        <v>0</v>
      </c>
      <c r="P40" s="541">
        <f t="shared" si="113"/>
        <v>0</v>
      </c>
      <c r="Q40" s="541">
        <f t="shared" si="113"/>
        <v>0</v>
      </c>
      <c r="R40" s="542">
        <f t="shared" si="113"/>
        <v>0</v>
      </c>
      <c r="S40" s="767">
        <f t="shared" si="113"/>
        <v>0</v>
      </c>
      <c r="T40" s="541">
        <f t="shared" si="113"/>
        <v>0</v>
      </c>
      <c r="U40" s="1210">
        <f t="shared" si="113"/>
        <v>0</v>
      </c>
      <c r="V40" s="43">
        <f t="shared" ref="V40:AG43" si="114">U40</f>
        <v>0</v>
      </c>
      <c r="W40" s="541">
        <f t="shared" si="114"/>
        <v>0</v>
      </c>
      <c r="X40" s="541">
        <f t="shared" si="114"/>
        <v>0</v>
      </c>
      <c r="Y40" s="541">
        <f t="shared" si="114"/>
        <v>0</v>
      </c>
      <c r="Z40" s="541">
        <f t="shared" si="114"/>
        <v>0</v>
      </c>
      <c r="AA40" s="541">
        <f t="shared" si="114"/>
        <v>0</v>
      </c>
      <c r="AB40" s="541">
        <f t="shared" si="114"/>
        <v>0</v>
      </c>
      <c r="AC40" s="541">
        <f t="shared" si="114"/>
        <v>0</v>
      </c>
      <c r="AD40" s="542">
        <f t="shared" si="114"/>
        <v>0</v>
      </c>
      <c r="AE40" s="543">
        <f t="shared" si="114"/>
        <v>0</v>
      </c>
      <c r="AF40" s="541">
        <f t="shared" si="114"/>
        <v>0</v>
      </c>
      <c r="AG40" s="541">
        <f t="shared" si="114"/>
        <v>0</v>
      </c>
      <c r="AH40" s="541">
        <f t="shared" ref="AH40:AO43" si="115">AG40</f>
        <v>0</v>
      </c>
      <c r="AI40" s="541">
        <f t="shared" si="115"/>
        <v>0</v>
      </c>
      <c r="AJ40" s="541">
        <f t="shared" si="115"/>
        <v>0</v>
      </c>
      <c r="AK40" s="541">
        <f t="shared" si="115"/>
        <v>0</v>
      </c>
      <c r="AL40" s="541">
        <f t="shared" si="115"/>
        <v>0</v>
      </c>
      <c r="AM40" s="541">
        <f t="shared" si="115"/>
        <v>0</v>
      </c>
      <c r="AN40" s="541">
        <f t="shared" si="115"/>
        <v>0</v>
      </c>
      <c r="AO40" s="541">
        <f t="shared" si="115"/>
        <v>0</v>
      </c>
      <c r="AP40" s="690">
        <f>AC40</f>
        <v>0</v>
      </c>
      <c r="AQ40" s="690">
        <f t="shared" ref="AQ40:AR42" si="116">+AP40</f>
        <v>0</v>
      </c>
      <c r="AR40" s="690">
        <f t="shared" si="116"/>
        <v>0</v>
      </c>
      <c r="AS40" s="696">
        <f t="shared" ref="AS40" si="117">AR40</f>
        <v>0</v>
      </c>
      <c r="AT40" s="690">
        <f t="shared" ref="AT40:BB40" si="118">+AS40</f>
        <v>0</v>
      </c>
      <c r="AU40" s="690">
        <f t="shared" si="118"/>
        <v>0</v>
      </c>
      <c r="AV40" s="690">
        <f t="shared" si="118"/>
        <v>0</v>
      </c>
      <c r="AW40" s="690">
        <f t="shared" si="118"/>
        <v>0</v>
      </c>
      <c r="AX40" s="690">
        <f t="shared" si="118"/>
        <v>0</v>
      </c>
      <c r="AY40" s="690">
        <f t="shared" si="118"/>
        <v>0</v>
      </c>
      <c r="AZ40" s="690">
        <f t="shared" si="118"/>
        <v>0</v>
      </c>
      <c r="BA40" s="690">
        <f t="shared" si="118"/>
        <v>0</v>
      </c>
      <c r="BB40" s="542">
        <f t="shared" si="118"/>
        <v>0</v>
      </c>
      <c r="BC40" s="10" t="str">
        <f t="shared" ref="BC40:BC71" si="119">B40&amp;C40</f>
        <v>DS MES그룹이사</v>
      </c>
      <c r="BD40" s="544" t="str">
        <f t="shared" ref="BD40:BD49" si="120">B40&amp;E40</f>
        <v>DS MES그룹이사</v>
      </c>
      <c r="BE40" s="543"/>
      <c r="BF40" s="541"/>
      <c r="BG40" s="541"/>
      <c r="BH40" s="542"/>
      <c r="BI40" s="543"/>
      <c r="BJ40" s="541"/>
      <c r="BK40" s="542"/>
      <c r="BL40" s="545"/>
      <c r="BM40" s="543"/>
      <c r="BN40" s="541"/>
      <c r="BO40" s="542"/>
      <c r="BP40" s="545"/>
      <c r="BQ40" s="546"/>
      <c r="BR40" s="547"/>
      <c r="BS40" s="548"/>
      <c r="BT40" s="549"/>
      <c r="BU40" s="539"/>
      <c r="BV40" s="539"/>
      <c r="BW40" s="544"/>
      <c r="BX40" s="544"/>
    </row>
    <row r="41" spans="1:76">
      <c r="A41" s="10" t="str">
        <f t="shared" si="112"/>
        <v>DS MES그룹CL4(수석)</v>
      </c>
      <c r="B41" s="526" t="str">
        <f>B40</f>
        <v>DS MES그룹</v>
      </c>
      <c r="C41" s="527" t="s">
        <v>246</v>
      </c>
      <c r="D41" s="18" t="s">
        <v>105</v>
      </c>
      <c r="E41" s="17" t="s">
        <v>445</v>
      </c>
      <c r="F41" s="18" t="s">
        <v>82</v>
      </c>
      <c r="G41" s="552">
        <v>816157</v>
      </c>
      <c r="H41" s="552">
        <v>816157</v>
      </c>
      <c r="I41" s="550">
        <v>937191</v>
      </c>
      <c r="J41" s="550">
        <v>937191</v>
      </c>
      <c r="K41" s="550">
        <v>937191</v>
      </c>
      <c r="L41" s="550">
        <v>937191</v>
      </c>
      <c r="M41" s="550">
        <v>937191</v>
      </c>
      <c r="N41" s="550">
        <v>937191</v>
      </c>
      <c r="O41" s="550">
        <v>937191</v>
      </c>
      <c r="P41" s="550">
        <v>937191</v>
      </c>
      <c r="Q41" s="550">
        <v>937191</v>
      </c>
      <c r="R41" s="551">
        <v>937191</v>
      </c>
      <c r="S41" s="768">
        <v>937191</v>
      </c>
      <c r="T41" s="550">
        <v>937191</v>
      </c>
      <c r="U41" s="1211">
        <v>937191</v>
      </c>
      <c r="V41" s="47">
        <v>855578</v>
      </c>
      <c r="W41" s="550">
        <f t="shared" si="114"/>
        <v>855578</v>
      </c>
      <c r="X41" s="550">
        <f t="shared" si="114"/>
        <v>855578</v>
      </c>
      <c r="Y41" s="550">
        <f t="shared" si="114"/>
        <v>855578</v>
      </c>
      <c r="Z41" s="550">
        <f t="shared" si="114"/>
        <v>855578</v>
      </c>
      <c r="AA41" s="550">
        <f t="shared" si="114"/>
        <v>855578</v>
      </c>
      <c r="AB41" s="550">
        <f t="shared" si="114"/>
        <v>855578</v>
      </c>
      <c r="AC41" s="550">
        <f t="shared" si="114"/>
        <v>855578</v>
      </c>
      <c r="AD41" s="551">
        <f t="shared" si="114"/>
        <v>855578</v>
      </c>
      <c r="AE41" s="552">
        <f t="shared" si="114"/>
        <v>855578</v>
      </c>
      <c r="AF41" s="550">
        <f t="shared" si="114"/>
        <v>855578</v>
      </c>
      <c r="AG41" s="550">
        <v>937191</v>
      </c>
      <c r="AH41" s="550">
        <f t="shared" si="115"/>
        <v>937191</v>
      </c>
      <c r="AI41" s="550">
        <f t="shared" si="115"/>
        <v>937191</v>
      </c>
      <c r="AJ41" s="550">
        <f t="shared" si="115"/>
        <v>937191</v>
      </c>
      <c r="AK41" s="550">
        <f t="shared" si="115"/>
        <v>937191</v>
      </c>
      <c r="AL41" s="550">
        <f t="shared" si="115"/>
        <v>937191</v>
      </c>
      <c r="AM41" s="550">
        <f t="shared" si="115"/>
        <v>937191</v>
      </c>
      <c r="AN41" s="550">
        <f t="shared" si="115"/>
        <v>937191</v>
      </c>
      <c r="AO41" s="550">
        <f t="shared" si="115"/>
        <v>937191</v>
      </c>
      <c r="AP41" s="691">
        <f>AC41</f>
        <v>855578</v>
      </c>
      <c r="AQ41" s="691">
        <f t="shared" si="116"/>
        <v>855578</v>
      </c>
      <c r="AR41" s="691">
        <f t="shared" si="116"/>
        <v>855578</v>
      </c>
      <c r="AS41" s="697">
        <v>937191</v>
      </c>
      <c r="AT41" s="691">
        <f t="shared" ref="AT41:BB41" si="121">+AS41</f>
        <v>937191</v>
      </c>
      <c r="AU41" s="691">
        <f t="shared" si="121"/>
        <v>937191</v>
      </c>
      <c r="AV41" s="691">
        <f t="shared" si="121"/>
        <v>937191</v>
      </c>
      <c r="AW41" s="691">
        <f t="shared" si="121"/>
        <v>937191</v>
      </c>
      <c r="AX41" s="691">
        <f t="shared" si="121"/>
        <v>937191</v>
      </c>
      <c r="AY41" s="691">
        <f t="shared" si="121"/>
        <v>937191</v>
      </c>
      <c r="AZ41" s="691">
        <f t="shared" si="121"/>
        <v>937191</v>
      </c>
      <c r="BA41" s="691">
        <f t="shared" si="121"/>
        <v>937191</v>
      </c>
      <c r="BB41" s="551">
        <f t="shared" si="121"/>
        <v>937191</v>
      </c>
      <c r="BC41" s="10" t="str">
        <f t="shared" si="119"/>
        <v>DS MES그룹수석(CL4)</v>
      </c>
      <c r="BD41" s="544" t="str">
        <f t="shared" si="120"/>
        <v>DS MES그룹CL4(수석)</v>
      </c>
      <c r="BE41" s="552"/>
      <c r="BF41" s="550"/>
      <c r="BG41" s="550"/>
      <c r="BH41" s="551"/>
      <c r="BI41" s="552"/>
      <c r="BJ41" s="550"/>
      <c r="BK41" s="551"/>
      <c r="BL41" s="553"/>
      <c r="BM41" s="552"/>
      <c r="BN41" s="550"/>
      <c r="BO41" s="551"/>
      <c r="BP41" s="553"/>
      <c r="BQ41" s="554"/>
      <c r="BR41" s="555"/>
      <c r="BS41" s="556"/>
      <c r="BT41" s="549"/>
      <c r="BU41" s="539"/>
      <c r="BV41" s="539"/>
      <c r="BW41" s="544"/>
      <c r="BX41" s="544"/>
    </row>
    <row r="42" spans="1:76">
      <c r="A42" s="10" t="str">
        <f t="shared" si="112"/>
        <v>DS MES그룹CL3(책임-수석보)</v>
      </c>
      <c r="B42" s="526" t="str">
        <f>B41</f>
        <v>DS MES그룹</v>
      </c>
      <c r="C42" s="527" t="s">
        <v>247</v>
      </c>
      <c r="D42" s="18" t="s">
        <v>105</v>
      </c>
      <c r="E42" s="17" t="s">
        <v>455</v>
      </c>
      <c r="F42" s="18" t="s">
        <v>459</v>
      </c>
      <c r="G42" s="552">
        <v>683380</v>
      </c>
      <c r="H42" s="552">
        <v>683380</v>
      </c>
      <c r="I42" s="550">
        <v>787950</v>
      </c>
      <c r="J42" s="550">
        <v>787950</v>
      </c>
      <c r="K42" s="550">
        <v>787950</v>
      </c>
      <c r="L42" s="550">
        <v>787950</v>
      </c>
      <c r="M42" s="550">
        <v>787950</v>
      </c>
      <c r="N42" s="550">
        <v>787950</v>
      </c>
      <c r="O42" s="550">
        <v>787950</v>
      </c>
      <c r="P42" s="550">
        <v>787950</v>
      </c>
      <c r="Q42" s="550">
        <v>787950</v>
      </c>
      <c r="R42" s="551">
        <v>787950</v>
      </c>
      <c r="S42" s="768">
        <v>787950</v>
      </c>
      <c r="T42" s="550">
        <v>787950</v>
      </c>
      <c r="U42" s="1211">
        <v>787950</v>
      </c>
      <c r="V42" s="47">
        <v>757175</v>
      </c>
      <c r="W42" s="550">
        <f t="shared" si="114"/>
        <v>757175</v>
      </c>
      <c r="X42" s="550">
        <f t="shared" si="114"/>
        <v>757175</v>
      </c>
      <c r="Y42" s="550">
        <f t="shared" si="114"/>
        <v>757175</v>
      </c>
      <c r="Z42" s="550">
        <f t="shared" si="114"/>
        <v>757175</v>
      </c>
      <c r="AA42" s="550">
        <f t="shared" si="114"/>
        <v>757175</v>
      </c>
      <c r="AB42" s="550">
        <f t="shared" si="114"/>
        <v>757175</v>
      </c>
      <c r="AC42" s="550">
        <f t="shared" si="114"/>
        <v>757175</v>
      </c>
      <c r="AD42" s="551">
        <f t="shared" si="114"/>
        <v>757175</v>
      </c>
      <c r="AE42" s="552">
        <f t="shared" si="114"/>
        <v>757175</v>
      </c>
      <c r="AF42" s="550">
        <f t="shared" si="114"/>
        <v>757175</v>
      </c>
      <c r="AG42" s="550">
        <v>787950</v>
      </c>
      <c r="AH42" s="550">
        <f t="shared" si="115"/>
        <v>787950</v>
      </c>
      <c r="AI42" s="550">
        <f t="shared" si="115"/>
        <v>787950</v>
      </c>
      <c r="AJ42" s="550">
        <f t="shared" si="115"/>
        <v>787950</v>
      </c>
      <c r="AK42" s="550">
        <f t="shared" si="115"/>
        <v>787950</v>
      </c>
      <c r="AL42" s="550">
        <f t="shared" si="115"/>
        <v>787950</v>
      </c>
      <c r="AM42" s="550">
        <f t="shared" si="115"/>
        <v>787950</v>
      </c>
      <c r="AN42" s="550">
        <f t="shared" si="115"/>
        <v>787950</v>
      </c>
      <c r="AO42" s="550">
        <f t="shared" si="115"/>
        <v>787950</v>
      </c>
      <c r="AP42" s="691">
        <f>AC42</f>
        <v>757175</v>
      </c>
      <c r="AQ42" s="691">
        <f t="shared" si="116"/>
        <v>757175</v>
      </c>
      <c r="AR42" s="691">
        <f t="shared" si="116"/>
        <v>757175</v>
      </c>
      <c r="AS42" s="697">
        <v>787950</v>
      </c>
      <c r="AT42" s="691">
        <f t="shared" ref="AT42:BB42" si="122">+AS42</f>
        <v>787950</v>
      </c>
      <c r="AU42" s="691">
        <f t="shared" si="122"/>
        <v>787950</v>
      </c>
      <c r="AV42" s="691">
        <f t="shared" si="122"/>
        <v>787950</v>
      </c>
      <c r="AW42" s="691">
        <f t="shared" si="122"/>
        <v>787950</v>
      </c>
      <c r="AX42" s="691">
        <f t="shared" si="122"/>
        <v>787950</v>
      </c>
      <c r="AY42" s="691">
        <f t="shared" si="122"/>
        <v>787950</v>
      </c>
      <c r="AZ42" s="691">
        <f t="shared" si="122"/>
        <v>787950</v>
      </c>
      <c r="BA42" s="691">
        <f t="shared" si="122"/>
        <v>787950</v>
      </c>
      <c r="BB42" s="551">
        <f t="shared" si="122"/>
        <v>787950</v>
      </c>
      <c r="BC42" s="10" t="str">
        <f t="shared" si="119"/>
        <v>DS MES그룹수석보(CL3)</v>
      </c>
      <c r="BD42" s="544" t="str">
        <f t="shared" si="120"/>
        <v>DS MES그룹CL3(책임-수석보)</v>
      </c>
      <c r="BE42" s="552"/>
      <c r="BF42" s="550"/>
      <c r="BG42" s="550"/>
      <c r="BH42" s="551"/>
      <c r="BI42" s="552"/>
      <c r="BJ42" s="550"/>
      <c r="BK42" s="551"/>
      <c r="BL42" s="553"/>
      <c r="BM42" s="552"/>
      <c r="BN42" s="550"/>
      <c r="BO42" s="551"/>
      <c r="BP42" s="553"/>
      <c r="BQ42" s="554"/>
      <c r="BR42" s="555"/>
      <c r="BS42" s="556"/>
      <c r="BT42" s="549"/>
      <c r="BU42" s="539"/>
      <c r="BV42" s="539"/>
      <c r="BW42" s="544"/>
      <c r="BX42" s="544"/>
    </row>
    <row r="43" spans="1:76">
      <c r="A43" s="10" t="str">
        <f t="shared" si="112"/>
        <v>DS MES그룹CL2(사원-선임)</v>
      </c>
      <c r="B43" s="526" t="str">
        <f>B42</f>
        <v>DS MES그룹</v>
      </c>
      <c r="C43" s="527" t="s">
        <v>248</v>
      </c>
      <c r="D43" s="18" t="s">
        <v>102</v>
      </c>
      <c r="E43" s="17" t="s">
        <v>457</v>
      </c>
      <c r="F43" s="18" t="s">
        <v>461</v>
      </c>
      <c r="G43" s="552">
        <v>527959</v>
      </c>
      <c r="H43" s="552">
        <v>527959</v>
      </c>
      <c r="I43" s="550">
        <v>641175</v>
      </c>
      <c r="J43" s="550">
        <v>641175</v>
      </c>
      <c r="K43" s="550">
        <v>641175</v>
      </c>
      <c r="L43" s="550">
        <v>641175</v>
      </c>
      <c r="M43" s="550">
        <v>641175</v>
      </c>
      <c r="N43" s="550">
        <v>641175</v>
      </c>
      <c r="O43" s="550">
        <v>641175</v>
      </c>
      <c r="P43" s="550">
        <v>641175</v>
      </c>
      <c r="Q43" s="550">
        <v>641175</v>
      </c>
      <c r="R43" s="551">
        <v>641175</v>
      </c>
      <c r="S43" s="768">
        <v>641175</v>
      </c>
      <c r="T43" s="550">
        <v>641175</v>
      </c>
      <c r="U43" s="1211">
        <v>641175</v>
      </c>
      <c r="V43" s="47">
        <v>674066</v>
      </c>
      <c r="W43" s="550">
        <f t="shared" si="114"/>
        <v>674066</v>
      </c>
      <c r="X43" s="550">
        <f t="shared" si="114"/>
        <v>674066</v>
      </c>
      <c r="Y43" s="550">
        <f t="shared" si="114"/>
        <v>674066</v>
      </c>
      <c r="Z43" s="550">
        <f t="shared" si="114"/>
        <v>674066</v>
      </c>
      <c r="AA43" s="550">
        <f t="shared" si="114"/>
        <v>674066</v>
      </c>
      <c r="AB43" s="550">
        <f t="shared" si="114"/>
        <v>674066</v>
      </c>
      <c r="AC43" s="550">
        <f t="shared" si="114"/>
        <v>674066</v>
      </c>
      <c r="AD43" s="551">
        <f t="shared" si="114"/>
        <v>674066</v>
      </c>
      <c r="AE43" s="552">
        <f t="shared" si="114"/>
        <v>674066</v>
      </c>
      <c r="AF43" s="550">
        <f t="shared" si="114"/>
        <v>674066</v>
      </c>
      <c r="AG43" s="550">
        <v>641175</v>
      </c>
      <c r="AH43" s="550">
        <f t="shared" si="115"/>
        <v>641175</v>
      </c>
      <c r="AI43" s="550">
        <f t="shared" si="115"/>
        <v>641175</v>
      </c>
      <c r="AJ43" s="550">
        <f t="shared" si="115"/>
        <v>641175</v>
      </c>
      <c r="AK43" s="550">
        <f t="shared" si="115"/>
        <v>641175</v>
      </c>
      <c r="AL43" s="550">
        <f t="shared" si="115"/>
        <v>641175</v>
      </c>
      <c r="AM43" s="550">
        <f t="shared" si="115"/>
        <v>641175</v>
      </c>
      <c r="AN43" s="550">
        <f t="shared" si="115"/>
        <v>641175</v>
      </c>
      <c r="AO43" s="550">
        <f t="shared" si="115"/>
        <v>641175</v>
      </c>
      <c r="AP43" s="691">
        <f>AC43</f>
        <v>674066</v>
      </c>
      <c r="AQ43" s="691">
        <f t="shared" ref="AQ43:AR45" si="123">+AP43</f>
        <v>674066</v>
      </c>
      <c r="AR43" s="691">
        <f t="shared" si="123"/>
        <v>674066</v>
      </c>
      <c r="AS43" s="697">
        <v>641175</v>
      </c>
      <c r="AT43" s="691">
        <f t="shared" ref="AT43:BB45" si="124">+AS43</f>
        <v>641175</v>
      </c>
      <c r="AU43" s="691">
        <f t="shared" si="124"/>
        <v>641175</v>
      </c>
      <c r="AV43" s="691">
        <f t="shared" si="124"/>
        <v>641175</v>
      </c>
      <c r="AW43" s="691">
        <f t="shared" si="124"/>
        <v>641175</v>
      </c>
      <c r="AX43" s="691">
        <f t="shared" si="124"/>
        <v>641175</v>
      </c>
      <c r="AY43" s="691">
        <f t="shared" si="124"/>
        <v>641175</v>
      </c>
      <c r="AZ43" s="691">
        <f t="shared" si="124"/>
        <v>641175</v>
      </c>
      <c r="BA43" s="691">
        <f t="shared" si="124"/>
        <v>641175</v>
      </c>
      <c r="BB43" s="551">
        <f t="shared" si="124"/>
        <v>641175</v>
      </c>
      <c r="BC43" s="10" t="str">
        <f t="shared" si="119"/>
        <v>DS MES그룹책임(CL3)</v>
      </c>
      <c r="BD43" s="544" t="str">
        <f t="shared" si="120"/>
        <v>DS MES그룹CL2(사원-선임)</v>
      </c>
      <c r="BE43" s="552"/>
      <c r="BF43" s="550"/>
      <c r="BG43" s="550"/>
      <c r="BH43" s="551"/>
      <c r="BI43" s="552"/>
      <c r="BJ43" s="550"/>
      <c r="BK43" s="551"/>
      <c r="BL43" s="553"/>
      <c r="BM43" s="552"/>
      <c r="BN43" s="550"/>
      <c r="BO43" s="551"/>
      <c r="BP43" s="553"/>
      <c r="BQ43" s="554"/>
      <c r="BR43" s="555"/>
      <c r="BS43" s="556"/>
      <c r="BT43" s="549"/>
      <c r="BU43" s="539"/>
      <c r="BV43" s="539"/>
      <c r="BW43" s="544"/>
      <c r="BX43" s="544"/>
    </row>
    <row r="44" spans="1:76">
      <c r="A44" s="10" t="str">
        <f t="shared" si="112"/>
        <v>DS MES그룹</v>
      </c>
      <c r="B44" s="526" t="str">
        <f>B43</f>
        <v>DS MES그룹</v>
      </c>
      <c r="C44" s="527" t="s">
        <v>249</v>
      </c>
      <c r="D44" s="18" t="s">
        <v>103</v>
      </c>
      <c r="E44" s="17"/>
      <c r="F44" s="18"/>
      <c r="G44" s="45"/>
      <c r="H44" s="46"/>
      <c r="I44" s="47"/>
      <c r="J44" s="46"/>
      <c r="K44" s="46"/>
      <c r="L44" s="46"/>
      <c r="M44" s="46"/>
      <c r="N44" s="46"/>
      <c r="O44" s="46"/>
      <c r="P44" s="46"/>
      <c r="Q44" s="46"/>
      <c r="R44" s="48"/>
      <c r="S44" s="769"/>
      <c r="T44" s="46"/>
      <c r="U44" s="1211"/>
      <c r="V44" s="47"/>
      <c r="W44" s="46"/>
      <c r="X44" s="46"/>
      <c r="Y44" s="46"/>
      <c r="Z44" s="46"/>
      <c r="AA44" s="46"/>
      <c r="AB44" s="46"/>
      <c r="AC44" s="46"/>
      <c r="AD44" s="48"/>
      <c r="AE44" s="45"/>
      <c r="AF44" s="46"/>
      <c r="AG44" s="47"/>
      <c r="AH44" s="46"/>
      <c r="AI44" s="46"/>
      <c r="AJ44" s="46"/>
      <c r="AK44" s="46"/>
      <c r="AL44" s="46"/>
      <c r="AM44" s="46"/>
      <c r="AN44" s="46"/>
      <c r="AO44" s="46"/>
      <c r="AP44" s="688"/>
      <c r="AQ44" s="688">
        <f t="shared" si="123"/>
        <v>0</v>
      </c>
      <c r="AR44" s="688">
        <f t="shared" si="123"/>
        <v>0</v>
      </c>
      <c r="AS44" s="697"/>
      <c r="AT44" s="688">
        <f t="shared" si="124"/>
        <v>0</v>
      </c>
      <c r="AU44" s="688">
        <f t="shared" si="124"/>
        <v>0</v>
      </c>
      <c r="AV44" s="688">
        <f t="shared" si="124"/>
        <v>0</v>
      </c>
      <c r="AW44" s="688">
        <f t="shared" si="124"/>
        <v>0</v>
      </c>
      <c r="AX44" s="688">
        <f t="shared" si="124"/>
        <v>0</v>
      </c>
      <c r="AY44" s="688">
        <f t="shared" si="124"/>
        <v>0</v>
      </c>
      <c r="AZ44" s="688">
        <f t="shared" si="124"/>
        <v>0</v>
      </c>
      <c r="BA44" s="688">
        <f t="shared" si="124"/>
        <v>0</v>
      </c>
      <c r="BB44" s="48">
        <f t="shared" si="124"/>
        <v>0</v>
      </c>
      <c r="BC44" s="10" t="str">
        <f t="shared" si="119"/>
        <v>DS MES그룹선임(CL2)</v>
      </c>
      <c r="BD44" s="544" t="str">
        <f t="shared" si="120"/>
        <v>DS MES그룹</v>
      </c>
      <c r="BE44" s="45"/>
      <c r="BF44" s="46"/>
      <c r="BG44" s="46"/>
      <c r="BH44" s="48"/>
      <c r="BI44" s="45"/>
      <c r="BJ44" s="46"/>
      <c r="BK44" s="48"/>
      <c r="BL44" s="496"/>
      <c r="BM44" s="45"/>
      <c r="BN44" s="46"/>
      <c r="BO44" s="48"/>
      <c r="BP44" s="496"/>
      <c r="BQ44" s="487"/>
      <c r="BR44" s="481"/>
      <c r="BS44" s="473"/>
      <c r="BT44" s="13"/>
      <c r="BU44" s="531"/>
      <c r="BV44" s="531"/>
    </row>
    <row r="45" spans="1:76">
      <c r="A45" s="10" t="str">
        <f t="shared" si="112"/>
        <v>DS MES그룹</v>
      </c>
      <c r="B45" s="526" t="str">
        <f>B44</f>
        <v>DS MES그룹</v>
      </c>
      <c r="C45" s="529" t="s">
        <v>250</v>
      </c>
      <c r="D45" s="20" t="s">
        <v>104</v>
      </c>
      <c r="E45" s="19"/>
      <c r="F45" s="20"/>
      <c r="G45" s="49"/>
      <c r="H45" s="50"/>
      <c r="I45" s="51"/>
      <c r="J45" s="50"/>
      <c r="K45" s="50"/>
      <c r="L45" s="50"/>
      <c r="M45" s="50"/>
      <c r="N45" s="50"/>
      <c r="O45" s="50"/>
      <c r="P45" s="50"/>
      <c r="Q45" s="50"/>
      <c r="R45" s="52"/>
      <c r="S45" s="49"/>
      <c r="T45" s="50"/>
      <c r="U45" s="1212"/>
      <c r="V45" s="51"/>
      <c r="W45" s="50"/>
      <c r="X45" s="50"/>
      <c r="Y45" s="50"/>
      <c r="Z45" s="50"/>
      <c r="AA45" s="50"/>
      <c r="AB45" s="50"/>
      <c r="AC45" s="50"/>
      <c r="AD45" s="52"/>
      <c r="AE45" s="49"/>
      <c r="AF45" s="50"/>
      <c r="AG45" s="51"/>
      <c r="AH45" s="50"/>
      <c r="AI45" s="50"/>
      <c r="AJ45" s="50"/>
      <c r="AK45" s="50"/>
      <c r="AL45" s="50"/>
      <c r="AM45" s="50"/>
      <c r="AN45" s="50"/>
      <c r="AO45" s="50"/>
      <c r="AP45" s="689"/>
      <c r="AQ45" s="689">
        <f t="shared" si="123"/>
        <v>0</v>
      </c>
      <c r="AR45" s="689">
        <f t="shared" si="123"/>
        <v>0</v>
      </c>
      <c r="AS45" s="698"/>
      <c r="AT45" s="689">
        <f t="shared" si="124"/>
        <v>0</v>
      </c>
      <c r="AU45" s="689">
        <f t="shared" si="124"/>
        <v>0</v>
      </c>
      <c r="AV45" s="689">
        <f t="shared" si="124"/>
        <v>0</v>
      </c>
      <c r="AW45" s="689">
        <f t="shared" si="124"/>
        <v>0</v>
      </c>
      <c r="AX45" s="689">
        <f t="shared" si="124"/>
        <v>0</v>
      </c>
      <c r="AY45" s="689">
        <f t="shared" si="124"/>
        <v>0</v>
      </c>
      <c r="AZ45" s="689">
        <f t="shared" si="124"/>
        <v>0</v>
      </c>
      <c r="BA45" s="689">
        <f t="shared" si="124"/>
        <v>0</v>
      </c>
      <c r="BB45" s="52">
        <f t="shared" si="124"/>
        <v>0</v>
      </c>
      <c r="BC45" s="10" t="str">
        <f t="shared" si="119"/>
        <v>DS MES그룹사원(CL1-CL2)</v>
      </c>
      <c r="BD45" s="544" t="str">
        <f t="shared" si="120"/>
        <v>DS MES그룹</v>
      </c>
      <c r="BE45" s="49"/>
      <c r="BF45" s="50"/>
      <c r="BG45" s="50"/>
      <c r="BH45" s="52"/>
      <c r="BI45" s="49"/>
      <c r="BJ45" s="50"/>
      <c r="BK45" s="52"/>
      <c r="BL45" s="497"/>
      <c r="BM45" s="49"/>
      <c r="BN45" s="50"/>
      <c r="BO45" s="52"/>
      <c r="BP45" s="497"/>
      <c r="BQ45" s="488"/>
      <c r="BR45" s="482"/>
      <c r="BS45" s="474"/>
      <c r="BT45" s="13"/>
      <c r="BU45" s="531"/>
      <c r="BV45" s="531"/>
    </row>
    <row r="46" spans="1:76">
      <c r="A46" s="523" t="str">
        <f t="shared" si="112"/>
        <v>DX/부품MES그룹이사</v>
      </c>
      <c r="B46" s="523" t="s">
        <v>1001</v>
      </c>
      <c r="C46" s="16" t="s">
        <v>12</v>
      </c>
      <c r="D46" s="15" t="s">
        <v>105</v>
      </c>
      <c r="E46" s="16" t="s">
        <v>12</v>
      </c>
      <c r="F46" s="15" t="s">
        <v>82</v>
      </c>
      <c r="G46" s="41">
        <v>1841780</v>
      </c>
      <c r="H46" s="42">
        <v>1841780</v>
      </c>
      <c r="I46" s="43"/>
      <c r="J46" s="42">
        <f t="shared" ref="J46:U46" si="125">I46</f>
        <v>0</v>
      </c>
      <c r="K46" s="42">
        <f t="shared" si="125"/>
        <v>0</v>
      </c>
      <c r="L46" s="42">
        <f t="shared" si="125"/>
        <v>0</v>
      </c>
      <c r="M46" s="42">
        <f t="shared" si="125"/>
        <v>0</v>
      </c>
      <c r="N46" s="42">
        <f t="shared" si="125"/>
        <v>0</v>
      </c>
      <c r="O46" s="42">
        <f t="shared" si="125"/>
        <v>0</v>
      </c>
      <c r="P46" s="42">
        <f t="shared" si="125"/>
        <v>0</v>
      </c>
      <c r="Q46" s="42">
        <f t="shared" si="125"/>
        <v>0</v>
      </c>
      <c r="R46" s="44">
        <f t="shared" si="125"/>
        <v>0</v>
      </c>
      <c r="S46" s="41">
        <f t="shared" si="125"/>
        <v>0</v>
      </c>
      <c r="T46" s="42">
        <f t="shared" si="125"/>
        <v>0</v>
      </c>
      <c r="U46" s="1210">
        <f t="shared" si="125"/>
        <v>0</v>
      </c>
      <c r="V46" s="43">
        <f t="shared" ref="V46:AE46" si="126">U46</f>
        <v>0</v>
      </c>
      <c r="W46" s="42">
        <f t="shared" si="126"/>
        <v>0</v>
      </c>
      <c r="X46" s="42">
        <f t="shared" si="126"/>
        <v>0</v>
      </c>
      <c r="Y46" s="42">
        <f t="shared" si="126"/>
        <v>0</v>
      </c>
      <c r="Z46" s="42">
        <f t="shared" si="126"/>
        <v>0</v>
      </c>
      <c r="AA46" s="42">
        <f t="shared" si="126"/>
        <v>0</v>
      </c>
      <c r="AB46" s="42">
        <f t="shared" si="126"/>
        <v>0</v>
      </c>
      <c r="AC46" s="42">
        <f t="shared" si="126"/>
        <v>0</v>
      </c>
      <c r="AD46" s="44">
        <f t="shared" si="126"/>
        <v>0</v>
      </c>
      <c r="AE46" s="41">
        <f t="shared" si="126"/>
        <v>0</v>
      </c>
      <c r="AF46" s="42">
        <f t="shared" ref="AF46:AG49" si="127">AE46</f>
        <v>0</v>
      </c>
      <c r="AG46" s="43">
        <f t="shared" si="127"/>
        <v>0</v>
      </c>
      <c r="AH46" s="42">
        <f t="shared" ref="AH46:AO49" si="128">AG46</f>
        <v>0</v>
      </c>
      <c r="AI46" s="42">
        <f t="shared" si="128"/>
        <v>0</v>
      </c>
      <c r="AJ46" s="42">
        <f t="shared" si="128"/>
        <v>0</v>
      </c>
      <c r="AK46" s="42">
        <f t="shared" si="128"/>
        <v>0</v>
      </c>
      <c r="AL46" s="42">
        <f t="shared" si="128"/>
        <v>0</v>
      </c>
      <c r="AM46" s="42">
        <f t="shared" si="128"/>
        <v>0</v>
      </c>
      <c r="AN46" s="42">
        <f t="shared" si="128"/>
        <v>0</v>
      </c>
      <c r="AO46" s="42">
        <f t="shared" si="128"/>
        <v>0</v>
      </c>
      <c r="AP46" s="44">
        <f>AC46</f>
        <v>0</v>
      </c>
      <c r="AQ46" s="687">
        <f t="shared" ref="AQ46:BB46" si="129">+AP46</f>
        <v>0</v>
      </c>
      <c r="AR46" s="687">
        <f t="shared" si="129"/>
        <v>0</v>
      </c>
      <c r="AS46" s="696">
        <f t="shared" ref="AS46:AS49" si="130">AR46</f>
        <v>0</v>
      </c>
      <c r="AT46" s="687">
        <f t="shared" si="129"/>
        <v>0</v>
      </c>
      <c r="AU46" s="687">
        <f t="shared" si="129"/>
        <v>0</v>
      </c>
      <c r="AV46" s="687">
        <f t="shared" si="129"/>
        <v>0</v>
      </c>
      <c r="AW46" s="687">
        <f t="shared" si="129"/>
        <v>0</v>
      </c>
      <c r="AX46" s="687">
        <f t="shared" si="129"/>
        <v>0</v>
      </c>
      <c r="AY46" s="687">
        <f t="shared" si="129"/>
        <v>0</v>
      </c>
      <c r="AZ46" s="687">
        <f t="shared" si="129"/>
        <v>0</v>
      </c>
      <c r="BA46" s="687">
        <f t="shared" si="129"/>
        <v>0</v>
      </c>
      <c r="BB46" s="44">
        <f t="shared" si="129"/>
        <v>0</v>
      </c>
      <c r="BC46" s="10" t="str">
        <f t="shared" si="119"/>
        <v>DX/부품MES그룹이사</v>
      </c>
      <c r="BD46" s="10" t="str">
        <f t="shared" si="120"/>
        <v>DX/부품MES그룹이사</v>
      </c>
      <c r="BG46" s="540"/>
      <c r="BH46" s="540"/>
    </row>
    <row r="47" spans="1:76">
      <c r="A47" s="526" t="str">
        <f t="shared" si="112"/>
        <v>DX/부품MES그룹CL4(수석)</v>
      </c>
      <c r="B47" s="526" t="str">
        <f>+B46</f>
        <v>DX/부품MES그룹</v>
      </c>
      <c r="C47" s="17" t="s">
        <v>246</v>
      </c>
      <c r="D47" s="18" t="s">
        <v>105</v>
      </c>
      <c r="E47" s="17" t="s">
        <v>445</v>
      </c>
      <c r="F47" s="18" t="s">
        <v>82</v>
      </c>
      <c r="G47" s="45">
        <v>810733</v>
      </c>
      <c r="H47" s="46">
        <v>810733</v>
      </c>
      <c r="I47" s="47">
        <v>916273</v>
      </c>
      <c r="J47" s="46">
        <f t="shared" ref="J47:U47" si="131">I47</f>
        <v>916273</v>
      </c>
      <c r="K47" s="46">
        <f t="shared" si="131"/>
        <v>916273</v>
      </c>
      <c r="L47" s="46">
        <f t="shared" si="131"/>
        <v>916273</v>
      </c>
      <c r="M47" s="46">
        <f t="shared" si="131"/>
        <v>916273</v>
      </c>
      <c r="N47" s="46">
        <f t="shared" si="131"/>
        <v>916273</v>
      </c>
      <c r="O47" s="46">
        <f t="shared" si="131"/>
        <v>916273</v>
      </c>
      <c r="P47" s="46">
        <f t="shared" si="131"/>
        <v>916273</v>
      </c>
      <c r="Q47" s="46">
        <f t="shared" si="131"/>
        <v>916273</v>
      </c>
      <c r="R47" s="48">
        <f t="shared" si="131"/>
        <v>916273</v>
      </c>
      <c r="S47" s="45">
        <f t="shared" si="131"/>
        <v>916273</v>
      </c>
      <c r="T47" s="46">
        <f t="shared" si="131"/>
        <v>916273</v>
      </c>
      <c r="U47" s="1211">
        <f t="shared" si="131"/>
        <v>916273</v>
      </c>
      <c r="V47" s="47">
        <v>878235</v>
      </c>
      <c r="W47" s="46">
        <f t="shared" ref="W47:AE47" si="132">V47</f>
        <v>878235</v>
      </c>
      <c r="X47" s="46">
        <f t="shared" si="132"/>
        <v>878235</v>
      </c>
      <c r="Y47" s="46">
        <f t="shared" si="132"/>
        <v>878235</v>
      </c>
      <c r="Z47" s="46">
        <f t="shared" si="132"/>
        <v>878235</v>
      </c>
      <c r="AA47" s="46">
        <f t="shared" si="132"/>
        <v>878235</v>
      </c>
      <c r="AB47" s="46">
        <f t="shared" si="132"/>
        <v>878235</v>
      </c>
      <c r="AC47" s="46">
        <f t="shared" si="132"/>
        <v>878235</v>
      </c>
      <c r="AD47" s="48">
        <f t="shared" si="132"/>
        <v>878235</v>
      </c>
      <c r="AE47" s="45">
        <f t="shared" si="132"/>
        <v>878235</v>
      </c>
      <c r="AF47" s="46">
        <f t="shared" si="127"/>
        <v>878235</v>
      </c>
      <c r="AG47" s="47">
        <f t="shared" si="127"/>
        <v>878235</v>
      </c>
      <c r="AH47" s="46">
        <f t="shared" si="128"/>
        <v>878235</v>
      </c>
      <c r="AI47" s="46">
        <f t="shared" si="128"/>
        <v>878235</v>
      </c>
      <c r="AJ47" s="46">
        <f t="shared" si="128"/>
        <v>878235</v>
      </c>
      <c r="AK47" s="46">
        <f t="shared" si="128"/>
        <v>878235</v>
      </c>
      <c r="AL47" s="46">
        <f t="shared" si="128"/>
        <v>878235</v>
      </c>
      <c r="AM47" s="46">
        <f t="shared" si="128"/>
        <v>878235</v>
      </c>
      <c r="AN47" s="46">
        <f t="shared" si="128"/>
        <v>878235</v>
      </c>
      <c r="AO47" s="46">
        <f t="shared" si="128"/>
        <v>878235</v>
      </c>
      <c r="AP47" s="48">
        <f>AC47</f>
        <v>878235</v>
      </c>
      <c r="AQ47" s="688">
        <f t="shared" ref="AQ47:BB47" si="133">+AP47</f>
        <v>878235</v>
      </c>
      <c r="AR47" s="688">
        <f t="shared" si="133"/>
        <v>878235</v>
      </c>
      <c r="AS47" s="697">
        <f t="shared" si="130"/>
        <v>878235</v>
      </c>
      <c r="AT47" s="688">
        <f t="shared" si="133"/>
        <v>878235</v>
      </c>
      <c r="AU47" s="688">
        <f t="shared" si="133"/>
        <v>878235</v>
      </c>
      <c r="AV47" s="688">
        <f t="shared" si="133"/>
        <v>878235</v>
      </c>
      <c r="AW47" s="688">
        <f t="shared" si="133"/>
        <v>878235</v>
      </c>
      <c r="AX47" s="688">
        <f t="shared" si="133"/>
        <v>878235</v>
      </c>
      <c r="AY47" s="688">
        <f t="shared" si="133"/>
        <v>878235</v>
      </c>
      <c r="AZ47" s="688">
        <f t="shared" si="133"/>
        <v>878235</v>
      </c>
      <c r="BA47" s="688">
        <f t="shared" si="133"/>
        <v>878235</v>
      </c>
      <c r="BB47" s="48">
        <f t="shared" si="133"/>
        <v>878235</v>
      </c>
      <c r="BC47" s="10" t="str">
        <f t="shared" si="119"/>
        <v>DX/부품MES그룹수석(CL4)</v>
      </c>
      <c r="BD47" s="10" t="str">
        <f t="shared" si="120"/>
        <v>DX/부품MES그룹CL4(수석)</v>
      </c>
      <c r="BG47" s="540"/>
      <c r="BH47" s="540"/>
    </row>
    <row r="48" spans="1:76">
      <c r="A48" s="526" t="str">
        <f t="shared" si="112"/>
        <v>DX/부품MES그룹CL3(책임-수석보)</v>
      </c>
      <c r="B48" s="526" t="str">
        <f>+B47</f>
        <v>DX/부품MES그룹</v>
      </c>
      <c r="C48" s="17" t="s">
        <v>247</v>
      </c>
      <c r="D48" s="18" t="s">
        <v>105</v>
      </c>
      <c r="E48" s="17" t="s">
        <v>455</v>
      </c>
      <c r="F48" s="18" t="s">
        <v>459</v>
      </c>
      <c r="G48" s="45">
        <v>652027</v>
      </c>
      <c r="H48" s="46">
        <v>652027</v>
      </c>
      <c r="I48" s="47">
        <v>794922</v>
      </c>
      <c r="J48" s="46">
        <f t="shared" ref="J48:U48" si="134">I48</f>
        <v>794922</v>
      </c>
      <c r="K48" s="46">
        <f t="shared" si="134"/>
        <v>794922</v>
      </c>
      <c r="L48" s="46">
        <f t="shared" si="134"/>
        <v>794922</v>
      </c>
      <c r="M48" s="46">
        <f t="shared" si="134"/>
        <v>794922</v>
      </c>
      <c r="N48" s="46">
        <f t="shared" si="134"/>
        <v>794922</v>
      </c>
      <c r="O48" s="46">
        <f t="shared" si="134"/>
        <v>794922</v>
      </c>
      <c r="P48" s="46">
        <f t="shared" si="134"/>
        <v>794922</v>
      </c>
      <c r="Q48" s="46">
        <f t="shared" si="134"/>
        <v>794922</v>
      </c>
      <c r="R48" s="48">
        <f t="shared" si="134"/>
        <v>794922</v>
      </c>
      <c r="S48" s="45">
        <f t="shared" si="134"/>
        <v>794922</v>
      </c>
      <c r="T48" s="46">
        <f t="shared" si="134"/>
        <v>794922</v>
      </c>
      <c r="U48" s="1211">
        <f t="shared" si="134"/>
        <v>794922</v>
      </c>
      <c r="V48" s="47">
        <v>757838</v>
      </c>
      <c r="W48" s="46">
        <f t="shared" ref="W48:AE48" si="135">V48</f>
        <v>757838</v>
      </c>
      <c r="X48" s="46">
        <f t="shared" si="135"/>
        <v>757838</v>
      </c>
      <c r="Y48" s="46">
        <f t="shared" si="135"/>
        <v>757838</v>
      </c>
      <c r="Z48" s="46">
        <f t="shared" si="135"/>
        <v>757838</v>
      </c>
      <c r="AA48" s="46">
        <f t="shared" si="135"/>
        <v>757838</v>
      </c>
      <c r="AB48" s="46">
        <f t="shared" si="135"/>
        <v>757838</v>
      </c>
      <c r="AC48" s="46">
        <f t="shared" si="135"/>
        <v>757838</v>
      </c>
      <c r="AD48" s="48">
        <f t="shared" si="135"/>
        <v>757838</v>
      </c>
      <c r="AE48" s="45">
        <f t="shared" si="135"/>
        <v>757838</v>
      </c>
      <c r="AF48" s="46">
        <f t="shared" si="127"/>
        <v>757838</v>
      </c>
      <c r="AG48" s="47">
        <f t="shared" si="127"/>
        <v>757838</v>
      </c>
      <c r="AH48" s="46">
        <f t="shared" si="128"/>
        <v>757838</v>
      </c>
      <c r="AI48" s="46">
        <f t="shared" si="128"/>
        <v>757838</v>
      </c>
      <c r="AJ48" s="46">
        <f t="shared" si="128"/>
        <v>757838</v>
      </c>
      <c r="AK48" s="46">
        <f t="shared" si="128"/>
        <v>757838</v>
      </c>
      <c r="AL48" s="46">
        <f t="shared" si="128"/>
        <v>757838</v>
      </c>
      <c r="AM48" s="46">
        <f t="shared" si="128"/>
        <v>757838</v>
      </c>
      <c r="AN48" s="46">
        <f t="shared" si="128"/>
        <v>757838</v>
      </c>
      <c r="AO48" s="46">
        <f t="shared" si="128"/>
        <v>757838</v>
      </c>
      <c r="AP48" s="48">
        <f>AC48</f>
        <v>757838</v>
      </c>
      <c r="AQ48" s="688">
        <f t="shared" ref="AQ48:BB48" si="136">+AP48</f>
        <v>757838</v>
      </c>
      <c r="AR48" s="688">
        <f t="shared" si="136"/>
        <v>757838</v>
      </c>
      <c r="AS48" s="697">
        <f t="shared" si="130"/>
        <v>757838</v>
      </c>
      <c r="AT48" s="688">
        <f t="shared" si="136"/>
        <v>757838</v>
      </c>
      <c r="AU48" s="688">
        <f t="shared" si="136"/>
        <v>757838</v>
      </c>
      <c r="AV48" s="688">
        <f t="shared" si="136"/>
        <v>757838</v>
      </c>
      <c r="AW48" s="688">
        <f t="shared" si="136"/>
        <v>757838</v>
      </c>
      <c r="AX48" s="688">
        <f t="shared" si="136"/>
        <v>757838</v>
      </c>
      <c r="AY48" s="688">
        <f t="shared" si="136"/>
        <v>757838</v>
      </c>
      <c r="AZ48" s="688">
        <f t="shared" si="136"/>
        <v>757838</v>
      </c>
      <c r="BA48" s="688">
        <f t="shared" si="136"/>
        <v>757838</v>
      </c>
      <c r="BB48" s="48">
        <f t="shared" si="136"/>
        <v>757838</v>
      </c>
      <c r="BC48" s="10" t="str">
        <f t="shared" si="119"/>
        <v>DX/부품MES그룹수석보(CL3)</v>
      </c>
      <c r="BD48" s="10" t="str">
        <f t="shared" si="120"/>
        <v>DX/부품MES그룹CL3(책임-수석보)</v>
      </c>
      <c r="BG48" s="540"/>
      <c r="BH48" s="540"/>
    </row>
    <row r="49" spans="1:76">
      <c r="A49" s="526" t="str">
        <f t="shared" si="112"/>
        <v>DX/부품MES그룹CL2(사원-선임)</v>
      </c>
      <c r="B49" s="526" t="str">
        <f>+B48</f>
        <v>DX/부품MES그룹</v>
      </c>
      <c r="C49" s="17" t="s">
        <v>248</v>
      </c>
      <c r="D49" s="18" t="s">
        <v>102</v>
      </c>
      <c r="E49" s="17" t="s">
        <v>457</v>
      </c>
      <c r="F49" s="18" t="s">
        <v>461</v>
      </c>
      <c r="G49" s="45">
        <v>530300</v>
      </c>
      <c r="H49" s="46">
        <v>530300</v>
      </c>
      <c r="I49" s="47">
        <v>645195</v>
      </c>
      <c r="J49" s="46">
        <f t="shared" ref="J49:U49" si="137">I49</f>
        <v>645195</v>
      </c>
      <c r="K49" s="46">
        <f t="shared" si="137"/>
        <v>645195</v>
      </c>
      <c r="L49" s="46">
        <f t="shared" si="137"/>
        <v>645195</v>
      </c>
      <c r="M49" s="46">
        <f t="shared" si="137"/>
        <v>645195</v>
      </c>
      <c r="N49" s="46">
        <f t="shared" si="137"/>
        <v>645195</v>
      </c>
      <c r="O49" s="46">
        <f t="shared" si="137"/>
        <v>645195</v>
      </c>
      <c r="P49" s="46">
        <f t="shared" si="137"/>
        <v>645195</v>
      </c>
      <c r="Q49" s="46">
        <f t="shared" si="137"/>
        <v>645195</v>
      </c>
      <c r="R49" s="48">
        <f t="shared" si="137"/>
        <v>645195</v>
      </c>
      <c r="S49" s="45">
        <f t="shared" si="137"/>
        <v>645195</v>
      </c>
      <c r="T49" s="46">
        <f t="shared" si="137"/>
        <v>645195</v>
      </c>
      <c r="U49" s="1211">
        <f t="shared" si="137"/>
        <v>645195</v>
      </c>
      <c r="V49" s="47">
        <v>672150</v>
      </c>
      <c r="W49" s="46">
        <f t="shared" ref="W49:AE49" si="138">V49</f>
        <v>672150</v>
      </c>
      <c r="X49" s="46">
        <f t="shared" si="138"/>
        <v>672150</v>
      </c>
      <c r="Y49" s="46">
        <f t="shared" si="138"/>
        <v>672150</v>
      </c>
      <c r="Z49" s="46">
        <f t="shared" si="138"/>
        <v>672150</v>
      </c>
      <c r="AA49" s="46">
        <f t="shared" si="138"/>
        <v>672150</v>
      </c>
      <c r="AB49" s="46">
        <f t="shared" si="138"/>
        <v>672150</v>
      </c>
      <c r="AC49" s="46">
        <f t="shared" si="138"/>
        <v>672150</v>
      </c>
      <c r="AD49" s="48">
        <f t="shared" si="138"/>
        <v>672150</v>
      </c>
      <c r="AE49" s="45">
        <f t="shared" si="138"/>
        <v>672150</v>
      </c>
      <c r="AF49" s="46">
        <f t="shared" si="127"/>
        <v>672150</v>
      </c>
      <c r="AG49" s="47">
        <f t="shared" si="127"/>
        <v>672150</v>
      </c>
      <c r="AH49" s="46">
        <f t="shared" si="128"/>
        <v>672150</v>
      </c>
      <c r="AI49" s="46">
        <f t="shared" si="128"/>
        <v>672150</v>
      </c>
      <c r="AJ49" s="46">
        <f t="shared" si="128"/>
        <v>672150</v>
      </c>
      <c r="AK49" s="46">
        <f t="shared" si="128"/>
        <v>672150</v>
      </c>
      <c r="AL49" s="46">
        <f t="shared" si="128"/>
        <v>672150</v>
      </c>
      <c r="AM49" s="46">
        <f t="shared" si="128"/>
        <v>672150</v>
      </c>
      <c r="AN49" s="46">
        <f t="shared" si="128"/>
        <v>672150</v>
      </c>
      <c r="AO49" s="46">
        <f t="shared" si="128"/>
        <v>672150</v>
      </c>
      <c r="AP49" s="48">
        <f>AC49</f>
        <v>672150</v>
      </c>
      <c r="AQ49" s="688">
        <f t="shared" ref="AQ49:BB49" si="139">+AP49</f>
        <v>672150</v>
      </c>
      <c r="AR49" s="688">
        <f t="shared" si="139"/>
        <v>672150</v>
      </c>
      <c r="AS49" s="697">
        <f t="shared" si="130"/>
        <v>672150</v>
      </c>
      <c r="AT49" s="688">
        <f t="shared" si="139"/>
        <v>672150</v>
      </c>
      <c r="AU49" s="688">
        <f t="shared" si="139"/>
        <v>672150</v>
      </c>
      <c r="AV49" s="688">
        <f t="shared" si="139"/>
        <v>672150</v>
      </c>
      <c r="AW49" s="688">
        <f t="shared" si="139"/>
        <v>672150</v>
      </c>
      <c r="AX49" s="688">
        <f t="shared" si="139"/>
        <v>672150</v>
      </c>
      <c r="AY49" s="688">
        <f t="shared" si="139"/>
        <v>672150</v>
      </c>
      <c r="AZ49" s="688">
        <f t="shared" si="139"/>
        <v>672150</v>
      </c>
      <c r="BA49" s="688">
        <f t="shared" si="139"/>
        <v>672150</v>
      </c>
      <c r="BB49" s="48">
        <f t="shared" si="139"/>
        <v>672150</v>
      </c>
      <c r="BC49" s="10" t="str">
        <f t="shared" si="119"/>
        <v>DX/부품MES그룹책임(CL3)</v>
      </c>
      <c r="BD49" s="10" t="str">
        <f t="shared" si="120"/>
        <v>DX/부품MES그룹CL2(사원-선임)</v>
      </c>
      <c r="BG49" s="540"/>
      <c r="BH49" s="540"/>
    </row>
    <row r="50" spans="1:76">
      <c r="A50" s="526" t="str">
        <f t="shared" si="112"/>
        <v>DX/부품MES그룹</v>
      </c>
      <c r="B50" s="526" t="str">
        <f>+B49</f>
        <v>DX/부품MES그룹</v>
      </c>
      <c r="C50" s="17" t="s">
        <v>249</v>
      </c>
      <c r="D50" s="18" t="s">
        <v>103</v>
      </c>
      <c r="E50" s="17"/>
      <c r="F50" s="18"/>
      <c r="G50" s="45"/>
      <c r="H50" s="46"/>
      <c r="I50" s="47"/>
      <c r="J50" s="46"/>
      <c r="K50" s="46"/>
      <c r="L50" s="46"/>
      <c r="M50" s="46"/>
      <c r="N50" s="46"/>
      <c r="O50" s="46"/>
      <c r="P50" s="46"/>
      <c r="Q50" s="46"/>
      <c r="R50" s="48"/>
      <c r="S50" s="45"/>
      <c r="T50" s="46"/>
      <c r="U50" s="1211"/>
      <c r="V50" s="47"/>
      <c r="W50" s="46"/>
      <c r="X50" s="46"/>
      <c r="Y50" s="46"/>
      <c r="Z50" s="46"/>
      <c r="AA50" s="46"/>
      <c r="AB50" s="46"/>
      <c r="AC50" s="46"/>
      <c r="AD50" s="48"/>
      <c r="AE50" s="45"/>
      <c r="AF50" s="46"/>
      <c r="AG50" s="47"/>
      <c r="AH50" s="46"/>
      <c r="AI50" s="46"/>
      <c r="AJ50" s="46"/>
      <c r="AK50" s="46"/>
      <c r="AL50" s="46"/>
      <c r="AM50" s="46"/>
      <c r="AN50" s="46"/>
      <c r="AO50" s="46"/>
      <c r="AP50" s="48"/>
      <c r="AQ50" s="688">
        <f t="shared" ref="AQ50:BB50" si="140">+AP50</f>
        <v>0</v>
      </c>
      <c r="AR50" s="688">
        <f t="shared" si="140"/>
        <v>0</v>
      </c>
      <c r="AS50" s="697"/>
      <c r="AT50" s="688">
        <f t="shared" si="140"/>
        <v>0</v>
      </c>
      <c r="AU50" s="688">
        <f t="shared" si="140"/>
        <v>0</v>
      </c>
      <c r="AV50" s="688">
        <f t="shared" si="140"/>
        <v>0</v>
      </c>
      <c r="AW50" s="688">
        <f t="shared" si="140"/>
        <v>0</v>
      </c>
      <c r="AX50" s="688">
        <f t="shared" si="140"/>
        <v>0</v>
      </c>
      <c r="AY50" s="688">
        <f t="shared" si="140"/>
        <v>0</v>
      </c>
      <c r="AZ50" s="688">
        <f t="shared" si="140"/>
        <v>0</v>
      </c>
      <c r="BA50" s="688">
        <f t="shared" si="140"/>
        <v>0</v>
      </c>
      <c r="BB50" s="48">
        <f t="shared" si="140"/>
        <v>0</v>
      </c>
      <c r="BC50" s="10" t="str">
        <f t="shared" si="119"/>
        <v>DX/부품MES그룹선임(CL2)</v>
      </c>
      <c r="BD50" s="10" t="s">
        <v>451</v>
      </c>
      <c r="BG50" s="540"/>
      <c r="BH50" s="540"/>
    </row>
    <row r="51" spans="1:76">
      <c r="A51" s="528" t="str">
        <f t="shared" si="112"/>
        <v>DX/부품MES그룹</v>
      </c>
      <c r="B51" s="528" t="str">
        <f>+B50</f>
        <v>DX/부품MES그룹</v>
      </c>
      <c r="C51" s="19" t="s">
        <v>250</v>
      </c>
      <c r="D51" s="20" t="s">
        <v>104</v>
      </c>
      <c r="E51" s="19"/>
      <c r="F51" s="20"/>
      <c r="G51" s="49"/>
      <c r="H51" s="50"/>
      <c r="I51" s="51"/>
      <c r="J51" s="50"/>
      <c r="K51" s="50"/>
      <c r="L51" s="50"/>
      <c r="M51" s="50"/>
      <c r="N51" s="50"/>
      <c r="O51" s="50"/>
      <c r="P51" s="50"/>
      <c r="Q51" s="50"/>
      <c r="R51" s="52"/>
      <c r="S51" s="49"/>
      <c r="T51" s="50"/>
      <c r="U51" s="1212"/>
      <c r="V51" s="51"/>
      <c r="W51" s="50"/>
      <c r="X51" s="50"/>
      <c r="Y51" s="50"/>
      <c r="Z51" s="50"/>
      <c r="AA51" s="50"/>
      <c r="AB51" s="50"/>
      <c r="AC51" s="50"/>
      <c r="AD51" s="52"/>
      <c r="AE51" s="49"/>
      <c r="AF51" s="50"/>
      <c r="AG51" s="51"/>
      <c r="AH51" s="50"/>
      <c r="AI51" s="50"/>
      <c r="AJ51" s="50"/>
      <c r="AK51" s="50"/>
      <c r="AL51" s="50"/>
      <c r="AM51" s="50"/>
      <c r="AN51" s="50"/>
      <c r="AO51" s="50"/>
      <c r="AP51" s="52"/>
      <c r="AQ51" s="689">
        <f t="shared" ref="AQ51:BB51" si="141">+AP51</f>
        <v>0</v>
      </c>
      <c r="AR51" s="689">
        <f t="shared" si="141"/>
        <v>0</v>
      </c>
      <c r="AS51" s="698"/>
      <c r="AT51" s="689">
        <f t="shared" si="141"/>
        <v>0</v>
      </c>
      <c r="AU51" s="689">
        <f t="shared" si="141"/>
        <v>0</v>
      </c>
      <c r="AV51" s="689">
        <f t="shared" si="141"/>
        <v>0</v>
      </c>
      <c r="AW51" s="689">
        <f t="shared" si="141"/>
        <v>0</v>
      </c>
      <c r="AX51" s="689">
        <f t="shared" si="141"/>
        <v>0</v>
      </c>
      <c r="AY51" s="689">
        <f t="shared" si="141"/>
        <v>0</v>
      </c>
      <c r="AZ51" s="689">
        <f t="shared" si="141"/>
        <v>0</v>
      </c>
      <c r="BA51" s="689">
        <f t="shared" si="141"/>
        <v>0</v>
      </c>
      <c r="BB51" s="52">
        <f t="shared" si="141"/>
        <v>0</v>
      </c>
      <c r="BC51" s="10" t="str">
        <f t="shared" si="119"/>
        <v>DX/부품MES그룹사원(CL1-CL2)</v>
      </c>
      <c r="BD51" s="10" t="s">
        <v>451</v>
      </c>
      <c r="BG51" s="540"/>
      <c r="BH51" s="540"/>
    </row>
    <row r="52" spans="1:76">
      <c r="A52" s="10" t="str">
        <f t="shared" si="112"/>
        <v>DS IT그룹이사</v>
      </c>
      <c r="B52" s="523" t="s">
        <v>1003</v>
      </c>
      <c r="C52" s="525" t="s">
        <v>12</v>
      </c>
      <c r="D52" s="15" t="s">
        <v>105</v>
      </c>
      <c r="E52" s="16" t="s">
        <v>12</v>
      </c>
      <c r="F52" s="15" t="s">
        <v>82</v>
      </c>
      <c r="G52" s="543">
        <v>0</v>
      </c>
      <c r="H52" s="541">
        <v>0</v>
      </c>
      <c r="I52" s="541">
        <f>ROUND(H52*105%,0)</f>
        <v>0</v>
      </c>
      <c r="J52" s="541">
        <f t="shared" ref="J52:U52" si="142">I52</f>
        <v>0</v>
      </c>
      <c r="K52" s="541">
        <f t="shared" si="142"/>
        <v>0</v>
      </c>
      <c r="L52" s="541">
        <f t="shared" si="142"/>
        <v>0</v>
      </c>
      <c r="M52" s="541">
        <f t="shared" si="142"/>
        <v>0</v>
      </c>
      <c r="N52" s="541">
        <f t="shared" si="142"/>
        <v>0</v>
      </c>
      <c r="O52" s="541">
        <f t="shared" si="142"/>
        <v>0</v>
      </c>
      <c r="P52" s="541">
        <f t="shared" si="142"/>
        <v>0</v>
      </c>
      <c r="Q52" s="541">
        <f t="shared" si="142"/>
        <v>0</v>
      </c>
      <c r="R52" s="542">
        <f t="shared" si="142"/>
        <v>0</v>
      </c>
      <c r="S52" s="767">
        <f t="shared" si="142"/>
        <v>0</v>
      </c>
      <c r="T52" s="541">
        <f t="shared" si="142"/>
        <v>0</v>
      </c>
      <c r="U52" s="1210">
        <f t="shared" si="142"/>
        <v>0</v>
      </c>
      <c r="V52" s="43">
        <f t="shared" ref="V52:AG55" si="143">U52</f>
        <v>0</v>
      </c>
      <c r="W52" s="541">
        <f t="shared" si="143"/>
        <v>0</v>
      </c>
      <c r="X52" s="541">
        <f t="shared" si="143"/>
        <v>0</v>
      </c>
      <c r="Y52" s="541">
        <f t="shared" si="143"/>
        <v>0</v>
      </c>
      <c r="Z52" s="541">
        <f t="shared" si="143"/>
        <v>0</v>
      </c>
      <c r="AA52" s="541">
        <f t="shared" si="143"/>
        <v>0</v>
      </c>
      <c r="AB52" s="541">
        <f t="shared" si="143"/>
        <v>0</v>
      </c>
      <c r="AC52" s="541">
        <f t="shared" si="143"/>
        <v>0</v>
      </c>
      <c r="AD52" s="542">
        <f t="shared" si="143"/>
        <v>0</v>
      </c>
      <c r="AE52" s="543">
        <f t="shared" si="143"/>
        <v>0</v>
      </c>
      <c r="AF52" s="541">
        <f t="shared" si="143"/>
        <v>0</v>
      </c>
      <c r="AG52" s="541">
        <f t="shared" si="143"/>
        <v>0</v>
      </c>
      <c r="AH52" s="541">
        <f t="shared" ref="AH52:AO55" si="144">AG52</f>
        <v>0</v>
      </c>
      <c r="AI52" s="541">
        <f t="shared" si="144"/>
        <v>0</v>
      </c>
      <c r="AJ52" s="541">
        <f t="shared" si="144"/>
        <v>0</v>
      </c>
      <c r="AK52" s="541">
        <f t="shared" si="144"/>
        <v>0</v>
      </c>
      <c r="AL52" s="541">
        <f t="shared" si="144"/>
        <v>0</v>
      </c>
      <c r="AM52" s="541">
        <f t="shared" si="144"/>
        <v>0</v>
      </c>
      <c r="AN52" s="541">
        <f t="shared" si="144"/>
        <v>0</v>
      </c>
      <c r="AO52" s="541">
        <f t="shared" si="144"/>
        <v>0</v>
      </c>
      <c r="AP52" s="690">
        <f>AC52</f>
        <v>0</v>
      </c>
      <c r="AQ52" s="690">
        <f t="shared" ref="AQ52:AR57" si="145">+AP52</f>
        <v>0</v>
      </c>
      <c r="AR52" s="690">
        <f t="shared" si="145"/>
        <v>0</v>
      </c>
      <c r="AS52" s="696">
        <f t="shared" ref="AS52" si="146">AR52</f>
        <v>0</v>
      </c>
      <c r="AT52" s="690">
        <f t="shared" ref="AT52:BB52" si="147">+AS52</f>
        <v>0</v>
      </c>
      <c r="AU52" s="690">
        <f t="shared" si="147"/>
        <v>0</v>
      </c>
      <c r="AV52" s="690">
        <f t="shared" si="147"/>
        <v>0</v>
      </c>
      <c r="AW52" s="690">
        <f t="shared" si="147"/>
        <v>0</v>
      </c>
      <c r="AX52" s="690">
        <f t="shared" si="147"/>
        <v>0</v>
      </c>
      <c r="AY52" s="690">
        <f t="shared" si="147"/>
        <v>0</v>
      </c>
      <c r="AZ52" s="690">
        <f t="shared" si="147"/>
        <v>0</v>
      </c>
      <c r="BA52" s="690">
        <f t="shared" si="147"/>
        <v>0</v>
      </c>
      <c r="BB52" s="542">
        <f t="shared" si="147"/>
        <v>0</v>
      </c>
      <c r="BC52" s="10" t="str">
        <f t="shared" si="119"/>
        <v>DS IT그룹이사</v>
      </c>
      <c r="BD52" s="544" t="str">
        <f t="shared" ref="BD52:BD61" si="148">B52&amp;E52</f>
        <v>DS IT그룹이사</v>
      </c>
      <c r="BE52" s="543"/>
      <c r="BF52" s="541"/>
      <c r="BG52" s="541"/>
      <c r="BH52" s="542"/>
      <c r="BI52" s="543"/>
      <c r="BJ52" s="541"/>
      <c r="BK52" s="542"/>
      <c r="BL52" s="545"/>
      <c r="BM52" s="543"/>
      <c r="BN52" s="541"/>
      <c r="BO52" s="542"/>
      <c r="BP52" s="545"/>
      <c r="BQ52" s="546"/>
      <c r="BR52" s="547"/>
      <c r="BS52" s="548"/>
      <c r="BT52" s="549"/>
      <c r="BU52" s="539"/>
      <c r="BV52" s="539"/>
      <c r="BW52" s="544"/>
      <c r="BX52" s="544"/>
    </row>
    <row r="53" spans="1:76">
      <c r="A53" s="10" t="str">
        <f t="shared" si="112"/>
        <v>DS IT그룹CL4(수석)</v>
      </c>
      <c r="B53" s="526" t="str">
        <f>+B52</f>
        <v>DS IT그룹</v>
      </c>
      <c r="C53" s="527" t="s">
        <v>246</v>
      </c>
      <c r="D53" s="18" t="s">
        <v>105</v>
      </c>
      <c r="E53" s="17" t="s">
        <v>445</v>
      </c>
      <c r="F53" s="18" t="s">
        <v>82</v>
      </c>
      <c r="G53" s="552">
        <v>802978</v>
      </c>
      <c r="H53" s="552">
        <v>802978</v>
      </c>
      <c r="I53" s="550">
        <v>917215</v>
      </c>
      <c r="J53" s="550">
        <v>917215</v>
      </c>
      <c r="K53" s="550">
        <v>917215</v>
      </c>
      <c r="L53" s="550">
        <v>917215</v>
      </c>
      <c r="M53" s="550">
        <v>917215</v>
      </c>
      <c r="N53" s="550">
        <v>917215</v>
      </c>
      <c r="O53" s="550">
        <v>917215</v>
      </c>
      <c r="P53" s="550">
        <v>917215</v>
      </c>
      <c r="Q53" s="550">
        <v>917215</v>
      </c>
      <c r="R53" s="551">
        <v>917215</v>
      </c>
      <c r="S53" s="768">
        <v>917215</v>
      </c>
      <c r="T53" s="550">
        <v>917215</v>
      </c>
      <c r="U53" s="1211">
        <v>917215</v>
      </c>
      <c r="V53" s="47">
        <v>869650</v>
      </c>
      <c r="W53" s="550">
        <f t="shared" si="143"/>
        <v>869650</v>
      </c>
      <c r="X53" s="550">
        <f t="shared" si="143"/>
        <v>869650</v>
      </c>
      <c r="Y53" s="550">
        <f t="shared" si="143"/>
        <v>869650</v>
      </c>
      <c r="Z53" s="550">
        <f t="shared" si="143"/>
        <v>869650</v>
      </c>
      <c r="AA53" s="550">
        <f t="shared" si="143"/>
        <v>869650</v>
      </c>
      <c r="AB53" s="550">
        <f t="shared" si="143"/>
        <v>869650</v>
      </c>
      <c r="AC53" s="550">
        <f t="shared" si="143"/>
        <v>869650</v>
      </c>
      <c r="AD53" s="551">
        <f t="shared" si="143"/>
        <v>869650</v>
      </c>
      <c r="AE53" s="552">
        <f t="shared" si="143"/>
        <v>869650</v>
      </c>
      <c r="AF53" s="550">
        <f t="shared" si="143"/>
        <v>869650</v>
      </c>
      <c r="AG53" s="550">
        <v>917215</v>
      </c>
      <c r="AH53" s="550">
        <f t="shared" si="144"/>
        <v>917215</v>
      </c>
      <c r="AI53" s="550">
        <f t="shared" si="144"/>
        <v>917215</v>
      </c>
      <c r="AJ53" s="550">
        <f t="shared" si="144"/>
        <v>917215</v>
      </c>
      <c r="AK53" s="550">
        <f t="shared" si="144"/>
        <v>917215</v>
      </c>
      <c r="AL53" s="550">
        <f t="shared" si="144"/>
        <v>917215</v>
      </c>
      <c r="AM53" s="550">
        <f t="shared" si="144"/>
        <v>917215</v>
      </c>
      <c r="AN53" s="550">
        <f t="shared" si="144"/>
        <v>917215</v>
      </c>
      <c r="AO53" s="550">
        <f t="shared" si="144"/>
        <v>917215</v>
      </c>
      <c r="AP53" s="691">
        <f>AC53</f>
        <v>869650</v>
      </c>
      <c r="AQ53" s="691">
        <f t="shared" si="145"/>
        <v>869650</v>
      </c>
      <c r="AR53" s="691">
        <f t="shared" si="145"/>
        <v>869650</v>
      </c>
      <c r="AS53" s="697">
        <v>917215</v>
      </c>
      <c r="AT53" s="691">
        <f t="shared" ref="AT53:BB53" si="149">+AS53</f>
        <v>917215</v>
      </c>
      <c r="AU53" s="691">
        <f t="shared" si="149"/>
        <v>917215</v>
      </c>
      <c r="AV53" s="691">
        <f t="shared" si="149"/>
        <v>917215</v>
      </c>
      <c r="AW53" s="691">
        <f t="shared" si="149"/>
        <v>917215</v>
      </c>
      <c r="AX53" s="691">
        <f t="shared" si="149"/>
        <v>917215</v>
      </c>
      <c r="AY53" s="691">
        <f t="shared" si="149"/>
        <v>917215</v>
      </c>
      <c r="AZ53" s="691">
        <f t="shared" si="149"/>
        <v>917215</v>
      </c>
      <c r="BA53" s="691">
        <f t="shared" si="149"/>
        <v>917215</v>
      </c>
      <c r="BB53" s="551">
        <f t="shared" si="149"/>
        <v>917215</v>
      </c>
      <c r="BC53" s="10" t="str">
        <f t="shared" si="119"/>
        <v>DS IT그룹수석(CL4)</v>
      </c>
      <c r="BD53" s="544" t="str">
        <f t="shared" si="148"/>
        <v>DS IT그룹CL4(수석)</v>
      </c>
      <c r="BE53" s="552"/>
      <c r="BF53" s="550"/>
      <c r="BG53" s="550"/>
      <c r="BH53" s="551"/>
      <c r="BI53" s="552"/>
      <c r="BJ53" s="550"/>
      <c r="BK53" s="551"/>
      <c r="BL53" s="553"/>
      <c r="BM53" s="552"/>
      <c r="BN53" s="550"/>
      <c r="BO53" s="551"/>
      <c r="BP53" s="553"/>
      <c r="BQ53" s="554"/>
      <c r="BR53" s="555"/>
      <c r="BS53" s="556"/>
      <c r="BT53" s="549"/>
      <c r="BU53" s="539"/>
      <c r="BV53" s="539"/>
      <c r="BW53" s="544"/>
      <c r="BX53" s="544"/>
    </row>
    <row r="54" spans="1:76">
      <c r="A54" s="10" t="str">
        <f t="shared" si="112"/>
        <v>DS IT그룹CL3(책임-수석보)</v>
      </c>
      <c r="B54" s="526" t="str">
        <f>+B53</f>
        <v>DS IT그룹</v>
      </c>
      <c r="C54" s="527" t="s">
        <v>247</v>
      </c>
      <c r="D54" s="18" t="s">
        <v>105</v>
      </c>
      <c r="E54" s="17" t="s">
        <v>455</v>
      </c>
      <c r="F54" s="18" t="s">
        <v>459</v>
      </c>
      <c r="G54" s="552">
        <v>689838</v>
      </c>
      <c r="H54" s="552">
        <v>689838</v>
      </c>
      <c r="I54" s="550">
        <v>783136</v>
      </c>
      <c r="J54" s="550">
        <v>783136</v>
      </c>
      <c r="K54" s="550">
        <v>783136</v>
      </c>
      <c r="L54" s="550">
        <v>783136</v>
      </c>
      <c r="M54" s="550">
        <v>783136</v>
      </c>
      <c r="N54" s="550">
        <v>783136</v>
      </c>
      <c r="O54" s="550">
        <v>783136</v>
      </c>
      <c r="P54" s="550">
        <v>783136</v>
      </c>
      <c r="Q54" s="550">
        <v>783136</v>
      </c>
      <c r="R54" s="551">
        <v>783136</v>
      </c>
      <c r="S54" s="768">
        <v>783136</v>
      </c>
      <c r="T54" s="550">
        <v>783136</v>
      </c>
      <c r="U54" s="1211">
        <v>783136</v>
      </c>
      <c r="V54" s="47">
        <v>756103</v>
      </c>
      <c r="W54" s="550">
        <f t="shared" si="143"/>
        <v>756103</v>
      </c>
      <c r="X54" s="550">
        <f t="shared" si="143"/>
        <v>756103</v>
      </c>
      <c r="Y54" s="550">
        <f t="shared" si="143"/>
        <v>756103</v>
      </c>
      <c r="Z54" s="550">
        <f t="shared" si="143"/>
        <v>756103</v>
      </c>
      <c r="AA54" s="550">
        <f t="shared" si="143"/>
        <v>756103</v>
      </c>
      <c r="AB54" s="550">
        <f t="shared" si="143"/>
        <v>756103</v>
      </c>
      <c r="AC54" s="550">
        <f t="shared" si="143"/>
        <v>756103</v>
      </c>
      <c r="AD54" s="551">
        <f t="shared" si="143"/>
        <v>756103</v>
      </c>
      <c r="AE54" s="552">
        <f t="shared" si="143"/>
        <v>756103</v>
      </c>
      <c r="AF54" s="550">
        <f t="shared" si="143"/>
        <v>756103</v>
      </c>
      <c r="AG54" s="550">
        <v>783136</v>
      </c>
      <c r="AH54" s="550">
        <f t="shared" si="144"/>
        <v>783136</v>
      </c>
      <c r="AI54" s="550">
        <f t="shared" si="144"/>
        <v>783136</v>
      </c>
      <c r="AJ54" s="550">
        <f t="shared" si="144"/>
        <v>783136</v>
      </c>
      <c r="AK54" s="550">
        <f t="shared" si="144"/>
        <v>783136</v>
      </c>
      <c r="AL54" s="550">
        <f t="shared" si="144"/>
        <v>783136</v>
      </c>
      <c r="AM54" s="550">
        <f t="shared" si="144"/>
        <v>783136</v>
      </c>
      <c r="AN54" s="550">
        <f t="shared" si="144"/>
        <v>783136</v>
      </c>
      <c r="AO54" s="550">
        <f t="shared" si="144"/>
        <v>783136</v>
      </c>
      <c r="AP54" s="691">
        <f>AC54</f>
        <v>756103</v>
      </c>
      <c r="AQ54" s="691">
        <f t="shared" si="145"/>
        <v>756103</v>
      </c>
      <c r="AR54" s="691">
        <f t="shared" si="145"/>
        <v>756103</v>
      </c>
      <c r="AS54" s="697">
        <v>783136</v>
      </c>
      <c r="AT54" s="691">
        <f t="shared" ref="AT54:BB54" si="150">+AS54</f>
        <v>783136</v>
      </c>
      <c r="AU54" s="691">
        <f t="shared" si="150"/>
        <v>783136</v>
      </c>
      <c r="AV54" s="691">
        <f t="shared" si="150"/>
        <v>783136</v>
      </c>
      <c r="AW54" s="691">
        <f t="shared" si="150"/>
        <v>783136</v>
      </c>
      <c r="AX54" s="691">
        <f t="shared" si="150"/>
        <v>783136</v>
      </c>
      <c r="AY54" s="691">
        <f t="shared" si="150"/>
        <v>783136</v>
      </c>
      <c r="AZ54" s="691">
        <f t="shared" si="150"/>
        <v>783136</v>
      </c>
      <c r="BA54" s="691">
        <f t="shared" si="150"/>
        <v>783136</v>
      </c>
      <c r="BB54" s="551">
        <f t="shared" si="150"/>
        <v>783136</v>
      </c>
      <c r="BC54" s="10" t="str">
        <f t="shared" si="119"/>
        <v>DS IT그룹수석보(CL3)</v>
      </c>
      <c r="BD54" s="544" t="str">
        <f t="shared" si="148"/>
        <v>DS IT그룹CL3(책임-수석보)</v>
      </c>
      <c r="BE54" s="552"/>
      <c r="BF54" s="550"/>
      <c r="BG54" s="550"/>
      <c r="BH54" s="551"/>
      <c r="BI54" s="552"/>
      <c r="BJ54" s="550"/>
      <c r="BK54" s="551"/>
      <c r="BL54" s="553"/>
      <c r="BM54" s="552"/>
      <c r="BN54" s="550"/>
      <c r="BO54" s="551"/>
      <c r="BP54" s="553"/>
      <c r="BQ54" s="554"/>
      <c r="BR54" s="555"/>
      <c r="BS54" s="556"/>
      <c r="BT54" s="549"/>
      <c r="BU54" s="539"/>
      <c r="BV54" s="539"/>
      <c r="BW54" s="544"/>
      <c r="BX54" s="544"/>
    </row>
    <row r="55" spans="1:76">
      <c r="A55" s="10" t="str">
        <f t="shared" si="112"/>
        <v>DS IT그룹CL2(사원-선임)</v>
      </c>
      <c r="B55" s="526" t="str">
        <f>+B54</f>
        <v>DS IT그룹</v>
      </c>
      <c r="C55" s="527" t="s">
        <v>248</v>
      </c>
      <c r="D55" s="18" t="s">
        <v>102</v>
      </c>
      <c r="E55" s="17" t="s">
        <v>457</v>
      </c>
      <c r="F55" s="18" t="s">
        <v>461</v>
      </c>
      <c r="G55" s="552">
        <v>522377</v>
      </c>
      <c r="H55" s="552">
        <v>522377</v>
      </c>
      <c r="I55" s="550">
        <v>592497</v>
      </c>
      <c r="J55" s="550">
        <v>592497</v>
      </c>
      <c r="K55" s="550">
        <v>592497</v>
      </c>
      <c r="L55" s="550">
        <v>592497</v>
      </c>
      <c r="M55" s="550">
        <v>592497</v>
      </c>
      <c r="N55" s="550">
        <v>592497</v>
      </c>
      <c r="O55" s="550">
        <v>592497</v>
      </c>
      <c r="P55" s="550">
        <v>592497</v>
      </c>
      <c r="Q55" s="550">
        <v>592497</v>
      </c>
      <c r="R55" s="551">
        <v>592497</v>
      </c>
      <c r="S55" s="768">
        <v>592497</v>
      </c>
      <c r="T55" s="550">
        <v>592497</v>
      </c>
      <c r="U55" s="1211">
        <v>592497</v>
      </c>
      <c r="V55" s="47">
        <v>670090</v>
      </c>
      <c r="W55" s="550">
        <f t="shared" si="143"/>
        <v>670090</v>
      </c>
      <c r="X55" s="550">
        <f t="shared" si="143"/>
        <v>670090</v>
      </c>
      <c r="Y55" s="550">
        <f t="shared" si="143"/>
        <v>670090</v>
      </c>
      <c r="Z55" s="550">
        <f t="shared" si="143"/>
        <v>670090</v>
      </c>
      <c r="AA55" s="550">
        <f t="shared" si="143"/>
        <v>670090</v>
      </c>
      <c r="AB55" s="550">
        <f t="shared" si="143"/>
        <v>670090</v>
      </c>
      <c r="AC55" s="550">
        <f t="shared" si="143"/>
        <v>670090</v>
      </c>
      <c r="AD55" s="551">
        <f t="shared" si="143"/>
        <v>670090</v>
      </c>
      <c r="AE55" s="552">
        <f t="shared" si="143"/>
        <v>670090</v>
      </c>
      <c r="AF55" s="550">
        <f t="shared" si="143"/>
        <v>670090</v>
      </c>
      <c r="AG55" s="550">
        <v>592497</v>
      </c>
      <c r="AH55" s="550">
        <f t="shared" si="144"/>
        <v>592497</v>
      </c>
      <c r="AI55" s="550">
        <f t="shared" si="144"/>
        <v>592497</v>
      </c>
      <c r="AJ55" s="550">
        <f t="shared" si="144"/>
        <v>592497</v>
      </c>
      <c r="AK55" s="550">
        <f t="shared" si="144"/>
        <v>592497</v>
      </c>
      <c r="AL55" s="550">
        <f t="shared" si="144"/>
        <v>592497</v>
      </c>
      <c r="AM55" s="550">
        <f t="shared" si="144"/>
        <v>592497</v>
      </c>
      <c r="AN55" s="550">
        <f t="shared" si="144"/>
        <v>592497</v>
      </c>
      <c r="AO55" s="550">
        <f t="shared" si="144"/>
        <v>592497</v>
      </c>
      <c r="AP55" s="691">
        <f>AC55</f>
        <v>670090</v>
      </c>
      <c r="AQ55" s="691">
        <f t="shared" si="145"/>
        <v>670090</v>
      </c>
      <c r="AR55" s="691">
        <f t="shared" si="145"/>
        <v>670090</v>
      </c>
      <c r="AS55" s="697">
        <v>592497</v>
      </c>
      <c r="AT55" s="691">
        <f t="shared" ref="AT55:BB55" si="151">+AS55</f>
        <v>592497</v>
      </c>
      <c r="AU55" s="691">
        <f t="shared" si="151"/>
        <v>592497</v>
      </c>
      <c r="AV55" s="691">
        <f t="shared" si="151"/>
        <v>592497</v>
      </c>
      <c r="AW55" s="691">
        <f t="shared" si="151"/>
        <v>592497</v>
      </c>
      <c r="AX55" s="691">
        <f t="shared" si="151"/>
        <v>592497</v>
      </c>
      <c r="AY55" s="691">
        <f t="shared" si="151"/>
        <v>592497</v>
      </c>
      <c r="AZ55" s="691">
        <f t="shared" si="151"/>
        <v>592497</v>
      </c>
      <c r="BA55" s="691">
        <f t="shared" si="151"/>
        <v>592497</v>
      </c>
      <c r="BB55" s="551">
        <f t="shared" si="151"/>
        <v>592497</v>
      </c>
      <c r="BC55" s="10" t="str">
        <f t="shared" si="119"/>
        <v>DS IT그룹책임(CL3)</v>
      </c>
      <c r="BD55" s="544" t="str">
        <f t="shared" si="148"/>
        <v>DS IT그룹CL2(사원-선임)</v>
      </c>
      <c r="BE55" s="552"/>
      <c r="BF55" s="550"/>
      <c r="BG55" s="550"/>
      <c r="BH55" s="551"/>
      <c r="BI55" s="552"/>
      <c r="BJ55" s="550"/>
      <c r="BK55" s="551"/>
      <c r="BL55" s="553"/>
      <c r="BM55" s="552"/>
      <c r="BN55" s="550"/>
      <c r="BO55" s="551"/>
      <c r="BP55" s="553"/>
      <c r="BQ55" s="554"/>
      <c r="BR55" s="555"/>
      <c r="BS55" s="556"/>
      <c r="BT55" s="549"/>
      <c r="BU55" s="539"/>
      <c r="BV55" s="539"/>
      <c r="BW55" s="544"/>
      <c r="BX55" s="544"/>
    </row>
    <row r="56" spans="1:76">
      <c r="A56" s="10" t="str">
        <f t="shared" si="112"/>
        <v>DS IT그룹</v>
      </c>
      <c r="B56" s="526" t="str">
        <f>+B55</f>
        <v>DS IT그룹</v>
      </c>
      <c r="C56" s="527" t="s">
        <v>249</v>
      </c>
      <c r="D56" s="18" t="s">
        <v>103</v>
      </c>
      <c r="E56" s="17"/>
      <c r="F56" s="18"/>
      <c r="G56" s="45"/>
      <c r="H56" s="46"/>
      <c r="I56" s="47"/>
      <c r="J56" s="46"/>
      <c r="K56" s="46"/>
      <c r="L56" s="46"/>
      <c r="M56" s="46"/>
      <c r="N56" s="46"/>
      <c r="O56" s="46"/>
      <c r="P56" s="46"/>
      <c r="Q56" s="46"/>
      <c r="R56" s="48"/>
      <c r="S56" s="769"/>
      <c r="T56" s="46"/>
      <c r="U56" s="1211"/>
      <c r="V56" s="47"/>
      <c r="W56" s="46"/>
      <c r="X56" s="46"/>
      <c r="Y56" s="46"/>
      <c r="Z56" s="46"/>
      <c r="AA56" s="46"/>
      <c r="AB56" s="46"/>
      <c r="AC56" s="46"/>
      <c r="AD56" s="48"/>
      <c r="AE56" s="45"/>
      <c r="AF56" s="46"/>
      <c r="AG56" s="47"/>
      <c r="AH56" s="46"/>
      <c r="AI56" s="46"/>
      <c r="AJ56" s="46"/>
      <c r="AK56" s="46"/>
      <c r="AL56" s="46"/>
      <c r="AM56" s="46"/>
      <c r="AN56" s="46"/>
      <c r="AO56" s="46"/>
      <c r="AP56" s="688"/>
      <c r="AQ56" s="688">
        <f t="shared" si="145"/>
        <v>0</v>
      </c>
      <c r="AR56" s="688">
        <f t="shared" si="145"/>
        <v>0</v>
      </c>
      <c r="AS56" s="697"/>
      <c r="AT56" s="688">
        <f t="shared" ref="AT56:BB56" si="152">+AS56</f>
        <v>0</v>
      </c>
      <c r="AU56" s="688">
        <f t="shared" si="152"/>
        <v>0</v>
      </c>
      <c r="AV56" s="688">
        <f t="shared" si="152"/>
        <v>0</v>
      </c>
      <c r="AW56" s="688">
        <f t="shared" si="152"/>
        <v>0</v>
      </c>
      <c r="AX56" s="688">
        <f t="shared" si="152"/>
        <v>0</v>
      </c>
      <c r="AY56" s="688">
        <f t="shared" si="152"/>
        <v>0</v>
      </c>
      <c r="AZ56" s="688">
        <f t="shared" si="152"/>
        <v>0</v>
      </c>
      <c r="BA56" s="688">
        <f t="shared" si="152"/>
        <v>0</v>
      </c>
      <c r="BB56" s="48">
        <f t="shared" si="152"/>
        <v>0</v>
      </c>
      <c r="BC56" s="10" t="str">
        <f t="shared" si="119"/>
        <v>DS IT그룹선임(CL2)</v>
      </c>
      <c r="BD56" s="544" t="str">
        <f t="shared" si="148"/>
        <v>DS IT그룹</v>
      </c>
      <c r="BE56" s="45"/>
      <c r="BF56" s="46"/>
      <c r="BG56" s="46"/>
      <c r="BH56" s="48"/>
      <c r="BI56" s="45"/>
      <c r="BJ56" s="46"/>
      <c r="BK56" s="48"/>
      <c r="BL56" s="496"/>
      <c r="BM56" s="45"/>
      <c r="BN56" s="46"/>
      <c r="BO56" s="48"/>
      <c r="BP56" s="496"/>
      <c r="BQ56" s="487"/>
      <c r="BR56" s="481"/>
      <c r="BS56" s="473"/>
      <c r="BT56" s="13"/>
      <c r="BU56" s="531"/>
      <c r="BV56" s="531"/>
    </row>
    <row r="57" spans="1:76">
      <c r="A57" s="10" t="str">
        <f t="shared" si="112"/>
        <v>DS IT그룹</v>
      </c>
      <c r="B57" s="528" t="str">
        <f>+B56</f>
        <v>DS IT그룹</v>
      </c>
      <c r="C57" s="529" t="s">
        <v>250</v>
      </c>
      <c r="D57" s="20" t="s">
        <v>104</v>
      </c>
      <c r="E57" s="19"/>
      <c r="F57" s="20"/>
      <c r="G57" s="49"/>
      <c r="H57" s="50"/>
      <c r="I57" s="51"/>
      <c r="J57" s="50"/>
      <c r="K57" s="50"/>
      <c r="L57" s="50"/>
      <c r="M57" s="50"/>
      <c r="N57" s="50"/>
      <c r="O57" s="50"/>
      <c r="P57" s="50"/>
      <c r="Q57" s="50"/>
      <c r="R57" s="52"/>
      <c r="S57" s="770"/>
      <c r="T57" s="50"/>
      <c r="U57" s="1212"/>
      <c r="V57" s="51"/>
      <c r="W57" s="50"/>
      <c r="X57" s="50"/>
      <c r="Y57" s="50"/>
      <c r="Z57" s="50"/>
      <c r="AA57" s="50"/>
      <c r="AB57" s="50"/>
      <c r="AC57" s="50"/>
      <c r="AD57" s="52"/>
      <c r="AE57" s="49"/>
      <c r="AF57" s="50"/>
      <c r="AG57" s="51"/>
      <c r="AH57" s="50"/>
      <c r="AI57" s="50"/>
      <c r="AJ57" s="50"/>
      <c r="AK57" s="50"/>
      <c r="AL57" s="50"/>
      <c r="AM57" s="50"/>
      <c r="AN57" s="50"/>
      <c r="AO57" s="50"/>
      <c r="AP57" s="689"/>
      <c r="AQ57" s="689">
        <f t="shared" si="145"/>
        <v>0</v>
      </c>
      <c r="AR57" s="689">
        <f t="shared" si="145"/>
        <v>0</v>
      </c>
      <c r="AS57" s="698"/>
      <c r="AT57" s="689">
        <f t="shared" ref="AT57:BB57" si="153">+AS57</f>
        <v>0</v>
      </c>
      <c r="AU57" s="689">
        <f t="shared" si="153"/>
        <v>0</v>
      </c>
      <c r="AV57" s="689">
        <f t="shared" si="153"/>
        <v>0</v>
      </c>
      <c r="AW57" s="689">
        <f t="shared" si="153"/>
        <v>0</v>
      </c>
      <c r="AX57" s="689">
        <f t="shared" si="153"/>
        <v>0</v>
      </c>
      <c r="AY57" s="689">
        <f t="shared" si="153"/>
        <v>0</v>
      </c>
      <c r="AZ57" s="689">
        <f t="shared" si="153"/>
        <v>0</v>
      </c>
      <c r="BA57" s="689">
        <f t="shared" si="153"/>
        <v>0</v>
      </c>
      <c r="BB57" s="52">
        <f t="shared" si="153"/>
        <v>0</v>
      </c>
      <c r="BC57" s="10" t="str">
        <f t="shared" si="119"/>
        <v>DS IT그룹사원(CL1-CL2)</v>
      </c>
      <c r="BD57" s="544" t="str">
        <f t="shared" si="148"/>
        <v>DS IT그룹</v>
      </c>
      <c r="BE57" s="49"/>
      <c r="BF57" s="50"/>
      <c r="BG57" s="50"/>
      <c r="BH57" s="52"/>
      <c r="BI57" s="49"/>
      <c r="BJ57" s="50"/>
      <c r="BK57" s="52"/>
      <c r="BL57" s="497"/>
      <c r="BM57" s="49"/>
      <c r="BN57" s="50"/>
      <c r="BO57" s="52"/>
      <c r="BP57" s="497"/>
      <c r="BQ57" s="488"/>
      <c r="BR57" s="482"/>
      <c r="BS57" s="474"/>
      <c r="BT57" s="13"/>
      <c r="BU57" s="531"/>
      <c r="BV57" s="531"/>
    </row>
    <row r="58" spans="1:76">
      <c r="A58" s="523" t="str">
        <f t="shared" si="112"/>
        <v>제조 IT그룹이사</v>
      </c>
      <c r="B58" s="523" t="s">
        <v>1004</v>
      </c>
      <c r="C58" s="16" t="s">
        <v>12</v>
      </c>
      <c r="D58" s="15" t="s">
        <v>105</v>
      </c>
      <c r="E58" s="16" t="s">
        <v>12</v>
      </c>
      <c r="F58" s="15" t="s">
        <v>82</v>
      </c>
      <c r="G58" s="41">
        <v>1708780</v>
      </c>
      <c r="H58" s="42">
        <v>1708780</v>
      </c>
      <c r="I58" s="43">
        <v>1936088</v>
      </c>
      <c r="J58" s="42">
        <f t="shared" ref="J58:U58" si="154">I58</f>
        <v>1936088</v>
      </c>
      <c r="K58" s="42">
        <f t="shared" si="154"/>
        <v>1936088</v>
      </c>
      <c r="L58" s="42">
        <f t="shared" si="154"/>
        <v>1936088</v>
      </c>
      <c r="M58" s="42">
        <f t="shared" si="154"/>
        <v>1936088</v>
      </c>
      <c r="N58" s="42">
        <f t="shared" si="154"/>
        <v>1936088</v>
      </c>
      <c r="O58" s="42">
        <f t="shared" si="154"/>
        <v>1936088</v>
      </c>
      <c r="P58" s="42">
        <f t="shared" si="154"/>
        <v>1936088</v>
      </c>
      <c r="Q58" s="42">
        <f t="shared" si="154"/>
        <v>1936088</v>
      </c>
      <c r="R58" s="44"/>
      <c r="S58" s="41">
        <f t="shared" si="154"/>
        <v>0</v>
      </c>
      <c r="T58" s="42">
        <f t="shared" si="154"/>
        <v>0</v>
      </c>
      <c r="U58" s="1210">
        <f t="shared" si="154"/>
        <v>0</v>
      </c>
      <c r="V58" s="43">
        <f t="shared" ref="V58:AE58" si="155">U58</f>
        <v>0</v>
      </c>
      <c r="W58" s="42">
        <f t="shared" si="155"/>
        <v>0</v>
      </c>
      <c r="X58" s="42">
        <f t="shared" si="155"/>
        <v>0</v>
      </c>
      <c r="Y58" s="42">
        <f t="shared" si="155"/>
        <v>0</v>
      </c>
      <c r="Z58" s="42">
        <f t="shared" si="155"/>
        <v>0</v>
      </c>
      <c r="AA58" s="42">
        <f t="shared" si="155"/>
        <v>0</v>
      </c>
      <c r="AB58" s="42">
        <f t="shared" si="155"/>
        <v>0</v>
      </c>
      <c r="AC58" s="42">
        <f t="shared" si="155"/>
        <v>0</v>
      </c>
      <c r="AD58" s="44">
        <f t="shared" si="155"/>
        <v>0</v>
      </c>
      <c r="AE58" s="41">
        <f t="shared" si="155"/>
        <v>0</v>
      </c>
      <c r="AF58" s="42">
        <f t="shared" ref="AF58:AG61" si="156">AE58</f>
        <v>0</v>
      </c>
      <c r="AG58" s="43">
        <f t="shared" si="156"/>
        <v>0</v>
      </c>
      <c r="AH58" s="42">
        <f t="shared" ref="AH58:AO61" si="157">AG58</f>
        <v>0</v>
      </c>
      <c r="AI58" s="42">
        <f t="shared" si="157"/>
        <v>0</v>
      </c>
      <c r="AJ58" s="42">
        <f t="shared" si="157"/>
        <v>0</v>
      </c>
      <c r="AK58" s="42">
        <f t="shared" si="157"/>
        <v>0</v>
      </c>
      <c r="AL58" s="42">
        <f t="shared" si="157"/>
        <v>0</v>
      </c>
      <c r="AM58" s="42">
        <f t="shared" si="157"/>
        <v>0</v>
      </c>
      <c r="AN58" s="42">
        <f t="shared" si="157"/>
        <v>0</v>
      </c>
      <c r="AO58" s="42">
        <f t="shared" si="157"/>
        <v>0</v>
      </c>
      <c r="AP58" s="44">
        <f>AC58</f>
        <v>0</v>
      </c>
      <c r="AQ58" s="687">
        <f t="shared" ref="AQ58:BB58" si="158">+AP58</f>
        <v>0</v>
      </c>
      <c r="AR58" s="687">
        <f t="shared" si="158"/>
        <v>0</v>
      </c>
      <c r="AS58" s="696">
        <f t="shared" ref="AS58:AS61" si="159">AR58</f>
        <v>0</v>
      </c>
      <c r="AT58" s="687">
        <f t="shared" si="158"/>
        <v>0</v>
      </c>
      <c r="AU58" s="687">
        <f t="shared" si="158"/>
        <v>0</v>
      </c>
      <c r="AV58" s="687">
        <f t="shared" si="158"/>
        <v>0</v>
      </c>
      <c r="AW58" s="687">
        <f t="shared" si="158"/>
        <v>0</v>
      </c>
      <c r="AX58" s="687">
        <f t="shared" si="158"/>
        <v>0</v>
      </c>
      <c r="AY58" s="687">
        <f t="shared" si="158"/>
        <v>0</v>
      </c>
      <c r="AZ58" s="687">
        <f t="shared" si="158"/>
        <v>0</v>
      </c>
      <c r="BA58" s="687">
        <f t="shared" si="158"/>
        <v>0</v>
      </c>
      <c r="BB58" s="44">
        <f t="shared" si="158"/>
        <v>0</v>
      </c>
      <c r="BC58" s="10" t="str">
        <f t="shared" si="119"/>
        <v>제조 IT그룹이사</v>
      </c>
      <c r="BD58" s="10" t="str">
        <f t="shared" si="148"/>
        <v>제조 IT그룹이사</v>
      </c>
      <c r="BG58" s="540"/>
      <c r="BH58" s="540"/>
    </row>
    <row r="59" spans="1:76">
      <c r="A59" s="526" t="str">
        <f t="shared" si="112"/>
        <v>제조 IT그룹CL4(수석)</v>
      </c>
      <c r="B59" s="526" t="str">
        <f>+B58</f>
        <v>제조 IT그룹</v>
      </c>
      <c r="C59" s="17" t="s">
        <v>246</v>
      </c>
      <c r="D59" s="18" t="s">
        <v>110</v>
      </c>
      <c r="E59" s="17" t="s">
        <v>445</v>
      </c>
      <c r="F59" s="18" t="s">
        <v>82</v>
      </c>
      <c r="G59" s="45">
        <v>850073</v>
      </c>
      <c r="H59" s="46">
        <v>850073</v>
      </c>
      <c r="I59" s="47">
        <v>930975</v>
      </c>
      <c r="J59" s="46">
        <f t="shared" ref="J59:U59" si="160">I59</f>
        <v>930975</v>
      </c>
      <c r="K59" s="46">
        <f t="shared" si="160"/>
        <v>930975</v>
      </c>
      <c r="L59" s="46">
        <f t="shared" si="160"/>
        <v>930975</v>
      </c>
      <c r="M59" s="46">
        <f t="shared" si="160"/>
        <v>930975</v>
      </c>
      <c r="N59" s="46">
        <f t="shared" si="160"/>
        <v>930975</v>
      </c>
      <c r="O59" s="46">
        <f t="shared" si="160"/>
        <v>930975</v>
      </c>
      <c r="P59" s="46">
        <f t="shared" si="160"/>
        <v>930975</v>
      </c>
      <c r="Q59" s="46">
        <f t="shared" si="160"/>
        <v>930975</v>
      </c>
      <c r="R59" s="48">
        <v>916273</v>
      </c>
      <c r="S59" s="45">
        <f t="shared" si="160"/>
        <v>916273</v>
      </c>
      <c r="T59" s="46">
        <f t="shared" si="160"/>
        <v>916273</v>
      </c>
      <c r="U59" s="1211">
        <f t="shared" si="160"/>
        <v>916273</v>
      </c>
      <c r="V59" s="47">
        <v>870538</v>
      </c>
      <c r="W59" s="46">
        <f t="shared" ref="W59:AE59" si="161">V59</f>
        <v>870538</v>
      </c>
      <c r="X59" s="46">
        <f t="shared" si="161"/>
        <v>870538</v>
      </c>
      <c r="Y59" s="46">
        <f t="shared" si="161"/>
        <v>870538</v>
      </c>
      <c r="Z59" s="46">
        <f t="shared" si="161"/>
        <v>870538</v>
      </c>
      <c r="AA59" s="46">
        <f t="shared" si="161"/>
        <v>870538</v>
      </c>
      <c r="AB59" s="46">
        <f t="shared" si="161"/>
        <v>870538</v>
      </c>
      <c r="AC59" s="46">
        <f t="shared" si="161"/>
        <v>870538</v>
      </c>
      <c r="AD59" s="48">
        <f t="shared" si="161"/>
        <v>870538</v>
      </c>
      <c r="AE59" s="45">
        <f t="shared" si="161"/>
        <v>870538</v>
      </c>
      <c r="AF59" s="46">
        <f t="shared" si="156"/>
        <v>870538</v>
      </c>
      <c r="AG59" s="47">
        <f t="shared" si="156"/>
        <v>870538</v>
      </c>
      <c r="AH59" s="46">
        <f t="shared" si="157"/>
        <v>870538</v>
      </c>
      <c r="AI59" s="46">
        <f t="shared" si="157"/>
        <v>870538</v>
      </c>
      <c r="AJ59" s="46">
        <f t="shared" si="157"/>
        <v>870538</v>
      </c>
      <c r="AK59" s="46">
        <f t="shared" si="157"/>
        <v>870538</v>
      </c>
      <c r="AL59" s="46">
        <f t="shared" si="157"/>
        <v>870538</v>
      </c>
      <c r="AM59" s="46">
        <f t="shared" si="157"/>
        <v>870538</v>
      </c>
      <c r="AN59" s="46">
        <f t="shared" si="157"/>
        <v>870538</v>
      </c>
      <c r="AO59" s="46">
        <f t="shared" si="157"/>
        <v>870538</v>
      </c>
      <c r="AP59" s="48">
        <f>AC59</f>
        <v>870538</v>
      </c>
      <c r="AQ59" s="688">
        <f t="shared" ref="AQ59:BB59" si="162">+AP59</f>
        <v>870538</v>
      </c>
      <c r="AR59" s="688">
        <f t="shared" si="162"/>
        <v>870538</v>
      </c>
      <c r="AS59" s="697">
        <f t="shared" si="159"/>
        <v>870538</v>
      </c>
      <c r="AT59" s="688">
        <f t="shared" si="162"/>
        <v>870538</v>
      </c>
      <c r="AU59" s="688">
        <f t="shared" si="162"/>
        <v>870538</v>
      </c>
      <c r="AV59" s="688">
        <f t="shared" si="162"/>
        <v>870538</v>
      </c>
      <c r="AW59" s="688">
        <f t="shared" si="162"/>
        <v>870538</v>
      </c>
      <c r="AX59" s="688">
        <f t="shared" si="162"/>
        <v>870538</v>
      </c>
      <c r="AY59" s="688">
        <f t="shared" si="162"/>
        <v>870538</v>
      </c>
      <c r="AZ59" s="688">
        <f t="shared" si="162"/>
        <v>870538</v>
      </c>
      <c r="BA59" s="688">
        <f t="shared" si="162"/>
        <v>870538</v>
      </c>
      <c r="BB59" s="48">
        <f t="shared" si="162"/>
        <v>870538</v>
      </c>
      <c r="BC59" s="10" t="str">
        <f t="shared" si="119"/>
        <v>제조 IT그룹수석(CL4)</v>
      </c>
      <c r="BD59" s="10" t="str">
        <f t="shared" si="148"/>
        <v>제조 IT그룹CL4(수석)</v>
      </c>
      <c r="BG59" s="540"/>
      <c r="BH59" s="540"/>
    </row>
    <row r="60" spans="1:76">
      <c r="A60" s="526" t="str">
        <f t="shared" si="112"/>
        <v>제조 IT그룹CL3(책임-수석보)</v>
      </c>
      <c r="B60" s="526" t="str">
        <f>+B59</f>
        <v>제조 IT그룹</v>
      </c>
      <c r="C60" s="17" t="s">
        <v>247</v>
      </c>
      <c r="D60" s="18" t="s">
        <v>110</v>
      </c>
      <c r="E60" s="17" t="s">
        <v>455</v>
      </c>
      <c r="F60" s="18" t="s">
        <v>459</v>
      </c>
      <c r="G60" s="45">
        <v>706355</v>
      </c>
      <c r="H60" s="46">
        <v>706355</v>
      </c>
      <c r="I60" s="47">
        <v>821867</v>
      </c>
      <c r="J60" s="46">
        <f t="shared" ref="J60:U60" si="163">I60</f>
        <v>821867</v>
      </c>
      <c r="K60" s="46">
        <f t="shared" si="163"/>
        <v>821867</v>
      </c>
      <c r="L60" s="46">
        <f t="shared" si="163"/>
        <v>821867</v>
      </c>
      <c r="M60" s="46">
        <f t="shared" si="163"/>
        <v>821867</v>
      </c>
      <c r="N60" s="46">
        <f t="shared" si="163"/>
        <v>821867</v>
      </c>
      <c r="O60" s="46">
        <f t="shared" si="163"/>
        <v>821867</v>
      </c>
      <c r="P60" s="46">
        <f t="shared" si="163"/>
        <v>821867</v>
      </c>
      <c r="Q60" s="46">
        <f t="shared" si="163"/>
        <v>821867</v>
      </c>
      <c r="R60" s="48">
        <v>796418</v>
      </c>
      <c r="S60" s="45">
        <f t="shared" si="163"/>
        <v>796418</v>
      </c>
      <c r="T60" s="46">
        <f t="shared" si="163"/>
        <v>796418</v>
      </c>
      <c r="U60" s="1211">
        <f t="shared" si="163"/>
        <v>796418</v>
      </c>
      <c r="V60" s="47">
        <v>764057</v>
      </c>
      <c r="W60" s="46">
        <f t="shared" ref="W60:AE60" si="164">V60</f>
        <v>764057</v>
      </c>
      <c r="X60" s="46">
        <f t="shared" si="164"/>
        <v>764057</v>
      </c>
      <c r="Y60" s="46">
        <f t="shared" si="164"/>
        <v>764057</v>
      </c>
      <c r="Z60" s="46">
        <f t="shared" si="164"/>
        <v>764057</v>
      </c>
      <c r="AA60" s="46">
        <f t="shared" si="164"/>
        <v>764057</v>
      </c>
      <c r="AB60" s="46">
        <f t="shared" si="164"/>
        <v>764057</v>
      </c>
      <c r="AC60" s="46">
        <f t="shared" si="164"/>
        <v>764057</v>
      </c>
      <c r="AD60" s="48">
        <f t="shared" si="164"/>
        <v>764057</v>
      </c>
      <c r="AE60" s="45">
        <f t="shared" si="164"/>
        <v>764057</v>
      </c>
      <c r="AF60" s="46">
        <f t="shared" si="156"/>
        <v>764057</v>
      </c>
      <c r="AG60" s="47">
        <f t="shared" si="156"/>
        <v>764057</v>
      </c>
      <c r="AH60" s="46">
        <f t="shared" si="157"/>
        <v>764057</v>
      </c>
      <c r="AI60" s="46">
        <f t="shared" si="157"/>
        <v>764057</v>
      </c>
      <c r="AJ60" s="46">
        <f t="shared" si="157"/>
        <v>764057</v>
      </c>
      <c r="AK60" s="46">
        <f t="shared" si="157"/>
        <v>764057</v>
      </c>
      <c r="AL60" s="46">
        <f t="shared" si="157"/>
        <v>764057</v>
      </c>
      <c r="AM60" s="46">
        <f t="shared" si="157"/>
        <v>764057</v>
      </c>
      <c r="AN60" s="46">
        <f t="shared" si="157"/>
        <v>764057</v>
      </c>
      <c r="AO60" s="46">
        <f t="shared" si="157"/>
        <v>764057</v>
      </c>
      <c r="AP60" s="48">
        <f>AC60</f>
        <v>764057</v>
      </c>
      <c r="AQ60" s="688">
        <f t="shared" ref="AQ60:BB60" si="165">+AP60</f>
        <v>764057</v>
      </c>
      <c r="AR60" s="688">
        <f t="shared" si="165"/>
        <v>764057</v>
      </c>
      <c r="AS60" s="697">
        <f t="shared" si="159"/>
        <v>764057</v>
      </c>
      <c r="AT60" s="688">
        <f t="shared" si="165"/>
        <v>764057</v>
      </c>
      <c r="AU60" s="688">
        <f t="shared" si="165"/>
        <v>764057</v>
      </c>
      <c r="AV60" s="688">
        <f t="shared" si="165"/>
        <v>764057</v>
      </c>
      <c r="AW60" s="688">
        <f t="shared" si="165"/>
        <v>764057</v>
      </c>
      <c r="AX60" s="688">
        <f t="shared" si="165"/>
        <v>764057</v>
      </c>
      <c r="AY60" s="688">
        <f t="shared" si="165"/>
        <v>764057</v>
      </c>
      <c r="AZ60" s="688">
        <f t="shared" si="165"/>
        <v>764057</v>
      </c>
      <c r="BA60" s="688">
        <f t="shared" si="165"/>
        <v>764057</v>
      </c>
      <c r="BB60" s="48">
        <f t="shared" si="165"/>
        <v>764057</v>
      </c>
      <c r="BC60" s="10" t="str">
        <f t="shared" si="119"/>
        <v>제조 IT그룹수석보(CL3)</v>
      </c>
      <c r="BD60" s="10" t="str">
        <f t="shared" si="148"/>
        <v>제조 IT그룹CL3(책임-수석보)</v>
      </c>
      <c r="BG60" s="540"/>
      <c r="BH60" s="540"/>
    </row>
    <row r="61" spans="1:76">
      <c r="A61" s="526" t="str">
        <f t="shared" si="112"/>
        <v>제조 IT그룹CL2(사원-선임)</v>
      </c>
      <c r="B61" s="526" t="str">
        <f>+B60</f>
        <v>제조 IT그룹</v>
      </c>
      <c r="C61" s="17" t="s">
        <v>248</v>
      </c>
      <c r="D61" s="18" t="s">
        <v>111</v>
      </c>
      <c r="E61" s="17" t="s">
        <v>457</v>
      </c>
      <c r="F61" s="18" t="s">
        <v>461</v>
      </c>
      <c r="G61" s="45">
        <v>550062</v>
      </c>
      <c r="H61" s="46">
        <v>550062</v>
      </c>
      <c r="I61" s="47">
        <v>626582</v>
      </c>
      <c r="J61" s="46">
        <f t="shared" ref="J61:U61" si="166">I61</f>
        <v>626582</v>
      </c>
      <c r="K61" s="46">
        <f t="shared" si="166"/>
        <v>626582</v>
      </c>
      <c r="L61" s="46">
        <f t="shared" si="166"/>
        <v>626582</v>
      </c>
      <c r="M61" s="46">
        <f t="shared" si="166"/>
        <v>626582</v>
      </c>
      <c r="N61" s="46">
        <f t="shared" si="166"/>
        <v>626582</v>
      </c>
      <c r="O61" s="46">
        <f t="shared" si="166"/>
        <v>626582</v>
      </c>
      <c r="P61" s="46">
        <f t="shared" si="166"/>
        <v>626582</v>
      </c>
      <c r="Q61" s="46">
        <f t="shared" si="166"/>
        <v>626582</v>
      </c>
      <c r="R61" s="48">
        <f t="shared" si="166"/>
        <v>626582</v>
      </c>
      <c r="S61" s="45">
        <f t="shared" si="166"/>
        <v>626582</v>
      </c>
      <c r="T61" s="46">
        <f t="shared" si="166"/>
        <v>626582</v>
      </c>
      <c r="U61" s="1211">
        <f t="shared" si="166"/>
        <v>626582</v>
      </c>
      <c r="V61" s="47">
        <v>629928</v>
      </c>
      <c r="W61" s="46">
        <f t="shared" ref="W61:AE61" si="167">V61</f>
        <v>629928</v>
      </c>
      <c r="X61" s="46">
        <f t="shared" si="167"/>
        <v>629928</v>
      </c>
      <c r="Y61" s="46">
        <f t="shared" si="167"/>
        <v>629928</v>
      </c>
      <c r="Z61" s="46">
        <f t="shared" si="167"/>
        <v>629928</v>
      </c>
      <c r="AA61" s="46">
        <f t="shared" si="167"/>
        <v>629928</v>
      </c>
      <c r="AB61" s="46">
        <f t="shared" si="167"/>
        <v>629928</v>
      </c>
      <c r="AC61" s="46">
        <f t="shared" si="167"/>
        <v>629928</v>
      </c>
      <c r="AD61" s="48">
        <f t="shared" si="167"/>
        <v>629928</v>
      </c>
      <c r="AE61" s="45">
        <f t="shared" si="167"/>
        <v>629928</v>
      </c>
      <c r="AF61" s="46">
        <f t="shared" si="156"/>
        <v>629928</v>
      </c>
      <c r="AG61" s="47">
        <f t="shared" si="156"/>
        <v>629928</v>
      </c>
      <c r="AH61" s="46">
        <f t="shared" si="157"/>
        <v>629928</v>
      </c>
      <c r="AI61" s="46">
        <f t="shared" si="157"/>
        <v>629928</v>
      </c>
      <c r="AJ61" s="46">
        <f t="shared" si="157"/>
        <v>629928</v>
      </c>
      <c r="AK61" s="46">
        <f t="shared" si="157"/>
        <v>629928</v>
      </c>
      <c r="AL61" s="46">
        <f t="shared" si="157"/>
        <v>629928</v>
      </c>
      <c r="AM61" s="46">
        <f t="shared" si="157"/>
        <v>629928</v>
      </c>
      <c r="AN61" s="46">
        <f t="shared" si="157"/>
        <v>629928</v>
      </c>
      <c r="AO61" s="46">
        <f t="shared" si="157"/>
        <v>629928</v>
      </c>
      <c r="AP61" s="48">
        <f>AC61</f>
        <v>629928</v>
      </c>
      <c r="AQ61" s="688">
        <f t="shared" ref="AQ61:BB61" si="168">+AP61</f>
        <v>629928</v>
      </c>
      <c r="AR61" s="688">
        <f t="shared" si="168"/>
        <v>629928</v>
      </c>
      <c r="AS61" s="697">
        <f t="shared" si="159"/>
        <v>629928</v>
      </c>
      <c r="AT61" s="688">
        <f t="shared" si="168"/>
        <v>629928</v>
      </c>
      <c r="AU61" s="688">
        <f t="shared" si="168"/>
        <v>629928</v>
      </c>
      <c r="AV61" s="688">
        <f t="shared" si="168"/>
        <v>629928</v>
      </c>
      <c r="AW61" s="688">
        <f t="shared" si="168"/>
        <v>629928</v>
      </c>
      <c r="AX61" s="688">
        <f t="shared" si="168"/>
        <v>629928</v>
      </c>
      <c r="AY61" s="688">
        <f t="shared" si="168"/>
        <v>629928</v>
      </c>
      <c r="AZ61" s="688">
        <f t="shared" si="168"/>
        <v>629928</v>
      </c>
      <c r="BA61" s="688">
        <f t="shared" si="168"/>
        <v>629928</v>
      </c>
      <c r="BB61" s="48">
        <f t="shared" si="168"/>
        <v>629928</v>
      </c>
      <c r="BC61" s="10" t="str">
        <f t="shared" si="119"/>
        <v>제조 IT그룹책임(CL3)</v>
      </c>
      <c r="BD61" s="10" t="str">
        <f t="shared" si="148"/>
        <v>제조 IT그룹CL2(사원-선임)</v>
      </c>
      <c r="BG61" s="540"/>
      <c r="BH61" s="540"/>
    </row>
    <row r="62" spans="1:76">
      <c r="A62" s="526" t="str">
        <f t="shared" si="112"/>
        <v>제조 IT그룹</v>
      </c>
      <c r="B62" s="526" t="str">
        <f>+B61</f>
        <v>제조 IT그룹</v>
      </c>
      <c r="C62" s="17" t="s">
        <v>249</v>
      </c>
      <c r="D62" s="18" t="s">
        <v>112</v>
      </c>
      <c r="E62" s="17"/>
      <c r="F62" s="18"/>
      <c r="G62" s="45"/>
      <c r="H62" s="46"/>
      <c r="I62" s="47"/>
      <c r="J62" s="46"/>
      <c r="K62" s="46"/>
      <c r="L62" s="46"/>
      <c r="M62" s="46"/>
      <c r="N62" s="46"/>
      <c r="O62" s="46"/>
      <c r="P62" s="46"/>
      <c r="Q62" s="46"/>
      <c r="R62" s="48"/>
      <c r="S62" s="45"/>
      <c r="T62" s="46"/>
      <c r="U62" s="1211"/>
      <c r="V62" s="47"/>
      <c r="W62" s="46"/>
      <c r="X62" s="46"/>
      <c r="Y62" s="46"/>
      <c r="Z62" s="46"/>
      <c r="AA62" s="46"/>
      <c r="AB62" s="46"/>
      <c r="AC62" s="46"/>
      <c r="AD62" s="48"/>
      <c r="AE62" s="45"/>
      <c r="AF62" s="46"/>
      <c r="AG62" s="47"/>
      <c r="AH62" s="46"/>
      <c r="AI62" s="46"/>
      <c r="AJ62" s="46"/>
      <c r="AK62" s="46"/>
      <c r="AL62" s="46"/>
      <c r="AM62" s="46"/>
      <c r="AN62" s="46"/>
      <c r="AO62" s="46"/>
      <c r="AP62" s="48"/>
      <c r="AQ62" s="688">
        <f t="shared" ref="AQ62:BB62" si="169">+AP62</f>
        <v>0</v>
      </c>
      <c r="AR62" s="688">
        <f t="shared" si="169"/>
        <v>0</v>
      </c>
      <c r="AS62" s="697"/>
      <c r="AT62" s="688">
        <f t="shared" si="169"/>
        <v>0</v>
      </c>
      <c r="AU62" s="688">
        <f t="shared" si="169"/>
        <v>0</v>
      </c>
      <c r="AV62" s="688">
        <f t="shared" si="169"/>
        <v>0</v>
      </c>
      <c r="AW62" s="688">
        <f t="shared" si="169"/>
        <v>0</v>
      </c>
      <c r="AX62" s="688">
        <f t="shared" si="169"/>
        <v>0</v>
      </c>
      <c r="AY62" s="688">
        <f t="shared" si="169"/>
        <v>0</v>
      </c>
      <c r="AZ62" s="688">
        <f t="shared" si="169"/>
        <v>0</v>
      </c>
      <c r="BA62" s="688">
        <f t="shared" si="169"/>
        <v>0</v>
      </c>
      <c r="BB62" s="48">
        <f t="shared" si="169"/>
        <v>0</v>
      </c>
      <c r="BC62" s="10" t="str">
        <f t="shared" si="119"/>
        <v>제조 IT그룹선임(CL2)</v>
      </c>
      <c r="BD62" s="10" t="s">
        <v>451</v>
      </c>
      <c r="BG62" s="540"/>
      <c r="BH62" s="540"/>
    </row>
    <row r="63" spans="1:76">
      <c r="A63" s="528" t="str">
        <f t="shared" si="112"/>
        <v>제조 IT그룹</v>
      </c>
      <c r="B63" s="528" t="str">
        <f>+B62</f>
        <v>제조 IT그룹</v>
      </c>
      <c r="C63" s="19" t="s">
        <v>250</v>
      </c>
      <c r="D63" s="20" t="s">
        <v>104</v>
      </c>
      <c r="E63" s="19"/>
      <c r="F63" s="20"/>
      <c r="G63" s="49"/>
      <c r="H63" s="50"/>
      <c r="I63" s="51"/>
      <c r="J63" s="50"/>
      <c r="K63" s="50"/>
      <c r="L63" s="50"/>
      <c r="M63" s="50"/>
      <c r="N63" s="50"/>
      <c r="O63" s="50"/>
      <c r="P63" s="50"/>
      <c r="Q63" s="50"/>
      <c r="R63" s="52"/>
      <c r="S63" s="49"/>
      <c r="T63" s="50"/>
      <c r="U63" s="1212"/>
      <c r="V63" s="51"/>
      <c r="W63" s="50"/>
      <c r="X63" s="50"/>
      <c r="Y63" s="50"/>
      <c r="Z63" s="50"/>
      <c r="AA63" s="50"/>
      <c r="AB63" s="50"/>
      <c r="AC63" s="50"/>
      <c r="AD63" s="52"/>
      <c r="AE63" s="49"/>
      <c r="AF63" s="50"/>
      <c r="AG63" s="51"/>
      <c r="AH63" s="50"/>
      <c r="AI63" s="50"/>
      <c r="AJ63" s="50"/>
      <c r="AK63" s="50"/>
      <c r="AL63" s="50"/>
      <c r="AM63" s="50"/>
      <c r="AN63" s="50"/>
      <c r="AO63" s="50"/>
      <c r="AP63" s="52"/>
      <c r="AQ63" s="689">
        <f t="shared" ref="AQ63:BB68" si="170">+AP63</f>
        <v>0</v>
      </c>
      <c r="AR63" s="689">
        <f t="shared" si="170"/>
        <v>0</v>
      </c>
      <c r="AS63" s="698"/>
      <c r="AT63" s="689">
        <f t="shared" si="170"/>
        <v>0</v>
      </c>
      <c r="AU63" s="689">
        <f t="shared" si="170"/>
        <v>0</v>
      </c>
      <c r="AV63" s="689">
        <f t="shared" si="170"/>
        <v>0</v>
      </c>
      <c r="AW63" s="689">
        <f t="shared" si="170"/>
        <v>0</v>
      </c>
      <c r="AX63" s="689">
        <f t="shared" si="170"/>
        <v>0</v>
      </c>
      <c r="AY63" s="689">
        <f t="shared" si="170"/>
        <v>0</v>
      </c>
      <c r="AZ63" s="689">
        <f t="shared" si="170"/>
        <v>0</v>
      </c>
      <c r="BA63" s="689">
        <f t="shared" si="170"/>
        <v>0</v>
      </c>
      <c r="BB63" s="52">
        <f t="shared" si="170"/>
        <v>0</v>
      </c>
      <c r="BC63" s="10" t="str">
        <f t="shared" si="119"/>
        <v>제조 IT그룹사원(CL1-CL2)</v>
      </c>
      <c r="BD63" s="10" t="s">
        <v>452</v>
      </c>
      <c r="BG63" s="540"/>
      <c r="BH63" s="540"/>
    </row>
    <row r="64" spans="1:76">
      <c r="A64" s="523" t="str">
        <f t="shared" si="112"/>
        <v>서비스/EPC IT그룹이사</v>
      </c>
      <c r="B64" s="523" t="s">
        <v>1005</v>
      </c>
      <c r="C64" s="16" t="s">
        <v>12</v>
      </c>
      <c r="D64" s="15" t="s">
        <v>105</v>
      </c>
      <c r="E64" s="16" t="s">
        <v>12</v>
      </c>
      <c r="F64" s="15" t="s">
        <v>82</v>
      </c>
      <c r="G64" s="41">
        <v>1708780</v>
      </c>
      <c r="H64" s="42">
        <v>1708780</v>
      </c>
      <c r="I64" s="43">
        <v>1936088</v>
      </c>
      <c r="J64" s="42">
        <f t="shared" ref="J64:J67" si="171">I64</f>
        <v>1936088</v>
      </c>
      <c r="K64" s="42">
        <f t="shared" ref="K64:K67" si="172">J64</f>
        <v>1936088</v>
      </c>
      <c r="L64" s="42">
        <f t="shared" ref="L64:L67" si="173">K64</f>
        <v>1936088</v>
      </c>
      <c r="M64" s="42">
        <f t="shared" ref="M64:M67" si="174">L64</f>
        <v>1936088</v>
      </c>
      <c r="N64" s="42">
        <f t="shared" ref="N64:N67" si="175">M64</f>
        <v>1936088</v>
      </c>
      <c r="O64" s="42">
        <f t="shared" ref="O64:O67" si="176">N64</f>
        <v>1936088</v>
      </c>
      <c r="P64" s="42">
        <f t="shared" ref="P64:P67" si="177">O64</f>
        <v>1936088</v>
      </c>
      <c r="Q64" s="42">
        <f t="shared" ref="Q64:Q67" si="178">P64</f>
        <v>1936088</v>
      </c>
      <c r="R64" s="44"/>
      <c r="S64" s="41">
        <f t="shared" ref="S64:S67" si="179">R64</f>
        <v>0</v>
      </c>
      <c r="T64" s="42">
        <f t="shared" ref="T64:U67" si="180">S64</f>
        <v>0</v>
      </c>
      <c r="U64" s="1210">
        <f t="shared" si="180"/>
        <v>0</v>
      </c>
      <c r="V64" s="43">
        <f t="shared" ref="V64" si="181">U64</f>
        <v>0</v>
      </c>
      <c r="W64" s="42">
        <f t="shared" ref="W64:W67" si="182">V64</f>
        <v>0</v>
      </c>
      <c r="X64" s="42">
        <f t="shared" ref="X64:X67" si="183">W64</f>
        <v>0</v>
      </c>
      <c r="Y64" s="42">
        <f t="shared" ref="Y64:Y67" si="184">X64</f>
        <v>0</v>
      </c>
      <c r="Z64" s="42">
        <f t="shared" ref="Z64:Z67" si="185">Y64</f>
        <v>0</v>
      </c>
      <c r="AA64" s="42">
        <f t="shared" ref="AA64:AA67" si="186">Z64</f>
        <v>0</v>
      </c>
      <c r="AB64" s="42">
        <f t="shared" ref="AB64:AB67" si="187">AA64</f>
        <v>0</v>
      </c>
      <c r="AC64" s="42">
        <f t="shared" ref="AC64:AC67" si="188">AB64</f>
        <v>0</v>
      </c>
      <c r="AD64" s="44">
        <f t="shared" ref="AD64:AD67" si="189">AC64</f>
        <v>0</v>
      </c>
      <c r="AE64" s="41">
        <f t="shared" ref="AE64:AE67" si="190">AD64</f>
        <v>0</v>
      </c>
      <c r="AF64" s="42">
        <f t="shared" ref="AF64:AG67" si="191">AE64</f>
        <v>0</v>
      </c>
      <c r="AG64" s="43">
        <f t="shared" si="191"/>
        <v>0</v>
      </c>
      <c r="AH64" s="42">
        <f t="shared" ref="AH64:AH67" si="192">AG64</f>
        <v>0</v>
      </c>
      <c r="AI64" s="42">
        <f t="shared" ref="AI64:AI67" si="193">AH64</f>
        <v>0</v>
      </c>
      <c r="AJ64" s="42">
        <f t="shared" ref="AJ64:AJ67" si="194">AI64</f>
        <v>0</v>
      </c>
      <c r="AK64" s="42">
        <f t="shared" ref="AK64:AK67" si="195">AJ64</f>
        <v>0</v>
      </c>
      <c r="AL64" s="42">
        <f t="shared" ref="AL64:AL67" si="196">AK64</f>
        <v>0</v>
      </c>
      <c r="AM64" s="42">
        <f t="shared" ref="AM64:AM67" si="197">AL64</f>
        <v>0</v>
      </c>
      <c r="AN64" s="42">
        <f t="shared" ref="AN64:AN67" si="198">AM64</f>
        <v>0</v>
      </c>
      <c r="AO64" s="42">
        <f t="shared" ref="AO64:AO67" si="199">AN64</f>
        <v>0</v>
      </c>
      <c r="AP64" s="44">
        <f>AC64</f>
        <v>0</v>
      </c>
      <c r="AQ64" s="687">
        <f t="shared" si="170"/>
        <v>0</v>
      </c>
      <c r="AR64" s="687">
        <f t="shared" si="170"/>
        <v>0</v>
      </c>
      <c r="AS64" s="696">
        <f t="shared" ref="AS64:AS67" si="200">AR64</f>
        <v>0</v>
      </c>
      <c r="AT64" s="687">
        <f t="shared" si="170"/>
        <v>0</v>
      </c>
      <c r="AU64" s="687">
        <f t="shared" si="170"/>
        <v>0</v>
      </c>
      <c r="AV64" s="687">
        <f t="shared" si="170"/>
        <v>0</v>
      </c>
      <c r="AW64" s="687">
        <f t="shared" si="170"/>
        <v>0</v>
      </c>
      <c r="AX64" s="687">
        <f t="shared" si="170"/>
        <v>0</v>
      </c>
      <c r="AY64" s="687">
        <f t="shared" si="170"/>
        <v>0</v>
      </c>
      <c r="AZ64" s="687">
        <f t="shared" si="170"/>
        <v>0</v>
      </c>
      <c r="BA64" s="687">
        <f t="shared" si="170"/>
        <v>0</v>
      </c>
      <c r="BB64" s="44">
        <f t="shared" si="170"/>
        <v>0</v>
      </c>
      <c r="BC64" s="10" t="str">
        <f t="shared" si="119"/>
        <v>서비스/EPC IT그룹이사</v>
      </c>
      <c r="BD64" s="10" t="str">
        <f>B64&amp;E64</f>
        <v>서비스/EPC IT그룹이사</v>
      </c>
      <c r="BG64" s="540"/>
      <c r="BH64" s="540"/>
    </row>
    <row r="65" spans="1:76">
      <c r="A65" s="526" t="str">
        <f t="shared" si="112"/>
        <v>서비스/EPC IT그룹CL4(수석)</v>
      </c>
      <c r="B65" s="526" t="str">
        <f>+B64</f>
        <v>서비스/EPC IT그룹</v>
      </c>
      <c r="C65" s="17" t="s">
        <v>246</v>
      </c>
      <c r="D65" s="18" t="s">
        <v>105</v>
      </c>
      <c r="E65" s="17" t="s">
        <v>445</v>
      </c>
      <c r="F65" s="18" t="s">
        <v>82</v>
      </c>
      <c r="G65" s="45">
        <v>850073</v>
      </c>
      <c r="H65" s="46">
        <v>850073</v>
      </c>
      <c r="I65" s="47">
        <v>930975</v>
      </c>
      <c r="J65" s="46">
        <f t="shared" si="171"/>
        <v>930975</v>
      </c>
      <c r="K65" s="46">
        <f t="shared" si="172"/>
        <v>930975</v>
      </c>
      <c r="L65" s="46">
        <f t="shared" si="173"/>
        <v>930975</v>
      </c>
      <c r="M65" s="46">
        <f t="shared" si="174"/>
        <v>930975</v>
      </c>
      <c r="N65" s="46">
        <f t="shared" si="175"/>
        <v>930975</v>
      </c>
      <c r="O65" s="46">
        <f t="shared" si="176"/>
        <v>930975</v>
      </c>
      <c r="P65" s="46">
        <f t="shared" si="177"/>
        <v>930975</v>
      </c>
      <c r="Q65" s="46">
        <f t="shared" si="178"/>
        <v>930975</v>
      </c>
      <c r="R65" s="48">
        <v>935939</v>
      </c>
      <c r="S65" s="45">
        <f t="shared" si="179"/>
        <v>935939</v>
      </c>
      <c r="T65" s="46">
        <f t="shared" si="180"/>
        <v>935939</v>
      </c>
      <c r="U65" s="1211">
        <f t="shared" si="180"/>
        <v>935939</v>
      </c>
      <c r="V65" s="47">
        <v>879918</v>
      </c>
      <c r="W65" s="46">
        <f t="shared" si="182"/>
        <v>879918</v>
      </c>
      <c r="X65" s="46">
        <f t="shared" si="183"/>
        <v>879918</v>
      </c>
      <c r="Y65" s="46">
        <f t="shared" si="184"/>
        <v>879918</v>
      </c>
      <c r="Z65" s="46">
        <f t="shared" si="185"/>
        <v>879918</v>
      </c>
      <c r="AA65" s="46">
        <f t="shared" si="186"/>
        <v>879918</v>
      </c>
      <c r="AB65" s="46">
        <f t="shared" si="187"/>
        <v>879918</v>
      </c>
      <c r="AC65" s="46">
        <f t="shared" si="188"/>
        <v>879918</v>
      </c>
      <c r="AD65" s="48">
        <f t="shared" si="189"/>
        <v>879918</v>
      </c>
      <c r="AE65" s="45">
        <f t="shared" si="190"/>
        <v>879918</v>
      </c>
      <c r="AF65" s="46">
        <f t="shared" si="191"/>
        <v>879918</v>
      </c>
      <c r="AG65" s="47">
        <f t="shared" si="191"/>
        <v>879918</v>
      </c>
      <c r="AH65" s="46">
        <f t="shared" si="192"/>
        <v>879918</v>
      </c>
      <c r="AI65" s="46">
        <f t="shared" si="193"/>
        <v>879918</v>
      </c>
      <c r="AJ65" s="46">
        <f t="shared" si="194"/>
        <v>879918</v>
      </c>
      <c r="AK65" s="46">
        <f t="shared" si="195"/>
        <v>879918</v>
      </c>
      <c r="AL65" s="46">
        <f t="shared" si="196"/>
        <v>879918</v>
      </c>
      <c r="AM65" s="46">
        <f t="shared" si="197"/>
        <v>879918</v>
      </c>
      <c r="AN65" s="46">
        <f t="shared" si="198"/>
        <v>879918</v>
      </c>
      <c r="AO65" s="46">
        <f t="shared" si="199"/>
        <v>879918</v>
      </c>
      <c r="AP65" s="48">
        <f>AC65</f>
        <v>879918</v>
      </c>
      <c r="AQ65" s="688">
        <f t="shared" si="170"/>
        <v>879918</v>
      </c>
      <c r="AR65" s="688">
        <f t="shared" si="170"/>
        <v>879918</v>
      </c>
      <c r="AS65" s="697">
        <f t="shared" si="200"/>
        <v>879918</v>
      </c>
      <c r="AT65" s="688">
        <f t="shared" si="170"/>
        <v>879918</v>
      </c>
      <c r="AU65" s="688">
        <f t="shared" si="170"/>
        <v>879918</v>
      </c>
      <c r="AV65" s="688">
        <f t="shared" si="170"/>
        <v>879918</v>
      </c>
      <c r="AW65" s="688">
        <f t="shared" si="170"/>
        <v>879918</v>
      </c>
      <c r="AX65" s="688">
        <f t="shared" si="170"/>
        <v>879918</v>
      </c>
      <c r="AY65" s="688">
        <f t="shared" si="170"/>
        <v>879918</v>
      </c>
      <c r="AZ65" s="688">
        <f t="shared" si="170"/>
        <v>879918</v>
      </c>
      <c r="BA65" s="688">
        <f t="shared" si="170"/>
        <v>879918</v>
      </c>
      <c r="BB65" s="48">
        <f t="shared" si="170"/>
        <v>879918</v>
      </c>
      <c r="BC65" s="10" t="str">
        <f t="shared" si="119"/>
        <v>서비스/EPC IT그룹수석(CL4)</v>
      </c>
      <c r="BD65" s="10" t="str">
        <f>B65&amp;E65</f>
        <v>서비스/EPC IT그룹CL4(수석)</v>
      </c>
      <c r="BG65" s="540"/>
      <c r="BH65" s="540"/>
    </row>
    <row r="66" spans="1:76">
      <c r="A66" s="526" t="str">
        <f t="shared" si="112"/>
        <v>서비스/EPC IT그룹CL3(책임-수석보)</v>
      </c>
      <c r="B66" s="526" t="str">
        <f>+B65</f>
        <v>서비스/EPC IT그룹</v>
      </c>
      <c r="C66" s="17" t="s">
        <v>247</v>
      </c>
      <c r="D66" s="18" t="s">
        <v>105</v>
      </c>
      <c r="E66" s="17" t="s">
        <v>455</v>
      </c>
      <c r="F66" s="18" t="s">
        <v>459</v>
      </c>
      <c r="G66" s="45">
        <v>706355</v>
      </c>
      <c r="H66" s="46">
        <v>706355</v>
      </c>
      <c r="I66" s="47">
        <v>821867</v>
      </c>
      <c r="J66" s="46">
        <f t="shared" si="171"/>
        <v>821867</v>
      </c>
      <c r="K66" s="46">
        <f t="shared" si="172"/>
        <v>821867</v>
      </c>
      <c r="L66" s="46">
        <f t="shared" si="173"/>
        <v>821867</v>
      </c>
      <c r="M66" s="46">
        <f t="shared" si="174"/>
        <v>821867</v>
      </c>
      <c r="N66" s="46">
        <f t="shared" si="175"/>
        <v>821867</v>
      </c>
      <c r="O66" s="46">
        <f t="shared" si="176"/>
        <v>821867</v>
      </c>
      <c r="P66" s="46">
        <f t="shared" si="177"/>
        <v>821867</v>
      </c>
      <c r="Q66" s="46">
        <f t="shared" si="178"/>
        <v>821867</v>
      </c>
      <c r="R66" s="48">
        <v>783438</v>
      </c>
      <c r="S66" s="45">
        <f t="shared" si="179"/>
        <v>783438</v>
      </c>
      <c r="T66" s="46">
        <f t="shared" si="180"/>
        <v>783438</v>
      </c>
      <c r="U66" s="1211">
        <f t="shared" si="180"/>
        <v>783438</v>
      </c>
      <c r="V66" s="47">
        <v>762471</v>
      </c>
      <c r="W66" s="46">
        <f t="shared" si="182"/>
        <v>762471</v>
      </c>
      <c r="X66" s="46">
        <f t="shared" si="183"/>
        <v>762471</v>
      </c>
      <c r="Y66" s="46">
        <f t="shared" si="184"/>
        <v>762471</v>
      </c>
      <c r="Z66" s="46">
        <f t="shared" si="185"/>
        <v>762471</v>
      </c>
      <c r="AA66" s="46">
        <f t="shared" si="186"/>
        <v>762471</v>
      </c>
      <c r="AB66" s="46">
        <f t="shared" si="187"/>
        <v>762471</v>
      </c>
      <c r="AC66" s="46">
        <f t="shared" si="188"/>
        <v>762471</v>
      </c>
      <c r="AD66" s="48">
        <f t="shared" si="189"/>
        <v>762471</v>
      </c>
      <c r="AE66" s="45">
        <f t="shared" si="190"/>
        <v>762471</v>
      </c>
      <c r="AF66" s="46">
        <f t="shared" si="191"/>
        <v>762471</v>
      </c>
      <c r="AG66" s="47">
        <f t="shared" si="191"/>
        <v>762471</v>
      </c>
      <c r="AH66" s="46">
        <f t="shared" si="192"/>
        <v>762471</v>
      </c>
      <c r="AI66" s="46">
        <f t="shared" si="193"/>
        <v>762471</v>
      </c>
      <c r="AJ66" s="46">
        <f t="shared" si="194"/>
        <v>762471</v>
      </c>
      <c r="AK66" s="46">
        <f t="shared" si="195"/>
        <v>762471</v>
      </c>
      <c r="AL66" s="46">
        <f t="shared" si="196"/>
        <v>762471</v>
      </c>
      <c r="AM66" s="46">
        <f t="shared" si="197"/>
        <v>762471</v>
      </c>
      <c r="AN66" s="46">
        <f t="shared" si="198"/>
        <v>762471</v>
      </c>
      <c r="AO66" s="46">
        <f t="shared" si="199"/>
        <v>762471</v>
      </c>
      <c r="AP66" s="48">
        <f>AC66</f>
        <v>762471</v>
      </c>
      <c r="AQ66" s="688">
        <f t="shared" si="170"/>
        <v>762471</v>
      </c>
      <c r="AR66" s="688">
        <f t="shared" si="170"/>
        <v>762471</v>
      </c>
      <c r="AS66" s="697">
        <f t="shared" si="200"/>
        <v>762471</v>
      </c>
      <c r="AT66" s="688">
        <f t="shared" si="170"/>
        <v>762471</v>
      </c>
      <c r="AU66" s="688">
        <f t="shared" si="170"/>
        <v>762471</v>
      </c>
      <c r="AV66" s="688">
        <f t="shared" si="170"/>
        <v>762471</v>
      </c>
      <c r="AW66" s="688">
        <f t="shared" si="170"/>
        <v>762471</v>
      </c>
      <c r="AX66" s="688">
        <f t="shared" si="170"/>
        <v>762471</v>
      </c>
      <c r="AY66" s="688">
        <f t="shared" si="170"/>
        <v>762471</v>
      </c>
      <c r="AZ66" s="688">
        <f t="shared" si="170"/>
        <v>762471</v>
      </c>
      <c r="BA66" s="688">
        <f t="shared" si="170"/>
        <v>762471</v>
      </c>
      <c r="BB66" s="48">
        <f t="shared" si="170"/>
        <v>762471</v>
      </c>
      <c r="BC66" s="10" t="str">
        <f t="shared" si="119"/>
        <v>서비스/EPC IT그룹수석보(CL3)</v>
      </c>
      <c r="BD66" s="10" t="str">
        <f>B66&amp;E66</f>
        <v>서비스/EPC IT그룹CL3(책임-수석보)</v>
      </c>
      <c r="BG66" s="540"/>
      <c r="BH66" s="540"/>
    </row>
    <row r="67" spans="1:76">
      <c r="A67" s="526" t="str">
        <f t="shared" si="112"/>
        <v>서비스/EPC IT그룹CL2(사원-선임)</v>
      </c>
      <c r="B67" s="526" t="str">
        <f>+B66</f>
        <v>서비스/EPC IT그룹</v>
      </c>
      <c r="C67" s="17" t="s">
        <v>248</v>
      </c>
      <c r="D67" s="18" t="s">
        <v>102</v>
      </c>
      <c r="E67" s="17" t="s">
        <v>457</v>
      </c>
      <c r="F67" s="18" t="s">
        <v>461</v>
      </c>
      <c r="G67" s="45">
        <v>550062</v>
      </c>
      <c r="H67" s="46">
        <v>550062</v>
      </c>
      <c r="I67" s="47">
        <v>626582</v>
      </c>
      <c r="J67" s="46">
        <f t="shared" si="171"/>
        <v>626582</v>
      </c>
      <c r="K67" s="46">
        <f t="shared" si="172"/>
        <v>626582</v>
      </c>
      <c r="L67" s="46">
        <f t="shared" si="173"/>
        <v>626582</v>
      </c>
      <c r="M67" s="46">
        <f t="shared" si="174"/>
        <v>626582</v>
      </c>
      <c r="N67" s="46">
        <f t="shared" si="175"/>
        <v>626582</v>
      </c>
      <c r="O67" s="46">
        <f t="shared" si="176"/>
        <v>626582</v>
      </c>
      <c r="P67" s="46">
        <f t="shared" si="177"/>
        <v>626582</v>
      </c>
      <c r="Q67" s="46">
        <f t="shared" si="178"/>
        <v>626582</v>
      </c>
      <c r="R67" s="48">
        <v>637339</v>
      </c>
      <c r="S67" s="45">
        <f t="shared" si="179"/>
        <v>637339</v>
      </c>
      <c r="T67" s="46">
        <f t="shared" si="180"/>
        <v>637339</v>
      </c>
      <c r="U67" s="1211">
        <f t="shared" si="180"/>
        <v>637339</v>
      </c>
      <c r="V67" s="47">
        <v>655380</v>
      </c>
      <c r="W67" s="46">
        <f t="shared" si="182"/>
        <v>655380</v>
      </c>
      <c r="X67" s="46">
        <f t="shared" si="183"/>
        <v>655380</v>
      </c>
      <c r="Y67" s="46">
        <f t="shared" si="184"/>
        <v>655380</v>
      </c>
      <c r="Z67" s="46">
        <f t="shared" si="185"/>
        <v>655380</v>
      </c>
      <c r="AA67" s="46">
        <f t="shared" si="186"/>
        <v>655380</v>
      </c>
      <c r="AB67" s="46">
        <f t="shared" si="187"/>
        <v>655380</v>
      </c>
      <c r="AC67" s="46">
        <f t="shared" si="188"/>
        <v>655380</v>
      </c>
      <c r="AD67" s="48">
        <f t="shared" si="189"/>
        <v>655380</v>
      </c>
      <c r="AE67" s="45">
        <f t="shared" si="190"/>
        <v>655380</v>
      </c>
      <c r="AF67" s="46">
        <f t="shared" si="191"/>
        <v>655380</v>
      </c>
      <c r="AG67" s="47">
        <f t="shared" si="191"/>
        <v>655380</v>
      </c>
      <c r="AH67" s="46">
        <f t="shared" si="192"/>
        <v>655380</v>
      </c>
      <c r="AI67" s="46">
        <f t="shared" si="193"/>
        <v>655380</v>
      </c>
      <c r="AJ67" s="46">
        <f t="shared" si="194"/>
        <v>655380</v>
      </c>
      <c r="AK67" s="46">
        <f t="shared" si="195"/>
        <v>655380</v>
      </c>
      <c r="AL67" s="46">
        <f t="shared" si="196"/>
        <v>655380</v>
      </c>
      <c r="AM67" s="46">
        <f t="shared" si="197"/>
        <v>655380</v>
      </c>
      <c r="AN67" s="46">
        <f t="shared" si="198"/>
        <v>655380</v>
      </c>
      <c r="AO67" s="46">
        <f t="shared" si="199"/>
        <v>655380</v>
      </c>
      <c r="AP67" s="48">
        <f>AC67</f>
        <v>655380</v>
      </c>
      <c r="AQ67" s="688">
        <f t="shared" si="170"/>
        <v>655380</v>
      </c>
      <c r="AR67" s="688">
        <f t="shared" si="170"/>
        <v>655380</v>
      </c>
      <c r="AS67" s="697">
        <f t="shared" si="200"/>
        <v>655380</v>
      </c>
      <c r="AT67" s="688">
        <f t="shared" si="170"/>
        <v>655380</v>
      </c>
      <c r="AU67" s="688">
        <f t="shared" si="170"/>
        <v>655380</v>
      </c>
      <c r="AV67" s="688">
        <f t="shared" si="170"/>
        <v>655380</v>
      </c>
      <c r="AW67" s="688">
        <f t="shared" si="170"/>
        <v>655380</v>
      </c>
      <c r="AX67" s="688">
        <f t="shared" si="170"/>
        <v>655380</v>
      </c>
      <c r="AY67" s="688">
        <f t="shared" si="170"/>
        <v>655380</v>
      </c>
      <c r="AZ67" s="688">
        <f t="shared" si="170"/>
        <v>655380</v>
      </c>
      <c r="BA67" s="688">
        <f t="shared" si="170"/>
        <v>655380</v>
      </c>
      <c r="BB67" s="48">
        <f t="shared" si="170"/>
        <v>655380</v>
      </c>
      <c r="BC67" s="10" t="str">
        <f t="shared" si="119"/>
        <v>서비스/EPC IT그룹책임(CL3)</v>
      </c>
      <c r="BD67" s="10" t="str">
        <f>B67&amp;E67</f>
        <v>서비스/EPC IT그룹CL2(사원-선임)</v>
      </c>
      <c r="BG67" s="540"/>
      <c r="BH67" s="540"/>
    </row>
    <row r="68" spans="1:76">
      <c r="A68" s="526" t="str">
        <f t="shared" si="112"/>
        <v>서비스/EPC IT그룹</v>
      </c>
      <c r="B68" s="526" t="str">
        <f>+B67</f>
        <v>서비스/EPC IT그룹</v>
      </c>
      <c r="C68" s="17" t="s">
        <v>249</v>
      </c>
      <c r="D68" s="18" t="s">
        <v>103</v>
      </c>
      <c r="E68" s="17"/>
      <c r="F68" s="18"/>
      <c r="G68" s="45"/>
      <c r="H68" s="46"/>
      <c r="I68" s="47"/>
      <c r="J68" s="46"/>
      <c r="K68" s="46"/>
      <c r="L68" s="46"/>
      <c r="M68" s="46"/>
      <c r="N68" s="46"/>
      <c r="O68" s="46"/>
      <c r="P68" s="46"/>
      <c r="Q68" s="46"/>
      <c r="R68" s="48"/>
      <c r="S68" s="45"/>
      <c r="T68" s="46"/>
      <c r="U68" s="1211"/>
      <c r="V68" s="47"/>
      <c r="W68" s="46"/>
      <c r="X68" s="46"/>
      <c r="Y68" s="46"/>
      <c r="Z68" s="46"/>
      <c r="AA68" s="46"/>
      <c r="AB68" s="46"/>
      <c r="AC68" s="46"/>
      <c r="AD68" s="48"/>
      <c r="AE68" s="45"/>
      <c r="AF68" s="46"/>
      <c r="AG68" s="47"/>
      <c r="AH68" s="46"/>
      <c r="AI68" s="46"/>
      <c r="AJ68" s="46"/>
      <c r="AK68" s="46"/>
      <c r="AL68" s="46"/>
      <c r="AM68" s="46"/>
      <c r="AN68" s="46"/>
      <c r="AO68" s="46"/>
      <c r="AP68" s="48"/>
      <c r="AQ68" s="688">
        <f t="shared" si="170"/>
        <v>0</v>
      </c>
      <c r="AR68" s="688">
        <f t="shared" si="170"/>
        <v>0</v>
      </c>
      <c r="AS68" s="697"/>
      <c r="AT68" s="688">
        <f t="shared" si="170"/>
        <v>0</v>
      </c>
      <c r="AU68" s="688">
        <f t="shared" si="170"/>
        <v>0</v>
      </c>
      <c r="AV68" s="688">
        <f t="shared" si="170"/>
        <v>0</v>
      </c>
      <c r="AW68" s="688">
        <f t="shared" si="170"/>
        <v>0</v>
      </c>
      <c r="AX68" s="688">
        <f t="shared" si="170"/>
        <v>0</v>
      </c>
      <c r="AY68" s="688">
        <f t="shared" si="170"/>
        <v>0</v>
      </c>
      <c r="AZ68" s="688">
        <f t="shared" si="170"/>
        <v>0</v>
      </c>
      <c r="BA68" s="688">
        <f t="shared" si="170"/>
        <v>0</v>
      </c>
      <c r="BB68" s="48">
        <f t="shared" si="170"/>
        <v>0</v>
      </c>
      <c r="BC68" s="10" t="str">
        <f t="shared" si="119"/>
        <v>서비스/EPC IT그룹선임(CL2)</v>
      </c>
      <c r="BD68" s="10" t="s">
        <v>451</v>
      </c>
      <c r="BG68" s="540"/>
      <c r="BH68" s="540"/>
    </row>
    <row r="69" spans="1:76">
      <c r="A69" s="528" t="str">
        <f t="shared" si="112"/>
        <v>서비스/EPC IT그룹</v>
      </c>
      <c r="B69" s="528" t="str">
        <f>+B68</f>
        <v>서비스/EPC IT그룹</v>
      </c>
      <c r="C69" s="19" t="s">
        <v>250</v>
      </c>
      <c r="D69" s="20" t="s">
        <v>104</v>
      </c>
      <c r="E69" s="19"/>
      <c r="F69" s="20"/>
      <c r="G69" s="49"/>
      <c r="H69" s="50"/>
      <c r="I69" s="51"/>
      <c r="J69" s="50"/>
      <c r="K69" s="50"/>
      <c r="L69" s="50"/>
      <c r="M69" s="50"/>
      <c r="N69" s="50"/>
      <c r="O69" s="50"/>
      <c r="P69" s="50"/>
      <c r="Q69" s="50"/>
      <c r="R69" s="52"/>
      <c r="S69" s="49"/>
      <c r="T69" s="50"/>
      <c r="U69" s="1212"/>
      <c r="V69" s="51"/>
      <c r="W69" s="50"/>
      <c r="X69" s="50"/>
      <c r="Y69" s="50"/>
      <c r="Z69" s="50"/>
      <c r="AA69" s="50"/>
      <c r="AB69" s="50"/>
      <c r="AC69" s="50"/>
      <c r="AD69" s="52"/>
      <c r="AE69" s="49"/>
      <c r="AF69" s="50"/>
      <c r="AG69" s="51"/>
      <c r="AH69" s="50"/>
      <c r="AI69" s="50"/>
      <c r="AJ69" s="50"/>
      <c r="AK69" s="50"/>
      <c r="AL69" s="50"/>
      <c r="AM69" s="50"/>
      <c r="AN69" s="50"/>
      <c r="AO69" s="50"/>
      <c r="AP69" s="52"/>
      <c r="AQ69" s="689">
        <f t="shared" ref="AQ69" si="201">+AP69</f>
        <v>0</v>
      </c>
      <c r="AR69" s="689">
        <f t="shared" ref="AR69" si="202">+AQ69</f>
        <v>0</v>
      </c>
      <c r="AS69" s="698"/>
      <c r="AT69" s="689">
        <f t="shared" ref="AT69" si="203">+AS69</f>
        <v>0</v>
      </c>
      <c r="AU69" s="689">
        <f t="shared" ref="AU69" si="204">+AT69</f>
        <v>0</v>
      </c>
      <c r="AV69" s="689">
        <f t="shared" ref="AV69" si="205">+AU69</f>
        <v>0</v>
      </c>
      <c r="AW69" s="689">
        <f t="shared" ref="AW69" si="206">+AV69</f>
        <v>0</v>
      </c>
      <c r="AX69" s="689">
        <f t="shared" ref="AX69" si="207">+AW69</f>
        <v>0</v>
      </c>
      <c r="AY69" s="689">
        <f t="shared" ref="AY69" si="208">+AX69</f>
        <v>0</v>
      </c>
      <c r="AZ69" s="689">
        <f t="shared" ref="AZ69" si="209">+AY69</f>
        <v>0</v>
      </c>
      <c r="BA69" s="689">
        <f t="shared" ref="BA69" si="210">+AZ69</f>
        <v>0</v>
      </c>
      <c r="BB69" s="52">
        <f t="shared" ref="BB69" si="211">+BA69</f>
        <v>0</v>
      </c>
      <c r="BC69" s="10" t="str">
        <f t="shared" si="119"/>
        <v>서비스/EPC IT그룹사원(CL1-CL2)</v>
      </c>
      <c r="BD69" s="10" t="s">
        <v>451</v>
      </c>
      <c r="BG69" s="540"/>
      <c r="BH69" s="540"/>
    </row>
    <row r="70" spans="1:76">
      <c r="A70" s="523" t="str">
        <f t="shared" si="112"/>
        <v>MSP실행그룹이사</v>
      </c>
      <c r="B70" s="523" t="s">
        <v>1006</v>
      </c>
      <c r="C70" s="525" t="s">
        <v>12</v>
      </c>
      <c r="D70" s="15" t="s">
        <v>105</v>
      </c>
      <c r="E70" s="16" t="s">
        <v>12</v>
      </c>
      <c r="F70" s="15" t="s">
        <v>82</v>
      </c>
      <c r="G70" s="41">
        <v>0</v>
      </c>
      <c r="H70" s="42">
        <v>0</v>
      </c>
      <c r="I70" s="43">
        <f t="shared" ref="I70:U70" si="212">H70</f>
        <v>0</v>
      </c>
      <c r="J70" s="42">
        <f t="shared" si="212"/>
        <v>0</v>
      </c>
      <c r="K70" s="42">
        <f t="shared" si="212"/>
        <v>0</v>
      </c>
      <c r="L70" s="42">
        <f t="shared" si="212"/>
        <v>0</v>
      </c>
      <c r="M70" s="42">
        <f t="shared" si="212"/>
        <v>0</v>
      </c>
      <c r="N70" s="42">
        <f t="shared" si="212"/>
        <v>0</v>
      </c>
      <c r="O70" s="42">
        <f t="shared" si="212"/>
        <v>0</v>
      </c>
      <c r="P70" s="42">
        <f t="shared" si="212"/>
        <v>0</v>
      </c>
      <c r="Q70" s="42">
        <f t="shared" si="212"/>
        <v>0</v>
      </c>
      <c r="R70" s="44">
        <f t="shared" si="212"/>
        <v>0</v>
      </c>
      <c r="S70" s="41">
        <f t="shared" si="212"/>
        <v>0</v>
      </c>
      <c r="T70" s="42">
        <f t="shared" si="212"/>
        <v>0</v>
      </c>
      <c r="U70" s="1210">
        <f t="shared" si="212"/>
        <v>0</v>
      </c>
      <c r="V70" s="43">
        <f t="shared" ref="V70:AE70" si="213">U70</f>
        <v>0</v>
      </c>
      <c r="W70" s="42">
        <f t="shared" si="213"/>
        <v>0</v>
      </c>
      <c r="X70" s="42">
        <f t="shared" si="213"/>
        <v>0</v>
      </c>
      <c r="Y70" s="42">
        <f t="shared" si="213"/>
        <v>0</v>
      </c>
      <c r="Z70" s="42">
        <f t="shared" si="213"/>
        <v>0</v>
      </c>
      <c r="AA70" s="42">
        <f t="shared" si="213"/>
        <v>0</v>
      </c>
      <c r="AB70" s="42">
        <f t="shared" si="213"/>
        <v>0</v>
      </c>
      <c r="AC70" s="42">
        <f t="shared" si="213"/>
        <v>0</v>
      </c>
      <c r="AD70" s="44">
        <f t="shared" si="213"/>
        <v>0</v>
      </c>
      <c r="AE70" s="41">
        <f t="shared" si="213"/>
        <v>0</v>
      </c>
      <c r="AF70" s="42">
        <f t="shared" ref="AF70:AG73" si="214">AE70</f>
        <v>0</v>
      </c>
      <c r="AG70" s="43">
        <f t="shared" si="214"/>
        <v>0</v>
      </c>
      <c r="AH70" s="42">
        <f t="shared" ref="AH70:AO73" si="215">AG70</f>
        <v>0</v>
      </c>
      <c r="AI70" s="42">
        <f t="shared" si="215"/>
        <v>0</v>
      </c>
      <c r="AJ70" s="42">
        <f t="shared" si="215"/>
        <v>0</v>
      </c>
      <c r="AK70" s="42">
        <f t="shared" si="215"/>
        <v>0</v>
      </c>
      <c r="AL70" s="42">
        <f t="shared" si="215"/>
        <v>0</v>
      </c>
      <c r="AM70" s="42">
        <f t="shared" si="215"/>
        <v>0</v>
      </c>
      <c r="AN70" s="42">
        <f t="shared" si="215"/>
        <v>0</v>
      </c>
      <c r="AO70" s="42">
        <f t="shared" si="215"/>
        <v>0</v>
      </c>
      <c r="AP70" s="44">
        <f>AC70</f>
        <v>0</v>
      </c>
      <c r="AQ70" s="687">
        <f t="shared" ref="AQ70:AR72" si="216">+AP70</f>
        <v>0</v>
      </c>
      <c r="AR70" s="687">
        <f t="shared" si="216"/>
        <v>0</v>
      </c>
      <c r="AS70" s="696">
        <f t="shared" ref="AS70:AS73" si="217">AR70</f>
        <v>0</v>
      </c>
      <c r="AT70" s="687">
        <f t="shared" ref="AT70:BB70" si="218">+AS70</f>
        <v>0</v>
      </c>
      <c r="AU70" s="687">
        <f t="shared" si="218"/>
        <v>0</v>
      </c>
      <c r="AV70" s="687">
        <f t="shared" si="218"/>
        <v>0</v>
      </c>
      <c r="AW70" s="687">
        <f t="shared" si="218"/>
        <v>0</v>
      </c>
      <c r="AX70" s="687">
        <f t="shared" si="218"/>
        <v>0</v>
      </c>
      <c r="AY70" s="687">
        <f t="shared" si="218"/>
        <v>0</v>
      </c>
      <c r="AZ70" s="687">
        <f t="shared" si="218"/>
        <v>0</v>
      </c>
      <c r="BA70" s="687">
        <f t="shared" si="218"/>
        <v>0</v>
      </c>
      <c r="BB70" s="44">
        <f t="shared" si="218"/>
        <v>0</v>
      </c>
      <c r="BC70" s="10" t="str">
        <f t="shared" si="119"/>
        <v>MSP실행그룹이사</v>
      </c>
      <c r="BD70" s="10" t="str">
        <f t="shared" ref="BD70:BD85" si="219">B70&amp;E70</f>
        <v>MSP실행그룹이사</v>
      </c>
      <c r="BG70" s="540"/>
      <c r="BH70" s="540"/>
    </row>
    <row r="71" spans="1:76">
      <c r="A71" s="526" t="str">
        <f t="shared" si="112"/>
        <v>MSP실행그룹CL4(수석)</v>
      </c>
      <c r="B71" s="526" t="str">
        <f>+B70</f>
        <v>MSP실행그룹</v>
      </c>
      <c r="C71" s="527" t="s">
        <v>246</v>
      </c>
      <c r="D71" s="18" t="s">
        <v>105</v>
      </c>
      <c r="E71" s="17" t="s">
        <v>445</v>
      </c>
      <c r="F71" s="18" t="s">
        <v>82</v>
      </c>
      <c r="G71" s="45">
        <v>840500</v>
      </c>
      <c r="H71" s="46">
        <v>840500</v>
      </c>
      <c r="I71" s="47">
        <v>947069</v>
      </c>
      <c r="J71" s="46">
        <f t="shared" ref="J71:U71" si="220">I71</f>
        <v>947069</v>
      </c>
      <c r="K71" s="46">
        <f t="shared" si="220"/>
        <v>947069</v>
      </c>
      <c r="L71" s="46">
        <f t="shared" si="220"/>
        <v>947069</v>
      </c>
      <c r="M71" s="46">
        <f t="shared" si="220"/>
        <v>947069</v>
      </c>
      <c r="N71" s="46">
        <f t="shared" si="220"/>
        <v>947069</v>
      </c>
      <c r="O71" s="46">
        <f t="shared" si="220"/>
        <v>947069</v>
      </c>
      <c r="P71" s="46">
        <f t="shared" si="220"/>
        <v>947069</v>
      </c>
      <c r="Q71" s="46">
        <f t="shared" si="220"/>
        <v>947069</v>
      </c>
      <c r="R71" s="48">
        <f t="shared" si="220"/>
        <v>947069</v>
      </c>
      <c r="S71" s="45">
        <f t="shared" si="220"/>
        <v>947069</v>
      </c>
      <c r="T71" s="46">
        <f t="shared" si="220"/>
        <v>947069</v>
      </c>
      <c r="U71" s="1211">
        <f t="shared" si="220"/>
        <v>947069</v>
      </c>
      <c r="V71" s="47">
        <v>890487</v>
      </c>
      <c r="W71" s="46">
        <f t="shared" ref="W71:AE71" si="221">V71</f>
        <v>890487</v>
      </c>
      <c r="X71" s="46">
        <f t="shared" si="221"/>
        <v>890487</v>
      </c>
      <c r="Y71" s="46">
        <f t="shared" si="221"/>
        <v>890487</v>
      </c>
      <c r="Z71" s="46">
        <f t="shared" si="221"/>
        <v>890487</v>
      </c>
      <c r="AA71" s="46">
        <f t="shared" si="221"/>
        <v>890487</v>
      </c>
      <c r="AB71" s="46">
        <f t="shared" si="221"/>
        <v>890487</v>
      </c>
      <c r="AC71" s="46">
        <f t="shared" si="221"/>
        <v>890487</v>
      </c>
      <c r="AD71" s="48">
        <f t="shared" si="221"/>
        <v>890487</v>
      </c>
      <c r="AE71" s="45">
        <f t="shared" si="221"/>
        <v>890487</v>
      </c>
      <c r="AF71" s="46">
        <f t="shared" si="214"/>
        <v>890487</v>
      </c>
      <c r="AG71" s="47">
        <f t="shared" si="214"/>
        <v>890487</v>
      </c>
      <c r="AH71" s="46">
        <f t="shared" si="215"/>
        <v>890487</v>
      </c>
      <c r="AI71" s="46">
        <f t="shared" si="215"/>
        <v>890487</v>
      </c>
      <c r="AJ71" s="46">
        <f t="shared" si="215"/>
        <v>890487</v>
      </c>
      <c r="AK71" s="46">
        <f t="shared" si="215"/>
        <v>890487</v>
      </c>
      <c r="AL71" s="46">
        <f t="shared" si="215"/>
        <v>890487</v>
      </c>
      <c r="AM71" s="46">
        <f t="shared" si="215"/>
        <v>890487</v>
      </c>
      <c r="AN71" s="46">
        <f t="shared" si="215"/>
        <v>890487</v>
      </c>
      <c r="AO71" s="46">
        <f t="shared" si="215"/>
        <v>890487</v>
      </c>
      <c r="AP71" s="48">
        <f>AC71</f>
        <v>890487</v>
      </c>
      <c r="AQ71" s="688">
        <f t="shared" si="216"/>
        <v>890487</v>
      </c>
      <c r="AR71" s="688">
        <f t="shared" si="216"/>
        <v>890487</v>
      </c>
      <c r="AS71" s="697">
        <f t="shared" si="217"/>
        <v>890487</v>
      </c>
      <c r="AT71" s="688">
        <f t="shared" ref="AT71:BB71" si="222">+AS71</f>
        <v>890487</v>
      </c>
      <c r="AU71" s="688">
        <f t="shared" si="222"/>
        <v>890487</v>
      </c>
      <c r="AV71" s="688">
        <f t="shared" si="222"/>
        <v>890487</v>
      </c>
      <c r="AW71" s="688">
        <f t="shared" si="222"/>
        <v>890487</v>
      </c>
      <c r="AX71" s="688">
        <f t="shared" si="222"/>
        <v>890487</v>
      </c>
      <c r="AY71" s="688">
        <f t="shared" si="222"/>
        <v>890487</v>
      </c>
      <c r="AZ71" s="688">
        <f t="shared" si="222"/>
        <v>890487</v>
      </c>
      <c r="BA71" s="688">
        <f t="shared" si="222"/>
        <v>890487</v>
      </c>
      <c r="BB71" s="48">
        <f t="shared" si="222"/>
        <v>890487</v>
      </c>
      <c r="BC71" s="10" t="str">
        <f t="shared" si="119"/>
        <v>MSP실행그룹수석(CL4)</v>
      </c>
      <c r="BD71" s="10" t="str">
        <f t="shared" si="219"/>
        <v>MSP실행그룹CL4(수석)</v>
      </c>
      <c r="BG71" s="540"/>
      <c r="BH71" s="540"/>
    </row>
    <row r="72" spans="1:76">
      <c r="A72" s="526" t="str">
        <f t="shared" si="112"/>
        <v>MSP실행그룹CL3(책임-수석보)</v>
      </c>
      <c r="B72" s="526" t="str">
        <f>+B71</f>
        <v>MSP실행그룹</v>
      </c>
      <c r="C72" s="527" t="s">
        <v>247</v>
      </c>
      <c r="D72" s="18" t="s">
        <v>105</v>
      </c>
      <c r="E72" s="17" t="s">
        <v>455</v>
      </c>
      <c r="F72" s="18" t="s">
        <v>459</v>
      </c>
      <c r="G72" s="45">
        <v>698886</v>
      </c>
      <c r="H72" s="46">
        <v>698886</v>
      </c>
      <c r="I72" s="47">
        <v>794922</v>
      </c>
      <c r="J72" s="46">
        <f t="shared" ref="J72:U72" si="223">I72</f>
        <v>794922</v>
      </c>
      <c r="K72" s="46">
        <f t="shared" si="223"/>
        <v>794922</v>
      </c>
      <c r="L72" s="46">
        <f t="shared" si="223"/>
        <v>794922</v>
      </c>
      <c r="M72" s="46">
        <f t="shared" si="223"/>
        <v>794922</v>
      </c>
      <c r="N72" s="46">
        <f t="shared" si="223"/>
        <v>794922</v>
      </c>
      <c r="O72" s="46">
        <f t="shared" si="223"/>
        <v>794922</v>
      </c>
      <c r="P72" s="46">
        <f t="shared" si="223"/>
        <v>794922</v>
      </c>
      <c r="Q72" s="46">
        <f t="shared" si="223"/>
        <v>794922</v>
      </c>
      <c r="R72" s="48">
        <f t="shared" si="223"/>
        <v>794922</v>
      </c>
      <c r="S72" s="45">
        <f t="shared" si="223"/>
        <v>794922</v>
      </c>
      <c r="T72" s="46">
        <f t="shared" si="223"/>
        <v>794922</v>
      </c>
      <c r="U72" s="1211">
        <f t="shared" si="223"/>
        <v>794922</v>
      </c>
      <c r="V72" s="47">
        <v>753695</v>
      </c>
      <c r="W72" s="46">
        <f t="shared" ref="W72:AE72" si="224">V72</f>
        <v>753695</v>
      </c>
      <c r="X72" s="46">
        <f t="shared" si="224"/>
        <v>753695</v>
      </c>
      <c r="Y72" s="46">
        <f t="shared" si="224"/>
        <v>753695</v>
      </c>
      <c r="Z72" s="46">
        <f t="shared" si="224"/>
        <v>753695</v>
      </c>
      <c r="AA72" s="46">
        <f t="shared" si="224"/>
        <v>753695</v>
      </c>
      <c r="AB72" s="46">
        <f t="shared" si="224"/>
        <v>753695</v>
      </c>
      <c r="AC72" s="46">
        <f t="shared" si="224"/>
        <v>753695</v>
      </c>
      <c r="AD72" s="48">
        <f t="shared" si="224"/>
        <v>753695</v>
      </c>
      <c r="AE72" s="45">
        <f t="shared" si="224"/>
        <v>753695</v>
      </c>
      <c r="AF72" s="46">
        <f t="shared" si="214"/>
        <v>753695</v>
      </c>
      <c r="AG72" s="47">
        <f t="shared" si="214"/>
        <v>753695</v>
      </c>
      <c r="AH72" s="46">
        <f t="shared" si="215"/>
        <v>753695</v>
      </c>
      <c r="AI72" s="46">
        <f t="shared" si="215"/>
        <v>753695</v>
      </c>
      <c r="AJ72" s="46">
        <f t="shared" si="215"/>
        <v>753695</v>
      </c>
      <c r="AK72" s="46">
        <f t="shared" si="215"/>
        <v>753695</v>
      </c>
      <c r="AL72" s="46">
        <f t="shared" si="215"/>
        <v>753695</v>
      </c>
      <c r="AM72" s="46">
        <f t="shared" si="215"/>
        <v>753695</v>
      </c>
      <c r="AN72" s="46">
        <f t="shared" si="215"/>
        <v>753695</v>
      </c>
      <c r="AO72" s="46">
        <f t="shared" si="215"/>
        <v>753695</v>
      </c>
      <c r="AP72" s="48">
        <f>AC72</f>
        <v>753695</v>
      </c>
      <c r="AQ72" s="688">
        <f t="shared" si="216"/>
        <v>753695</v>
      </c>
      <c r="AR72" s="688">
        <f t="shared" si="216"/>
        <v>753695</v>
      </c>
      <c r="AS72" s="697">
        <f t="shared" si="217"/>
        <v>753695</v>
      </c>
      <c r="AT72" s="688">
        <f t="shared" ref="AT72:BB72" si="225">+AS72</f>
        <v>753695</v>
      </c>
      <c r="AU72" s="688">
        <f t="shared" si="225"/>
        <v>753695</v>
      </c>
      <c r="AV72" s="688">
        <f t="shared" si="225"/>
        <v>753695</v>
      </c>
      <c r="AW72" s="688">
        <f t="shared" si="225"/>
        <v>753695</v>
      </c>
      <c r="AX72" s="688">
        <f t="shared" si="225"/>
        <v>753695</v>
      </c>
      <c r="AY72" s="688">
        <f t="shared" si="225"/>
        <v>753695</v>
      </c>
      <c r="AZ72" s="688">
        <f t="shared" si="225"/>
        <v>753695</v>
      </c>
      <c r="BA72" s="688">
        <f t="shared" si="225"/>
        <v>753695</v>
      </c>
      <c r="BB72" s="48">
        <f t="shared" si="225"/>
        <v>753695</v>
      </c>
      <c r="BC72" s="10" t="str">
        <f t="shared" ref="BC72:BC99" si="226">B72&amp;C72</f>
        <v>MSP실행그룹수석보(CL3)</v>
      </c>
      <c r="BD72" s="10" t="str">
        <f t="shared" si="219"/>
        <v>MSP실행그룹CL3(책임-수석보)</v>
      </c>
      <c r="BG72" s="540"/>
      <c r="BH72" s="540"/>
    </row>
    <row r="73" spans="1:76">
      <c r="A73" s="526" t="str">
        <f t="shared" si="112"/>
        <v>MSP실행그룹CL2(사원-선임)</v>
      </c>
      <c r="B73" s="526" t="str">
        <f>+B72</f>
        <v>MSP실행그룹</v>
      </c>
      <c r="C73" s="527" t="s">
        <v>248</v>
      </c>
      <c r="D73" s="18" t="s">
        <v>102</v>
      </c>
      <c r="E73" s="17" t="s">
        <v>457</v>
      </c>
      <c r="F73" s="18" t="s">
        <v>461</v>
      </c>
      <c r="G73" s="45">
        <v>555585</v>
      </c>
      <c r="H73" s="46">
        <v>555585</v>
      </c>
      <c r="I73" s="47">
        <v>548570</v>
      </c>
      <c r="J73" s="46">
        <f t="shared" ref="J73:U73" si="227">I73</f>
        <v>548570</v>
      </c>
      <c r="K73" s="46">
        <f t="shared" si="227"/>
        <v>548570</v>
      </c>
      <c r="L73" s="46">
        <f t="shared" si="227"/>
        <v>548570</v>
      </c>
      <c r="M73" s="46">
        <f t="shared" si="227"/>
        <v>548570</v>
      </c>
      <c r="N73" s="46">
        <f t="shared" si="227"/>
        <v>548570</v>
      </c>
      <c r="O73" s="46">
        <f t="shared" si="227"/>
        <v>548570</v>
      </c>
      <c r="P73" s="46">
        <f t="shared" si="227"/>
        <v>548570</v>
      </c>
      <c r="Q73" s="46">
        <f t="shared" si="227"/>
        <v>548570</v>
      </c>
      <c r="R73" s="48">
        <f t="shared" si="227"/>
        <v>548570</v>
      </c>
      <c r="S73" s="45">
        <f t="shared" si="227"/>
        <v>548570</v>
      </c>
      <c r="T73" s="46">
        <f t="shared" si="227"/>
        <v>548570</v>
      </c>
      <c r="U73" s="1211">
        <f t="shared" si="227"/>
        <v>548570</v>
      </c>
      <c r="V73" s="47">
        <v>613158</v>
      </c>
      <c r="W73" s="46">
        <f t="shared" ref="W73:AE73" si="228">V73</f>
        <v>613158</v>
      </c>
      <c r="X73" s="46">
        <f t="shared" si="228"/>
        <v>613158</v>
      </c>
      <c r="Y73" s="46">
        <f t="shared" si="228"/>
        <v>613158</v>
      </c>
      <c r="Z73" s="46">
        <f t="shared" si="228"/>
        <v>613158</v>
      </c>
      <c r="AA73" s="46">
        <f t="shared" si="228"/>
        <v>613158</v>
      </c>
      <c r="AB73" s="46">
        <f t="shared" si="228"/>
        <v>613158</v>
      </c>
      <c r="AC73" s="46">
        <f t="shared" si="228"/>
        <v>613158</v>
      </c>
      <c r="AD73" s="48">
        <f t="shared" si="228"/>
        <v>613158</v>
      </c>
      <c r="AE73" s="45">
        <f t="shared" si="228"/>
        <v>613158</v>
      </c>
      <c r="AF73" s="46">
        <f t="shared" si="214"/>
        <v>613158</v>
      </c>
      <c r="AG73" s="47">
        <f t="shared" si="214"/>
        <v>613158</v>
      </c>
      <c r="AH73" s="46">
        <f t="shared" si="215"/>
        <v>613158</v>
      </c>
      <c r="AI73" s="46">
        <f t="shared" si="215"/>
        <v>613158</v>
      </c>
      <c r="AJ73" s="46">
        <f t="shared" si="215"/>
        <v>613158</v>
      </c>
      <c r="AK73" s="46">
        <f t="shared" si="215"/>
        <v>613158</v>
      </c>
      <c r="AL73" s="46">
        <f t="shared" si="215"/>
        <v>613158</v>
      </c>
      <c r="AM73" s="46">
        <f t="shared" si="215"/>
        <v>613158</v>
      </c>
      <c r="AN73" s="46">
        <f t="shared" si="215"/>
        <v>613158</v>
      </c>
      <c r="AO73" s="46">
        <f t="shared" si="215"/>
        <v>613158</v>
      </c>
      <c r="AP73" s="48">
        <f>AC73</f>
        <v>613158</v>
      </c>
      <c r="AQ73" s="688">
        <f t="shared" ref="AQ73:AR75" si="229">+AP73</f>
        <v>613158</v>
      </c>
      <c r="AR73" s="688">
        <f t="shared" si="229"/>
        <v>613158</v>
      </c>
      <c r="AS73" s="697">
        <f t="shared" si="217"/>
        <v>613158</v>
      </c>
      <c r="AT73" s="688">
        <f t="shared" ref="AT73:BB73" si="230">+AS73</f>
        <v>613158</v>
      </c>
      <c r="AU73" s="688">
        <f t="shared" si="230"/>
        <v>613158</v>
      </c>
      <c r="AV73" s="688">
        <f t="shared" si="230"/>
        <v>613158</v>
      </c>
      <c r="AW73" s="688">
        <f t="shared" si="230"/>
        <v>613158</v>
      </c>
      <c r="AX73" s="688">
        <f t="shared" si="230"/>
        <v>613158</v>
      </c>
      <c r="AY73" s="688">
        <f t="shared" si="230"/>
        <v>613158</v>
      </c>
      <c r="AZ73" s="688">
        <f t="shared" si="230"/>
        <v>613158</v>
      </c>
      <c r="BA73" s="688">
        <f t="shared" si="230"/>
        <v>613158</v>
      </c>
      <c r="BB73" s="48">
        <f t="shared" si="230"/>
        <v>613158</v>
      </c>
      <c r="BC73" s="10" t="str">
        <f t="shared" si="226"/>
        <v>MSP실행그룹책임(CL3)</v>
      </c>
      <c r="BD73" s="10" t="str">
        <f t="shared" si="219"/>
        <v>MSP실행그룹CL2(사원-선임)</v>
      </c>
      <c r="BG73" s="540"/>
      <c r="BH73" s="540"/>
    </row>
    <row r="74" spans="1:76">
      <c r="A74" s="526" t="str">
        <f t="shared" si="112"/>
        <v>MSP실행그룹</v>
      </c>
      <c r="B74" s="526" t="str">
        <f>+B73</f>
        <v>MSP실행그룹</v>
      </c>
      <c r="C74" s="527" t="s">
        <v>249</v>
      </c>
      <c r="D74" s="18" t="s">
        <v>103</v>
      </c>
      <c r="E74" s="17"/>
      <c r="F74" s="18"/>
      <c r="G74" s="45"/>
      <c r="H74" s="46"/>
      <c r="I74" s="47"/>
      <c r="J74" s="46"/>
      <c r="K74" s="46"/>
      <c r="L74" s="46"/>
      <c r="M74" s="46"/>
      <c r="N74" s="46"/>
      <c r="O74" s="46"/>
      <c r="P74" s="46"/>
      <c r="Q74" s="46"/>
      <c r="R74" s="48"/>
      <c r="S74" s="45"/>
      <c r="T74" s="46"/>
      <c r="U74" s="1211"/>
      <c r="V74" s="47"/>
      <c r="W74" s="46"/>
      <c r="X74" s="46"/>
      <c r="Y74" s="46"/>
      <c r="Z74" s="46"/>
      <c r="AA74" s="46"/>
      <c r="AB74" s="46"/>
      <c r="AC74" s="46"/>
      <c r="AD74" s="48"/>
      <c r="AE74" s="45"/>
      <c r="AF74" s="46"/>
      <c r="AG74" s="47"/>
      <c r="AH74" s="46"/>
      <c r="AI74" s="46"/>
      <c r="AJ74" s="46"/>
      <c r="AK74" s="46"/>
      <c r="AL74" s="46"/>
      <c r="AM74" s="46"/>
      <c r="AN74" s="46"/>
      <c r="AO74" s="46"/>
      <c r="AP74" s="48"/>
      <c r="AQ74" s="688">
        <f t="shared" si="229"/>
        <v>0</v>
      </c>
      <c r="AR74" s="688">
        <f t="shared" si="229"/>
        <v>0</v>
      </c>
      <c r="AS74" s="697"/>
      <c r="AT74" s="688">
        <f t="shared" ref="AT74:BB74" si="231">+AS74</f>
        <v>0</v>
      </c>
      <c r="AU74" s="688">
        <f t="shared" si="231"/>
        <v>0</v>
      </c>
      <c r="AV74" s="688">
        <f t="shared" si="231"/>
        <v>0</v>
      </c>
      <c r="AW74" s="688">
        <f t="shared" si="231"/>
        <v>0</v>
      </c>
      <c r="AX74" s="688">
        <f t="shared" si="231"/>
        <v>0</v>
      </c>
      <c r="AY74" s="688">
        <f t="shared" si="231"/>
        <v>0</v>
      </c>
      <c r="AZ74" s="688">
        <f t="shared" si="231"/>
        <v>0</v>
      </c>
      <c r="BA74" s="688">
        <f t="shared" si="231"/>
        <v>0</v>
      </c>
      <c r="BB74" s="48">
        <f t="shared" si="231"/>
        <v>0</v>
      </c>
      <c r="BC74" s="10" t="str">
        <f t="shared" si="226"/>
        <v>MSP실행그룹선임(CL2)</v>
      </c>
      <c r="BD74" s="10" t="str">
        <f t="shared" si="219"/>
        <v>MSP실행그룹</v>
      </c>
      <c r="BG74" s="540"/>
      <c r="BH74" s="540"/>
    </row>
    <row r="75" spans="1:76">
      <c r="A75" s="528" t="str">
        <f t="shared" si="112"/>
        <v>MSP실행그룹</v>
      </c>
      <c r="B75" s="528" t="str">
        <f>+B74</f>
        <v>MSP실행그룹</v>
      </c>
      <c r="C75" s="529" t="s">
        <v>250</v>
      </c>
      <c r="D75" s="20" t="s">
        <v>104</v>
      </c>
      <c r="E75" s="19"/>
      <c r="F75" s="20"/>
      <c r="G75" s="49"/>
      <c r="H75" s="50"/>
      <c r="I75" s="51"/>
      <c r="J75" s="50"/>
      <c r="K75" s="50"/>
      <c r="L75" s="50"/>
      <c r="M75" s="50"/>
      <c r="N75" s="50"/>
      <c r="O75" s="50"/>
      <c r="P75" s="50"/>
      <c r="Q75" s="50"/>
      <c r="R75" s="52"/>
      <c r="S75" s="49"/>
      <c r="T75" s="50"/>
      <c r="U75" s="1212"/>
      <c r="V75" s="51"/>
      <c r="W75" s="50"/>
      <c r="X75" s="50"/>
      <c r="Y75" s="50"/>
      <c r="Z75" s="50"/>
      <c r="AA75" s="50"/>
      <c r="AB75" s="50"/>
      <c r="AC75" s="50"/>
      <c r="AD75" s="52"/>
      <c r="AE75" s="49"/>
      <c r="AF75" s="50"/>
      <c r="AG75" s="51"/>
      <c r="AH75" s="50"/>
      <c r="AI75" s="50"/>
      <c r="AJ75" s="50"/>
      <c r="AK75" s="50"/>
      <c r="AL75" s="50"/>
      <c r="AM75" s="50"/>
      <c r="AN75" s="50"/>
      <c r="AO75" s="50"/>
      <c r="AP75" s="52"/>
      <c r="AQ75" s="689">
        <f t="shared" si="229"/>
        <v>0</v>
      </c>
      <c r="AR75" s="689">
        <f t="shared" si="229"/>
        <v>0</v>
      </c>
      <c r="AS75" s="698"/>
      <c r="AT75" s="689">
        <f t="shared" ref="AT75:BB75" si="232">+AS75</f>
        <v>0</v>
      </c>
      <c r="AU75" s="689">
        <f t="shared" si="232"/>
        <v>0</v>
      </c>
      <c r="AV75" s="689">
        <f t="shared" si="232"/>
        <v>0</v>
      </c>
      <c r="AW75" s="689">
        <f t="shared" si="232"/>
        <v>0</v>
      </c>
      <c r="AX75" s="689">
        <f t="shared" si="232"/>
        <v>0</v>
      </c>
      <c r="AY75" s="689">
        <f t="shared" si="232"/>
        <v>0</v>
      </c>
      <c r="AZ75" s="689">
        <f t="shared" si="232"/>
        <v>0</v>
      </c>
      <c r="BA75" s="689">
        <f t="shared" si="232"/>
        <v>0</v>
      </c>
      <c r="BB75" s="52">
        <f t="shared" si="232"/>
        <v>0</v>
      </c>
      <c r="BC75" s="10" t="str">
        <f t="shared" si="226"/>
        <v>MSP실행그룹사원(CL1-CL2)</v>
      </c>
      <c r="BD75" s="10" t="str">
        <f t="shared" si="219"/>
        <v>MSP실행그룹</v>
      </c>
      <c r="BG75" s="540"/>
      <c r="BH75" s="540"/>
    </row>
    <row r="76" spans="1:76">
      <c r="A76" s="10" t="str">
        <f t="shared" si="112"/>
        <v>디지털솔루션그룹이사</v>
      </c>
      <c r="B76" s="523" t="s">
        <v>1007</v>
      </c>
      <c r="C76" s="525" t="s">
        <v>12</v>
      </c>
      <c r="D76" s="15" t="s">
        <v>105</v>
      </c>
      <c r="E76" s="16" t="s">
        <v>12</v>
      </c>
      <c r="F76" s="15" t="s">
        <v>82</v>
      </c>
      <c r="G76" s="543">
        <v>0</v>
      </c>
      <c r="H76" s="541">
        <v>0</v>
      </c>
      <c r="I76" s="541">
        <f>ROUND(H76*105%,0)</f>
        <v>0</v>
      </c>
      <c r="J76" s="541">
        <f t="shared" ref="J76:U76" si="233">I76</f>
        <v>0</v>
      </c>
      <c r="K76" s="541">
        <f t="shared" si="233"/>
        <v>0</v>
      </c>
      <c r="L76" s="541">
        <f t="shared" si="233"/>
        <v>0</v>
      </c>
      <c r="M76" s="541">
        <f t="shared" si="233"/>
        <v>0</v>
      </c>
      <c r="N76" s="541">
        <f t="shared" si="233"/>
        <v>0</v>
      </c>
      <c r="O76" s="541">
        <f t="shared" si="233"/>
        <v>0</v>
      </c>
      <c r="P76" s="541">
        <f t="shared" si="233"/>
        <v>0</v>
      </c>
      <c r="Q76" s="541">
        <f t="shared" si="233"/>
        <v>0</v>
      </c>
      <c r="R76" s="542">
        <f t="shared" si="233"/>
        <v>0</v>
      </c>
      <c r="S76" s="767">
        <f t="shared" si="233"/>
        <v>0</v>
      </c>
      <c r="T76" s="541">
        <f t="shared" si="233"/>
        <v>0</v>
      </c>
      <c r="U76" s="1210">
        <f t="shared" si="233"/>
        <v>0</v>
      </c>
      <c r="V76" s="43">
        <f t="shared" ref="V76:AG79" si="234">U76</f>
        <v>0</v>
      </c>
      <c r="W76" s="541">
        <f t="shared" si="234"/>
        <v>0</v>
      </c>
      <c r="X76" s="541">
        <f t="shared" si="234"/>
        <v>0</v>
      </c>
      <c r="Y76" s="541">
        <f t="shared" si="234"/>
        <v>0</v>
      </c>
      <c r="Z76" s="541">
        <f t="shared" si="234"/>
        <v>0</v>
      </c>
      <c r="AA76" s="541">
        <f t="shared" si="234"/>
        <v>0</v>
      </c>
      <c r="AB76" s="541">
        <f t="shared" si="234"/>
        <v>0</v>
      </c>
      <c r="AC76" s="541">
        <f t="shared" si="234"/>
        <v>0</v>
      </c>
      <c r="AD76" s="542">
        <f t="shared" si="234"/>
        <v>0</v>
      </c>
      <c r="AE76" s="543">
        <f t="shared" si="234"/>
        <v>0</v>
      </c>
      <c r="AF76" s="541">
        <f t="shared" si="234"/>
        <v>0</v>
      </c>
      <c r="AG76" s="541">
        <f t="shared" si="234"/>
        <v>0</v>
      </c>
      <c r="AH76" s="541">
        <f t="shared" ref="AH76:AO79" si="235">AG76</f>
        <v>0</v>
      </c>
      <c r="AI76" s="541">
        <f t="shared" si="235"/>
        <v>0</v>
      </c>
      <c r="AJ76" s="541">
        <f t="shared" si="235"/>
        <v>0</v>
      </c>
      <c r="AK76" s="541">
        <f t="shared" si="235"/>
        <v>0</v>
      </c>
      <c r="AL76" s="541">
        <f t="shared" si="235"/>
        <v>0</v>
      </c>
      <c r="AM76" s="541">
        <f t="shared" si="235"/>
        <v>0</v>
      </c>
      <c r="AN76" s="541">
        <f t="shared" si="235"/>
        <v>0</v>
      </c>
      <c r="AO76" s="541">
        <f t="shared" si="235"/>
        <v>0</v>
      </c>
      <c r="AP76" s="690">
        <f>AC76</f>
        <v>0</v>
      </c>
      <c r="AQ76" s="690">
        <f t="shared" ref="AQ76:AR81" si="236">+AP76</f>
        <v>0</v>
      </c>
      <c r="AR76" s="690">
        <f t="shared" si="236"/>
        <v>0</v>
      </c>
      <c r="AS76" s="696">
        <f t="shared" ref="AS76" si="237">AR76</f>
        <v>0</v>
      </c>
      <c r="AT76" s="690">
        <f t="shared" ref="AT76:BB76" si="238">+AS76</f>
        <v>0</v>
      </c>
      <c r="AU76" s="690">
        <f t="shared" si="238"/>
        <v>0</v>
      </c>
      <c r="AV76" s="690">
        <f t="shared" si="238"/>
        <v>0</v>
      </c>
      <c r="AW76" s="690">
        <f t="shared" si="238"/>
        <v>0</v>
      </c>
      <c r="AX76" s="690">
        <f t="shared" si="238"/>
        <v>0</v>
      </c>
      <c r="AY76" s="690">
        <f t="shared" si="238"/>
        <v>0</v>
      </c>
      <c r="AZ76" s="690">
        <f t="shared" si="238"/>
        <v>0</v>
      </c>
      <c r="BA76" s="690">
        <f t="shared" si="238"/>
        <v>0</v>
      </c>
      <c r="BB76" s="542">
        <f t="shared" si="238"/>
        <v>0</v>
      </c>
      <c r="BC76" s="10" t="str">
        <f t="shared" si="226"/>
        <v>디지털솔루션그룹이사</v>
      </c>
      <c r="BD76" s="544" t="str">
        <f t="shared" si="219"/>
        <v>디지털솔루션그룹이사</v>
      </c>
      <c r="BE76" s="543"/>
      <c r="BF76" s="541"/>
      <c r="BG76" s="541"/>
      <c r="BH76" s="542"/>
      <c r="BI76" s="543"/>
      <c r="BJ76" s="541"/>
      <c r="BK76" s="542"/>
      <c r="BL76" s="545"/>
      <c r="BM76" s="543"/>
      <c r="BN76" s="541"/>
      <c r="BO76" s="542"/>
      <c r="BP76" s="545"/>
      <c r="BQ76" s="546"/>
      <c r="BR76" s="547"/>
      <c r="BS76" s="548"/>
      <c r="BT76" s="549"/>
      <c r="BU76" s="539"/>
      <c r="BV76" s="539"/>
      <c r="BW76" s="544"/>
      <c r="BX76" s="544"/>
    </row>
    <row r="77" spans="1:76">
      <c r="A77" s="10" t="str">
        <f t="shared" ref="A77:A81" si="239">+B77&amp;E77</f>
        <v>디지털솔루션그룹CL4(수석)</v>
      </c>
      <c r="B77" s="526" t="str">
        <f>+B76</f>
        <v>디지털솔루션그룹</v>
      </c>
      <c r="C77" s="527" t="s">
        <v>246</v>
      </c>
      <c r="D77" s="18" t="s">
        <v>105</v>
      </c>
      <c r="E77" s="17" t="s">
        <v>445</v>
      </c>
      <c r="F77" s="18" t="s">
        <v>82</v>
      </c>
      <c r="G77" s="552">
        <v>833597</v>
      </c>
      <c r="H77" s="552">
        <v>833597</v>
      </c>
      <c r="I77" s="550">
        <v>931989</v>
      </c>
      <c r="J77" s="550">
        <v>931989</v>
      </c>
      <c r="K77" s="550">
        <v>931989</v>
      </c>
      <c r="L77" s="550">
        <v>931989</v>
      </c>
      <c r="M77" s="550">
        <v>931989</v>
      </c>
      <c r="N77" s="550">
        <v>931989</v>
      </c>
      <c r="O77" s="550">
        <v>931989</v>
      </c>
      <c r="P77" s="550">
        <v>931989</v>
      </c>
      <c r="Q77" s="550">
        <v>931989</v>
      </c>
      <c r="R77" s="551">
        <v>931989</v>
      </c>
      <c r="S77" s="768">
        <v>931989</v>
      </c>
      <c r="T77" s="550">
        <v>931989</v>
      </c>
      <c r="U77" s="1211">
        <v>931989</v>
      </c>
      <c r="V77" s="47">
        <v>874608</v>
      </c>
      <c r="W77" s="550">
        <f t="shared" si="234"/>
        <v>874608</v>
      </c>
      <c r="X77" s="550">
        <f t="shared" si="234"/>
        <v>874608</v>
      </c>
      <c r="Y77" s="550">
        <f t="shared" si="234"/>
        <v>874608</v>
      </c>
      <c r="Z77" s="550">
        <f t="shared" si="234"/>
        <v>874608</v>
      </c>
      <c r="AA77" s="550">
        <f t="shared" si="234"/>
        <v>874608</v>
      </c>
      <c r="AB77" s="550">
        <f t="shared" si="234"/>
        <v>874608</v>
      </c>
      <c r="AC77" s="550">
        <f t="shared" si="234"/>
        <v>874608</v>
      </c>
      <c r="AD77" s="551">
        <f t="shared" si="234"/>
        <v>874608</v>
      </c>
      <c r="AE77" s="552">
        <f t="shared" si="234"/>
        <v>874608</v>
      </c>
      <c r="AF77" s="550">
        <f t="shared" si="234"/>
        <v>874608</v>
      </c>
      <c r="AG77" s="550">
        <v>931989</v>
      </c>
      <c r="AH77" s="550">
        <f t="shared" si="235"/>
        <v>931989</v>
      </c>
      <c r="AI77" s="550">
        <f t="shared" si="235"/>
        <v>931989</v>
      </c>
      <c r="AJ77" s="550">
        <f t="shared" si="235"/>
        <v>931989</v>
      </c>
      <c r="AK77" s="550">
        <f t="shared" si="235"/>
        <v>931989</v>
      </c>
      <c r="AL77" s="550">
        <f t="shared" si="235"/>
        <v>931989</v>
      </c>
      <c r="AM77" s="550">
        <f t="shared" si="235"/>
        <v>931989</v>
      </c>
      <c r="AN77" s="550">
        <f t="shared" si="235"/>
        <v>931989</v>
      </c>
      <c r="AO77" s="550">
        <f t="shared" si="235"/>
        <v>931989</v>
      </c>
      <c r="AP77" s="691">
        <f>AC77</f>
        <v>874608</v>
      </c>
      <c r="AQ77" s="691">
        <f t="shared" si="236"/>
        <v>874608</v>
      </c>
      <c r="AR77" s="691">
        <f t="shared" si="236"/>
        <v>874608</v>
      </c>
      <c r="AS77" s="697">
        <v>931989</v>
      </c>
      <c r="AT77" s="691">
        <f t="shared" ref="AT77:BB77" si="240">+AS77</f>
        <v>931989</v>
      </c>
      <c r="AU77" s="691">
        <f t="shared" si="240"/>
        <v>931989</v>
      </c>
      <c r="AV77" s="691">
        <f t="shared" si="240"/>
        <v>931989</v>
      </c>
      <c r="AW77" s="691">
        <f t="shared" si="240"/>
        <v>931989</v>
      </c>
      <c r="AX77" s="691">
        <f t="shared" si="240"/>
        <v>931989</v>
      </c>
      <c r="AY77" s="691">
        <f t="shared" si="240"/>
        <v>931989</v>
      </c>
      <c r="AZ77" s="691">
        <f t="shared" si="240"/>
        <v>931989</v>
      </c>
      <c r="BA77" s="691">
        <f t="shared" si="240"/>
        <v>931989</v>
      </c>
      <c r="BB77" s="551">
        <f t="shared" si="240"/>
        <v>931989</v>
      </c>
      <c r="BC77" s="10" t="str">
        <f t="shared" si="226"/>
        <v>디지털솔루션그룹수석(CL4)</v>
      </c>
      <c r="BD77" s="544" t="str">
        <f t="shared" si="219"/>
        <v>디지털솔루션그룹CL4(수석)</v>
      </c>
      <c r="BE77" s="552"/>
      <c r="BF77" s="550"/>
      <c r="BG77" s="550"/>
      <c r="BH77" s="551"/>
      <c r="BI77" s="552"/>
      <c r="BJ77" s="550"/>
      <c r="BK77" s="551"/>
      <c r="BL77" s="553"/>
      <c r="BM77" s="552"/>
      <c r="BN77" s="550"/>
      <c r="BO77" s="551"/>
      <c r="BP77" s="553"/>
      <c r="BQ77" s="554"/>
      <c r="BR77" s="555"/>
      <c r="BS77" s="556"/>
      <c r="BT77" s="549"/>
      <c r="BU77" s="539"/>
      <c r="BV77" s="539"/>
      <c r="BW77" s="544"/>
      <c r="BX77" s="544"/>
    </row>
    <row r="78" spans="1:76">
      <c r="A78" s="10" t="str">
        <f t="shared" si="239"/>
        <v>디지털솔루션그룹CL3(책임-수석보)</v>
      </c>
      <c r="B78" s="526" t="str">
        <f>+B77</f>
        <v>디지털솔루션그룹</v>
      </c>
      <c r="C78" s="527" t="s">
        <v>247</v>
      </c>
      <c r="D78" s="18" t="s">
        <v>105</v>
      </c>
      <c r="E78" s="17" t="s">
        <v>455</v>
      </c>
      <c r="F78" s="18" t="s">
        <v>459</v>
      </c>
      <c r="G78" s="552">
        <v>699341</v>
      </c>
      <c r="H78" s="552">
        <v>699341</v>
      </c>
      <c r="I78" s="550">
        <v>791746</v>
      </c>
      <c r="J78" s="550">
        <v>791746</v>
      </c>
      <c r="K78" s="550">
        <v>791746</v>
      </c>
      <c r="L78" s="550">
        <v>791746</v>
      </c>
      <c r="M78" s="550">
        <v>791746</v>
      </c>
      <c r="N78" s="550">
        <v>791746</v>
      </c>
      <c r="O78" s="550">
        <v>791746</v>
      </c>
      <c r="P78" s="550">
        <v>791746</v>
      </c>
      <c r="Q78" s="550">
        <v>791746</v>
      </c>
      <c r="R78" s="551">
        <v>791746</v>
      </c>
      <c r="S78" s="768">
        <v>791746</v>
      </c>
      <c r="T78" s="550">
        <v>791746</v>
      </c>
      <c r="U78" s="1211">
        <v>791746</v>
      </c>
      <c r="V78" s="47">
        <v>774229</v>
      </c>
      <c r="W78" s="550">
        <f t="shared" si="234"/>
        <v>774229</v>
      </c>
      <c r="X78" s="550">
        <f t="shared" si="234"/>
        <v>774229</v>
      </c>
      <c r="Y78" s="550">
        <f t="shared" si="234"/>
        <v>774229</v>
      </c>
      <c r="Z78" s="550">
        <f t="shared" si="234"/>
        <v>774229</v>
      </c>
      <c r="AA78" s="550">
        <f t="shared" si="234"/>
        <v>774229</v>
      </c>
      <c r="AB78" s="550">
        <f t="shared" si="234"/>
        <v>774229</v>
      </c>
      <c r="AC78" s="550">
        <f t="shared" si="234"/>
        <v>774229</v>
      </c>
      <c r="AD78" s="551">
        <f t="shared" si="234"/>
        <v>774229</v>
      </c>
      <c r="AE78" s="552">
        <f t="shared" si="234"/>
        <v>774229</v>
      </c>
      <c r="AF78" s="550">
        <f t="shared" si="234"/>
        <v>774229</v>
      </c>
      <c r="AG78" s="550">
        <v>791746</v>
      </c>
      <c r="AH78" s="550">
        <f t="shared" si="235"/>
        <v>791746</v>
      </c>
      <c r="AI78" s="550">
        <f t="shared" si="235"/>
        <v>791746</v>
      </c>
      <c r="AJ78" s="550">
        <f t="shared" si="235"/>
        <v>791746</v>
      </c>
      <c r="AK78" s="550">
        <f t="shared" si="235"/>
        <v>791746</v>
      </c>
      <c r="AL78" s="550">
        <f t="shared" si="235"/>
        <v>791746</v>
      </c>
      <c r="AM78" s="550">
        <f t="shared" si="235"/>
        <v>791746</v>
      </c>
      <c r="AN78" s="550">
        <f t="shared" si="235"/>
        <v>791746</v>
      </c>
      <c r="AO78" s="550">
        <f t="shared" si="235"/>
        <v>791746</v>
      </c>
      <c r="AP78" s="691">
        <f>AC78</f>
        <v>774229</v>
      </c>
      <c r="AQ78" s="691">
        <f t="shared" si="236"/>
        <v>774229</v>
      </c>
      <c r="AR78" s="691">
        <f t="shared" si="236"/>
        <v>774229</v>
      </c>
      <c r="AS78" s="697">
        <v>791746</v>
      </c>
      <c r="AT78" s="691">
        <f t="shared" ref="AT78:BB78" si="241">+AS78</f>
        <v>791746</v>
      </c>
      <c r="AU78" s="691">
        <f t="shared" si="241"/>
        <v>791746</v>
      </c>
      <c r="AV78" s="691">
        <f t="shared" si="241"/>
        <v>791746</v>
      </c>
      <c r="AW78" s="691">
        <f t="shared" si="241"/>
        <v>791746</v>
      </c>
      <c r="AX78" s="691">
        <f t="shared" si="241"/>
        <v>791746</v>
      </c>
      <c r="AY78" s="691">
        <f t="shared" si="241"/>
        <v>791746</v>
      </c>
      <c r="AZ78" s="691">
        <f t="shared" si="241"/>
        <v>791746</v>
      </c>
      <c r="BA78" s="691">
        <f t="shared" si="241"/>
        <v>791746</v>
      </c>
      <c r="BB78" s="551">
        <f t="shared" si="241"/>
        <v>791746</v>
      </c>
      <c r="BC78" s="10" t="str">
        <f t="shared" si="226"/>
        <v>디지털솔루션그룹수석보(CL3)</v>
      </c>
      <c r="BD78" s="544" t="str">
        <f t="shared" si="219"/>
        <v>디지털솔루션그룹CL3(책임-수석보)</v>
      </c>
      <c r="BE78" s="552"/>
      <c r="BF78" s="550"/>
      <c r="BG78" s="550"/>
      <c r="BH78" s="551"/>
      <c r="BI78" s="552"/>
      <c r="BJ78" s="550"/>
      <c r="BK78" s="551"/>
      <c r="BL78" s="553"/>
      <c r="BM78" s="552"/>
      <c r="BN78" s="550"/>
      <c r="BO78" s="551"/>
      <c r="BP78" s="553"/>
      <c r="BQ78" s="554"/>
      <c r="BR78" s="555"/>
      <c r="BS78" s="556"/>
      <c r="BT78" s="549"/>
      <c r="BU78" s="539"/>
      <c r="BV78" s="539"/>
      <c r="BW78" s="544"/>
      <c r="BX78" s="544"/>
    </row>
    <row r="79" spans="1:76">
      <c r="A79" s="10" t="str">
        <f t="shared" si="239"/>
        <v>디지털솔루션그룹CL2(사원-선임)</v>
      </c>
      <c r="B79" s="526" t="str">
        <f>+B78</f>
        <v>디지털솔루션그룹</v>
      </c>
      <c r="C79" s="527" t="s">
        <v>248</v>
      </c>
      <c r="D79" s="18" t="s">
        <v>102</v>
      </c>
      <c r="E79" s="17" t="s">
        <v>457</v>
      </c>
      <c r="F79" s="18" t="s">
        <v>461</v>
      </c>
      <c r="G79" s="552">
        <v>555674</v>
      </c>
      <c r="H79" s="552">
        <v>555674</v>
      </c>
      <c r="I79" s="550">
        <v>602035</v>
      </c>
      <c r="J79" s="550">
        <v>602035</v>
      </c>
      <c r="K79" s="550">
        <v>602035</v>
      </c>
      <c r="L79" s="550">
        <v>602035</v>
      </c>
      <c r="M79" s="550">
        <v>602035</v>
      </c>
      <c r="N79" s="550">
        <v>602035</v>
      </c>
      <c r="O79" s="550">
        <v>602035</v>
      </c>
      <c r="P79" s="550">
        <v>602035</v>
      </c>
      <c r="Q79" s="550">
        <v>602035</v>
      </c>
      <c r="R79" s="551">
        <v>602035</v>
      </c>
      <c r="S79" s="768">
        <v>602035</v>
      </c>
      <c r="T79" s="550">
        <v>602035</v>
      </c>
      <c r="U79" s="1211">
        <v>602035</v>
      </c>
      <c r="V79" s="47">
        <v>629225</v>
      </c>
      <c r="W79" s="550">
        <f t="shared" si="234"/>
        <v>629225</v>
      </c>
      <c r="X79" s="550">
        <f t="shared" si="234"/>
        <v>629225</v>
      </c>
      <c r="Y79" s="550">
        <f t="shared" si="234"/>
        <v>629225</v>
      </c>
      <c r="Z79" s="550">
        <f t="shared" si="234"/>
        <v>629225</v>
      </c>
      <c r="AA79" s="550">
        <f t="shared" si="234"/>
        <v>629225</v>
      </c>
      <c r="AB79" s="550">
        <f t="shared" si="234"/>
        <v>629225</v>
      </c>
      <c r="AC79" s="550">
        <f t="shared" si="234"/>
        <v>629225</v>
      </c>
      <c r="AD79" s="551">
        <f t="shared" si="234"/>
        <v>629225</v>
      </c>
      <c r="AE79" s="552">
        <f t="shared" si="234"/>
        <v>629225</v>
      </c>
      <c r="AF79" s="550">
        <f t="shared" si="234"/>
        <v>629225</v>
      </c>
      <c r="AG79" s="550">
        <v>602035</v>
      </c>
      <c r="AH79" s="550">
        <f t="shared" si="235"/>
        <v>602035</v>
      </c>
      <c r="AI79" s="550">
        <f t="shared" si="235"/>
        <v>602035</v>
      </c>
      <c r="AJ79" s="550">
        <f t="shared" si="235"/>
        <v>602035</v>
      </c>
      <c r="AK79" s="550">
        <f t="shared" si="235"/>
        <v>602035</v>
      </c>
      <c r="AL79" s="550">
        <f t="shared" si="235"/>
        <v>602035</v>
      </c>
      <c r="AM79" s="550">
        <f t="shared" si="235"/>
        <v>602035</v>
      </c>
      <c r="AN79" s="550">
        <f t="shared" si="235"/>
        <v>602035</v>
      </c>
      <c r="AO79" s="550">
        <f t="shared" si="235"/>
        <v>602035</v>
      </c>
      <c r="AP79" s="691">
        <f>AC79</f>
        <v>629225</v>
      </c>
      <c r="AQ79" s="691">
        <f t="shared" si="236"/>
        <v>629225</v>
      </c>
      <c r="AR79" s="691">
        <f t="shared" si="236"/>
        <v>629225</v>
      </c>
      <c r="AS79" s="697">
        <v>602035</v>
      </c>
      <c r="AT79" s="691">
        <f t="shared" ref="AT79:BB79" si="242">+AS79</f>
        <v>602035</v>
      </c>
      <c r="AU79" s="691">
        <f t="shared" si="242"/>
        <v>602035</v>
      </c>
      <c r="AV79" s="691">
        <f t="shared" si="242"/>
        <v>602035</v>
      </c>
      <c r="AW79" s="691">
        <f t="shared" si="242"/>
        <v>602035</v>
      </c>
      <c r="AX79" s="691">
        <f t="shared" si="242"/>
        <v>602035</v>
      </c>
      <c r="AY79" s="691">
        <f t="shared" si="242"/>
        <v>602035</v>
      </c>
      <c r="AZ79" s="691">
        <f t="shared" si="242"/>
        <v>602035</v>
      </c>
      <c r="BA79" s="691">
        <f t="shared" si="242"/>
        <v>602035</v>
      </c>
      <c r="BB79" s="551">
        <f t="shared" si="242"/>
        <v>602035</v>
      </c>
      <c r="BC79" s="10" t="str">
        <f t="shared" si="226"/>
        <v>디지털솔루션그룹책임(CL3)</v>
      </c>
      <c r="BD79" s="544" t="str">
        <f t="shared" si="219"/>
        <v>디지털솔루션그룹CL2(사원-선임)</v>
      </c>
      <c r="BE79" s="552"/>
      <c r="BF79" s="550"/>
      <c r="BG79" s="550"/>
      <c r="BH79" s="551"/>
      <c r="BI79" s="552"/>
      <c r="BJ79" s="550"/>
      <c r="BK79" s="551"/>
      <c r="BL79" s="553"/>
      <c r="BM79" s="552"/>
      <c r="BN79" s="550"/>
      <c r="BO79" s="551"/>
      <c r="BP79" s="553"/>
      <c r="BQ79" s="554"/>
      <c r="BR79" s="555"/>
      <c r="BS79" s="556"/>
      <c r="BT79" s="549"/>
      <c r="BU79" s="539"/>
      <c r="BV79" s="539"/>
      <c r="BW79" s="544"/>
      <c r="BX79" s="544"/>
    </row>
    <row r="80" spans="1:76">
      <c r="A80" s="10" t="str">
        <f t="shared" si="239"/>
        <v>디지털솔루션그룹</v>
      </c>
      <c r="B80" s="526" t="str">
        <f>+B79</f>
        <v>디지털솔루션그룹</v>
      </c>
      <c r="C80" s="527" t="s">
        <v>249</v>
      </c>
      <c r="D80" s="18" t="s">
        <v>103</v>
      </c>
      <c r="E80" s="17"/>
      <c r="F80" s="18"/>
      <c r="G80" s="45"/>
      <c r="H80" s="46"/>
      <c r="I80" s="47"/>
      <c r="J80" s="46"/>
      <c r="K80" s="46"/>
      <c r="L80" s="46"/>
      <c r="M80" s="46"/>
      <c r="N80" s="46"/>
      <c r="O80" s="46"/>
      <c r="P80" s="46"/>
      <c r="Q80" s="46"/>
      <c r="R80" s="48"/>
      <c r="S80" s="769"/>
      <c r="T80" s="46"/>
      <c r="U80" s="1211"/>
      <c r="V80" s="47"/>
      <c r="W80" s="46"/>
      <c r="X80" s="46"/>
      <c r="Y80" s="46"/>
      <c r="Z80" s="46"/>
      <c r="AA80" s="46"/>
      <c r="AB80" s="46"/>
      <c r="AC80" s="46"/>
      <c r="AD80" s="48"/>
      <c r="AE80" s="45"/>
      <c r="AF80" s="46"/>
      <c r="AG80" s="47"/>
      <c r="AH80" s="46"/>
      <c r="AI80" s="46"/>
      <c r="AJ80" s="46"/>
      <c r="AK80" s="46"/>
      <c r="AL80" s="46"/>
      <c r="AM80" s="46"/>
      <c r="AN80" s="46"/>
      <c r="AO80" s="46"/>
      <c r="AP80" s="688"/>
      <c r="AQ80" s="688">
        <f t="shared" si="236"/>
        <v>0</v>
      </c>
      <c r="AR80" s="688">
        <f t="shared" si="236"/>
        <v>0</v>
      </c>
      <c r="AS80" s="697"/>
      <c r="AT80" s="688">
        <f t="shared" ref="AT80:BB80" si="243">+AS80</f>
        <v>0</v>
      </c>
      <c r="AU80" s="688">
        <f t="shared" si="243"/>
        <v>0</v>
      </c>
      <c r="AV80" s="688">
        <f t="shared" si="243"/>
        <v>0</v>
      </c>
      <c r="AW80" s="688">
        <f t="shared" si="243"/>
        <v>0</v>
      </c>
      <c r="AX80" s="688">
        <f t="shared" si="243"/>
        <v>0</v>
      </c>
      <c r="AY80" s="688">
        <f t="shared" si="243"/>
        <v>0</v>
      </c>
      <c r="AZ80" s="688">
        <f t="shared" si="243"/>
        <v>0</v>
      </c>
      <c r="BA80" s="688">
        <f t="shared" si="243"/>
        <v>0</v>
      </c>
      <c r="BB80" s="48">
        <f t="shared" si="243"/>
        <v>0</v>
      </c>
      <c r="BC80" s="10" t="str">
        <f t="shared" si="226"/>
        <v>디지털솔루션그룹선임(CL2)</v>
      </c>
      <c r="BD80" s="544" t="str">
        <f t="shared" si="219"/>
        <v>디지털솔루션그룹</v>
      </c>
      <c r="BE80" s="45"/>
      <c r="BF80" s="46"/>
      <c r="BG80" s="46"/>
      <c r="BH80" s="48"/>
      <c r="BI80" s="45"/>
      <c r="BJ80" s="46"/>
      <c r="BK80" s="48"/>
      <c r="BL80" s="496"/>
      <c r="BM80" s="45"/>
      <c r="BN80" s="46"/>
      <c r="BO80" s="48"/>
      <c r="BP80" s="496"/>
      <c r="BQ80" s="487"/>
      <c r="BR80" s="481"/>
      <c r="BS80" s="473"/>
      <c r="BT80" s="13"/>
      <c r="BU80" s="531"/>
      <c r="BV80" s="531"/>
    </row>
    <row r="81" spans="1:74">
      <c r="A81" s="10" t="str">
        <f t="shared" si="239"/>
        <v>디지털솔루션그룹</v>
      </c>
      <c r="B81" s="528" t="str">
        <f>+B80</f>
        <v>디지털솔루션그룹</v>
      </c>
      <c r="C81" s="529" t="s">
        <v>250</v>
      </c>
      <c r="D81" s="20" t="s">
        <v>104</v>
      </c>
      <c r="E81" s="19"/>
      <c r="F81" s="20"/>
      <c r="G81" s="49"/>
      <c r="H81" s="50"/>
      <c r="I81" s="51"/>
      <c r="J81" s="50"/>
      <c r="K81" s="50"/>
      <c r="L81" s="50"/>
      <c r="M81" s="50"/>
      <c r="N81" s="50"/>
      <c r="O81" s="50"/>
      <c r="P81" s="50"/>
      <c r="Q81" s="50"/>
      <c r="R81" s="52"/>
      <c r="S81" s="770"/>
      <c r="T81" s="50"/>
      <c r="U81" s="1212"/>
      <c r="V81" s="51"/>
      <c r="W81" s="50"/>
      <c r="X81" s="50"/>
      <c r="Y81" s="50"/>
      <c r="Z81" s="50"/>
      <c r="AA81" s="50"/>
      <c r="AB81" s="50"/>
      <c r="AC81" s="50"/>
      <c r="AD81" s="52"/>
      <c r="AE81" s="49"/>
      <c r="AF81" s="50"/>
      <c r="AG81" s="51"/>
      <c r="AH81" s="50"/>
      <c r="AI81" s="50"/>
      <c r="AJ81" s="50"/>
      <c r="AK81" s="50"/>
      <c r="AL81" s="50"/>
      <c r="AM81" s="50"/>
      <c r="AN81" s="50"/>
      <c r="AO81" s="50"/>
      <c r="AP81" s="689"/>
      <c r="AQ81" s="689">
        <f t="shared" si="236"/>
        <v>0</v>
      </c>
      <c r="AR81" s="689">
        <f t="shared" si="236"/>
        <v>0</v>
      </c>
      <c r="AS81" s="698"/>
      <c r="AT81" s="689">
        <f t="shared" ref="AT81:BB81" si="244">+AS81</f>
        <v>0</v>
      </c>
      <c r="AU81" s="689">
        <f t="shared" si="244"/>
        <v>0</v>
      </c>
      <c r="AV81" s="689">
        <f t="shared" si="244"/>
        <v>0</v>
      </c>
      <c r="AW81" s="689">
        <f t="shared" si="244"/>
        <v>0</v>
      </c>
      <c r="AX81" s="689">
        <f t="shared" si="244"/>
        <v>0</v>
      </c>
      <c r="AY81" s="689">
        <f t="shared" si="244"/>
        <v>0</v>
      </c>
      <c r="AZ81" s="689">
        <f t="shared" si="244"/>
        <v>0</v>
      </c>
      <c r="BA81" s="689">
        <f t="shared" si="244"/>
        <v>0</v>
      </c>
      <c r="BB81" s="52">
        <f t="shared" si="244"/>
        <v>0</v>
      </c>
      <c r="BC81" s="10" t="str">
        <f t="shared" si="226"/>
        <v>디지털솔루션그룹사원(CL1-CL2)</v>
      </c>
      <c r="BD81" s="544" t="str">
        <f t="shared" si="219"/>
        <v>디지털솔루션그룹</v>
      </c>
      <c r="BE81" s="49"/>
      <c r="BF81" s="50"/>
      <c r="BG81" s="50"/>
      <c r="BH81" s="52"/>
      <c r="BI81" s="49"/>
      <c r="BJ81" s="50"/>
      <c r="BK81" s="52"/>
      <c r="BL81" s="497"/>
      <c r="BM81" s="49"/>
      <c r="BN81" s="50"/>
      <c r="BO81" s="52"/>
      <c r="BP81" s="497"/>
      <c r="BQ81" s="488"/>
      <c r="BR81" s="482"/>
      <c r="BS81" s="474"/>
      <c r="BT81" s="13"/>
      <c r="BU81" s="531"/>
      <c r="BV81" s="531"/>
    </row>
    <row r="82" spans="1:74">
      <c r="A82" s="523" t="str">
        <f t="shared" ref="A82:A87" si="245">+B82&amp;E82</f>
        <v>솔루션MSP그룹이사</v>
      </c>
      <c r="B82" s="523" t="s">
        <v>1109</v>
      </c>
      <c r="C82" s="16" t="s">
        <v>12</v>
      </c>
      <c r="D82" s="15" t="s">
        <v>105</v>
      </c>
      <c r="E82" s="16" t="s">
        <v>12</v>
      </c>
      <c r="F82" s="15" t="s">
        <v>82</v>
      </c>
      <c r="G82" s="41">
        <v>0</v>
      </c>
      <c r="H82" s="42">
        <v>0</v>
      </c>
      <c r="I82" s="43">
        <f t="shared" ref="I82:U82" si="246">H82</f>
        <v>0</v>
      </c>
      <c r="J82" s="42">
        <f t="shared" si="246"/>
        <v>0</v>
      </c>
      <c r="K82" s="42">
        <f t="shared" si="246"/>
        <v>0</v>
      </c>
      <c r="L82" s="42">
        <f t="shared" si="246"/>
        <v>0</v>
      </c>
      <c r="M82" s="42">
        <f t="shared" si="246"/>
        <v>0</v>
      </c>
      <c r="N82" s="42">
        <f t="shared" si="246"/>
        <v>0</v>
      </c>
      <c r="O82" s="42">
        <f t="shared" si="246"/>
        <v>0</v>
      </c>
      <c r="P82" s="42">
        <f t="shared" si="246"/>
        <v>0</v>
      </c>
      <c r="Q82" s="42">
        <f t="shared" si="246"/>
        <v>0</v>
      </c>
      <c r="R82" s="44">
        <f t="shared" si="246"/>
        <v>0</v>
      </c>
      <c r="S82" s="41">
        <f t="shared" si="246"/>
        <v>0</v>
      </c>
      <c r="T82" s="42">
        <f t="shared" si="246"/>
        <v>0</v>
      </c>
      <c r="U82" s="1210">
        <f t="shared" si="246"/>
        <v>0</v>
      </c>
      <c r="V82" s="43"/>
      <c r="W82" s="42">
        <f t="shared" ref="W82:AE82" si="247">V82</f>
        <v>0</v>
      </c>
      <c r="X82" s="42">
        <f t="shared" si="247"/>
        <v>0</v>
      </c>
      <c r="Y82" s="42">
        <f t="shared" si="247"/>
        <v>0</v>
      </c>
      <c r="Z82" s="42">
        <f t="shared" si="247"/>
        <v>0</v>
      </c>
      <c r="AA82" s="42">
        <f t="shared" si="247"/>
        <v>0</v>
      </c>
      <c r="AB82" s="42">
        <f t="shared" si="247"/>
        <v>0</v>
      </c>
      <c r="AC82" s="42">
        <f t="shared" si="247"/>
        <v>0</v>
      </c>
      <c r="AD82" s="44">
        <f t="shared" si="247"/>
        <v>0</v>
      </c>
      <c r="AE82" s="41">
        <f t="shared" si="247"/>
        <v>0</v>
      </c>
      <c r="AF82" s="42">
        <f t="shared" ref="AF82:AG85" si="248">AE82</f>
        <v>0</v>
      </c>
      <c r="AG82" s="43">
        <f t="shared" si="248"/>
        <v>0</v>
      </c>
      <c r="AH82" s="42">
        <f t="shared" ref="AH82:AO85" si="249">AG82</f>
        <v>0</v>
      </c>
      <c r="AI82" s="42">
        <f t="shared" si="249"/>
        <v>0</v>
      </c>
      <c r="AJ82" s="42">
        <f t="shared" si="249"/>
        <v>0</v>
      </c>
      <c r="AK82" s="42">
        <f t="shared" si="249"/>
        <v>0</v>
      </c>
      <c r="AL82" s="42">
        <f t="shared" si="249"/>
        <v>0</v>
      </c>
      <c r="AM82" s="42">
        <f t="shared" si="249"/>
        <v>0</v>
      </c>
      <c r="AN82" s="42">
        <f t="shared" si="249"/>
        <v>0</v>
      </c>
      <c r="AO82" s="42">
        <f t="shared" si="249"/>
        <v>0</v>
      </c>
      <c r="AP82" s="44">
        <f>AC82</f>
        <v>0</v>
      </c>
      <c r="AQ82" s="687">
        <f t="shared" ref="AQ82:BB82" si="250">+AP82</f>
        <v>0</v>
      </c>
      <c r="AR82" s="687">
        <f t="shared" si="250"/>
        <v>0</v>
      </c>
      <c r="AS82" s="696">
        <f t="shared" ref="AS82:AS85" si="251">AR82</f>
        <v>0</v>
      </c>
      <c r="AT82" s="687">
        <f t="shared" si="250"/>
        <v>0</v>
      </c>
      <c r="AU82" s="687">
        <f t="shared" si="250"/>
        <v>0</v>
      </c>
      <c r="AV82" s="687">
        <f t="shared" si="250"/>
        <v>0</v>
      </c>
      <c r="AW82" s="687">
        <f t="shared" si="250"/>
        <v>0</v>
      </c>
      <c r="AX82" s="687">
        <f t="shared" si="250"/>
        <v>0</v>
      </c>
      <c r="AY82" s="687">
        <f t="shared" si="250"/>
        <v>0</v>
      </c>
      <c r="AZ82" s="687">
        <f t="shared" si="250"/>
        <v>0</v>
      </c>
      <c r="BA82" s="687">
        <f t="shared" si="250"/>
        <v>0</v>
      </c>
      <c r="BB82" s="44">
        <f t="shared" si="250"/>
        <v>0</v>
      </c>
      <c r="BC82" s="10" t="str">
        <f t="shared" si="226"/>
        <v>솔루션MSP그룹이사</v>
      </c>
      <c r="BD82" s="10" t="str">
        <f t="shared" si="219"/>
        <v>솔루션MSP그룹이사</v>
      </c>
      <c r="BG82" s="540"/>
      <c r="BH82" s="540"/>
    </row>
    <row r="83" spans="1:74">
      <c r="A83" s="526" t="str">
        <f t="shared" si="245"/>
        <v>솔루션MSP그룹CL4(수석)</v>
      </c>
      <c r="B83" s="526" t="str">
        <f>+B82</f>
        <v>솔루션MSP그룹</v>
      </c>
      <c r="C83" s="17" t="s">
        <v>246</v>
      </c>
      <c r="D83" s="18" t="s">
        <v>105</v>
      </c>
      <c r="E83" s="17" t="s">
        <v>445</v>
      </c>
      <c r="F83" s="18" t="s">
        <v>82</v>
      </c>
      <c r="G83" s="45">
        <v>855501</v>
      </c>
      <c r="H83" s="46">
        <v>855501</v>
      </c>
      <c r="I83" s="47">
        <v>961279</v>
      </c>
      <c r="J83" s="46">
        <f t="shared" ref="J83:U83" si="252">I83</f>
        <v>961279</v>
      </c>
      <c r="K83" s="46">
        <f t="shared" si="252"/>
        <v>961279</v>
      </c>
      <c r="L83" s="46">
        <f t="shared" si="252"/>
        <v>961279</v>
      </c>
      <c r="M83" s="46">
        <f t="shared" si="252"/>
        <v>961279</v>
      </c>
      <c r="N83" s="46">
        <f t="shared" si="252"/>
        <v>961279</v>
      </c>
      <c r="O83" s="46">
        <f t="shared" si="252"/>
        <v>961279</v>
      </c>
      <c r="P83" s="46">
        <f t="shared" si="252"/>
        <v>961279</v>
      </c>
      <c r="Q83" s="46">
        <f t="shared" si="252"/>
        <v>961279</v>
      </c>
      <c r="R83" s="48">
        <v>908407</v>
      </c>
      <c r="S83" s="45">
        <f t="shared" si="252"/>
        <v>908407</v>
      </c>
      <c r="T83" s="46">
        <f t="shared" si="252"/>
        <v>908407</v>
      </c>
      <c r="U83" s="1211">
        <f t="shared" si="252"/>
        <v>908407</v>
      </c>
      <c r="V83" s="47">
        <v>874317</v>
      </c>
      <c r="W83" s="46">
        <f t="shared" ref="W83:AE83" si="253">V83</f>
        <v>874317</v>
      </c>
      <c r="X83" s="46">
        <f t="shared" si="253"/>
        <v>874317</v>
      </c>
      <c r="Y83" s="46">
        <f t="shared" si="253"/>
        <v>874317</v>
      </c>
      <c r="Z83" s="46">
        <f t="shared" si="253"/>
        <v>874317</v>
      </c>
      <c r="AA83" s="46">
        <f t="shared" si="253"/>
        <v>874317</v>
      </c>
      <c r="AB83" s="46">
        <f t="shared" si="253"/>
        <v>874317</v>
      </c>
      <c r="AC83" s="46">
        <f t="shared" si="253"/>
        <v>874317</v>
      </c>
      <c r="AD83" s="48">
        <f t="shared" si="253"/>
        <v>874317</v>
      </c>
      <c r="AE83" s="45">
        <f t="shared" si="253"/>
        <v>874317</v>
      </c>
      <c r="AF83" s="46">
        <f t="shared" si="248"/>
        <v>874317</v>
      </c>
      <c r="AG83" s="47">
        <f t="shared" si="248"/>
        <v>874317</v>
      </c>
      <c r="AH83" s="46">
        <f t="shared" si="249"/>
        <v>874317</v>
      </c>
      <c r="AI83" s="46">
        <f t="shared" si="249"/>
        <v>874317</v>
      </c>
      <c r="AJ83" s="46">
        <f t="shared" si="249"/>
        <v>874317</v>
      </c>
      <c r="AK83" s="46">
        <f t="shared" si="249"/>
        <v>874317</v>
      </c>
      <c r="AL83" s="46">
        <f t="shared" si="249"/>
        <v>874317</v>
      </c>
      <c r="AM83" s="46">
        <f t="shared" si="249"/>
        <v>874317</v>
      </c>
      <c r="AN83" s="46">
        <f t="shared" si="249"/>
        <v>874317</v>
      </c>
      <c r="AO83" s="46">
        <f t="shared" si="249"/>
        <v>874317</v>
      </c>
      <c r="AP83" s="48">
        <f>AC83</f>
        <v>874317</v>
      </c>
      <c r="AQ83" s="688">
        <f t="shared" ref="AQ83:BB83" si="254">+AP83</f>
        <v>874317</v>
      </c>
      <c r="AR83" s="688">
        <f t="shared" si="254"/>
        <v>874317</v>
      </c>
      <c r="AS83" s="697">
        <f t="shared" si="251"/>
        <v>874317</v>
      </c>
      <c r="AT83" s="688">
        <f t="shared" si="254"/>
        <v>874317</v>
      </c>
      <c r="AU83" s="688">
        <f t="shared" si="254"/>
        <v>874317</v>
      </c>
      <c r="AV83" s="688">
        <f t="shared" si="254"/>
        <v>874317</v>
      </c>
      <c r="AW83" s="688">
        <f t="shared" si="254"/>
        <v>874317</v>
      </c>
      <c r="AX83" s="688">
        <f t="shared" si="254"/>
        <v>874317</v>
      </c>
      <c r="AY83" s="688">
        <f t="shared" si="254"/>
        <v>874317</v>
      </c>
      <c r="AZ83" s="688">
        <f t="shared" si="254"/>
        <v>874317</v>
      </c>
      <c r="BA83" s="688">
        <f t="shared" si="254"/>
        <v>874317</v>
      </c>
      <c r="BB83" s="48">
        <f t="shared" si="254"/>
        <v>874317</v>
      </c>
      <c r="BC83" s="10" t="str">
        <f t="shared" si="226"/>
        <v>솔루션MSP그룹수석(CL4)</v>
      </c>
      <c r="BD83" s="10" t="str">
        <f t="shared" si="219"/>
        <v>솔루션MSP그룹CL4(수석)</v>
      </c>
      <c r="BG83" s="540"/>
      <c r="BH83" s="540"/>
    </row>
    <row r="84" spans="1:74">
      <c r="A84" s="526" t="str">
        <f t="shared" si="245"/>
        <v>솔루션MSP그룹CL3(책임-수석보)</v>
      </c>
      <c r="B84" s="526" t="str">
        <f>+B83</f>
        <v>솔루션MSP그룹</v>
      </c>
      <c r="C84" s="17" t="s">
        <v>247</v>
      </c>
      <c r="D84" s="18" t="s">
        <v>105</v>
      </c>
      <c r="E84" s="17" t="s">
        <v>455</v>
      </c>
      <c r="F84" s="18" t="s">
        <v>459</v>
      </c>
      <c r="G84" s="45">
        <v>699496</v>
      </c>
      <c r="H84" s="46">
        <v>699496</v>
      </c>
      <c r="I84" s="47">
        <v>791746</v>
      </c>
      <c r="J84" s="46">
        <f t="shared" ref="J84:U84" si="255">I84</f>
        <v>791746</v>
      </c>
      <c r="K84" s="46">
        <f t="shared" si="255"/>
        <v>791746</v>
      </c>
      <c r="L84" s="46">
        <f t="shared" si="255"/>
        <v>791746</v>
      </c>
      <c r="M84" s="46">
        <f t="shared" si="255"/>
        <v>791746</v>
      </c>
      <c r="N84" s="46">
        <f t="shared" si="255"/>
        <v>791746</v>
      </c>
      <c r="O84" s="46">
        <f t="shared" si="255"/>
        <v>791746</v>
      </c>
      <c r="P84" s="46">
        <f t="shared" si="255"/>
        <v>791746</v>
      </c>
      <c r="Q84" s="46">
        <f t="shared" si="255"/>
        <v>791746</v>
      </c>
      <c r="R84" s="48">
        <v>800539</v>
      </c>
      <c r="S84" s="45">
        <f t="shared" si="255"/>
        <v>800539</v>
      </c>
      <c r="T84" s="46">
        <f t="shared" si="255"/>
        <v>800539</v>
      </c>
      <c r="U84" s="1211">
        <f t="shared" si="255"/>
        <v>800539</v>
      </c>
      <c r="V84" s="47">
        <v>768688</v>
      </c>
      <c r="W84" s="46">
        <f t="shared" ref="W84:AE84" si="256">V84</f>
        <v>768688</v>
      </c>
      <c r="X84" s="46">
        <f t="shared" si="256"/>
        <v>768688</v>
      </c>
      <c r="Y84" s="46">
        <f t="shared" si="256"/>
        <v>768688</v>
      </c>
      <c r="Z84" s="46">
        <f t="shared" si="256"/>
        <v>768688</v>
      </c>
      <c r="AA84" s="46">
        <f t="shared" si="256"/>
        <v>768688</v>
      </c>
      <c r="AB84" s="46">
        <f t="shared" si="256"/>
        <v>768688</v>
      </c>
      <c r="AC84" s="46">
        <f t="shared" si="256"/>
        <v>768688</v>
      </c>
      <c r="AD84" s="48">
        <f t="shared" si="256"/>
        <v>768688</v>
      </c>
      <c r="AE84" s="45">
        <f t="shared" si="256"/>
        <v>768688</v>
      </c>
      <c r="AF84" s="46">
        <f t="shared" si="248"/>
        <v>768688</v>
      </c>
      <c r="AG84" s="47">
        <f t="shared" si="248"/>
        <v>768688</v>
      </c>
      <c r="AH84" s="46">
        <f t="shared" si="249"/>
        <v>768688</v>
      </c>
      <c r="AI84" s="46">
        <f t="shared" si="249"/>
        <v>768688</v>
      </c>
      <c r="AJ84" s="46">
        <f t="shared" si="249"/>
        <v>768688</v>
      </c>
      <c r="AK84" s="46">
        <f t="shared" si="249"/>
        <v>768688</v>
      </c>
      <c r="AL84" s="46">
        <f t="shared" si="249"/>
        <v>768688</v>
      </c>
      <c r="AM84" s="46">
        <f t="shared" si="249"/>
        <v>768688</v>
      </c>
      <c r="AN84" s="46">
        <f t="shared" si="249"/>
        <v>768688</v>
      </c>
      <c r="AO84" s="46">
        <f t="shared" si="249"/>
        <v>768688</v>
      </c>
      <c r="AP84" s="48">
        <f>AC84</f>
        <v>768688</v>
      </c>
      <c r="AQ84" s="688">
        <f t="shared" ref="AQ84:BB84" si="257">+AP84</f>
        <v>768688</v>
      </c>
      <c r="AR84" s="688">
        <f t="shared" si="257"/>
        <v>768688</v>
      </c>
      <c r="AS84" s="697">
        <f t="shared" si="251"/>
        <v>768688</v>
      </c>
      <c r="AT84" s="688">
        <f t="shared" si="257"/>
        <v>768688</v>
      </c>
      <c r="AU84" s="688">
        <f t="shared" si="257"/>
        <v>768688</v>
      </c>
      <c r="AV84" s="688">
        <f t="shared" si="257"/>
        <v>768688</v>
      </c>
      <c r="AW84" s="688">
        <f t="shared" si="257"/>
        <v>768688</v>
      </c>
      <c r="AX84" s="688">
        <f t="shared" si="257"/>
        <v>768688</v>
      </c>
      <c r="AY84" s="688">
        <f t="shared" si="257"/>
        <v>768688</v>
      </c>
      <c r="AZ84" s="688">
        <f t="shared" si="257"/>
        <v>768688</v>
      </c>
      <c r="BA84" s="688">
        <f t="shared" si="257"/>
        <v>768688</v>
      </c>
      <c r="BB84" s="48">
        <f t="shared" si="257"/>
        <v>768688</v>
      </c>
      <c r="BC84" s="10" t="str">
        <f t="shared" si="226"/>
        <v>솔루션MSP그룹수석보(CL3)</v>
      </c>
      <c r="BD84" s="10" t="str">
        <f t="shared" si="219"/>
        <v>솔루션MSP그룹CL3(책임-수석보)</v>
      </c>
      <c r="BG84" s="540"/>
      <c r="BH84" s="540"/>
    </row>
    <row r="85" spans="1:74">
      <c r="A85" s="526" t="str">
        <f t="shared" si="245"/>
        <v>솔루션MSP그룹CL2(사원-선임)</v>
      </c>
      <c r="B85" s="526" t="str">
        <f>+B84</f>
        <v>솔루션MSP그룹</v>
      </c>
      <c r="C85" s="17" t="s">
        <v>248</v>
      </c>
      <c r="D85" s="18" t="s">
        <v>102</v>
      </c>
      <c r="E85" s="17" t="s">
        <v>457</v>
      </c>
      <c r="F85" s="18" t="s">
        <v>461</v>
      </c>
      <c r="G85" s="45">
        <v>549171</v>
      </c>
      <c r="H85" s="46">
        <v>549171</v>
      </c>
      <c r="I85" s="47">
        <v>602035</v>
      </c>
      <c r="J85" s="46">
        <f t="shared" ref="J85:U85" si="258">I85</f>
        <v>602035</v>
      </c>
      <c r="K85" s="46">
        <f t="shared" si="258"/>
        <v>602035</v>
      </c>
      <c r="L85" s="46">
        <f t="shared" si="258"/>
        <v>602035</v>
      </c>
      <c r="M85" s="46">
        <f t="shared" si="258"/>
        <v>602035</v>
      </c>
      <c r="N85" s="46">
        <f t="shared" si="258"/>
        <v>602035</v>
      </c>
      <c r="O85" s="46">
        <f t="shared" si="258"/>
        <v>602035</v>
      </c>
      <c r="P85" s="46">
        <f t="shared" si="258"/>
        <v>602035</v>
      </c>
      <c r="Q85" s="46">
        <f t="shared" si="258"/>
        <v>602035</v>
      </c>
      <c r="R85" s="48">
        <v>621562</v>
      </c>
      <c r="S85" s="45">
        <f t="shared" si="258"/>
        <v>621562</v>
      </c>
      <c r="T85" s="46">
        <f t="shared" si="258"/>
        <v>621562</v>
      </c>
      <c r="U85" s="1211">
        <f t="shared" si="258"/>
        <v>621562</v>
      </c>
      <c r="V85" s="47">
        <v>657083</v>
      </c>
      <c r="W85" s="46">
        <f t="shared" ref="W85:AE85" si="259">V85</f>
        <v>657083</v>
      </c>
      <c r="X85" s="46">
        <f t="shared" si="259"/>
        <v>657083</v>
      </c>
      <c r="Y85" s="46">
        <f t="shared" si="259"/>
        <v>657083</v>
      </c>
      <c r="Z85" s="46">
        <f t="shared" si="259"/>
        <v>657083</v>
      </c>
      <c r="AA85" s="46">
        <f t="shared" si="259"/>
        <v>657083</v>
      </c>
      <c r="AB85" s="46">
        <f t="shared" si="259"/>
        <v>657083</v>
      </c>
      <c r="AC85" s="46">
        <f t="shared" si="259"/>
        <v>657083</v>
      </c>
      <c r="AD85" s="48">
        <f t="shared" si="259"/>
        <v>657083</v>
      </c>
      <c r="AE85" s="45">
        <f t="shared" si="259"/>
        <v>657083</v>
      </c>
      <c r="AF85" s="46">
        <f t="shared" si="248"/>
        <v>657083</v>
      </c>
      <c r="AG85" s="47">
        <f t="shared" si="248"/>
        <v>657083</v>
      </c>
      <c r="AH85" s="46">
        <f t="shared" si="249"/>
        <v>657083</v>
      </c>
      <c r="AI85" s="46">
        <f t="shared" si="249"/>
        <v>657083</v>
      </c>
      <c r="AJ85" s="46">
        <f t="shared" si="249"/>
        <v>657083</v>
      </c>
      <c r="AK85" s="46">
        <f t="shared" si="249"/>
        <v>657083</v>
      </c>
      <c r="AL85" s="46">
        <f t="shared" si="249"/>
        <v>657083</v>
      </c>
      <c r="AM85" s="46">
        <f t="shared" si="249"/>
        <v>657083</v>
      </c>
      <c r="AN85" s="46">
        <f t="shared" si="249"/>
        <v>657083</v>
      </c>
      <c r="AO85" s="46">
        <f t="shared" si="249"/>
        <v>657083</v>
      </c>
      <c r="AP85" s="48">
        <f>AC85</f>
        <v>657083</v>
      </c>
      <c r="AQ85" s="688">
        <f t="shared" ref="AQ85:BB85" si="260">+AP85</f>
        <v>657083</v>
      </c>
      <c r="AR85" s="688">
        <f t="shared" si="260"/>
        <v>657083</v>
      </c>
      <c r="AS85" s="697">
        <f t="shared" si="251"/>
        <v>657083</v>
      </c>
      <c r="AT85" s="688">
        <f t="shared" si="260"/>
        <v>657083</v>
      </c>
      <c r="AU85" s="688">
        <f t="shared" si="260"/>
        <v>657083</v>
      </c>
      <c r="AV85" s="688">
        <f t="shared" si="260"/>
        <v>657083</v>
      </c>
      <c r="AW85" s="688">
        <f t="shared" si="260"/>
        <v>657083</v>
      </c>
      <c r="AX85" s="688">
        <f t="shared" si="260"/>
        <v>657083</v>
      </c>
      <c r="AY85" s="688">
        <f t="shared" si="260"/>
        <v>657083</v>
      </c>
      <c r="AZ85" s="688">
        <f t="shared" si="260"/>
        <v>657083</v>
      </c>
      <c r="BA85" s="688">
        <f t="shared" si="260"/>
        <v>657083</v>
      </c>
      <c r="BB85" s="48">
        <f t="shared" si="260"/>
        <v>657083</v>
      </c>
      <c r="BC85" s="10" t="str">
        <f t="shared" si="226"/>
        <v>솔루션MSP그룹책임(CL3)</v>
      </c>
      <c r="BD85" s="10" t="str">
        <f t="shared" si="219"/>
        <v>솔루션MSP그룹CL2(사원-선임)</v>
      </c>
      <c r="BG85" s="540"/>
      <c r="BH85" s="540"/>
    </row>
    <row r="86" spans="1:74">
      <c r="A86" s="526" t="str">
        <f t="shared" si="245"/>
        <v>솔루션MSP그룹</v>
      </c>
      <c r="B86" s="526" t="str">
        <f>+B85</f>
        <v>솔루션MSP그룹</v>
      </c>
      <c r="C86" s="17" t="s">
        <v>249</v>
      </c>
      <c r="D86" s="18" t="s">
        <v>103</v>
      </c>
      <c r="E86" s="17"/>
      <c r="F86" s="18"/>
      <c r="G86" s="45"/>
      <c r="H86" s="46"/>
      <c r="I86" s="47"/>
      <c r="J86" s="46"/>
      <c r="K86" s="46"/>
      <c r="L86" s="46"/>
      <c r="M86" s="46"/>
      <c r="N86" s="46"/>
      <c r="O86" s="46"/>
      <c r="P86" s="46"/>
      <c r="Q86" s="46"/>
      <c r="R86" s="48"/>
      <c r="S86" s="45"/>
      <c r="T86" s="46"/>
      <c r="U86" s="1211"/>
      <c r="V86" s="47"/>
      <c r="W86" s="46"/>
      <c r="X86" s="46"/>
      <c r="Y86" s="46"/>
      <c r="Z86" s="46"/>
      <c r="AA86" s="46"/>
      <c r="AB86" s="46"/>
      <c r="AC86" s="46"/>
      <c r="AD86" s="48"/>
      <c r="AE86" s="45"/>
      <c r="AF86" s="46"/>
      <c r="AG86" s="47"/>
      <c r="AH86" s="46"/>
      <c r="AI86" s="46"/>
      <c r="AJ86" s="46"/>
      <c r="AK86" s="46"/>
      <c r="AL86" s="46"/>
      <c r="AM86" s="46"/>
      <c r="AN86" s="46"/>
      <c r="AO86" s="46"/>
      <c r="AP86" s="48"/>
      <c r="AQ86" s="688">
        <f t="shared" ref="AQ86:BB86" si="261">+AP86</f>
        <v>0</v>
      </c>
      <c r="AR86" s="688">
        <f t="shared" si="261"/>
        <v>0</v>
      </c>
      <c r="AS86" s="697"/>
      <c r="AT86" s="688">
        <f t="shared" si="261"/>
        <v>0</v>
      </c>
      <c r="AU86" s="688">
        <f t="shared" si="261"/>
        <v>0</v>
      </c>
      <c r="AV86" s="688">
        <f t="shared" si="261"/>
        <v>0</v>
      </c>
      <c r="AW86" s="688">
        <f t="shared" si="261"/>
        <v>0</v>
      </c>
      <c r="AX86" s="688">
        <f t="shared" si="261"/>
        <v>0</v>
      </c>
      <c r="AY86" s="688">
        <f t="shared" si="261"/>
        <v>0</v>
      </c>
      <c r="AZ86" s="688">
        <f t="shared" si="261"/>
        <v>0</v>
      </c>
      <c r="BA86" s="688">
        <f t="shared" si="261"/>
        <v>0</v>
      </c>
      <c r="BB86" s="48">
        <f t="shared" si="261"/>
        <v>0</v>
      </c>
      <c r="BC86" s="10" t="str">
        <f t="shared" si="226"/>
        <v>솔루션MSP그룹선임(CL2)</v>
      </c>
      <c r="BD86" s="10" t="s">
        <v>451</v>
      </c>
      <c r="BG86" s="540"/>
      <c r="BH86" s="540"/>
    </row>
    <row r="87" spans="1:74">
      <c r="A87" s="528" t="str">
        <f t="shared" si="245"/>
        <v>솔루션MSP그룹</v>
      </c>
      <c r="B87" s="528" t="str">
        <f>+B86</f>
        <v>솔루션MSP그룹</v>
      </c>
      <c r="C87" s="19" t="s">
        <v>250</v>
      </c>
      <c r="D87" s="20" t="s">
        <v>104</v>
      </c>
      <c r="E87" s="19"/>
      <c r="F87" s="20"/>
      <c r="G87" s="49"/>
      <c r="H87" s="50"/>
      <c r="I87" s="51"/>
      <c r="J87" s="50"/>
      <c r="K87" s="50"/>
      <c r="L87" s="50"/>
      <c r="M87" s="50"/>
      <c r="N87" s="50"/>
      <c r="O87" s="50"/>
      <c r="P87" s="50"/>
      <c r="Q87" s="50"/>
      <c r="R87" s="52"/>
      <c r="S87" s="49"/>
      <c r="T87" s="50"/>
      <c r="U87" s="1212"/>
      <c r="V87" s="51"/>
      <c r="W87" s="50"/>
      <c r="X87" s="50"/>
      <c r="Y87" s="50"/>
      <c r="Z87" s="50"/>
      <c r="AA87" s="50"/>
      <c r="AB87" s="50"/>
      <c r="AC87" s="50"/>
      <c r="AD87" s="52"/>
      <c r="AE87" s="49"/>
      <c r="AF87" s="50"/>
      <c r="AG87" s="51"/>
      <c r="AH87" s="50"/>
      <c r="AI87" s="50"/>
      <c r="AJ87" s="50"/>
      <c r="AK87" s="50"/>
      <c r="AL87" s="50"/>
      <c r="AM87" s="50"/>
      <c r="AN87" s="50"/>
      <c r="AO87" s="50"/>
      <c r="AP87" s="52"/>
      <c r="AQ87" s="689">
        <f t="shared" ref="AQ87:BB87" si="262">+AP87</f>
        <v>0</v>
      </c>
      <c r="AR87" s="689">
        <f t="shared" si="262"/>
        <v>0</v>
      </c>
      <c r="AS87" s="698"/>
      <c r="AT87" s="689">
        <f t="shared" si="262"/>
        <v>0</v>
      </c>
      <c r="AU87" s="689">
        <f t="shared" si="262"/>
        <v>0</v>
      </c>
      <c r="AV87" s="689">
        <f t="shared" si="262"/>
        <v>0</v>
      </c>
      <c r="AW87" s="689">
        <f t="shared" si="262"/>
        <v>0</v>
      </c>
      <c r="AX87" s="689">
        <f t="shared" si="262"/>
        <v>0</v>
      </c>
      <c r="AY87" s="689">
        <f t="shared" si="262"/>
        <v>0</v>
      </c>
      <c r="AZ87" s="689">
        <f t="shared" si="262"/>
        <v>0</v>
      </c>
      <c r="BA87" s="689">
        <f t="shared" si="262"/>
        <v>0</v>
      </c>
      <c r="BB87" s="52">
        <f t="shared" si="262"/>
        <v>0</v>
      </c>
      <c r="BC87" s="10" t="str">
        <f t="shared" si="226"/>
        <v>솔루션MSP그룹사원(CL1-CL2)</v>
      </c>
      <c r="BD87" s="10" t="s">
        <v>451</v>
      </c>
      <c r="BG87" s="540"/>
      <c r="BH87" s="540"/>
    </row>
    <row r="88" spans="1:74">
      <c r="A88" s="523" t="str">
        <f t="shared" ref="A88:A105" si="263">+B88&amp;E88</f>
        <v>생명/증권 IT그룹이사</v>
      </c>
      <c r="B88" s="523" t="s">
        <v>1008</v>
      </c>
      <c r="C88" s="16" t="s">
        <v>12</v>
      </c>
      <c r="D88" s="15" t="s">
        <v>105</v>
      </c>
      <c r="E88" s="16" t="s">
        <v>12</v>
      </c>
      <c r="F88" s="15" t="s">
        <v>82</v>
      </c>
      <c r="G88" s="41">
        <v>0</v>
      </c>
      <c r="H88" s="42">
        <v>0</v>
      </c>
      <c r="I88" s="43">
        <f t="shared" ref="I88:U88" si="264">H88</f>
        <v>0</v>
      </c>
      <c r="J88" s="42">
        <f t="shared" si="264"/>
        <v>0</v>
      </c>
      <c r="K88" s="42">
        <f t="shared" si="264"/>
        <v>0</v>
      </c>
      <c r="L88" s="42">
        <f t="shared" si="264"/>
        <v>0</v>
      </c>
      <c r="M88" s="42">
        <f t="shared" si="264"/>
        <v>0</v>
      </c>
      <c r="N88" s="42">
        <f t="shared" si="264"/>
        <v>0</v>
      </c>
      <c r="O88" s="42">
        <f t="shared" si="264"/>
        <v>0</v>
      </c>
      <c r="P88" s="42">
        <f t="shared" si="264"/>
        <v>0</v>
      </c>
      <c r="Q88" s="42">
        <f t="shared" si="264"/>
        <v>0</v>
      </c>
      <c r="R88" s="44">
        <f t="shared" si="264"/>
        <v>0</v>
      </c>
      <c r="S88" s="41">
        <f t="shared" si="264"/>
        <v>0</v>
      </c>
      <c r="T88" s="42">
        <f t="shared" si="264"/>
        <v>0</v>
      </c>
      <c r="U88" s="1210">
        <f t="shared" si="264"/>
        <v>0</v>
      </c>
      <c r="V88" s="43">
        <f t="shared" ref="V88:AE88" si="265">U88</f>
        <v>0</v>
      </c>
      <c r="W88" s="42">
        <f t="shared" si="265"/>
        <v>0</v>
      </c>
      <c r="X88" s="42">
        <f t="shared" si="265"/>
        <v>0</v>
      </c>
      <c r="Y88" s="42">
        <f t="shared" si="265"/>
        <v>0</v>
      </c>
      <c r="Z88" s="42">
        <f t="shared" si="265"/>
        <v>0</v>
      </c>
      <c r="AA88" s="42">
        <f t="shared" si="265"/>
        <v>0</v>
      </c>
      <c r="AB88" s="42">
        <f t="shared" si="265"/>
        <v>0</v>
      </c>
      <c r="AC88" s="42">
        <f t="shared" si="265"/>
        <v>0</v>
      </c>
      <c r="AD88" s="44">
        <f t="shared" si="265"/>
        <v>0</v>
      </c>
      <c r="AE88" s="41">
        <f t="shared" si="265"/>
        <v>0</v>
      </c>
      <c r="AF88" s="42">
        <f t="shared" ref="AF88:AG91" si="266">AE88</f>
        <v>0</v>
      </c>
      <c r="AG88" s="43">
        <f t="shared" si="266"/>
        <v>0</v>
      </c>
      <c r="AH88" s="42">
        <f t="shared" ref="AH88:AO91" si="267">AG88</f>
        <v>0</v>
      </c>
      <c r="AI88" s="42">
        <f t="shared" si="267"/>
        <v>0</v>
      </c>
      <c r="AJ88" s="42">
        <f t="shared" si="267"/>
        <v>0</v>
      </c>
      <c r="AK88" s="42">
        <f t="shared" si="267"/>
        <v>0</v>
      </c>
      <c r="AL88" s="42">
        <f t="shared" si="267"/>
        <v>0</v>
      </c>
      <c r="AM88" s="42">
        <f t="shared" si="267"/>
        <v>0</v>
      </c>
      <c r="AN88" s="42">
        <f t="shared" si="267"/>
        <v>0</v>
      </c>
      <c r="AO88" s="42">
        <f t="shared" si="267"/>
        <v>0</v>
      </c>
      <c r="AP88" s="44">
        <f>AC88</f>
        <v>0</v>
      </c>
      <c r="AQ88" s="687">
        <f t="shared" ref="AQ88:BB88" si="268">+AP88</f>
        <v>0</v>
      </c>
      <c r="AR88" s="687">
        <f t="shared" si="268"/>
        <v>0</v>
      </c>
      <c r="AS88" s="696">
        <f t="shared" ref="AS88:AS91" si="269">AR88</f>
        <v>0</v>
      </c>
      <c r="AT88" s="687">
        <f t="shared" si="268"/>
        <v>0</v>
      </c>
      <c r="AU88" s="687">
        <f t="shared" si="268"/>
        <v>0</v>
      </c>
      <c r="AV88" s="687">
        <f t="shared" si="268"/>
        <v>0</v>
      </c>
      <c r="AW88" s="687">
        <f t="shared" si="268"/>
        <v>0</v>
      </c>
      <c r="AX88" s="687">
        <f t="shared" si="268"/>
        <v>0</v>
      </c>
      <c r="AY88" s="687">
        <f t="shared" si="268"/>
        <v>0</v>
      </c>
      <c r="AZ88" s="687">
        <f t="shared" si="268"/>
        <v>0</v>
      </c>
      <c r="BA88" s="687">
        <f t="shared" si="268"/>
        <v>0</v>
      </c>
      <c r="BB88" s="44">
        <f t="shared" si="268"/>
        <v>0</v>
      </c>
      <c r="BC88" s="10" t="str">
        <f t="shared" si="226"/>
        <v>생명/증권 IT그룹이사</v>
      </c>
      <c r="BD88" s="10" t="str">
        <f>B88&amp;E88</f>
        <v>생명/증권 IT그룹이사</v>
      </c>
      <c r="BG88" s="540"/>
      <c r="BH88" s="540"/>
    </row>
    <row r="89" spans="1:74">
      <c r="A89" s="526" t="str">
        <f t="shared" si="263"/>
        <v>생명/증권 IT그룹CL4(수석)</v>
      </c>
      <c r="B89" s="526" t="str">
        <f>+B88</f>
        <v>생명/증권 IT그룹</v>
      </c>
      <c r="C89" s="17" t="s">
        <v>246</v>
      </c>
      <c r="D89" s="18" t="s">
        <v>110</v>
      </c>
      <c r="E89" s="17" t="s">
        <v>445</v>
      </c>
      <c r="F89" s="18" t="s">
        <v>82</v>
      </c>
      <c r="G89" s="45">
        <v>812642</v>
      </c>
      <c r="H89" s="46">
        <v>812642</v>
      </c>
      <c r="I89" s="47">
        <v>922516</v>
      </c>
      <c r="J89" s="46">
        <f t="shared" ref="J89:U89" si="270">I89</f>
        <v>922516</v>
      </c>
      <c r="K89" s="46">
        <f t="shared" si="270"/>
        <v>922516</v>
      </c>
      <c r="L89" s="46">
        <f t="shared" si="270"/>
        <v>922516</v>
      </c>
      <c r="M89" s="46">
        <f t="shared" si="270"/>
        <v>922516</v>
      </c>
      <c r="N89" s="46">
        <f t="shared" si="270"/>
        <v>922516</v>
      </c>
      <c r="O89" s="46">
        <f t="shared" si="270"/>
        <v>922516</v>
      </c>
      <c r="P89" s="46">
        <f t="shared" si="270"/>
        <v>922516</v>
      </c>
      <c r="Q89" s="46">
        <f t="shared" si="270"/>
        <v>922516</v>
      </c>
      <c r="R89" s="48">
        <f t="shared" si="270"/>
        <v>922516</v>
      </c>
      <c r="S89" s="45">
        <f t="shared" si="270"/>
        <v>922516</v>
      </c>
      <c r="T89" s="46">
        <f t="shared" si="270"/>
        <v>922516</v>
      </c>
      <c r="U89" s="1211">
        <f t="shared" si="270"/>
        <v>922516</v>
      </c>
      <c r="V89" s="47">
        <v>868753</v>
      </c>
      <c r="W89" s="46">
        <f t="shared" ref="W89:AE89" si="271">V89</f>
        <v>868753</v>
      </c>
      <c r="X89" s="46">
        <f t="shared" si="271"/>
        <v>868753</v>
      </c>
      <c r="Y89" s="46">
        <f t="shared" si="271"/>
        <v>868753</v>
      </c>
      <c r="Z89" s="46">
        <f t="shared" si="271"/>
        <v>868753</v>
      </c>
      <c r="AA89" s="46">
        <f t="shared" si="271"/>
        <v>868753</v>
      </c>
      <c r="AB89" s="46">
        <f t="shared" si="271"/>
        <v>868753</v>
      </c>
      <c r="AC89" s="46">
        <f t="shared" si="271"/>
        <v>868753</v>
      </c>
      <c r="AD89" s="48">
        <f t="shared" si="271"/>
        <v>868753</v>
      </c>
      <c r="AE89" s="45">
        <f t="shared" si="271"/>
        <v>868753</v>
      </c>
      <c r="AF89" s="46">
        <f t="shared" si="266"/>
        <v>868753</v>
      </c>
      <c r="AG89" s="47">
        <f t="shared" si="266"/>
        <v>868753</v>
      </c>
      <c r="AH89" s="46">
        <f t="shared" si="267"/>
        <v>868753</v>
      </c>
      <c r="AI89" s="46">
        <f t="shared" si="267"/>
        <v>868753</v>
      </c>
      <c r="AJ89" s="46">
        <f t="shared" si="267"/>
        <v>868753</v>
      </c>
      <c r="AK89" s="46">
        <f t="shared" si="267"/>
        <v>868753</v>
      </c>
      <c r="AL89" s="46">
        <f t="shared" si="267"/>
        <v>868753</v>
      </c>
      <c r="AM89" s="46">
        <f t="shared" si="267"/>
        <v>868753</v>
      </c>
      <c r="AN89" s="46">
        <f t="shared" si="267"/>
        <v>868753</v>
      </c>
      <c r="AO89" s="46">
        <f t="shared" si="267"/>
        <v>868753</v>
      </c>
      <c r="AP89" s="48">
        <f>AC89</f>
        <v>868753</v>
      </c>
      <c r="AQ89" s="688">
        <f t="shared" ref="AQ89:BB89" si="272">+AP89</f>
        <v>868753</v>
      </c>
      <c r="AR89" s="688">
        <f t="shared" si="272"/>
        <v>868753</v>
      </c>
      <c r="AS89" s="697">
        <f t="shared" si="269"/>
        <v>868753</v>
      </c>
      <c r="AT89" s="688">
        <f t="shared" si="272"/>
        <v>868753</v>
      </c>
      <c r="AU89" s="688">
        <f t="shared" si="272"/>
        <v>868753</v>
      </c>
      <c r="AV89" s="688">
        <f t="shared" si="272"/>
        <v>868753</v>
      </c>
      <c r="AW89" s="688">
        <f t="shared" si="272"/>
        <v>868753</v>
      </c>
      <c r="AX89" s="688">
        <f t="shared" si="272"/>
        <v>868753</v>
      </c>
      <c r="AY89" s="688">
        <f t="shared" si="272"/>
        <v>868753</v>
      </c>
      <c r="AZ89" s="688">
        <f t="shared" si="272"/>
        <v>868753</v>
      </c>
      <c r="BA89" s="688">
        <f t="shared" si="272"/>
        <v>868753</v>
      </c>
      <c r="BB89" s="48">
        <f t="shared" si="272"/>
        <v>868753</v>
      </c>
      <c r="BC89" s="10" t="str">
        <f t="shared" si="226"/>
        <v>생명/증권 IT그룹수석(CL4)</v>
      </c>
      <c r="BD89" s="10" t="str">
        <f>B89&amp;E89</f>
        <v>생명/증권 IT그룹CL4(수석)</v>
      </c>
      <c r="BG89" s="540"/>
      <c r="BH89" s="540"/>
    </row>
    <row r="90" spans="1:74">
      <c r="A90" s="526" t="str">
        <f t="shared" si="263"/>
        <v>생명/증권 IT그룹CL3(책임-수석보)</v>
      </c>
      <c r="B90" s="526" t="str">
        <f>+B89</f>
        <v>생명/증권 IT그룹</v>
      </c>
      <c r="C90" s="17" t="s">
        <v>247</v>
      </c>
      <c r="D90" s="18" t="s">
        <v>110</v>
      </c>
      <c r="E90" s="17" t="s">
        <v>455</v>
      </c>
      <c r="F90" s="18" t="s">
        <v>459</v>
      </c>
      <c r="G90" s="45">
        <v>706768</v>
      </c>
      <c r="H90" s="46">
        <v>706768</v>
      </c>
      <c r="I90" s="47">
        <v>791857</v>
      </c>
      <c r="J90" s="46">
        <f t="shared" ref="J90:U90" si="273">I90</f>
        <v>791857</v>
      </c>
      <c r="K90" s="46">
        <f t="shared" si="273"/>
        <v>791857</v>
      </c>
      <c r="L90" s="46">
        <f t="shared" si="273"/>
        <v>791857</v>
      </c>
      <c r="M90" s="46">
        <f t="shared" si="273"/>
        <v>791857</v>
      </c>
      <c r="N90" s="46">
        <f t="shared" si="273"/>
        <v>791857</v>
      </c>
      <c r="O90" s="46">
        <f t="shared" si="273"/>
        <v>791857</v>
      </c>
      <c r="P90" s="46">
        <f t="shared" si="273"/>
        <v>791857</v>
      </c>
      <c r="Q90" s="46">
        <f t="shared" si="273"/>
        <v>791857</v>
      </c>
      <c r="R90" s="48">
        <f t="shared" si="273"/>
        <v>791857</v>
      </c>
      <c r="S90" s="45">
        <f t="shared" si="273"/>
        <v>791857</v>
      </c>
      <c r="T90" s="46">
        <f t="shared" si="273"/>
        <v>791857</v>
      </c>
      <c r="U90" s="1211">
        <f t="shared" si="273"/>
        <v>791857</v>
      </c>
      <c r="V90" s="47">
        <v>753290</v>
      </c>
      <c r="W90" s="46">
        <f t="shared" ref="W90:AE90" si="274">V90</f>
        <v>753290</v>
      </c>
      <c r="X90" s="46">
        <f t="shared" si="274"/>
        <v>753290</v>
      </c>
      <c r="Y90" s="46">
        <f t="shared" si="274"/>
        <v>753290</v>
      </c>
      <c r="Z90" s="46">
        <f t="shared" si="274"/>
        <v>753290</v>
      </c>
      <c r="AA90" s="46">
        <f t="shared" si="274"/>
        <v>753290</v>
      </c>
      <c r="AB90" s="46">
        <f t="shared" si="274"/>
        <v>753290</v>
      </c>
      <c r="AC90" s="46">
        <f t="shared" si="274"/>
        <v>753290</v>
      </c>
      <c r="AD90" s="48">
        <f t="shared" si="274"/>
        <v>753290</v>
      </c>
      <c r="AE90" s="45">
        <f t="shared" si="274"/>
        <v>753290</v>
      </c>
      <c r="AF90" s="46">
        <f t="shared" si="266"/>
        <v>753290</v>
      </c>
      <c r="AG90" s="47">
        <f t="shared" si="266"/>
        <v>753290</v>
      </c>
      <c r="AH90" s="46">
        <f t="shared" si="267"/>
        <v>753290</v>
      </c>
      <c r="AI90" s="46">
        <f t="shared" si="267"/>
        <v>753290</v>
      </c>
      <c r="AJ90" s="46">
        <f t="shared" si="267"/>
        <v>753290</v>
      </c>
      <c r="AK90" s="46">
        <f t="shared" si="267"/>
        <v>753290</v>
      </c>
      <c r="AL90" s="46">
        <f t="shared" si="267"/>
        <v>753290</v>
      </c>
      <c r="AM90" s="46">
        <f t="shared" si="267"/>
        <v>753290</v>
      </c>
      <c r="AN90" s="46">
        <f t="shared" si="267"/>
        <v>753290</v>
      </c>
      <c r="AO90" s="46">
        <f t="shared" si="267"/>
        <v>753290</v>
      </c>
      <c r="AP90" s="48">
        <f>AC90</f>
        <v>753290</v>
      </c>
      <c r="AQ90" s="688">
        <f t="shared" ref="AQ90:BB90" si="275">+AP90</f>
        <v>753290</v>
      </c>
      <c r="AR90" s="688">
        <f t="shared" si="275"/>
        <v>753290</v>
      </c>
      <c r="AS90" s="697">
        <f t="shared" si="269"/>
        <v>753290</v>
      </c>
      <c r="AT90" s="688">
        <f t="shared" si="275"/>
        <v>753290</v>
      </c>
      <c r="AU90" s="688">
        <f t="shared" si="275"/>
        <v>753290</v>
      </c>
      <c r="AV90" s="688">
        <f t="shared" si="275"/>
        <v>753290</v>
      </c>
      <c r="AW90" s="688">
        <f t="shared" si="275"/>
        <v>753290</v>
      </c>
      <c r="AX90" s="688">
        <f t="shared" si="275"/>
        <v>753290</v>
      </c>
      <c r="AY90" s="688">
        <f t="shared" si="275"/>
        <v>753290</v>
      </c>
      <c r="AZ90" s="688">
        <f t="shared" si="275"/>
        <v>753290</v>
      </c>
      <c r="BA90" s="688">
        <f t="shared" si="275"/>
        <v>753290</v>
      </c>
      <c r="BB90" s="48">
        <f t="shared" si="275"/>
        <v>753290</v>
      </c>
      <c r="BC90" s="10" t="str">
        <f t="shared" si="226"/>
        <v>생명/증권 IT그룹수석보(CL3)</v>
      </c>
      <c r="BD90" s="10" t="str">
        <f>B90&amp;E90</f>
        <v>생명/증권 IT그룹CL3(책임-수석보)</v>
      </c>
      <c r="BG90" s="540"/>
      <c r="BH90" s="540"/>
    </row>
    <row r="91" spans="1:74">
      <c r="A91" s="526" t="str">
        <f t="shared" si="263"/>
        <v>생명/증권 IT그룹CL2(사원-선임)</v>
      </c>
      <c r="B91" s="526" t="str">
        <f>+B90</f>
        <v>생명/증권 IT그룹</v>
      </c>
      <c r="C91" s="17" t="s">
        <v>248</v>
      </c>
      <c r="D91" s="18" t="s">
        <v>111</v>
      </c>
      <c r="E91" s="17" t="s">
        <v>457</v>
      </c>
      <c r="F91" s="18" t="s">
        <v>461</v>
      </c>
      <c r="G91" s="45">
        <v>533203</v>
      </c>
      <c r="H91" s="46">
        <v>533203</v>
      </c>
      <c r="I91" s="47">
        <v>489248</v>
      </c>
      <c r="J91" s="46">
        <f t="shared" ref="J91:U91" si="276">I91</f>
        <v>489248</v>
      </c>
      <c r="K91" s="46">
        <f t="shared" si="276"/>
        <v>489248</v>
      </c>
      <c r="L91" s="46">
        <f t="shared" si="276"/>
        <v>489248</v>
      </c>
      <c r="M91" s="46">
        <f t="shared" si="276"/>
        <v>489248</v>
      </c>
      <c r="N91" s="46">
        <f t="shared" si="276"/>
        <v>489248</v>
      </c>
      <c r="O91" s="46">
        <f t="shared" si="276"/>
        <v>489248</v>
      </c>
      <c r="P91" s="46">
        <f t="shared" si="276"/>
        <v>489248</v>
      </c>
      <c r="Q91" s="46">
        <f t="shared" si="276"/>
        <v>489248</v>
      </c>
      <c r="R91" s="48">
        <f t="shared" si="276"/>
        <v>489248</v>
      </c>
      <c r="S91" s="45">
        <f t="shared" si="276"/>
        <v>489248</v>
      </c>
      <c r="T91" s="46">
        <f t="shared" si="276"/>
        <v>489248</v>
      </c>
      <c r="U91" s="1211">
        <f t="shared" si="276"/>
        <v>489248</v>
      </c>
      <c r="V91" s="47">
        <v>660612</v>
      </c>
      <c r="W91" s="46">
        <f t="shared" ref="W91:AE91" si="277">V91</f>
        <v>660612</v>
      </c>
      <c r="X91" s="46">
        <f t="shared" si="277"/>
        <v>660612</v>
      </c>
      <c r="Y91" s="46">
        <f t="shared" si="277"/>
        <v>660612</v>
      </c>
      <c r="Z91" s="46">
        <f t="shared" si="277"/>
        <v>660612</v>
      </c>
      <c r="AA91" s="46">
        <f t="shared" si="277"/>
        <v>660612</v>
      </c>
      <c r="AB91" s="46">
        <f t="shared" si="277"/>
        <v>660612</v>
      </c>
      <c r="AC91" s="46">
        <f t="shared" si="277"/>
        <v>660612</v>
      </c>
      <c r="AD91" s="48">
        <f t="shared" si="277"/>
        <v>660612</v>
      </c>
      <c r="AE91" s="45">
        <f t="shared" si="277"/>
        <v>660612</v>
      </c>
      <c r="AF91" s="46">
        <f t="shared" si="266"/>
        <v>660612</v>
      </c>
      <c r="AG91" s="47">
        <f t="shared" si="266"/>
        <v>660612</v>
      </c>
      <c r="AH91" s="46">
        <f t="shared" si="267"/>
        <v>660612</v>
      </c>
      <c r="AI91" s="46">
        <f t="shared" si="267"/>
        <v>660612</v>
      </c>
      <c r="AJ91" s="46">
        <f t="shared" si="267"/>
        <v>660612</v>
      </c>
      <c r="AK91" s="46">
        <f t="shared" si="267"/>
        <v>660612</v>
      </c>
      <c r="AL91" s="46">
        <f t="shared" si="267"/>
        <v>660612</v>
      </c>
      <c r="AM91" s="46">
        <f t="shared" si="267"/>
        <v>660612</v>
      </c>
      <c r="AN91" s="46">
        <f t="shared" si="267"/>
        <v>660612</v>
      </c>
      <c r="AO91" s="46">
        <f t="shared" si="267"/>
        <v>660612</v>
      </c>
      <c r="AP91" s="48">
        <f>AC91</f>
        <v>660612</v>
      </c>
      <c r="AQ91" s="688">
        <f t="shared" ref="AQ91:BB91" si="278">+AP91</f>
        <v>660612</v>
      </c>
      <c r="AR91" s="688">
        <f t="shared" si="278"/>
        <v>660612</v>
      </c>
      <c r="AS91" s="697">
        <f t="shared" si="269"/>
        <v>660612</v>
      </c>
      <c r="AT91" s="688">
        <f t="shared" si="278"/>
        <v>660612</v>
      </c>
      <c r="AU91" s="688">
        <f t="shared" si="278"/>
        <v>660612</v>
      </c>
      <c r="AV91" s="688">
        <f t="shared" si="278"/>
        <v>660612</v>
      </c>
      <c r="AW91" s="688">
        <f t="shared" si="278"/>
        <v>660612</v>
      </c>
      <c r="AX91" s="688">
        <f t="shared" si="278"/>
        <v>660612</v>
      </c>
      <c r="AY91" s="688">
        <f t="shared" si="278"/>
        <v>660612</v>
      </c>
      <c r="AZ91" s="688">
        <f t="shared" si="278"/>
        <v>660612</v>
      </c>
      <c r="BA91" s="688">
        <f t="shared" si="278"/>
        <v>660612</v>
      </c>
      <c r="BB91" s="48">
        <f t="shared" si="278"/>
        <v>660612</v>
      </c>
      <c r="BC91" s="10" t="str">
        <f t="shared" si="226"/>
        <v>생명/증권 IT그룹책임(CL3)</v>
      </c>
      <c r="BD91" s="10" t="str">
        <f>B91&amp;E91</f>
        <v>생명/증권 IT그룹CL2(사원-선임)</v>
      </c>
      <c r="BG91" s="540"/>
      <c r="BH91" s="540"/>
    </row>
    <row r="92" spans="1:74">
      <c r="A92" s="526" t="str">
        <f t="shared" si="263"/>
        <v>생명/증권 IT그룹</v>
      </c>
      <c r="B92" s="526" t="str">
        <f>+B91</f>
        <v>생명/증권 IT그룹</v>
      </c>
      <c r="C92" s="17" t="s">
        <v>249</v>
      </c>
      <c r="D92" s="18" t="s">
        <v>112</v>
      </c>
      <c r="E92" s="17"/>
      <c r="F92" s="18"/>
      <c r="G92" s="45"/>
      <c r="H92" s="46"/>
      <c r="I92" s="47"/>
      <c r="J92" s="46"/>
      <c r="K92" s="46"/>
      <c r="L92" s="46"/>
      <c r="M92" s="46"/>
      <c r="N92" s="46"/>
      <c r="O92" s="46"/>
      <c r="P92" s="46"/>
      <c r="Q92" s="46"/>
      <c r="R92" s="48"/>
      <c r="S92" s="45"/>
      <c r="T92" s="46"/>
      <c r="U92" s="1211"/>
      <c r="V92" s="47"/>
      <c r="W92" s="46"/>
      <c r="X92" s="46"/>
      <c r="Y92" s="46"/>
      <c r="Z92" s="46"/>
      <c r="AA92" s="46"/>
      <c r="AB92" s="46"/>
      <c r="AC92" s="46"/>
      <c r="AD92" s="48"/>
      <c r="AE92" s="45"/>
      <c r="AF92" s="46"/>
      <c r="AG92" s="47"/>
      <c r="AH92" s="46"/>
      <c r="AI92" s="46"/>
      <c r="AJ92" s="46"/>
      <c r="AK92" s="46"/>
      <c r="AL92" s="46"/>
      <c r="AM92" s="46"/>
      <c r="AN92" s="46"/>
      <c r="AO92" s="46"/>
      <c r="AP92" s="48"/>
      <c r="AQ92" s="688">
        <f t="shared" ref="AQ92:BB92" si="279">+AP92</f>
        <v>0</v>
      </c>
      <c r="AR92" s="688">
        <f t="shared" si="279"/>
        <v>0</v>
      </c>
      <c r="AS92" s="697"/>
      <c r="AT92" s="688">
        <f t="shared" si="279"/>
        <v>0</v>
      </c>
      <c r="AU92" s="688">
        <f t="shared" si="279"/>
        <v>0</v>
      </c>
      <c r="AV92" s="688">
        <f t="shared" si="279"/>
        <v>0</v>
      </c>
      <c r="AW92" s="688">
        <f t="shared" si="279"/>
        <v>0</v>
      </c>
      <c r="AX92" s="688">
        <f t="shared" si="279"/>
        <v>0</v>
      </c>
      <c r="AY92" s="688">
        <f t="shared" si="279"/>
        <v>0</v>
      </c>
      <c r="AZ92" s="688">
        <f t="shared" si="279"/>
        <v>0</v>
      </c>
      <c r="BA92" s="688">
        <f t="shared" si="279"/>
        <v>0</v>
      </c>
      <c r="BB92" s="48">
        <f t="shared" si="279"/>
        <v>0</v>
      </c>
      <c r="BC92" s="10" t="str">
        <f t="shared" si="226"/>
        <v>생명/증권 IT그룹선임(CL2)</v>
      </c>
      <c r="BD92" s="10" t="s">
        <v>451</v>
      </c>
      <c r="BG92" s="540"/>
      <c r="BH92" s="540"/>
    </row>
    <row r="93" spans="1:74">
      <c r="A93" s="528" t="str">
        <f t="shared" si="263"/>
        <v>생명/증권 IT그룹</v>
      </c>
      <c r="B93" s="528" t="str">
        <f>+B92</f>
        <v>생명/증권 IT그룹</v>
      </c>
      <c r="C93" s="19" t="s">
        <v>250</v>
      </c>
      <c r="D93" s="20" t="s">
        <v>104</v>
      </c>
      <c r="E93" s="19"/>
      <c r="F93" s="20"/>
      <c r="G93" s="49"/>
      <c r="H93" s="50"/>
      <c r="I93" s="51"/>
      <c r="J93" s="50"/>
      <c r="K93" s="50"/>
      <c r="L93" s="50"/>
      <c r="M93" s="50"/>
      <c r="N93" s="50"/>
      <c r="O93" s="50"/>
      <c r="P93" s="50"/>
      <c r="Q93" s="50"/>
      <c r="R93" s="52"/>
      <c r="S93" s="49"/>
      <c r="T93" s="50"/>
      <c r="U93" s="1212"/>
      <c r="V93" s="51"/>
      <c r="W93" s="50"/>
      <c r="X93" s="50"/>
      <c r="Y93" s="50"/>
      <c r="Z93" s="50"/>
      <c r="AA93" s="50"/>
      <c r="AB93" s="50"/>
      <c r="AC93" s="50"/>
      <c r="AD93" s="52"/>
      <c r="AE93" s="49"/>
      <c r="AF93" s="50"/>
      <c r="AG93" s="51"/>
      <c r="AH93" s="50"/>
      <c r="AI93" s="50"/>
      <c r="AJ93" s="50"/>
      <c r="AK93" s="50"/>
      <c r="AL93" s="50"/>
      <c r="AM93" s="50"/>
      <c r="AN93" s="50"/>
      <c r="AO93" s="50"/>
      <c r="AP93" s="52"/>
      <c r="AQ93" s="689">
        <f t="shared" ref="AQ93:BB93" si="280">+AP93</f>
        <v>0</v>
      </c>
      <c r="AR93" s="689">
        <f t="shared" si="280"/>
        <v>0</v>
      </c>
      <c r="AS93" s="698"/>
      <c r="AT93" s="689">
        <f t="shared" si="280"/>
        <v>0</v>
      </c>
      <c r="AU93" s="689">
        <f t="shared" si="280"/>
        <v>0</v>
      </c>
      <c r="AV93" s="689">
        <f t="shared" si="280"/>
        <v>0</v>
      </c>
      <c r="AW93" s="689">
        <f t="shared" si="280"/>
        <v>0</v>
      </c>
      <c r="AX93" s="689">
        <f t="shared" si="280"/>
        <v>0</v>
      </c>
      <c r="AY93" s="689">
        <f t="shared" si="280"/>
        <v>0</v>
      </c>
      <c r="AZ93" s="689">
        <f t="shared" si="280"/>
        <v>0</v>
      </c>
      <c r="BA93" s="689">
        <f t="shared" si="280"/>
        <v>0</v>
      </c>
      <c r="BB93" s="52">
        <f t="shared" si="280"/>
        <v>0</v>
      </c>
      <c r="BC93" s="10" t="str">
        <f t="shared" si="226"/>
        <v>생명/증권 IT그룹사원(CL1-CL2)</v>
      </c>
      <c r="BD93" s="10" t="s">
        <v>452</v>
      </c>
      <c r="BG93" s="540"/>
      <c r="BH93" s="540"/>
    </row>
    <row r="94" spans="1:74">
      <c r="A94" s="523" t="str">
        <f t="shared" si="263"/>
        <v>화재/카드 IT그룹이사</v>
      </c>
      <c r="B94" s="523" t="s">
        <v>1009</v>
      </c>
      <c r="C94" s="16" t="s">
        <v>12</v>
      </c>
      <c r="D94" s="15" t="s">
        <v>105</v>
      </c>
      <c r="E94" s="16" t="s">
        <v>12</v>
      </c>
      <c r="F94" s="15" t="s">
        <v>82</v>
      </c>
      <c r="G94" s="41">
        <v>0</v>
      </c>
      <c r="H94" s="42">
        <v>0</v>
      </c>
      <c r="I94" s="43">
        <f t="shared" ref="I94:U94" si="281">H94</f>
        <v>0</v>
      </c>
      <c r="J94" s="42">
        <f t="shared" si="281"/>
        <v>0</v>
      </c>
      <c r="K94" s="42">
        <f t="shared" si="281"/>
        <v>0</v>
      </c>
      <c r="L94" s="42">
        <f t="shared" si="281"/>
        <v>0</v>
      </c>
      <c r="M94" s="42">
        <f t="shared" si="281"/>
        <v>0</v>
      </c>
      <c r="N94" s="42">
        <f t="shared" si="281"/>
        <v>0</v>
      </c>
      <c r="O94" s="42">
        <f t="shared" si="281"/>
        <v>0</v>
      </c>
      <c r="P94" s="42">
        <f t="shared" si="281"/>
        <v>0</v>
      </c>
      <c r="Q94" s="42">
        <f t="shared" si="281"/>
        <v>0</v>
      </c>
      <c r="R94" s="44">
        <f t="shared" si="281"/>
        <v>0</v>
      </c>
      <c r="S94" s="41">
        <f t="shared" si="281"/>
        <v>0</v>
      </c>
      <c r="T94" s="42">
        <f t="shared" si="281"/>
        <v>0</v>
      </c>
      <c r="U94" s="1210">
        <f t="shared" si="281"/>
        <v>0</v>
      </c>
      <c r="V94" s="43">
        <f t="shared" ref="V94:AE94" si="282">U94</f>
        <v>0</v>
      </c>
      <c r="W94" s="42">
        <f t="shared" si="282"/>
        <v>0</v>
      </c>
      <c r="X94" s="42">
        <f t="shared" si="282"/>
        <v>0</v>
      </c>
      <c r="Y94" s="42">
        <f t="shared" si="282"/>
        <v>0</v>
      </c>
      <c r="Z94" s="42">
        <f t="shared" si="282"/>
        <v>0</v>
      </c>
      <c r="AA94" s="42">
        <f t="shared" si="282"/>
        <v>0</v>
      </c>
      <c r="AB94" s="42">
        <f t="shared" si="282"/>
        <v>0</v>
      </c>
      <c r="AC94" s="42">
        <f t="shared" si="282"/>
        <v>0</v>
      </c>
      <c r="AD94" s="44">
        <f t="shared" si="282"/>
        <v>0</v>
      </c>
      <c r="AE94" s="41">
        <f t="shared" si="282"/>
        <v>0</v>
      </c>
      <c r="AF94" s="42">
        <f t="shared" ref="AF94:AG97" si="283">AE94</f>
        <v>0</v>
      </c>
      <c r="AG94" s="43">
        <f t="shared" si="283"/>
        <v>0</v>
      </c>
      <c r="AH94" s="42">
        <f t="shared" ref="AH94:AO97" si="284">AG94</f>
        <v>0</v>
      </c>
      <c r="AI94" s="42">
        <f t="shared" si="284"/>
        <v>0</v>
      </c>
      <c r="AJ94" s="42">
        <f t="shared" si="284"/>
        <v>0</v>
      </c>
      <c r="AK94" s="42">
        <f t="shared" si="284"/>
        <v>0</v>
      </c>
      <c r="AL94" s="42">
        <f t="shared" si="284"/>
        <v>0</v>
      </c>
      <c r="AM94" s="42">
        <f t="shared" si="284"/>
        <v>0</v>
      </c>
      <c r="AN94" s="42">
        <f t="shared" si="284"/>
        <v>0</v>
      </c>
      <c r="AO94" s="42">
        <f t="shared" si="284"/>
        <v>0</v>
      </c>
      <c r="AP94" s="44">
        <f>AC94</f>
        <v>0</v>
      </c>
      <c r="AQ94" s="687">
        <f t="shared" ref="AQ94:BB94" si="285">+AP94</f>
        <v>0</v>
      </c>
      <c r="AR94" s="687">
        <f t="shared" si="285"/>
        <v>0</v>
      </c>
      <c r="AS94" s="696">
        <f t="shared" ref="AS94:AS97" si="286">AR94</f>
        <v>0</v>
      </c>
      <c r="AT94" s="687">
        <f t="shared" si="285"/>
        <v>0</v>
      </c>
      <c r="AU94" s="687">
        <f t="shared" si="285"/>
        <v>0</v>
      </c>
      <c r="AV94" s="687">
        <f t="shared" si="285"/>
        <v>0</v>
      </c>
      <c r="AW94" s="687">
        <f t="shared" si="285"/>
        <v>0</v>
      </c>
      <c r="AX94" s="687">
        <f t="shared" si="285"/>
        <v>0</v>
      </c>
      <c r="AY94" s="687">
        <f t="shared" si="285"/>
        <v>0</v>
      </c>
      <c r="AZ94" s="687">
        <f t="shared" si="285"/>
        <v>0</v>
      </c>
      <c r="BA94" s="687">
        <f t="shared" si="285"/>
        <v>0</v>
      </c>
      <c r="BB94" s="44">
        <f t="shared" si="285"/>
        <v>0</v>
      </c>
      <c r="BC94" s="10" t="str">
        <f t="shared" si="226"/>
        <v>화재/카드 IT그룹이사</v>
      </c>
      <c r="BD94" s="10" t="str">
        <f>B94&amp;E94</f>
        <v>화재/카드 IT그룹이사</v>
      </c>
      <c r="BG94" s="540"/>
      <c r="BH94" s="540"/>
    </row>
    <row r="95" spans="1:74">
      <c r="A95" s="526" t="str">
        <f t="shared" si="263"/>
        <v>화재/카드 IT그룹CL4(수석)</v>
      </c>
      <c r="B95" s="526" t="str">
        <f>+B94</f>
        <v>화재/카드 IT그룹</v>
      </c>
      <c r="C95" s="17" t="s">
        <v>246</v>
      </c>
      <c r="D95" s="18" t="s">
        <v>110</v>
      </c>
      <c r="E95" s="17" t="s">
        <v>445</v>
      </c>
      <c r="F95" s="18" t="s">
        <v>82</v>
      </c>
      <c r="G95" s="45">
        <v>844140</v>
      </c>
      <c r="H95" s="46">
        <v>844140</v>
      </c>
      <c r="I95" s="47">
        <v>949627</v>
      </c>
      <c r="J95" s="46">
        <f t="shared" ref="J95:U95" si="287">I95</f>
        <v>949627</v>
      </c>
      <c r="K95" s="46">
        <f t="shared" si="287"/>
        <v>949627</v>
      </c>
      <c r="L95" s="46">
        <f t="shared" si="287"/>
        <v>949627</v>
      </c>
      <c r="M95" s="46">
        <f t="shared" si="287"/>
        <v>949627</v>
      </c>
      <c r="N95" s="46">
        <f t="shared" si="287"/>
        <v>949627</v>
      </c>
      <c r="O95" s="46">
        <f t="shared" si="287"/>
        <v>949627</v>
      </c>
      <c r="P95" s="46">
        <f t="shared" si="287"/>
        <v>949627</v>
      </c>
      <c r="Q95" s="46">
        <f t="shared" si="287"/>
        <v>949627</v>
      </c>
      <c r="R95" s="48">
        <f t="shared" si="287"/>
        <v>949627</v>
      </c>
      <c r="S95" s="45">
        <f t="shared" si="287"/>
        <v>949627</v>
      </c>
      <c r="T95" s="46">
        <f t="shared" si="287"/>
        <v>949627</v>
      </c>
      <c r="U95" s="1211">
        <f t="shared" si="287"/>
        <v>949627</v>
      </c>
      <c r="V95" s="47">
        <v>879378</v>
      </c>
      <c r="W95" s="46">
        <f t="shared" ref="W95:AE95" si="288">V95</f>
        <v>879378</v>
      </c>
      <c r="X95" s="46">
        <f t="shared" si="288"/>
        <v>879378</v>
      </c>
      <c r="Y95" s="46">
        <f t="shared" si="288"/>
        <v>879378</v>
      </c>
      <c r="Z95" s="46">
        <f t="shared" si="288"/>
        <v>879378</v>
      </c>
      <c r="AA95" s="46">
        <f t="shared" si="288"/>
        <v>879378</v>
      </c>
      <c r="AB95" s="46">
        <f t="shared" si="288"/>
        <v>879378</v>
      </c>
      <c r="AC95" s="46">
        <f t="shared" si="288"/>
        <v>879378</v>
      </c>
      <c r="AD95" s="48">
        <f t="shared" si="288"/>
        <v>879378</v>
      </c>
      <c r="AE95" s="45">
        <f t="shared" si="288"/>
        <v>879378</v>
      </c>
      <c r="AF95" s="46">
        <f t="shared" si="283"/>
        <v>879378</v>
      </c>
      <c r="AG95" s="47">
        <f t="shared" si="283"/>
        <v>879378</v>
      </c>
      <c r="AH95" s="46">
        <f t="shared" si="284"/>
        <v>879378</v>
      </c>
      <c r="AI95" s="46">
        <f t="shared" si="284"/>
        <v>879378</v>
      </c>
      <c r="AJ95" s="46">
        <f t="shared" si="284"/>
        <v>879378</v>
      </c>
      <c r="AK95" s="46">
        <f t="shared" si="284"/>
        <v>879378</v>
      </c>
      <c r="AL95" s="46">
        <f t="shared" si="284"/>
        <v>879378</v>
      </c>
      <c r="AM95" s="46">
        <f t="shared" si="284"/>
        <v>879378</v>
      </c>
      <c r="AN95" s="46">
        <f t="shared" si="284"/>
        <v>879378</v>
      </c>
      <c r="AO95" s="46">
        <f t="shared" si="284"/>
        <v>879378</v>
      </c>
      <c r="AP95" s="48">
        <f>AC95</f>
        <v>879378</v>
      </c>
      <c r="AQ95" s="688">
        <f t="shared" ref="AQ95:BB95" si="289">+AP95</f>
        <v>879378</v>
      </c>
      <c r="AR95" s="688">
        <f t="shared" si="289"/>
        <v>879378</v>
      </c>
      <c r="AS95" s="697">
        <f t="shared" si="286"/>
        <v>879378</v>
      </c>
      <c r="AT95" s="688">
        <f t="shared" si="289"/>
        <v>879378</v>
      </c>
      <c r="AU95" s="688">
        <f t="shared" si="289"/>
        <v>879378</v>
      </c>
      <c r="AV95" s="688">
        <f t="shared" si="289"/>
        <v>879378</v>
      </c>
      <c r="AW95" s="688">
        <f t="shared" si="289"/>
        <v>879378</v>
      </c>
      <c r="AX95" s="688">
        <f t="shared" si="289"/>
        <v>879378</v>
      </c>
      <c r="AY95" s="688">
        <f t="shared" si="289"/>
        <v>879378</v>
      </c>
      <c r="AZ95" s="688">
        <f t="shared" si="289"/>
        <v>879378</v>
      </c>
      <c r="BA95" s="688">
        <f t="shared" si="289"/>
        <v>879378</v>
      </c>
      <c r="BB95" s="48">
        <f t="shared" si="289"/>
        <v>879378</v>
      </c>
      <c r="BC95" s="10" t="str">
        <f t="shared" si="226"/>
        <v>화재/카드 IT그룹수석(CL4)</v>
      </c>
      <c r="BD95" s="10" t="str">
        <f>B95&amp;E95</f>
        <v>화재/카드 IT그룹CL4(수석)</v>
      </c>
      <c r="BG95" s="540"/>
      <c r="BH95" s="540"/>
    </row>
    <row r="96" spans="1:74">
      <c r="A96" s="526" t="str">
        <f t="shared" si="263"/>
        <v>화재/카드 IT그룹CL3(책임-수석보)</v>
      </c>
      <c r="B96" s="526" t="str">
        <f>+B95</f>
        <v>화재/카드 IT그룹</v>
      </c>
      <c r="C96" s="17" t="s">
        <v>247</v>
      </c>
      <c r="D96" s="18" t="s">
        <v>110</v>
      </c>
      <c r="E96" s="17" t="s">
        <v>455</v>
      </c>
      <c r="F96" s="18" t="s">
        <v>459</v>
      </c>
      <c r="G96" s="45">
        <v>714471</v>
      </c>
      <c r="H96" s="46">
        <v>714471</v>
      </c>
      <c r="I96" s="47">
        <v>805644</v>
      </c>
      <c r="J96" s="46">
        <f t="shared" ref="J96:U96" si="290">I96</f>
        <v>805644</v>
      </c>
      <c r="K96" s="46">
        <f t="shared" si="290"/>
        <v>805644</v>
      </c>
      <c r="L96" s="46">
        <f t="shared" si="290"/>
        <v>805644</v>
      </c>
      <c r="M96" s="46">
        <f t="shared" si="290"/>
        <v>805644</v>
      </c>
      <c r="N96" s="46">
        <f t="shared" si="290"/>
        <v>805644</v>
      </c>
      <c r="O96" s="46">
        <f t="shared" si="290"/>
        <v>805644</v>
      </c>
      <c r="P96" s="46">
        <f t="shared" si="290"/>
        <v>805644</v>
      </c>
      <c r="Q96" s="46">
        <f t="shared" si="290"/>
        <v>805644</v>
      </c>
      <c r="R96" s="48">
        <f t="shared" si="290"/>
        <v>805644</v>
      </c>
      <c r="S96" s="45">
        <f t="shared" si="290"/>
        <v>805644</v>
      </c>
      <c r="T96" s="46">
        <f t="shared" si="290"/>
        <v>805644</v>
      </c>
      <c r="U96" s="1211">
        <f t="shared" si="290"/>
        <v>805644</v>
      </c>
      <c r="V96" s="47">
        <v>776433</v>
      </c>
      <c r="W96" s="46">
        <f t="shared" ref="W96:AE96" si="291">V96</f>
        <v>776433</v>
      </c>
      <c r="X96" s="46">
        <f t="shared" si="291"/>
        <v>776433</v>
      </c>
      <c r="Y96" s="46">
        <f t="shared" si="291"/>
        <v>776433</v>
      </c>
      <c r="Z96" s="46">
        <f t="shared" si="291"/>
        <v>776433</v>
      </c>
      <c r="AA96" s="46">
        <f t="shared" si="291"/>
        <v>776433</v>
      </c>
      <c r="AB96" s="46">
        <f t="shared" si="291"/>
        <v>776433</v>
      </c>
      <c r="AC96" s="46">
        <f t="shared" si="291"/>
        <v>776433</v>
      </c>
      <c r="AD96" s="48">
        <f t="shared" si="291"/>
        <v>776433</v>
      </c>
      <c r="AE96" s="45">
        <f t="shared" si="291"/>
        <v>776433</v>
      </c>
      <c r="AF96" s="46">
        <f t="shared" si="283"/>
        <v>776433</v>
      </c>
      <c r="AG96" s="47">
        <f t="shared" si="283"/>
        <v>776433</v>
      </c>
      <c r="AH96" s="46">
        <f t="shared" si="284"/>
        <v>776433</v>
      </c>
      <c r="AI96" s="46">
        <f t="shared" si="284"/>
        <v>776433</v>
      </c>
      <c r="AJ96" s="46">
        <f t="shared" si="284"/>
        <v>776433</v>
      </c>
      <c r="AK96" s="46">
        <f t="shared" si="284"/>
        <v>776433</v>
      </c>
      <c r="AL96" s="46">
        <f t="shared" si="284"/>
        <v>776433</v>
      </c>
      <c r="AM96" s="46">
        <f t="shared" si="284"/>
        <v>776433</v>
      </c>
      <c r="AN96" s="46">
        <f t="shared" si="284"/>
        <v>776433</v>
      </c>
      <c r="AO96" s="46">
        <f t="shared" si="284"/>
        <v>776433</v>
      </c>
      <c r="AP96" s="48">
        <f>AC96</f>
        <v>776433</v>
      </c>
      <c r="AQ96" s="688">
        <f t="shared" ref="AQ96:BB96" si="292">+AP96</f>
        <v>776433</v>
      </c>
      <c r="AR96" s="688">
        <f t="shared" si="292"/>
        <v>776433</v>
      </c>
      <c r="AS96" s="697">
        <f t="shared" si="286"/>
        <v>776433</v>
      </c>
      <c r="AT96" s="688">
        <f t="shared" si="292"/>
        <v>776433</v>
      </c>
      <c r="AU96" s="688">
        <f t="shared" si="292"/>
        <v>776433</v>
      </c>
      <c r="AV96" s="688">
        <f t="shared" si="292"/>
        <v>776433</v>
      </c>
      <c r="AW96" s="688">
        <f t="shared" si="292"/>
        <v>776433</v>
      </c>
      <c r="AX96" s="688">
        <f t="shared" si="292"/>
        <v>776433</v>
      </c>
      <c r="AY96" s="688">
        <f t="shared" si="292"/>
        <v>776433</v>
      </c>
      <c r="AZ96" s="688">
        <f t="shared" si="292"/>
        <v>776433</v>
      </c>
      <c r="BA96" s="688">
        <f t="shared" si="292"/>
        <v>776433</v>
      </c>
      <c r="BB96" s="48">
        <f t="shared" si="292"/>
        <v>776433</v>
      </c>
      <c r="BC96" s="10" t="str">
        <f t="shared" si="226"/>
        <v>화재/카드 IT그룹수석보(CL3)</v>
      </c>
      <c r="BD96" s="10" t="str">
        <f>B96&amp;E96</f>
        <v>화재/카드 IT그룹CL3(책임-수석보)</v>
      </c>
      <c r="BG96" s="540"/>
      <c r="BH96" s="540"/>
    </row>
    <row r="97" spans="1:60">
      <c r="A97" s="526" t="str">
        <f t="shared" si="263"/>
        <v>화재/카드 IT그룹CL2(사원-선임)</v>
      </c>
      <c r="B97" s="526" t="str">
        <f>+B96</f>
        <v>화재/카드 IT그룹</v>
      </c>
      <c r="C97" s="17" t="s">
        <v>248</v>
      </c>
      <c r="D97" s="18" t="s">
        <v>111</v>
      </c>
      <c r="E97" s="17" t="s">
        <v>457</v>
      </c>
      <c r="F97" s="18" t="s">
        <v>461</v>
      </c>
      <c r="G97" s="45">
        <v>561364</v>
      </c>
      <c r="H97" s="46">
        <v>561364</v>
      </c>
      <c r="I97" s="47">
        <v>553910</v>
      </c>
      <c r="J97" s="46">
        <f t="shared" ref="J97:U97" si="293">I97</f>
        <v>553910</v>
      </c>
      <c r="K97" s="46">
        <f t="shared" si="293"/>
        <v>553910</v>
      </c>
      <c r="L97" s="46">
        <f t="shared" si="293"/>
        <v>553910</v>
      </c>
      <c r="M97" s="46">
        <f t="shared" si="293"/>
        <v>553910</v>
      </c>
      <c r="N97" s="46">
        <f t="shared" si="293"/>
        <v>553910</v>
      </c>
      <c r="O97" s="46">
        <f t="shared" si="293"/>
        <v>553910</v>
      </c>
      <c r="P97" s="46">
        <f t="shared" si="293"/>
        <v>553910</v>
      </c>
      <c r="Q97" s="46">
        <f t="shared" si="293"/>
        <v>553910</v>
      </c>
      <c r="R97" s="48">
        <f t="shared" si="293"/>
        <v>553910</v>
      </c>
      <c r="S97" s="45">
        <f t="shared" si="293"/>
        <v>553910</v>
      </c>
      <c r="T97" s="46">
        <f t="shared" si="293"/>
        <v>553910</v>
      </c>
      <c r="U97" s="1211">
        <f t="shared" si="293"/>
        <v>553910</v>
      </c>
      <c r="V97" s="47">
        <v>646094</v>
      </c>
      <c r="W97" s="46">
        <f t="shared" ref="W97:AE97" si="294">V97</f>
        <v>646094</v>
      </c>
      <c r="X97" s="46">
        <f t="shared" si="294"/>
        <v>646094</v>
      </c>
      <c r="Y97" s="46">
        <f t="shared" si="294"/>
        <v>646094</v>
      </c>
      <c r="Z97" s="46">
        <f t="shared" si="294"/>
        <v>646094</v>
      </c>
      <c r="AA97" s="46">
        <f t="shared" si="294"/>
        <v>646094</v>
      </c>
      <c r="AB97" s="46">
        <f t="shared" si="294"/>
        <v>646094</v>
      </c>
      <c r="AC97" s="46">
        <f t="shared" si="294"/>
        <v>646094</v>
      </c>
      <c r="AD97" s="48">
        <f t="shared" si="294"/>
        <v>646094</v>
      </c>
      <c r="AE97" s="45">
        <f t="shared" si="294"/>
        <v>646094</v>
      </c>
      <c r="AF97" s="46">
        <f t="shared" si="283"/>
        <v>646094</v>
      </c>
      <c r="AG97" s="47">
        <f t="shared" si="283"/>
        <v>646094</v>
      </c>
      <c r="AH97" s="46">
        <f t="shared" si="284"/>
        <v>646094</v>
      </c>
      <c r="AI97" s="46">
        <f t="shared" si="284"/>
        <v>646094</v>
      </c>
      <c r="AJ97" s="46">
        <f t="shared" si="284"/>
        <v>646094</v>
      </c>
      <c r="AK97" s="46">
        <f t="shared" si="284"/>
        <v>646094</v>
      </c>
      <c r="AL97" s="46">
        <f t="shared" si="284"/>
        <v>646094</v>
      </c>
      <c r="AM97" s="46">
        <f t="shared" si="284"/>
        <v>646094</v>
      </c>
      <c r="AN97" s="46">
        <f t="shared" si="284"/>
        <v>646094</v>
      </c>
      <c r="AO97" s="46">
        <f t="shared" si="284"/>
        <v>646094</v>
      </c>
      <c r="AP97" s="48">
        <f>AC97</f>
        <v>646094</v>
      </c>
      <c r="AQ97" s="688">
        <f t="shared" ref="AQ97:BB97" si="295">+AP97</f>
        <v>646094</v>
      </c>
      <c r="AR97" s="688">
        <f t="shared" si="295"/>
        <v>646094</v>
      </c>
      <c r="AS97" s="697">
        <f t="shared" si="286"/>
        <v>646094</v>
      </c>
      <c r="AT97" s="688">
        <f t="shared" si="295"/>
        <v>646094</v>
      </c>
      <c r="AU97" s="688">
        <f t="shared" si="295"/>
        <v>646094</v>
      </c>
      <c r="AV97" s="688">
        <f t="shared" si="295"/>
        <v>646094</v>
      </c>
      <c r="AW97" s="688">
        <f t="shared" si="295"/>
        <v>646094</v>
      </c>
      <c r="AX97" s="688">
        <f t="shared" si="295"/>
        <v>646094</v>
      </c>
      <c r="AY97" s="688">
        <f t="shared" si="295"/>
        <v>646094</v>
      </c>
      <c r="AZ97" s="688">
        <f t="shared" si="295"/>
        <v>646094</v>
      </c>
      <c r="BA97" s="688">
        <f t="shared" si="295"/>
        <v>646094</v>
      </c>
      <c r="BB97" s="48">
        <f t="shared" si="295"/>
        <v>646094</v>
      </c>
      <c r="BC97" s="10" t="str">
        <f t="shared" si="226"/>
        <v>화재/카드 IT그룹책임(CL3)</v>
      </c>
      <c r="BD97" s="10" t="str">
        <f>B97&amp;E97</f>
        <v>화재/카드 IT그룹CL2(사원-선임)</v>
      </c>
      <c r="BG97" s="540"/>
      <c r="BH97" s="540"/>
    </row>
    <row r="98" spans="1:60">
      <c r="A98" s="526" t="str">
        <f t="shared" si="263"/>
        <v>화재/카드 IT그룹</v>
      </c>
      <c r="B98" s="526" t="str">
        <f>+B97</f>
        <v>화재/카드 IT그룹</v>
      </c>
      <c r="C98" s="17" t="s">
        <v>249</v>
      </c>
      <c r="D98" s="18" t="s">
        <v>112</v>
      </c>
      <c r="E98" s="17"/>
      <c r="F98" s="18"/>
      <c r="G98" s="45"/>
      <c r="H98" s="46"/>
      <c r="I98" s="47"/>
      <c r="J98" s="46"/>
      <c r="K98" s="46"/>
      <c r="L98" s="46"/>
      <c r="M98" s="46"/>
      <c r="N98" s="46"/>
      <c r="O98" s="46"/>
      <c r="P98" s="46"/>
      <c r="Q98" s="46"/>
      <c r="R98" s="48"/>
      <c r="S98" s="45"/>
      <c r="T98" s="46"/>
      <c r="U98" s="1211"/>
      <c r="V98" s="47"/>
      <c r="W98" s="46"/>
      <c r="X98" s="46"/>
      <c r="Y98" s="46"/>
      <c r="Z98" s="46"/>
      <c r="AA98" s="46"/>
      <c r="AB98" s="46"/>
      <c r="AC98" s="46"/>
      <c r="AD98" s="48"/>
      <c r="AE98" s="45"/>
      <c r="AF98" s="46"/>
      <c r="AG98" s="47"/>
      <c r="AH98" s="46"/>
      <c r="AI98" s="46"/>
      <c r="AJ98" s="46"/>
      <c r="AK98" s="46"/>
      <c r="AL98" s="46"/>
      <c r="AM98" s="46"/>
      <c r="AN98" s="46"/>
      <c r="AO98" s="46"/>
      <c r="AP98" s="48"/>
      <c r="AQ98" s="688">
        <f t="shared" ref="AQ98:BB98" si="296">+AP98</f>
        <v>0</v>
      </c>
      <c r="AR98" s="688">
        <f t="shared" si="296"/>
        <v>0</v>
      </c>
      <c r="AS98" s="697"/>
      <c r="AT98" s="688">
        <f t="shared" si="296"/>
        <v>0</v>
      </c>
      <c r="AU98" s="688">
        <f t="shared" si="296"/>
        <v>0</v>
      </c>
      <c r="AV98" s="688">
        <f t="shared" si="296"/>
        <v>0</v>
      </c>
      <c r="AW98" s="688">
        <f t="shared" si="296"/>
        <v>0</v>
      </c>
      <c r="AX98" s="688">
        <f t="shared" si="296"/>
        <v>0</v>
      </c>
      <c r="AY98" s="688">
        <f t="shared" si="296"/>
        <v>0</v>
      </c>
      <c r="AZ98" s="688">
        <f t="shared" si="296"/>
        <v>0</v>
      </c>
      <c r="BA98" s="688">
        <f t="shared" si="296"/>
        <v>0</v>
      </c>
      <c r="BB98" s="48">
        <f t="shared" si="296"/>
        <v>0</v>
      </c>
      <c r="BC98" s="10" t="str">
        <f t="shared" si="226"/>
        <v>화재/카드 IT그룹선임(CL2)</v>
      </c>
      <c r="BD98" s="10" t="s">
        <v>451</v>
      </c>
      <c r="BG98" s="540"/>
      <c r="BH98" s="540"/>
    </row>
    <row r="99" spans="1:60">
      <c r="A99" s="528" t="str">
        <f t="shared" si="263"/>
        <v>화재/카드 IT그룹</v>
      </c>
      <c r="B99" s="528" t="str">
        <f>+B98</f>
        <v>화재/카드 IT그룹</v>
      </c>
      <c r="C99" s="19" t="s">
        <v>250</v>
      </c>
      <c r="D99" s="20" t="s">
        <v>104</v>
      </c>
      <c r="E99" s="19"/>
      <c r="F99" s="20"/>
      <c r="G99" s="49"/>
      <c r="H99" s="50"/>
      <c r="I99" s="51"/>
      <c r="J99" s="50"/>
      <c r="K99" s="50"/>
      <c r="L99" s="50"/>
      <c r="M99" s="50"/>
      <c r="N99" s="50"/>
      <c r="O99" s="50"/>
      <c r="P99" s="50"/>
      <c r="Q99" s="50"/>
      <c r="R99" s="52"/>
      <c r="S99" s="49"/>
      <c r="T99" s="50"/>
      <c r="U99" s="1212"/>
      <c r="V99" s="51"/>
      <c r="W99" s="50"/>
      <c r="X99" s="50"/>
      <c r="Y99" s="50"/>
      <c r="Z99" s="50"/>
      <c r="AA99" s="50"/>
      <c r="AB99" s="50"/>
      <c r="AC99" s="50"/>
      <c r="AD99" s="52"/>
      <c r="AE99" s="49"/>
      <c r="AF99" s="50"/>
      <c r="AG99" s="51"/>
      <c r="AH99" s="50"/>
      <c r="AI99" s="50"/>
      <c r="AJ99" s="50"/>
      <c r="AK99" s="50"/>
      <c r="AL99" s="50"/>
      <c r="AM99" s="50"/>
      <c r="AN99" s="50"/>
      <c r="AO99" s="50"/>
      <c r="AP99" s="52"/>
      <c r="AQ99" s="689">
        <f>+AP99</f>
        <v>0</v>
      </c>
      <c r="AR99" s="689">
        <f>+AQ99</f>
        <v>0</v>
      </c>
      <c r="AS99" s="698"/>
      <c r="AT99" s="689">
        <f t="shared" ref="AT99:BB99" si="297">+AS99</f>
        <v>0</v>
      </c>
      <c r="AU99" s="689">
        <f t="shared" si="297"/>
        <v>0</v>
      </c>
      <c r="AV99" s="689">
        <f t="shared" si="297"/>
        <v>0</v>
      </c>
      <c r="AW99" s="689">
        <f t="shared" si="297"/>
        <v>0</v>
      </c>
      <c r="AX99" s="689">
        <f t="shared" si="297"/>
        <v>0</v>
      </c>
      <c r="AY99" s="689">
        <f t="shared" si="297"/>
        <v>0</v>
      </c>
      <c r="AZ99" s="689">
        <f t="shared" si="297"/>
        <v>0</v>
      </c>
      <c r="BA99" s="689">
        <f t="shared" si="297"/>
        <v>0</v>
      </c>
      <c r="BB99" s="52">
        <f t="shared" si="297"/>
        <v>0</v>
      </c>
      <c r="BC99" s="10" t="str">
        <f t="shared" si="226"/>
        <v>화재/카드 IT그룹사원(CL1-CL2)</v>
      </c>
      <c r="BD99" s="10" t="s">
        <v>452</v>
      </c>
      <c r="BG99" s="540"/>
      <c r="BH99" s="540"/>
    </row>
    <row r="100" spans="1:60">
      <c r="A100" s="523" t="str">
        <f t="shared" si="263"/>
        <v>금융실행그룹이사</v>
      </c>
      <c r="B100" s="523" t="s">
        <v>935</v>
      </c>
      <c r="C100" s="525" t="s">
        <v>12</v>
      </c>
      <c r="D100" s="15" t="s">
        <v>105</v>
      </c>
      <c r="E100" s="16" t="s">
        <v>12</v>
      </c>
      <c r="F100" s="15" t="s">
        <v>82</v>
      </c>
      <c r="G100" s="41">
        <v>0</v>
      </c>
      <c r="H100" s="42">
        <v>0</v>
      </c>
      <c r="I100" s="43">
        <f t="shared" ref="I100:U100" si="298">H100</f>
        <v>0</v>
      </c>
      <c r="J100" s="42">
        <f t="shared" si="298"/>
        <v>0</v>
      </c>
      <c r="K100" s="42">
        <f t="shared" si="298"/>
        <v>0</v>
      </c>
      <c r="L100" s="42">
        <f t="shared" si="298"/>
        <v>0</v>
      </c>
      <c r="M100" s="42">
        <f t="shared" si="298"/>
        <v>0</v>
      </c>
      <c r="N100" s="42">
        <f t="shared" si="298"/>
        <v>0</v>
      </c>
      <c r="O100" s="42">
        <f t="shared" si="298"/>
        <v>0</v>
      </c>
      <c r="P100" s="42">
        <f t="shared" si="298"/>
        <v>0</v>
      </c>
      <c r="Q100" s="42">
        <f t="shared" si="298"/>
        <v>0</v>
      </c>
      <c r="R100" s="44">
        <f t="shared" si="298"/>
        <v>0</v>
      </c>
      <c r="S100" s="41">
        <f t="shared" si="298"/>
        <v>0</v>
      </c>
      <c r="T100" s="42">
        <f t="shared" si="298"/>
        <v>0</v>
      </c>
      <c r="U100" s="1210">
        <f t="shared" si="298"/>
        <v>0</v>
      </c>
      <c r="V100" s="43">
        <f t="shared" ref="V100:AE100" si="299">U100</f>
        <v>0</v>
      </c>
      <c r="W100" s="42">
        <f t="shared" si="299"/>
        <v>0</v>
      </c>
      <c r="X100" s="42">
        <f t="shared" si="299"/>
        <v>0</v>
      </c>
      <c r="Y100" s="42">
        <f t="shared" si="299"/>
        <v>0</v>
      </c>
      <c r="Z100" s="42">
        <f t="shared" si="299"/>
        <v>0</v>
      </c>
      <c r="AA100" s="42">
        <f t="shared" si="299"/>
        <v>0</v>
      </c>
      <c r="AB100" s="42">
        <f t="shared" si="299"/>
        <v>0</v>
      </c>
      <c r="AC100" s="42">
        <f t="shared" si="299"/>
        <v>0</v>
      </c>
      <c r="AD100" s="44">
        <f t="shared" si="299"/>
        <v>0</v>
      </c>
      <c r="AE100" s="41">
        <f t="shared" si="299"/>
        <v>0</v>
      </c>
      <c r="AF100" s="42">
        <f t="shared" ref="AF100:AG103" si="300">AE100</f>
        <v>0</v>
      </c>
      <c r="AG100" s="43">
        <f t="shared" si="300"/>
        <v>0</v>
      </c>
      <c r="AH100" s="42">
        <f t="shared" ref="AH100:AO103" si="301">AG100</f>
        <v>0</v>
      </c>
      <c r="AI100" s="42">
        <f t="shared" si="301"/>
        <v>0</v>
      </c>
      <c r="AJ100" s="42">
        <f t="shared" si="301"/>
        <v>0</v>
      </c>
      <c r="AK100" s="42">
        <f t="shared" si="301"/>
        <v>0</v>
      </c>
      <c r="AL100" s="42">
        <f t="shared" si="301"/>
        <v>0</v>
      </c>
      <c r="AM100" s="42">
        <f t="shared" si="301"/>
        <v>0</v>
      </c>
      <c r="AN100" s="42">
        <f t="shared" si="301"/>
        <v>0</v>
      </c>
      <c r="AO100" s="42">
        <f t="shared" si="301"/>
        <v>0</v>
      </c>
      <c r="AP100" s="44">
        <f>AC100</f>
        <v>0</v>
      </c>
      <c r="AQ100" s="687">
        <f t="shared" ref="AQ100:BB100" si="302">+AP100</f>
        <v>0</v>
      </c>
      <c r="AR100" s="687">
        <f t="shared" si="302"/>
        <v>0</v>
      </c>
      <c r="AS100" s="696">
        <f t="shared" ref="AS100:AS103" si="303">AR100</f>
        <v>0</v>
      </c>
      <c r="AT100" s="687">
        <f t="shared" si="302"/>
        <v>0</v>
      </c>
      <c r="AU100" s="687">
        <f t="shared" si="302"/>
        <v>0</v>
      </c>
      <c r="AV100" s="687">
        <f t="shared" si="302"/>
        <v>0</v>
      </c>
      <c r="AW100" s="687">
        <f t="shared" si="302"/>
        <v>0</v>
      </c>
      <c r="AX100" s="687">
        <f t="shared" si="302"/>
        <v>0</v>
      </c>
      <c r="AY100" s="687">
        <f t="shared" si="302"/>
        <v>0</v>
      </c>
      <c r="AZ100" s="687">
        <f t="shared" si="302"/>
        <v>0</v>
      </c>
      <c r="BA100" s="687">
        <f t="shared" si="302"/>
        <v>0</v>
      </c>
      <c r="BB100" s="44">
        <f t="shared" si="302"/>
        <v>0</v>
      </c>
      <c r="BC100" s="10" t="str">
        <f t="shared" ref="BC100:BC105" si="304">B100&amp;C100</f>
        <v>금융실행그룹이사</v>
      </c>
      <c r="BD100" s="10" t="str">
        <f t="shared" ref="BD100:BD105" si="305">B100&amp;E100</f>
        <v>금융실행그룹이사</v>
      </c>
      <c r="BG100" s="540"/>
      <c r="BH100" s="540"/>
    </row>
    <row r="101" spans="1:60">
      <c r="A101" s="526" t="str">
        <f t="shared" si="263"/>
        <v>금융실행그룹CL4(수석)</v>
      </c>
      <c r="B101" s="526" t="str">
        <f>B100</f>
        <v>금융실행그룹</v>
      </c>
      <c r="C101" s="527" t="s">
        <v>246</v>
      </c>
      <c r="D101" s="18" t="s">
        <v>105</v>
      </c>
      <c r="E101" s="17" t="s">
        <v>445</v>
      </c>
      <c r="F101" s="18" t="s">
        <v>82</v>
      </c>
      <c r="G101" s="45">
        <v>844140</v>
      </c>
      <c r="H101" s="46">
        <v>844140</v>
      </c>
      <c r="I101" s="47">
        <v>917130</v>
      </c>
      <c r="J101" s="46">
        <f t="shared" ref="J101:U101" si="306">I101</f>
        <v>917130</v>
      </c>
      <c r="K101" s="46">
        <f t="shared" si="306"/>
        <v>917130</v>
      </c>
      <c r="L101" s="46">
        <f t="shared" si="306"/>
        <v>917130</v>
      </c>
      <c r="M101" s="46">
        <f t="shared" si="306"/>
        <v>917130</v>
      </c>
      <c r="N101" s="46">
        <f t="shared" si="306"/>
        <v>917130</v>
      </c>
      <c r="O101" s="46">
        <f t="shared" si="306"/>
        <v>917130</v>
      </c>
      <c r="P101" s="46">
        <f t="shared" si="306"/>
        <v>917130</v>
      </c>
      <c r="Q101" s="46">
        <f t="shared" si="306"/>
        <v>917130</v>
      </c>
      <c r="R101" s="48">
        <f t="shared" si="306"/>
        <v>917130</v>
      </c>
      <c r="S101" s="45">
        <f t="shared" si="306"/>
        <v>917130</v>
      </c>
      <c r="T101" s="46">
        <f t="shared" si="306"/>
        <v>917130</v>
      </c>
      <c r="U101" s="1211">
        <f t="shared" si="306"/>
        <v>917130</v>
      </c>
      <c r="V101" s="47">
        <v>946777</v>
      </c>
      <c r="W101" s="46">
        <f t="shared" ref="W101:AE101" si="307">V101</f>
        <v>946777</v>
      </c>
      <c r="X101" s="46">
        <f t="shared" si="307"/>
        <v>946777</v>
      </c>
      <c r="Y101" s="46">
        <f t="shared" si="307"/>
        <v>946777</v>
      </c>
      <c r="Z101" s="46">
        <f t="shared" si="307"/>
        <v>946777</v>
      </c>
      <c r="AA101" s="46">
        <f t="shared" si="307"/>
        <v>946777</v>
      </c>
      <c r="AB101" s="46">
        <f t="shared" si="307"/>
        <v>946777</v>
      </c>
      <c r="AC101" s="46">
        <f t="shared" si="307"/>
        <v>946777</v>
      </c>
      <c r="AD101" s="48">
        <f t="shared" si="307"/>
        <v>946777</v>
      </c>
      <c r="AE101" s="45">
        <f t="shared" si="307"/>
        <v>946777</v>
      </c>
      <c r="AF101" s="46">
        <f t="shared" si="300"/>
        <v>946777</v>
      </c>
      <c r="AG101" s="47">
        <f t="shared" si="300"/>
        <v>946777</v>
      </c>
      <c r="AH101" s="46">
        <f t="shared" si="301"/>
        <v>946777</v>
      </c>
      <c r="AI101" s="46">
        <f t="shared" si="301"/>
        <v>946777</v>
      </c>
      <c r="AJ101" s="46">
        <f t="shared" si="301"/>
        <v>946777</v>
      </c>
      <c r="AK101" s="46">
        <f t="shared" si="301"/>
        <v>946777</v>
      </c>
      <c r="AL101" s="46">
        <f t="shared" si="301"/>
        <v>946777</v>
      </c>
      <c r="AM101" s="46">
        <f t="shared" si="301"/>
        <v>946777</v>
      </c>
      <c r="AN101" s="46">
        <f t="shared" si="301"/>
        <v>946777</v>
      </c>
      <c r="AO101" s="46">
        <f t="shared" si="301"/>
        <v>946777</v>
      </c>
      <c r="AP101" s="48">
        <f>AC101</f>
        <v>946777</v>
      </c>
      <c r="AQ101" s="688">
        <f t="shared" ref="AQ101:BB101" si="308">+AP101</f>
        <v>946777</v>
      </c>
      <c r="AR101" s="688">
        <f t="shared" si="308"/>
        <v>946777</v>
      </c>
      <c r="AS101" s="697">
        <f t="shared" si="303"/>
        <v>946777</v>
      </c>
      <c r="AT101" s="688">
        <f t="shared" si="308"/>
        <v>946777</v>
      </c>
      <c r="AU101" s="688">
        <f t="shared" si="308"/>
        <v>946777</v>
      </c>
      <c r="AV101" s="688">
        <f t="shared" si="308"/>
        <v>946777</v>
      </c>
      <c r="AW101" s="688">
        <f t="shared" si="308"/>
        <v>946777</v>
      </c>
      <c r="AX101" s="688">
        <f t="shared" si="308"/>
        <v>946777</v>
      </c>
      <c r="AY101" s="688">
        <f t="shared" si="308"/>
        <v>946777</v>
      </c>
      <c r="AZ101" s="688">
        <f t="shared" si="308"/>
        <v>946777</v>
      </c>
      <c r="BA101" s="688">
        <f t="shared" si="308"/>
        <v>946777</v>
      </c>
      <c r="BB101" s="48">
        <f t="shared" si="308"/>
        <v>946777</v>
      </c>
      <c r="BC101" s="10" t="str">
        <f t="shared" si="304"/>
        <v>금융실행그룹수석(CL4)</v>
      </c>
      <c r="BD101" s="10" t="str">
        <f t="shared" si="305"/>
        <v>금융실행그룹CL4(수석)</v>
      </c>
      <c r="BG101" s="540"/>
      <c r="BH101" s="540"/>
    </row>
    <row r="102" spans="1:60">
      <c r="A102" s="526" t="str">
        <f t="shared" si="263"/>
        <v>금융실행그룹CL3(책임-수석보)</v>
      </c>
      <c r="B102" s="526" t="str">
        <f>B101</f>
        <v>금융실행그룹</v>
      </c>
      <c r="C102" s="527" t="s">
        <v>247</v>
      </c>
      <c r="D102" s="18" t="s">
        <v>105</v>
      </c>
      <c r="E102" s="17" t="s">
        <v>455</v>
      </c>
      <c r="F102" s="18" t="s">
        <v>459</v>
      </c>
      <c r="G102" s="45">
        <v>714471</v>
      </c>
      <c r="H102" s="46">
        <v>714471</v>
      </c>
      <c r="I102" s="47">
        <v>803202</v>
      </c>
      <c r="J102" s="46">
        <f t="shared" ref="J102:U102" si="309">I102</f>
        <v>803202</v>
      </c>
      <c r="K102" s="46">
        <f t="shared" si="309"/>
        <v>803202</v>
      </c>
      <c r="L102" s="46">
        <f t="shared" si="309"/>
        <v>803202</v>
      </c>
      <c r="M102" s="46">
        <f t="shared" si="309"/>
        <v>803202</v>
      </c>
      <c r="N102" s="46">
        <f t="shared" si="309"/>
        <v>803202</v>
      </c>
      <c r="O102" s="46">
        <f t="shared" si="309"/>
        <v>803202</v>
      </c>
      <c r="P102" s="46">
        <f t="shared" si="309"/>
        <v>803202</v>
      </c>
      <c r="Q102" s="46">
        <f t="shared" si="309"/>
        <v>803202</v>
      </c>
      <c r="R102" s="48">
        <f t="shared" si="309"/>
        <v>803202</v>
      </c>
      <c r="S102" s="45">
        <f t="shared" si="309"/>
        <v>803202</v>
      </c>
      <c r="T102" s="46">
        <f t="shared" si="309"/>
        <v>803202</v>
      </c>
      <c r="U102" s="1211">
        <f t="shared" si="309"/>
        <v>803202</v>
      </c>
      <c r="V102" s="47">
        <v>766042</v>
      </c>
      <c r="W102" s="46">
        <f t="shared" ref="W102:AE102" si="310">V102</f>
        <v>766042</v>
      </c>
      <c r="X102" s="46">
        <f t="shared" si="310"/>
        <v>766042</v>
      </c>
      <c r="Y102" s="46">
        <f t="shared" si="310"/>
        <v>766042</v>
      </c>
      <c r="Z102" s="46">
        <f t="shared" si="310"/>
        <v>766042</v>
      </c>
      <c r="AA102" s="46">
        <f t="shared" si="310"/>
        <v>766042</v>
      </c>
      <c r="AB102" s="46">
        <f t="shared" si="310"/>
        <v>766042</v>
      </c>
      <c r="AC102" s="46">
        <f t="shared" si="310"/>
        <v>766042</v>
      </c>
      <c r="AD102" s="48">
        <f t="shared" si="310"/>
        <v>766042</v>
      </c>
      <c r="AE102" s="45">
        <f t="shared" si="310"/>
        <v>766042</v>
      </c>
      <c r="AF102" s="46">
        <f t="shared" si="300"/>
        <v>766042</v>
      </c>
      <c r="AG102" s="47">
        <f t="shared" si="300"/>
        <v>766042</v>
      </c>
      <c r="AH102" s="46">
        <f t="shared" si="301"/>
        <v>766042</v>
      </c>
      <c r="AI102" s="46">
        <f t="shared" si="301"/>
        <v>766042</v>
      </c>
      <c r="AJ102" s="46">
        <f t="shared" si="301"/>
        <v>766042</v>
      </c>
      <c r="AK102" s="46">
        <f t="shared" si="301"/>
        <v>766042</v>
      </c>
      <c r="AL102" s="46">
        <f t="shared" si="301"/>
        <v>766042</v>
      </c>
      <c r="AM102" s="46">
        <f t="shared" si="301"/>
        <v>766042</v>
      </c>
      <c r="AN102" s="46">
        <f t="shared" si="301"/>
        <v>766042</v>
      </c>
      <c r="AO102" s="46">
        <f t="shared" si="301"/>
        <v>766042</v>
      </c>
      <c r="AP102" s="48">
        <f>AC102</f>
        <v>766042</v>
      </c>
      <c r="AQ102" s="688">
        <f t="shared" ref="AQ102:BB102" si="311">+AP102</f>
        <v>766042</v>
      </c>
      <c r="AR102" s="688">
        <f t="shared" si="311"/>
        <v>766042</v>
      </c>
      <c r="AS102" s="697">
        <f t="shared" si="303"/>
        <v>766042</v>
      </c>
      <c r="AT102" s="688">
        <f t="shared" si="311"/>
        <v>766042</v>
      </c>
      <c r="AU102" s="688">
        <f t="shared" si="311"/>
        <v>766042</v>
      </c>
      <c r="AV102" s="688">
        <f t="shared" si="311"/>
        <v>766042</v>
      </c>
      <c r="AW102" s="688">
        <f t="shared" si="311"/>
        <v>766042</v>
      </c>
      <c r="AX102" s="688">
        <f t="shared" si="311"/>
        <v>766042</v>
      </c>
      <c r="AY102" s="688">
        <f t="shared" si="311"/>
        <v>766042</v>
      </c>
      <c r="AZ102" s="688">
        <f t="shared" si="311"/>
        <v>766042</v>
      </c>
      <c r="BA102" s="688">
        <f t="shared" si="311"/>
        <v>766042</v>
      </c>
      <c r="BB102" s="48">
        <f t="shared" si="311"/>
        <v>766042</v>
      </c>
      <c r="BC102" s="10" t="str">
        <f t="shared" si="304"/>
        <v>금융실행그룹수석보(CL3)</v>
      </c>
      <c r="BD102" s="10" t="str">
        <f t="shared" si="305"/>
        <v>금융실행그룹CL3(책임-수석보)</v>
      </c>
      <c r="BG102" s="540"/>
      <c r="BH102" s="540"/>
    </row>
    <row r="103" spans="1:60">
      <c r="A103" s="526" t="str">
        <f t="shared" si="263"/>
        <v>금융실행그룹CL2(사원-선임)</v>
      </c>
      <c r="B103" s="526" t="str">
        <f>B102</f>
        <v>금융실행그룹</v>
      </c>
      <c r="C103" s="527" t="s">
        <v>248</v>
      </c>
      <c r="D103" s="18" t="s">
        <v>102</v>
      </c>
      <c r="E103" s="17" t="s">
        <v>457</v>
      </c>
      <c r="F103" s="18" t="s">
        <v>461</v>
      </c>
      <c r="G103" s="45">
        <v>561364</v>
      </c>
      <c r="H103" s="46">
        <v>561364</v>
      </c>
      <c r="I103" s="47">
        <v>539976</v>
      </c>
      <c r="J103" s="46">
        <f t="shared" ref="J103:U103" si="312">I103</f>
        <v>539976</v>
      </c>
      <c r="K103" s="46">
        <f t="shared" si="312"/>
        <v>539976</v>
      </c>
      <c r="L103" s="46">
        <f t="shared" si="312"/>
        <v>539976</v>
      </c>
      <c r="M103" s="46">
        <f t="shared" si="312"/>
        <v>539976</v>
      </c>
      <c r="N103" s="46">
        <f t="shared" si="312"/>
        <v>539976</v>
      </c>
      <c r="O103" s="46">
        <f t="shared" si="312"/>
        <v>539976</v>
      </c>
      <c r="P103" s="46">
        <f t="shared" si="312"/>
        <v>539976</v>
      </c>
      <c r="Q103" s="46">
        <f t="shared" si="312"/>
        <v>539976</v>
      </c>
      <c r="R103" s="48">
        <f t="shared" si="312"/>
        <v>539976</v>
      </c>
      <c r="S103" s="45">
        <f t="shared" si="312"/>
        <v>539976</v>
      </c>
      <c r="T103" s="46">
        <f t="shared" si="312"/>
        <v>539976</v>
      </c>
      <c r="U103" s="1211">
        <f t="shared" si="312"/>
        <v>539976</v>
      </c>
      <c r="V103" s="47">
        <v>636552</v>
      </c>
      <c r="W103" s="46">
        <f t="shared" ref="W103:AE103" si="313">V103</f>
        <v>636552</v>
      </c>
      <c r="X103" s="46">
        <f t="shared" si="313"/>
        <v>636552</v>
      </c>
      <c r="Y103" s="46">
        <f t="shared" si="313"/>
        <v>636552</v>
      </c>
      <c r="Z103" s="46">
        <f t="shared" si="313"/>
        <v>636552</v>
      </c>
      <c r="AA103" s="46">
        <f t="shared" si="313"/>
        <v>636552</v>
      </c>
      <c r="AB103" s="46">
        <f t="shared" si="313"/>
        <v>636552</v>
      </c>
      <c r="AC103" s="46">
        <f t="shared" si="313"/>
        <v>636552</v>
      </c>
      <c r="AD103" s="48">
        <f t="shared" si="313"/>
        <v>636552</v>
      </c>
      <c r="AE103" s="45">
        <f t="shared" si="313"/>
        <v>636552</v>
      </c>
      <c r="AF103" s="46">
        <f t="shared" si="300"/>
        <v>636552</v>
      </c>
      <c r="AG103" s="47">
        <f t="shared" si="300"/>
        <v>636552</v>
      </c>
      <c r="AH103" s="46">
        <f t="shared" si="301"/>
        <v>636552</v>
      </c>
      <c r="AI103" s="46">
        <f t="shared" si="301"/>
        <v>636552</v>
      </c>
      <c r="AJ103" s="46">
        <f t="shared" si="301"/>
        <v>636552</v>
      </c>
      <c r="AK103" s="46">
        <f t="shared" si="301"/>
        <v>636552</v>
      </c>
      <c r="AL103" s="46">
        <f t="shared" si="301"/>
        <v>636552</v>
      </c>
      <c r="AM103" s="46">
        <f t="shared" si="301"/>
        <v>636552</v>
      </c>
      <c r="AN103" s="46">
        <f t="shared" si="301"/>
        <v>636552</v>
      </c>
      <c r="AO103" s="46">
        <f t="shared" si="301"/>
        <v>636552</v>
      </c>
      <c r="AP103" s="48">
        <f>AC103</f>
        <v>636552</v>
      </c>
      <c r="AQ103" s="688">
        <f t="shared" ref="AQ103:BB103" si="314">+AP103</f>
        <v>636552</v>
      </c>
      <c r="AR103" s="688">
        <f t="shared" si="314"/>
        <v>636552</v>
      </c>
      <c r="AS103" s="697">
        <f t="shared" si="303"/>
        <v>636552</v>
      </c>
      <c r="AT103" s="688">
        <f t="shared" si="314"/>
        <v>636552</v>
      </c>
      <c r="AU103" s="688">
        <f t="shared" si="314"/>
        <v>636552</v>
      </c>
      <c r="AV103" s="688">
        <f t="shared" si="314"/>
        <v>636552</v>
      </c>
      <c r="AW103" s="688">
        <f t="shared" si="314"/>
        <v>636552</v>
      </c>
      <c r="AX103" s="688">
        <f t="shared" si="314"/>
        <v>636552</v>
      </c>
      <c r="AY103" s="688">
        <f t="shared" si="314"/>
        <v>636552</v>
      </c>
      <c r="AZ103" s="688">
        <f t="shared" si="314"/>
        <v>636552</v>
      </c>
      <c r="BA103" s="688">
        <f t="shared" si="314"/>
        <v>636552</v>
      </c>
      <c r="BB103" s="48">
        <f t="shared" si="314"/>
        <v>636552</v>
      </c>
      <c r="BC103" s="10" t="str">
        <f t="shared" si="304"/>
        <v>금융실행그룹책임(CL3)</v>
      </c>
      <c r="BD103" s="10" t="str">
        <f t="shared" si="305"/>
        <v>금융실행그룹CL2(사원-선임)</v>
      </c>
      <c r="BG103" s="540"/>
      <c r="BH103" s="540"/>
    </row>
    <row r="104" spans="1:60">
      <c r="A104" s="526" t="str">
        <f t="shared" si="263"/>
        <v>금융실행그룹</v>
      </c>
      <c r="B104" s="526" t="str">
        <f>B103</f>
        <v>금융실행그룹</v>
      </c>
      <c r="C104" s="527" t="s">
        <v>249</v>
      </c>
      <c r="D104" s="18" t="s">
        <v>103</v>
      </c>
      <c r="E104" s="17"/>
      <c r="F104" s="18"/>
      <c r="G104" s="45"/>
      <c r="H104" s="46"/>
      <c r="I104" s="47"/>
      <c r="J104" s="46"/>
      <c r="K104" s="46"/>
      <c r="L104" s="46"/>
      <c r="M104" s="46"/>
      <c r="N104" s="46"/>
      <c r="O104" s="46"/>
      <c r="P104" s="46"/>
      <c r="Q104" s="46"/>
      <c r="R104" s="48"/>
      <c r="S104" s="45"/>
      <c r="T104" s="46"/>
      <c r="U104" s="1211"/>
      <c r="V104" s="47"/>
      <c r="W104" s="46"/>
      <c r="X104" s="46"/>
      <c r="Y104" s="46"/>
      <c r="Z104" s="46"/>
      <c r="AA104" s="46"/>
      <c r="AB104" s="46"/>
      <c r="AC104" s="46"/>
      <c r="AD104" s="48"/>
      <c r="AE104" s="45"/>
      <c r="AF104" s="46"/>
      <c r="AG104" s="47"/>
      <c r="AH104" s="46"/>
      <c r="AI104" s="46"/>
      <c r="AJ104" s="46"/>
      <c r="AK104" s="46"/>
      <c r="AL104" s="46"/>
      <c r="AM104" s="46"/>
      <c r="AN104" s="46"/>
      <c r="AO104" s="46"/>
      <c r="AP104" s="48"/>
      <c r="AQ104" s="688">
        <f t="shared" ref="AQ104:BB104" si="315">+AP104</f>
        <v>0</v>
      </c>
      <c r="AR104" s="688">
        <f t="shared" si="315"/>
        <v>0</v>
      </c>
      <c r="AS104" s="688"/>
      <c r="AT104" s="688">
        <f t="shared" si="315"/>
        <v>0</v>
      </c>
      <c r="AU104" s="688">
        <f t="shared" si="315"/>
        <v>0</v>
      </c>
      <c r="AV104" s="688">
        <f t="shared" si="315"/>
        <v>0</v>
      </c>
      <c r="AW104" s="688">
        <f t="shared" si="315"/>
        <v>0</v>
      </c>
      <c r="AX104" s="688">
        <f t="shared" si="315"/>
        <v>0</v>
      </c>
      <c r="AY104" s="688">
        <f t="shared" si="315"/>
        <v>0</v>
      </c>
      <c r="AZ104" s="688">
        <f t="shared" si="315"/>
        <v>0</v>
      </c>
      <c r="BA104" s="688">
        <f t="shared" si="315"/>
        <v>0</v>
      </c>
      <c r="BB104" s="48">
        <f t="shared" si="315"/>
        <v>0</v>
      </c>
      <c r="BC104" s="10" t="str">
        <f t="shared" si="304"/>
        <v>금융실행그룹선임(CL2)</v>
      </c>
      <c r="BD104" s="10" t="str">
        <f t="shared" si="305"/>
        <v>금융실행그룹</v>
      </c>
      <c r="BG104" s="540"/>
      <c r="BH104" s="540"/>
    </row>
    <row r="105" spans="1:60">
      <c r="A105" s="528" t="str">
        <f t="shared" si="263"/>
        <v>금융실행그룹</v>
      </c>
      <c r="B105" s="528" t="str">
        <f>B104</f>
        <v>금융실행그룹</v>
      </c>
      <c r="C105" s="529" t="s">
        <v>250</v>
      </c>
      <c r="D105" s="20" t="s">
        <v>104</v>
      </c>
      <c r="E105" s="19"/>
      <c r="F105" s="20"/>
      <c r="G105" s="49"/>
      <c r="H105" s="50"/>
      <c r="I105" s="51"/>
      <c r="J105" s="50"/>
      <c r="K105" s="50"/>
      <c r="L105" s="50"/>
      <c r="M105" s="50"/>
      <c r="N105" s="50"/>
      <c r="O105" s="50"/>
      <c r="P105" s="50"/>
      <c r="Q105" s="50"/>
      <c r="R105" s="52"/>
      <c r="S105" s="49"/>
      <c r="T105" s="50"/>
      <c r="U105" s="1212"/>
      <c r="V105" s="51"/>
      <c r="W105" s="50"/>
      <c r="X105" s="50"/>
      <c r="Y105" s="50"/>
      <c r="Z105" s="50"/>
      <c r="AA105" s="50"/>
      <c r="AB105" s="50"/>
      <c r="AC105" s="50"/>
      <c r="AD105" s="52"/>
      <c r="AE105" s="49"/>
      <c r="AF105" s="50"/>
      <c r="AG105" s="51"/>
      <c r="AH105" s="50"/>
      <c r="AI105" s="50"/>
      <c r="AJ105" s="50"/>
      <c r="AK105" s="50"/>
      <c r="AL105" s="50"/>
      <c r="AM105" s="50"/>
      <c r="AN105" s="50"/>
      <c r="AO105" s="50"/>
      <c r="AP105" s="52"/>
      <c r="AQ105" s="689">
        <f t="shared" ref="AQ105:BB105" si="316">+AP105</f>
        <v>0</v>
      </c>
      <c r="AR105" s="689">
        <f t="shared" si="316"/>
        <v>0</v>
      </c>
      <c r="AS105" s="689"/>
      <c r="AT105" s="689">
        <f t="shared" si="316"/>
        <v>0</v>
      </c>
      <c r="AU105" s="689">
        <f t="shared" si="316"/>
        <v>0</v>
      </c>
      <c r="AV105" s="689">
        <f t="shared" si="316"/>
        <v>0</v>
      </c>
      <c r="AW105" s="689">
        <f t="shared" si="316"/>
        <v>0</v>
      </c>
      <c r="AX105" s="689">
        <f t="shared" si="316"/>
        <v>0</v>
      </c>
      <c r="AY105" s="689">
        <f t="shared" si="316"/>
        <v>0</v>
      </c>
      <c r="AZ105" s="689">
        <f t="shared" si="316"/>
        <v>0</v>
      </c>
      <c r="BA105" s="689">
        <f t="shared" si="316"/>
        <v>0</v>
      </c>
      <c r="BB105" s="52">
        <f t="shared" si="316"/>
        <v>0</v>
      </c>
      <c r="BC105" s="10" t="str">
        <f t="shared" si="304"/>
        <v>금융실행그룹사원(CL1-CL2)</v>
      </c>
      <c r="BD105" s="10" t="str">
        <f t="shared" si="305"/>
        <v>금융실행그룹</v>
      </c>
      <c r="BG105" s="540"/>
      <c r="BH105" s="540"/>
    </row>
    <row r="106" spans="1:60">
      <c r="A106" s="523" t="str">
        <f t="shared" si="0"/>
        <v>클라우드운영팀이사</v>
      </c>
      <c r="B106" s="523" t="s">
        <v>1062</v>
      </c>
      <c r="C106" s="533" t="s">
        <v>12</v>
      </c>
      <c r="D106" s="534" t="s">
        <v>105</v>
      </c>
      <c r="E106" s="533" t="s">
        <v>12</v>
      </c>
      <c r="F106" s="534" t="s">
        <v>82</v>
      </c>
      <c r="G106" s="41">
        <v>0</v>
      </c>
      <c r="H106" s="42">
        <v>0</v>
      </c>
      <c r="I106" s="43">
        <f t="shared" ref="I106:U106" si="317">H106</f>
        <v>0</v>
      </c>
      <c r="J106" s="42">
        <f t="shared" si="317"/>
        <v>0</v>
      </c>
      <c r="K106" s="42">
        <f t="shared" si="317"/>
        <v>0</v>
      </c>
      <c r="L106" s="42">
        <f t="shared" si="317"/>
        <v>0</v>
      </c>
      <c r="M106" s="42">
        <f t="shared" si="317"/>
        <v>0</v>
      </c>
      <c r="N106" s="42">
        <f t="shared" si="317"/>
        <v>0</v>
      </c>
      <c r="O106" s="42">
        <f t="shared" si="317"/>
        <v>0</v>
      </c>
      <c r="P106" s="42">
        <f t="shared" si="317"/>
        <v>0</v>
      </c>
      <c r="Q106" s="42">
        <f t="shared" si="317"/>
        <v>0</v>
      </c>
      <c r="R106" s="44">
        <f t="shared" si="317"/>
        <v>0</v>
      </c>
      <c r="S106" s="41">
        <f t="shared" si="317"/>
        <v>0</v>
      </c>
      <c r="T106" s="42">
        <f t="shared" si="317"/>
        <v>0</v>
      </c>
      <c r="U106" s="1210">
        <f t="shared" si="317"/>
        <v>0</v>
      </c>
      <c r="V106" s="43">
        <f t="shared" ref="V106:AE106" si="318">U106</f>
        <v>0</v>
      </c>
      <c r="W106" s="42">
        <f t="shared" si="318"/>
        <v>0</v>
      </c>
      <c r="X106" s="42">
        <f t="shared" si="318"/>
        <v>0</v>
      </c>
      <c r="Y106" s="42">
        <f t="shared" si="318"/>
        <v>0</v>
      </c>
      <c r="Z106" s="42">
        <f t="shared" si="318"/>
        <v>0</v>
      </c>
      <c r="AA106" s="42">
        <f t="shared" si="318"/>
        <v>0</v>
      </c>
      <c r="AB106" s="42">
        <f t="shared" si="318"/>
        <v>0</v>
      </c>
      <c r="AC106" s="42">
        <f t="shared" si="318"/>
        <v>0</v>
      </c>
      <c r="AD106" s="44">
        <f t="shared" si="318"/>
        <v>0</v>
      </c>
      <c r="AE106" s="41">
        <f t="shared" si="318"/>
        <v>0</v>
      </c>
      <c r="AF106" s="42">
        <f t="shared" ref="AF106:AG109" si="319">AE106</f>
        <v>0</v>
      </c>
      <c r="AG106" s="43">
        <f t="shared" si="319"/>
        <v>0</v>
      </c>
      <c r="AH106" s="42">
        <f t="shared" ref="AH106:AO109" si="320">AG106</f>
        <v>0</v>
      </c>
      <c r="AI106" s="42">
        <f t="shared" si="320"/>
        <v>0</v>
      </c>
      <c r="AJ106" s="42">
        <f t="shared" si="320"/>
        <v>0</v>
      </c>
      <c r="AK106" s="42">
        <f t="shared" si="320"/>
        <v>0</v>
      </c>
      <c r="AL106" s="42">
        <f t="shared" si="320"/>
        <v>0</v>
      </c>
      <c r="AM106" s="42">
        <f t="shared" si="320"/>
        <v>0</v>
      </c>
      <c r="AN106" s="42">
        <f t="shared" si="320"/>
        <v>0</v>
      </c>
      <c r="AO106" s="42">
        <f t="shared" si="320"/>
        <v>0</v>
      </c>
      <c r="AP106" s="44">
        <f>AC106</f>
        <v>0</v>
      </c>
      <c r="AQ106" s="687">
        <f t="shared" ref="AQ106:BB106" si="321">+AP106</f>
        <v>0</v>
      </c>
      <c r="AR106" s="687">
        <f t="shared" si="321"/>
        <v>0</v>
      </c>
      <c r="AS106" s="696">
        <f t="shared" ref="AS106:AS109" si="322">AR106</f>
        <v>0</v>
      </c>
      <c r="AT106" s="687">
        <f t="shared" si="321"/>
        <v>0</v>
      </c>
      <c r="AU106" s="687">
        <f t="shared" si="321"/>
        <v>0</v>
      </c>
      <c r="AV106" s="687">
        <f t="shared" si="321"/>
        <v>0</v>
      </c>
      <c r="AW106" s="687">
        <f t="shared" si="321"/>
        <v>0</v>
      </c>
      <c r="AX106" s="687">
        <f t="shared" si="321"/>
        <v>0</v>
      </c>
      <c r="AY106" s="687">
        <f t="shared" si="321"/>
        <v>0</v>
      </c>
      <c r="AZ106" s="687">
        <f t="shared" si="321"/>
        <v>0</v>
      </c>
      <c r="BA106" s="687">
        <f t="shared" si="321"/>
        <v>0</v>
      </c>
      <c r="BB106" s="44">
        <f t="shared" si="321"/>
        <v>0</v>
      </c>
      <c r="BC106" s="10" t="str">
        <f t="shared" si="106"/>
        <v>클라우드운영팀이사</v>
      </c>
      <c r="BD106" s="10" t="str">
        <f>B106&amp;E106</f>
        <v>클라우드운영팀이사</v>
      </c>
      <c r="BG106" s="540"/>
      <c r="BH106" s="540"/>
    </row>
    <row r="107" spans="1:60">
      <c r="A107" s="526" t="str">
        <f t="shared" si="0"/>
        <v>클라우드운영팀CL4(수석)</v>
      </c>
      <c r="B107" s="526" t="str">
        <f>+B106</f>
        <v>클라우드운영팀</v>
      </c>
      <c r="C107" s="535" t="s">
        <v>246</v>
      </c>
      <c r="D107" s="536" t="s">
        <v>110</v>
      </c>
      <c r="E107" s="535" t="s">
        <v>445</v>
      </c>
      <c r="F107" s="536" t="s">
        <v>82</v>
      </c>
      <c r="G107" s="45">
        <v>821249</v>
      </c>
      <c r="H107" s="46">
        <v>821249</v>
      </c>
      <c r="I107" s="47">
        <v>947069</v>
      </c>
      <c r="J107" s="46">
        <f t="shared" ref="J107:U107" si="323">I107</f>
        <v>947069</v>
      </c>
      <c r="K107" s="46">
        <f t="shared" si="323"/>
        <v>947069</v>
      </c>
      <c r="L107" s="46">
        <f t="shared" si="323"/>
        <v>947069</v>
      </c>
      <c r="M107" s="46">
        <f t="shared" si="323"/>
        <v>947069</v>
      </c>
      <c r="N107" s="46">
        <f t="shared" si="323"/>
        <v>947069</v>
      </c>
      <c r="O107" s="46">
        <f t="shared" si="323"/>
        <v>947069</v>
      </c>
      <c r="P107" s="46">
        <f t="shared" si="323"/>
        <v>947069</v>
      </c>
      <c r="Q107" s="46">
        <f t="shared" si="323"/>
        <v>947069</v>
      </c>
      <c r="R107" s="48">
        <v>955395</v>
      </c>
      <c r="S107" s="45">
        <f t="shared" si="323"/>
        <v>955395</v>
      </c>
      <c r="T107" s="46">
        <f t="shared" si="323"/>
        <v>955395</v>
      </c>
      <c r="U107" s="1211">
        <f t="shared" si="323"/>
        <v>955395</v>
      </c>
      <c r="V107" s="47">
        <v>958110</v>
      </c>
      <c r="W107" s="46">
        <f t="shared" ref="W107:AE107" si="324">V107</f>
        <v>958110</v>
      </c>
      <c r="X107" s="46">
        <f t="shared" si="324"/>
        <v>958110</v>
      </c>
      <c r="Y107" s="46">
        <f t="shared" si="324"/>
        <v>958110</v>
      </c>
      <c r="Z107" s="46">
        <f t="shared" si="324"/>
        <v>958110</v>
      </c>
      <c r="AA107" s="46">
        <f t="shared" si="324"/>
        <v>958110</v>
      </c>
      <c r="AB107" s="46">
        <f t="shared" si="324"/>
        <v>958110</v>
      </c>
      <c r="AC107" s="46">
        <f t="shared" si="324"/>
        <v>958110</v>
      </c>
      <c r="AD107" s="48">
        <f t="shared" si="324"/>
        <v>958110</v>
      </c>
      <c r="AE107" s="45">
        <f t="shared" si="324"/>
        <v>958110</v>
      </c>
      <c r="AF107" s="46">
        <f t="shared" si="319"/>
        <v>958110</v>
      </c>
      <c r="AG107" s="47">
        <f t="shared" si="319"/>
        <v>958110</v>
      </c>
      <c r="AH107" s="46">
        <f t="shared" si="320"/>
        <v>958110</v>
      </c>
      <c r="AI107" s="46">
        <f t="shared" si="320"/>
        <v>958110</v>
      </c>
      <c r="AJ107" s="46">
        <f t="shared" si="320"/>
        <v>958110</v>
      </c>
      <c r="AK107" s="46">
        <f t="shared" si="320"/>
        <v>958110</v>
      </c>
      <c r="AL107" s="46">
        <f t="shared" si="320"/>
        <v>958110</v>
      </c>
      <c r="AM107" s="46">
        <f t="shared" si="320"/>
        <v>958110</v>
      </c>
      <c r="AN107" s="46">
        <f t="shared" si="320"/>
        <v>958110</v>
      </c>
      <c r="AO107" s="46">
        <f t="shared" si="320"/>
        <v>958110</v>
      </c>
      <c r="AP107" s="48">
        <f>AC107</f>
        <v>958110</v>
      </c>
      <c r="AQ107" s="688">
        <f t="shared" ref="AQ107:BB107" si="325">+AP107</f>
        <v>958110</v>
      </c>
      <c r="AR107" s="688">
        <f t="shared" si="325"/>
        <v>958110</v>
      </c>
      <c r="AS107" s="697">
        <f t="shared" si="322"/>
        <v>958110</v>
      </c>
      <c r="AT107" s="688">
        <f t="shared" si="325"/>
        <v>958110</v>
      </c>
      <c r="AU107" s="688">
        <f t="shared" si="325"/>
        <v>958110</v>
      </c>
      <c r="AV107" s="688">
        <f t="shared" si="325"/>
        <v>958110</v>
      </c>
      <c r="AW107" s="688">
        <f t="shared" si="325"/>
        <v>958110</v>
      </c>
      <c r="AX107" s="688">
        <f t="shared" si="325"/>
        <v>958110</v>
      </c>
      <c r="AY107" s="688">
        <f t="shared" si="325"/>
        <v>958110</v>
      </c>
      <c r="AZ107" s="688">
        <f t="shared" si="325"/>
        <v>958110</v>
      </c>
      <c r="BA107" s="688">
        <f t="shared" si="325"/>
        <v>958110</v>
      </c>
      <c r="BB107" s="48">
        <f t="shared" si="325"/>
        <v>958110</v>
      </c>
      <c r="BC107" s="10" t="str">
        <f t="shared" si="106"/>
        <v>클라우드운영팀수석(CL4)</v>
      </c>
      <c r="BD107" s="10" t="str">
        <f>B107&amp;E107</f>
        <v>클라우드운영팀CL4(수석)</v>
      </c>
      <c r="BG107" s="540"/>
      <c r="BH107" s="540"/>
    </row>
    <row r="108" spans="1:60">
      <c r="A108" s="526" t="str">
        <f t="shared" si="0"/>
        <v>클라우드운영팀CL3(책임-수석보)</v>
      </c>
      <c r="B108" s="526" t="str">
        <f>+B107</f>
        <v>클라우드운영팀</v>
      </c>
      <c r="C108" s="535" t="s">
        <v>247</v>
      </c>
      <c r="D108" s="536" t="s">
        <v>110</v>
      </c>
      <c r="E108" s="535" t="s">
        <v>455</v>
      </c>
      <c r="F108" s="536" t="s">
        <v>459</v>
      </c>
      <c r="G108" s="45">
        <v>691209</v>
      </c>
      <c r="H108" s="46">
        <v>691209</v>
      </c>
      <c r="I108" s="47">
        <v>794922</v>
      </c>
      <c r="J108" s="46">
        <f t="shared" ref="J108:U108" si="326">I108</f>
        <v>794922</v>
      </c>
      <c r="K108" s="46">
        <f t="shared" si="326"/>
        <v>794922</v>
      </c>
      <c r="L108" s="46">
        <f t="shared" si="326"/>
        <v>794922</v>
      </c>
      <c r="M108" s="46">
        <f t="shared" si="326"/>
        <v>794922</v>
      </c>
      <c r="N108" s="46">
        <f t="shared" si="326"/>
        <v>794922</v>
      </c>
      <c r="O108" s="46">
        <f t="shared" si="326"/>
        <v>794922</v>
      </c>
      <c r="P108" s="46">
        <f t="shared" si="326"/>
        <v>794922</v>
      </c>
      <c r="Q108" s="46">
        <f t="shared" si="326"/>
        <v>794922</v>
      </c>
      <c r="R108" s="48">
        <v>789028</v>
      </c>
      <c r="S108" s="45">
        <f t="shared" si="326"/>
        <v>789028</v>
      </c>
      <c r="T108" s="46">
        <f t="shared" si="326"/>
        <v>789028</v>
      </c>
      <c r="U108" s="1211">
        <f t="shared" si="326"/>
        <v>789028</v>
      </c>
      <c r="V108" s="47">
        <v>754520</v>
      </c>
      <c r="W108" s="46">
        <f t="shared" ref="W108:AE108" si="327">V108</f>
        <v>754520</v>
      </c>
      <c r="X108" s="46">
        <f t="shared" si="327"/>
        <v>754520</v>
      </c>
      <c r="Y108" s="46">
        <f t="shared" si="327"/>
        <v>754520</v>
      </c>
      <c r="Z108" s="46">
        <f t="shared" si="327"/>
        <v>754520</v>
      </c>
      <c r="AA108" s="46">
        <f t="shared" si="327"/>
        <v>754520</v>
      </c>
      <c r="AB108" s="46">
        <f t="shared" si="327"/>
        <v>754520</v>
      </c>
      <c r="AC108" s="46">
        <f t="shared" si="327"/>
        <v>754520</v>
      </c>
      <c r="AD108" s="48">
        <f t="shared" si="327"/>
        <v>754520</v>
      </c>
      <c r="AE108" s="45">
        <f t="shared" si="327"/>
        <v>754520</v>
      </c>
      <c r="AF108" s="46">
        <f t="shared" si="319"/>
        <v>754520</v>
      </c>
      <c r="AG108" s="47">
        <f t="shared" si="319"/>
        <v>754520</v>
      </c>
      <c r="AH108" s="46">
        <f t="shared" si="320"/>
        <v>754520</v>
      </c>
      <c r="AI108" s="46">
        <f t="shared" si="320"/>
        <v>754520</v>
      </c>
      <c r="AJ108" s="46">
        <f t="shared" si="320"/>
        <v>754520</v>
      </c>
      <c r="AK108" s="46">
        <f t="shared" si="320"/>
        <v>754520</v>
      </c>
      <c r="AL108" s="46">
        <f t="shared" si="320"/>
        <v>754520</v>
      </c>
      <c r="AM108" s="46">
        <f t="shared" si="320"/>
        <v>754520</v>
      </c>
      <c r="AN108" s="46">
        <f t="shared" si="320"/>
        <v>754520</v>
      </c>
      <c r="AO108" s="46">
        <f t="shared" si="320"/>
        <v>754520</v>
      </c>
      <c r="AP108" s="48">
        <f>AC108</f>
        <v>754520</v>
      </c>
      <c r="AQ108" s="688">
        <f t="shared" ref="AQ108:BB108" si="328">+AP108</f>
        <v>754520</v>
      </c>
      <c r="AR108" s="688">
        <f t="shared" si="328"/>
        <v>754520</v>
      </c>
      <c r="AS108" s="697">
        <f t="shared" si="322"/>
        <v>754520</v>
      </c>
      <c r="AT108" s="688">
        <f t="shared" si="328"/>
        <v>754520</v>
      </c>
      <c r="AU108" s="688">
        <f t="shared" si="328"/>
        <v>754520</v>
      </c>
      <c r="AV108" s="688">
        <f t="shared" si="328"/>
        <v>754520</v>
      </c>
      <c r="AW108" s="688">
        <f t="shared" si="328"/>
        <v>754520</v>
      </c>
      <c r="AX108" s="688">
        <f t="shared" si="328"/>
        <v>754520</v>
      </c>
      <c r="AY108" s="688">
        <f t="shared" si="328"/>
        <v>754520</v>
      </c>
      <c r="AZ108" s="688">
        <f t="shared" si="328"/>
        <v>754520</v>
      </c>
      <c r="BA108" s="688">
        <f t="shared" si="328"/>
        <v>754520</v>
      </c>
      <c r="BB108" s="48">
        <f t="shared" si="328"/>
        <v>754520</v>
      </c>
      <c r="BC108" s="10" t="str">
        <f t="shared" si="106"/>
        <v>클라우드운영팀수석보(CL3)</v>
      </c>
      <c r="BD108" s="10" t="str">
        <f>B108&amp;E108</f>
        <v>클라우드운영팀CL3(책임-수석보)</v>
      </c>
      <c r="BG108" s="540"/>
      <c r="BH108" s="540"/>
    </row>
    <row r="109" spans="1:60">
      <c r="A109" s="526" t="str">
        <f t="shared" si="0"/>
        <v>클라우드운영팀CL2(사원-선임)</v>
      </c>
      <c r="B109" s="526" t="str">
        <f>+B108</f>
        <v>클라우드운영팀</v>
      </c>
      <c r="C109" s="535" t="s">
        <v>248</v>
      </c>
      <c r="D109" s="536" t="s">
        <v>111</v>
      </c>
      <c r="E109" s="535" t="s">
        <v>457</v>
      </c>
      <c r="F109" s="536" t="s">
        <v>461</v>
      </c>
      <c r="G109" s="45">
        <v>570903</v>
      </c>
      <c r="H109" s="46">
        <v>570903</v>
      </c>
      <c r="I109" s="47">
        <v>548570</v>
      </c>
      <c r="J109" s="46">
        <f t="shared" ref="J109:U109" si="329">I109</f>
        <v>548570</v>
      </c>
      <c r="K109" s="46">
        <f t="shared" si="329"/>
        <v>548570</v>
      </c>
      <c r="L109" s="46">
        <f t="shared" si="329"/>
        <v>548570</v>
      </c>
      <c r="M109" s="46">
        <f t="shared" si="329"/>
        <v>548570</v>
      </c>
      <c r="N109" s="46">
        <f t="shared" si="329"/>
        <v>548570</v>
      </c>
      <c r="O109" s="46">
        <f t="shared" si="329"/>
        <v>548570</v>
      </c>
      <c r="P109" s="46">
        <f t="shared" si="329"/>
        <v>548570</v>
      </c>
      <c r="Q109" s="46">
        <f t="shared" si="329"/>
        <v>548570</v>
      </c>
      <c r="R109" s="48">
        <v>659992</v>
      </c>
      <c r="S109" s="45">
        <f t="shared" si="329"/>
        <v>659992</v>
      </c>
      <c r="T109" s="46">
        <f t="shared" si="329"/>
        <v>659992</v>
      </c>
      <c r="U109" s="1211">
        <f t="shared" si="329"/>
        <v>659992</v>
      </c>
      <c r="V109" s="47">
        <v>728101</v>
      </c>
      <c r="W109" s="46">
        <f t="shared" ref="W109:AE109" si="330">V109</f>
        <v>728101</v>
      </c>
      <c r="X109" s="46">
        <f t="shared" si="330"/>
        <v>728101</v>
      </c>
      <c r="Y109" s="46">
        <f t="shared" si="330"/>
        <v>728101</v>
      </c>
      <c r="Z109" s="46">
        <f t="shared" si="330"/>
        <v>728101</v>
      </c>
      <c r="AA109" s="46">
        <f t="shared" si="330"/>
        <v>728101</v>
      </c>
      <c r="AB109" s="46">
        <f t="shared" si="330"/>
        <v>728101</v>
      </c>
      <c r="AC109" s="46">
        <f t="shared" si="330"/>
        <v>728101</v>
      </c>
      <c r="AD109" s="48">
        <f t="shared" si="330"/>
        <v>728101</v>
      </c>
      <c r="AE109" s="45">
        <f t="shared" si="330"/>
        <v>728101</v>
      </c>
      <c r="AF109" s="46">
        <f t="shared" si="319"/>
        <v>728101</v>
      </c>
      <c r="AG109" s="47">
        <f t="shared" si="319"/>
        <v>728101</v>
      </c>
      <c r="AH109" s="46">
        <f t="shared" si="320"/>
        <v>728101</v>
      </c>
      <c r="AI109" s="46">
        <f t="shared" si="320"/>
        <v>728101</v>
      </c>
      <c r="AJ109" s="46">
        <f t="shared" si="320"/>
        <v>728101</v>
      </c>
      <c r="AK109" s="46">
        <f t="shared" si="320"/>
        <v>728101</v>
      </c>
      <c r="AL109" s="46">
        <f t="shared" si="320"/>
        <v>728101</v>
      </c>
      <c r="AM109" s="46">
        <f t="shared" si="320"/>
        <v>728101</v>
      </c>
      <c r="AN109" s="46">
        <f t="shared" si="320"/>
        <v>728101</v>
      </c>
      <c r="AO109" s="46">
        <f t="shared" si="320"/>
        <v>728101</v>
      </c>
      <c r="AP109" s="48">
        <f>AC109</f>
        <v>728101</v>
      </c>
      <c r="AQ109" s="688">
        <f t="shared" ref="AQ109:BB109" si="331">+AP109</f>
        <v>728101</v>
      </c>
      <c r="AR109" s="688">
        <f t="shared" si="331"/>
        <v>728101</v>
      </c>
      <c r="AS109" s="697">
        <f t="shared" si="322"/>
        <v>728101</v>
      </c>
      <c r="AT109" s="688">
        <f t="shared" si="331"/>
        <v>728101</v>
      </c>
      <c r="AU109" s="688">
        <f t="shared" si="331"/>
        <v>728101</v>
      </c>
      <c r="AV109" s="688">
        <f t="shared" si="331"/>
        <v>728101</v>
      </c>
      <c r="AW109" s="688">
        <f t="shared" si="331"/>
        <v>728101</v>
      </c>
      <c r="AX109" s="688">
        <f t="shared" si="331"/>
        <v>728101</v>
      </c>
      <c r="AY109" s="688">
        <f t="shared" si="331"/>
        <v>728101</v>
      </c>
      <c r="AZ109" s="688">
        <f t="shared" si="331"/>
        <v>728101</v>
      </c>
      <c r="BA109" s="688">
        <f t="shared" si="331"/>
        <v>728101</v>
      </c>
      <c r="BB109" s="48">
        <f t="shared" si="331"/>
        <v>728101</v>
      </c>
      <c r="BC109" s="10" t="str">
        <f t="shared" si="106"/>
        <v>클라우드운영팀책임(CL3)</v>
      </c>
      <c r="BD109" s="10" t="str">
        <f>B109&amp;E109</f>
        <v>클라우드운영팀CL2(사원-선임)</v>
      </c>
      <c r="BG109" s="540"/>
      <c r="BH109" s="540"/>
    </row>
    <row r="110" spans="1:60">
      <c r="A110" s="526" t="str">
        <f t="shared" si="0"/>
        <v>클라우드운영팀</v>
      </c>
      <c r="B110" s="526" t="str">
        <f>+B109</f>
        <v>클라우드운영팀</v>
      </c>
      <c r="C110" s="535" t="s">
        <v>249</v>
      </c>
      <c r="D110" s="536" t="s">
        <v>112</v>
      </c>
      <c r="E110" s="535"/>
      <c r="F110" s="536"/>
      <c r="G110" s="45"/>
      <c r="H110" s="46"/>
      <c r="I110" s="47"/>
      <c r="J110" s="46"/>
      <c r="K110" s="46"/>
      <c r="L110" s="46"/>
      <c r="M110" s="46"/>
      <c r="N110" s="46"/>
      <c r="O110" s="46"/>
      <c r="P110" s="46"/>
      <c r="Q110" s="46"/>
      <c r="R110" s="48"/>
      <c r="S110" s="45"/>
      <c r="T110" s="46"/>
      <c r="U110" s="1211"/>
      <c r="V110" s="47"/>
      <c r="W110" s="46"/>
      <c r="X110" s="46"/>
      <c r="Y110" s="46"/>
      <c r="Z110" s="46"/>
      <c r="AA110" s="46"/>
      <c r="AB110" s="46"/>
      <c r="AC110" s="46"/>
      <c r="AD110" s="48"/>
      <c r="AE110" s="45"/>
      <c r="AF110" s="46"/>
      <c r="AG110" s="47"/>
      <c r="AH110" s="46"/>
      <c r="AI110" s="46"/>
      <c r="AJ110" s="46"/>
      <c r="AK110" s="46"/>
      <c r="AL110" s="46"/>
      <c r="AM110" s="46"/>
      <c r="AN110" s="46"/>
      <c r="AO110" s="46"/>
      <c r="AP110" s="48"/>
      <c r="AQ110" s="688">
        <f t="shared" ref="AQ110:BB110" si="332">+AP110</f>
        <v>0</v>
      </c>
      <c r="AR110" s="688">
        <f t="shared" si="332"/>
        <v>0</v>
      </c>
      <c r="AS110" s="697"/>
      <c r="AT110" s="688">
        <f t="shared" si="332"/>
        <v>0</v>
      </c>
      <c r="AU110" s="688">
        <f t="shared" si="332"/>
        <v>0</v>
      </c>
      <c r="AV110" s="688">
        <f t="shared" si="332"/>
        <v>0</v>
      </c>
      <c r="AW110" s="688">
        <f t="shared" si="332"/>
        <v>0</v>
      </c>
      <c r="AX110" s="688">
        <f t="shared" si="332"/>
        <v>0</v>
      </c>
      <c r="AY110" s="688">
        <f t="shared" si="332"/>
        <v>0</v>
      </c>
      <c r="AZ110" s="688">
        <f t="shared" si="332"/>
        <v>0</v>
      </c>
      <c r="BA110" s="688">
        <f t="shared" si="332"/>
        <v>0</v>
      </c>
      <c r="BB110" s="48">
        <f t="shared" si="332"/>
        <v>0</v>
      </c>
      <c r="BC110" s="10" t="str">
        <f t="shared" si="106"/>
        <v>클라우드운영팀선임(CL2)</v>
      </c>
      <c r="BD110" s="10" t="s">
        <v>451</v>
      </c>
      <c r="BG110" s="540"/>
      <c r="BH110" s="540"/>
    </row>
    <row r="111" spans="1:60">
      <c r="A111" s="528" t="str">
        <f t="shared" si="0"/>
        <v>클라우드운영팀</v>
      </c>
      <c r="B111" s="528" t="str">
        <f>+B110</f>
        <v>클라우드운영팀</v>
      </c>
      <c r="C111" s="537" t="s">
        <v>250</v>
      </c>
      <c r="D111" s="538" t="s">
        <v>104</v>
      </c>
      <c r="E111" s="537"/>
      <c r="F111" s="538"/>
      <c r="G111" s="49"/>
      <c r="H111" s="50"/>
      <c r="I111" s="51"/>
      <c r="J111" s="50"/>
      <c r="K111" s="50"/>
      <c r="L111" s="50"/>
      <c r="M111" s="50"/>
      <c r="N111" s="50"/>
      <c r="O111" s="50"/>
      <c r="P111" s="50"/>
      <c r="Q111" s="50"/>
      <c r="R111" s="52"/>
      <c r="S111" s="49"/>
      <c r="T111" s="50"/>
      <c r="U111" s="1212"/>
      <c r="V111" s="51"/>
      <c r="W111" s="50"/>
      <c r="X111" s="50"/>
      <c r="Y111" s="50"/>
      <c r="Z111" s="50"/>
      <c r="AA111" s="50"/>
      <c r="AB111" s="50"/>
      <c r="AC111" s="50"/>
      <c r="AD111" s="52"/>
      <c r="AE111" s="49"/>
      <c r="AF111" s="50"/>
      <c r="AG111" s="51"/>
      <c r="AH111" s="50"/>
      <c r="AI111" s="50"/>
      <c r="AJ111" s="50"/>
      <c r="AK111" s="50"/>
      <c r="AL111" s="50"/>
      <c r="AM111" s="50"/>
      <c r="AN111" s="50"/>
      <c r="AO111" s="50"/>
      <c r="AP111" s="52"/>
      <c r="AQ111" s="689">
        <f t="shared" ref="AQ111:BB111" si="333">+AP111</f>
        <v>0</v>
      </c>
      <c r="AR111" s="689">
        <f t="shared" si="333"/>
        <v>0</v>
      </c>
      <c r="AS111" s="698"/>
      <c r="AT111" s="689">
        <f t="shared" si="333"/>
        <v>0</v>
      </c>
      <c r="AU111" s="689">
        <f t="shared" si="333"/>
        <v>0</v>
      </c>
      <c r="AV111" s="689">
        <f t="shared" si="333"/>
        <v>0</v>
      </c>
      <c r="AW111" s="689">
        <f t="shared" si="333"/>
        <v>0</v>
      </c>
      <c r="AX111" s="689">
        <f t="shared" si="333"/>
        <v>0</v>
      </c>
      <c r="AY111" s="689">
        <f t="shared" si="333"/>
        <v>0</v>
      </c>
      <c r="AZ111" s="689">
        <f t="shared" si="333"/>
        <v>0</v>
      </c>
      <c r="BA111" s="689">
        <f t="shared" si="333"/>
        <v>0</v>
      </c>
      <c r="BB111" s="52">
        <f t="shared" si="333"/>
        <v>0</v>
      </c>
      <c r="BC111" s="10" t="str">
        <f t="shared" si="106"/>
        <v>클라우드운영팀사원(CL1-CL2)</v>
      </c>
      <c r="BD111" s="10" t="s">
        <v>452</v>
      </c>
      <c r="BG111" s="540"/>
      <c r="BH111" s="540"/>
    </row>
    <row r="112" spans="1:60">
      <c r="A112" s="523" t="str">
        <f t="shared" ref="A112:A117" si="334">+B112&amp;E112</f>
        <v>인프라운영그룹이사</v>
      </c>
      <c r="B112" s="1215" t="s">
        <v>1122</v>
      </c>
      <c r="C112" s="525" t="s">
        <v>12</v>
      </c>
      <c r="D112" s="15" t="s">
        <v>105</v>
      </c>
      <c r="E112" s="16" t="s">
        <v>12</v>
      </c>
      <c r="F112" s="15" t="s">
        <v>82</v>
      </c>
      <c r="G112" s="41">
        <v>0</v>
      </c>
      <c r="H112" s="42">
        <v>0</v>
      </c>
      <c r="I112" s="43">
        <f t="shared" ref="I112:U112" si="335">H112</f>
        <v>0</v>
      </c>
      <c r="J112" s="42">
        <f t="shared" si="335"/>
        <v>0</v>
      </c>
      <c r="K112" s="42">
        <f t="shared" si="335"/>
        <v>0</v>
      </c>
      <c r="L112" s="42">
        <f t="shared" si="335"/>
        <v>0</v>
      </c>
      <c r="M112" s="42">
        <f t="shared" si="335"/>
        <v>0</v>
      </c>
      <c r="N112" s="42">
        <f t="shared" si="335"/>
        <v>0</v>
      </c>
      <c r="O112" s="42">
        <f t="shared" si="335"/>
        <v>0</v>
      </c>
      <c r="P112" s="42">
        <f t="shared" si="335"/>
        <v>0</v>
      </c>
      <c r="Q112" s="42">
        <f t="shared" si="335"/>
        <v>0</v>
      </c>
      <c r="R112" s="44">
        <f t="shared" si="335"/>
        <v>0</v>
      </c>
      <c r="S112" s="41">
        <f t="shared" si="335"/>
        <v>0</v>
      </c>
      <c r="T112" s="42">
        <f t="shared" si="335"/>
        <v>0</v>
      </c>
      <c r="U112" s="1210">
        <f t="shared" si="335"/>
        <v>0</v>
      </c>
      <c r="V112" s="43"/>
      <c r="W112" s="42">
        <f t="shared" ref="W112:AE112" si="336">V112</f>
        <v>0</v>
      </c>
      <c r="X112" s="42">
        <f t="shared" si="336"/>
        <v>0</v>
      </c>
      <c r="Y112" s="42">
        <f t="shared" si="336"/>
        <v>0</v>
      </c>
      <c r="Z112" s="42">
        <f t="shared" si="336"/>
        <v>0</v>
      </c>
      <c r="AA112" s="42">
        <f t="shared" si="336"/>
        <v>0</v>
      </c>
      <c r="AB112" s="42">
        <f t="shared" si="336"/>
        <v>0</v>
      </c>
      <c r="AC112" s="42">
        <f t="shared" si="336"/>
        <v>0</v>
      </c>
      <c r="AD112" s="44">
        <f t="shared" si="336"/>
        <v>0</v>
      </c>
      <c r="AE112" s="41">
        <f t="shared" si="336"/>
        <v>0</v>
      </c>
      <c r="AF112" s="42">
        <f t="shared" ref="AF112:AG115" si="337">AE112</f>
        <v>0</v>
      </c>
      <c r="AG112" s="43">
        <f t="shared" si="337"/>
        <v>0</v>
      </c>
      <c r="AH112" s="42">
        <f t="shared" ref="AH112:AO115" si="338">AG112</f>
        <v>0</v>
      </c>
      <c r="AI112" s="42">
        <f t="shared" si="338"/>
        <v>0</v>
      </c>
      <c r="AJ112" s="42">
        <f t="shared" si="338"/>
        <v>0</v>
      </c>
      <c r="AK112" s="42">
        <f t="shared" si="338"/>
        <v>0</v>
      </c>
      <c r="AL112" s="42">
        <f t="shared" si="338"/>
        <v>0</v>
      </c>
      <c r="AM112" s="42">
        <f t="shared" si="338"/>
        <v>0</v>
      </c>
      <c r="AN112" s="42">
        <f t="shared" si="338"/>
        <v>0</v>
      </c>
      <c r="AO112" s="42">
        <f t="shared" si="338"/>
        <v>0</v>
      </c>
      <c r="AP112" s="44">
        <f>AC112</f>
        <v>0</v>
      </c>
      <c r="AQ112" s="687">
        <f t="shared" ref="AQ112:BB117" si="339">+AP112</f>
        <v>0</v>
      </c>
      <c r="AR112" s="687">
        <f t="shared" si="339"/>
        <v>0</v>
      </c>
      <c r="AS112" s="696">
        <f t="shared" ref="AS112:AS115" si="340">AR112</f>
        <v>0</v>
      </c>
      <c r="AT112" s="687">
        <f t="shared" si="339"/>
        <v>0</v>
      </c>
      <c r="AU112" s="687">
        <f t="shared" si="339"/>
        <v>0</v>
      </c>
      <c r="AV112" s="687">
        <f t="shared" si="339"/>
        <v>0</v>
      </c>
      <c r="AW112" s="687">
        <f t="shared" si="339"/>
        <v>0</v>
      </c>
      <c r="AX112" s="687">
        <f t="shared" si="339"/>
        <v>0</v>
      </c>
      <c r="AY112" s="687">
        <f t="shared" si="339"/>
        <v>0</v>
      </c>
      <c r="AZ112" s="687">
        <f t="shared" si="339"/>
        <v>0</v>
      </c>
      <c r="BA112" s="687">
        <f t="shared" si="339"/>
        <v>0</v>
      </c>
      <c r="BB112" s="44">
        <f t="shared" si="339"/>
        <v>0</v>
      </c>
      <c r="BC112" s="10" t="str">
        <f t="shared" ref="BC112:BC117" si="341">B112&amp;C112</f>
        <v>인프라운영그룹이사</v>
      </c>
      <c r="BD112" s="10" t="str">
        <f t="shared" ref="BD112:BD117" si="342">B112&amp;E112</f>
        <v>인프라운영그룹이사</v>
      </c>
      <c r="BG112" s="540"/>
      <c r="BH112" s="540"/>
    </row>
    <row r="113" spans="1:60">
      <c r="A113" s="526" t="str">
        <f t="shared" si="334"/>
        <v>인프라운영그룹CL4(수석)</v>
      </c>
      <c r="B113" s="1216" t="str">
        <f>+B112</f>
        <v>인프라운영그룹</v>
      </c>
      <c r="C113" s="527" t="s">
        <v>246</v>
      </c>
      <c r="D113" s="18" t="s">
        <v>105</v>
      </c>
      <c r="E113" s="17" t="s">
        <v>445</v>
      </c>
      <c r="F113" s="18" t="s">
        <v>82</v>
      </c>
      <c r="G113" s="45">
        <v>844922</v>
      </c>
      <c r="H113" s="46">
        <v>844922</v>
      </c>
      <c r="I113" s="47">
        <v>955395</v>
      </c>
      <c r="J113" s="46">
        <f t="shared" ref="J113:U113" si="343">I113</f>
        <v>955395</v>
      </c>
      <c r="K113" s="46">
        <f t="shared" si="343"/>
        <v>955395</v>
      </c>
      <c r="L113" s="46">
        <f t="shared" si="343"/>
        <v>955395</v>
      </c>
      <c r="M113" s="46">
        <f t="shared" si="343"/>
        <v>955395</v>
      </c>
      <c r="N113" s="46">
        <f t="shared" si="343"/>
        <v>955395</v>
      </c>
      <c r="O113" s="46">
        <f t="shared" si="343"/>
        <v>955395</v>
      </c>
      <c r="P113" s="46">
        <f t="shared" si="343"/>
        <v>955395</v>
      </c>
      <c r="Q113" s="46">
        <f t="shared" si="343"/>
        <v>955395</v>
      </c>
      <c r="R113" s="48">
        <v>949576</v>
      </c>
      <c r="S113" s="45">
        <f t="shared" si="343"/>
        <v>949576</v>
      </c>
      <c r="T113" s="46">
        <f t="shared" si="343"/>
        <v>949576</v>
      </c>
      <c r="U113" s="1211">
        <f t="shared" si="343"/>
        <v>949576</v>
      </c>
      <c r="V113" s="47">
        <v>912100</v>
      </c>
      <c r="W113" s="46">
        <f t="shared" ref="W113:AE113" si="344">V113</f>
        <v>912100</v>
      </c>
      <c r="X113" s="46">
        <f t="shared" si="344"/>
        <v>912100</v>
      </c>
      <c r="Y113" s="46">
        <f t="shared" si="344"/>
        <v>912100</v>
      </c>
      <c r="Z113" s="46">
        <f t="shared" si="344"/>
        <v>912100</v>
      </c>
      <c r="AA113" s="46">
        <f t="shared" si="344"/>
        <v>912100</v>
      </c>
      <c r="AB113" s="46">
        <f t="shared" si="344"/>
        <v>912100</v>
      </c>
      <c r="AC113" s="46">
        <f t="shared" si="344"/>
        <v>912100</v>
      </c>
      <c r="AD113" s="48">
        <f t="shared" si="344"/>
        <v>912100</v>
      </c>
      <c r="AE113" s="45">
        <f t="shared" si="344"/>
        <v>912100</v>
      </c>
      <c r="AF113" s="46">
        <f t="shared" si="337"/>
        <v>912100</v>
      </c>
      <c r="AG113" s="47">
        <f t="shared" si="337"/>
        <v>912100</v>
      </c>
      <c r="AH113" s="46">
        <f t="shared" si="338"/>
        <v>912100</v>
      </c>
      <c r="AI113" s="46">
        <f t="shared" si="338"/>
        <v>912100</v>
      </c>
      <c r="AJ113" s="46">
        <f t="shared" si="338"/>
        <v>912100</v>
      </c>
      <c r="AK113" s="46">
        <f t="shared" si="338"/>
        <v>912100</v>
      </c>
      <c r="AL113" s="46">
        <f t="shared" si="338"/>
        <v>912100</v>
      </c>
      <c r="AM113" s="46">
        <f t="shared" si="338"/>
        <v>912100</v>
      </c>
      <c r="AN113" s="46">
        <f t="shared" si="338"/>
        <v>912100</v>
      </c>
      <c r="AO113" s="46">
        <f t="shared" si="338"/>
        <v>912100</v>
      </c>
      <c r="AP113" s="48">
        <f>AC113</f>
        <v>912100</v>
      </c>
      <c r="AQ113" s="688">
        <f t="shared" si="339"/>
        <v>912100</v>
      </c>
      <c r="AR113" s="688">
        <f t="shared" si="339"/>
        <v>912100</v>
      </c>
      <c r="AS113" s="697">
        <f t="shared" si="340"/>
        <v>912100</v>
      </c>
      <c r="AT113" s="688">
        <f t="shared" si="339"/>
        <v>912100</v>
      </c>
      <c r="AU113" s="688">
        <f t="shared" si="339"/>
        <v>912100</v>
      </c>
      <c r="AV113" s="688">
        <f t="shared" si="339"/>
        <v>912100</v>
      </c>
      <c r="AW113" s="688">
        <f t="shared" si="339"/>
        <v>912100</v>
      </c>
      <c r="AX113" s="688">
        <f t="shared" si="339"/>
        <v>912100</v>
      </c>
      <c r="AY113" s="688">
        <f t="shared" si="339"/>
        <v>912100</v>
      </c>
      <c r="AZ113" s="688">
        <f t="shared" si="339"/>
        <v>912100</v>
      </c>
      <c r="BA113" s="688">
        <f t="shared" si="339"/>
        <v>912100</v>
      </c>
      <c r="BB113" s="48">
        <f t="shared" si="339"/>
        <v>912100</v>
      </c>
      <c r="BC113" s="10" t="str">
        <f t="shared" si="341"/>
        <v>인프라운영그룹수석(CL4)</v>
      </c>
      <c r="BD113" s="10" t="str">
        <f t="shared" si="342"/>
        <v>인프라운영그룹CL4(수석)</v>
      </c>
      <c r="BG113" s="540"/>
      <c r="BH113" s="540"/>
    </row>
    <row r="114" spans="1:60">
      <c r="A114" s="526" t="str">
        <f t="shared" si="334"/>
        <v>인프라운영그룹CL3(책임-수석보)</v>
      </c>
      <c r="B114" s="1216" t="str">
        <f>+B113</f>
        <v>인프라운영그룹</v>
      </c>
      <c r="C114" s="527" t="s">
        <v>247</v>
      </c>
      <c r="D114" s="18" t="s">
        <v>105</v>
      </c>
      <c r="E114" s="17" t="s">
        <v>455</v>
      </c>
      <c r="F114" s="18" t="s">
        <v>459</v>
      </c>
      <c r="G114" s="45">
        <v>700205</v>
      </c>
      <c r="H114" s="46">
        <v>700205</v>
      </c>
      <c r="I114" s="47">
        <v>789028</v>
      </c>
      <c r="J114" s="46">
        <f t="shared" ref="J114:U114" si="345">I114</f>
        <v>789028</v>
      </c>
      <c r="K114" s="46">
        <f t="shared" si="345"/>
        <v>789028</v>
      </c>
      <c r="L114" s="46">
        <f t="shared" si="345"/>
        <v>789028</v>
      </c>
      <c r="M114" s="46">
        <f t="shared" si="345"/>
        <v>789028</v>
      </c>
      <c r="N114" s="46">
        <f t="shared" si="345"/>
        <v>789028</v>
      </c>
      <c r="O114" s="46">
        <f t="shared" si="345"/>
        <v>789028</v>
      </c>
      <c r="P114" s="46">
        <f t="shared" si="345"/>
        <v>789028</v>
      </c>
      <c r="Q114" s="46">
        <f t="shared" si="345"/>
        <v>789028</v>
      </c>
      <c r="R114" s="48">
        <v>791746</v>
      </c>
      <c r="S114" s="45">
        <f t="shared" si="345"/>
        <v>791746</v>
      </c>
      <c r="T114" s="46">
        <f t="shared" si="345"/>
        <v>791746</v>
      </c>
      <c r="U114" s="1211">
        <f t="shared" si="345"/>
        <v>791746</v>
      </c>
      <c r="V114" s="47">
        <v>773783</v>
      </c>
      <c r="W114" s="46">
        <f t="shared" ref="W114:AE114" si="346">V114</f>
        <v>773783</v>
      </c>
      <c r="X114" s="46">
        <f t="shared" si="346"/>
        <v>773783</v>
      </c>
      <c r="Y114" s="46">
        <f t="shared" si="346"/>
        <v>773783</v>
      </c>
      <c r="Z114" s="46">
        <f t="shared" si="346"/>
        <v>773783</v>
      </c>
      <c r="AA114" s="46">
        <f t="shared" si="346"/>
        <v>773783</v>
      </c>
      <c r="AB114" s="46">
        <f t="shared" si="346"/>
        <v>773783</v>
      </c>
      <c r="AC114" s="46">
        <f t="shared" si="346"/>
        <v>773783</v>
      </c>
      <c r="AD114" s="48">
        <f t="shared" si="346"/>
        <v>773783</v>
      </c>
      <c r="AE114" s="45">
        <f t="shared" si="346"/>
        <v>773783</v>
      </c>
      <c r="AF114" s="46">
        <f t="shared" si="337"/>
        <v>773783</v>
      </c>
      <c r="AG114" s="47">
        <f t="shared" si="337"/>
        <v>773783</v>
      </c>
      <c r="AH114" s="46">
        <f t="shared" si="338"/>
        <v>773783</v>
      </c>
      <c r="AI114" s="46">
        <f t="shared" si="338"/>
        <v>773783</v>
      </c>
      <c r="AJ114" s="46">
        <f t="shared" si="338"/>
        <v>773783</v>
      </c>
      <c r="AK114" s="46">
        <f t="shared" si="338"/>
        <v>773783</v>
      </c>
      <c r="AL114" s="46">
        <f t="shared" si="338"/>
        <v>773783</v>
      </c>
      <c r="AM114" s="46">
        <f t="shared" si="338"/>
        <v>773783</v>
      </c>
      <c r="AN114" s="46">
        <f t="shared" si="338"/>
        <v>773783</v>
      </c>
      <c r="AO114" s="46">
        <f t="shared" si="338"/>
        <v>773783</v>
      </c>
      <c r="AP114" s="48">
        <f>AC114</f>
        <v>773783</v>
      </c>
      <c r="AQ114" s="688">
        <f t="shared" si="339"/>
        <v>773783</v>
      </c>
      <c r="AR114" s="688">
        <f t="shared" si="339"/>
        <v>773783</v>
      </c>
      <c r="AS114" s="697">
        <f t="shared" si="340"/>
        <v>773783</v>
      </c>
      <c r="AT114" s="688">
        <f t="shared" si="339"/>
        <v>773783</v>
      </c>
      <c r="AU114" s="688">
        <f t="shared" si="339"/>
        <v>773783</v>
      </c>
      <c r="AV114" s="688">
        <f t="shared" si="339"/>
        <v>773783</v>
      </c>
      <c r="AW114" s="688">
        <f t="shared" si="339"/>
        <v>773783</v>
      </c>
      <c r="AX114" s="688">
        <f t="shared" si="339"/>
        <v>773783</v>
      </c>
      <c r="AY114" s="688">
        <f t="shared" si="339"/>
        <v>773783</v>
      </c>
      <c r="AZ114" s="688">
        <f t="shared" si="339"/>
        <v>773783</v>
      </c>
      <c r="BA114" s="688">
        <f t="shared" si="339"/>
        <v>773783</v>
      </c>
      <c r="BB114" s="48">
        <f t="shared" si="339"/>
        <v>773783</v>
      </c>
      <c r="BC114" s="10" t="str">
        <f t="shared" si="341"/>
        <v>인프라운영그룹수석보(CL3)</v>
      </c>
      <c r="BD114" s="10" t="str">
        <f t="shared" si="342"/>
        <v>인프라운영그룹CL3(책임-수석보)</v>
      </c>
      <c r="BG114" s="540"/>
      <c r="BH114" s="540"/>
    </row>
    <row r="115" spans="1:60">
      <c r="A115" s="526" t="str">
        <f t="shared" si="334"/>
        <v>인프라운영그룹CL2(사원-선임)</v>
      </c>
      <c r="B115" s="1216" t="str">
        <f>+B114</f>
        <v>인프라운영그룹</v>
      </c>
      <c r="C115" s="527" t="s">
        <v>248</v>
      </c>
      <c r="D115" s="18" t="s">
        <v>102</v>
      </c>
      <c r="E115" s="17" t="s">
        <v>457</v>
      </c>
      <c r="F115" s="18" t="s">
        <v>461</v>
      </c>
      <c r="G115" s="45">
        <v>572246</v>
      </c>
      <c r="H115" s="46">
        <v>572246</v>
      </c>
      <c r="I115" s="47">
        <v>659992</v>
      </c>
      <c r="J115" s="46">
        <f t="shared" ref="J115:U115" si="347">I115</f>
        <v>659992</v>
      </c>
      <c r="K115" s="46">
        <f t="shared" si="347"/>
        <v>659992</v>
      </c>
      <c r="L115" s="46">
        <f t="shared" si="347"/>
        <v>659992</v>
      </c>
      <c r="M115" s="46">
        <f t="shared" si="347"/>
        <v>659992</v>
      </c>
      <c r="N115" s="46">
        <f t="shared" si="347"/>
        <v>659992</v>
      </c>
      <c r="O115" s="46">
        <f t="shared" si="347"/>
        <v>659992</v>
      </c>
      <c r="P115" s="46">
        <f t="shared" si="347"/>
        <v>659992</v>
      </c>
      <c r="Q115" s="46">
        <f t="shared" si="347"/>
        <v>659992</v>
      </c>
      <c r="R115" s="48">
        <v>618948</v>
      </c>
      <c r="S115" s="45">
        <f t="shared" si="347"/>
        <v>618948</v>
      </c>
      <c r="T115" s="46">
        <f t="shared" si="347"/>
        <v>618948</v>
      </c>
      <c r="U115" s="1211">
        <f t="shared" si="347"/>
        <v>618948</v>
      </c>
      <c r="V115" s="47">
        <v>728101</v>
      </c>
      <c r="W115" s="46">
        <f t="shared" ref="W115:AE115" si="348">V115</f>
        <v>728101</v>
      </c>
      <c r="X115" s="46">
        <f t="shared" si="348"/>
        <v>728101</v>
      </c>
      <c r="Y115" s="46">
        <f t="shared" si="348"/>
        <v>728101</v>
      </c>
      <c r="Z115" s="46">
        <f t="shared" si="348"/>
        <v>728101</v>
      </c>
      <c r="AA115" s="46">
        <f t="shared" si="348"/>
        <v>728101</v>
      </c>
      <c r="AB115" s="46">
        <f t="shared" si="348"/>
        <v>728101</v>
      </c>
      <c r="AC115" s="46">
        <f t="shared" si="348"/>
        <v>728101</v>
      </c>
      <c r="AD115" s="48">
        <f t="shared" si="348"/>
        <v>728101</v>
      </c>
      <c r="AE115" s="45">
        <f t="shared" si="348"/>
        <v>728101</v>
      </c>
      <c r="AF115" s="46">
        <f t="shared" si="337"/>
        <v>728101</v>
      </c>
      <c r="AG115" s="47">
        <f t="shared" si="337"/>
        <v>728101</v>
      </c>
      <c r="AH115" s="46">
        <f t="shared" si="338"/>
        <v>728101</v>
      </c>
      <c r="AI115" s="46">
        <f t="shared" si="338"/>
        <v>728101</v>
      </c>
      <c r="AJ115" s="46">
        <f t="shared" si="338"/>
        <v>728101</v>
      </c>
      <c r="AK115" s="46">
        <f t="shared" si="338"/>
        <v>728101</v>
      </c>
      <c r="AL115" s="46">
        <f t="shared" si="338"/>
        <v>728101</v>
      </c>
      <c r="AM115" s="46">
        <f t="shared" si="338"/>
        <v>728101</v>
      </c>
      <c r="AN115" s="46">
        <f t="shared" si="338"/>
        <v>728101</v>
      </c>
      <c r="AO115" s="46">
        <f t="shared" si="338"/>
        <v>728101</v>
      </c>
      <c r="AP115" s="48">
        <f>AC115</f>
        <v>728101</v>
      </c>
      <c r="AQ115" s="688">
        <f t="shared" si="339"/>
        <v>728101</v>
      </c>
      <c r="AR115" s="688">
        <f t="shared" si="339"/>
        <v>728101</v>
      </c>
      <c r="AS115" s="697">
        <f t="shared" si="340"/>
        <v>728101</v>
      </c>
      <c r="AT115" s="688">
        <f t="shared" si="339"/>
        <v>728101</v>
      </c>
      <c r="AU115" s="688">
        <f t="shared" si="339"/>
        <v>728101</v>
      </c>
      <c r="AV115" s="688">
        <f t="shared" si="339"/>
        <v>728101</v>
      </c>
      <c r="AW115" s="688">
        <f t="shared" si="339"/>
        <v>728101</v>
      </c>
      <c r="AX115" s="688">
        <f t="shared" si="339"/>
        <v>728101</v>
      </c>
      <c r="AY115" s="688">
        <f t="shared" si="339"/>
        <v>728101</v>
      </c>
      <c r="AZ115" s="688">
        <f t="shared" si="339"/>
        <v>728101</v>
      </c>
      <c r="BA115" s="688">
        <f t="shared" si="339"/>
        <v>728101</v>
      </c>
      <c r="BB115" s="48">
        <f t="shared" si="339"/>
        <v>728101</v>
      </c>
      <c r="BC115" s="10" t="str">
        <f t="shared" si="341"/>
        <v>인프라운영그룹책임(CL3)</v>
      </c>
      <c r="BD115" s="10" t="str">
        <f t="shared" si="342"/>
        <v>인프라운영그룹CL2(사원-선임)</v>
      </c>
      <c r="BG115" s="540"/>
      <c r="BH115" s="540"/>
    </row>
    <row r="116" spans="1:60">
      <c r="A116" s="526" t="str">
        <f t="shared" si="334"/>
        <v>인프라운영그룹</v>
      </c>
      <c r="B116" s="1216" t="str">
        <f>+B115</f>
        <v>인프라운영그룹</v>
      </c>
      <c r="C116" s="527" t="s">
        <v>249</v>
      </c>
      <c r="D116" s="18" t="s">
        <v>103</v>
      </c>
      <c r="E116" s="17"/>
      <c r="F116" s="18"/>
      <c r="G116" s="45"/>
      <c r="H116" s="46"/>
      <c r="I116" s="47"/>
      <c r="J116" s="46"/>
      <c r="K116" s="46"/>
      <c r="L116" s="46"/>
      <c r="M116" s="46"/>
      <c r="N116" s="46"/>
      <c r="O116" s="46"/>
      <c r="P116" s="46"/>
      <c r="Q116" s="46"/>
      <c r="R116" s="48"/>
      <c r="S116" s="45"/>
      <c r="T116" s="46"/>
      <c r="U116" s="1211"/>
      <c r="V116" s="47"/>
      <c r="W116" s="46"/>
      <c r="X116" s="46"/>
      <c r="Y116" s="46"/>
      <c r="Z116" s="46"/>
      <c r="AA116" s="46"/>
      <c r="AB116" s="46"/>
      <c r="AC116" s="46"/>
      <c r="AD116" s="48"/>
      <c r="AE116" s="45"/>
      <c r="AF116" s="46"/>
      <c r="AG116" s="47"/>
      <c r="AH116" s="46"/>
      <c r="AI116" s="46"/>
      <c r="AJ116" s="46"/>
      <c r="AK116" s="46"/>
      <c r="AL116" s="46"/>
      <c r="AM116" s="46"/>
      <c r="AN116" s="46"/>
      <c r="AO116" s="46"/>
      <c r="AP116" s="48"/>
      <c r="AQ116" s="688">
        <f t="shared" si="339"/>
        <v>0</v>
      </c>
      <c r="AR116" s="688">
        <f t="shared" si="339"/>
        <v>0</v>
      </c>
      <c r="AS116" s="697"/>
      <c r="AT116" s="688">
        <f t="shared" si="339"/>
        <v>0</v>
      </c>
      <c r="AU116" s="688">
        <f t="shared" si="339"/>
        <v>0</v>
      </c>
      <c r="AV116" s="688">
        <f t="shared" si="339"/>
        <v>0</v>
      </c>
      <c r="AW116" s="688">
        <f t="shared" si="339"/>
        <v>0</v>
      </c>
      <c r="AX116" s="688">
        <f t="shared" si="339"/>
        <v>0</v>
      </c>
      <c r="AY116" s="688">
        <f t="shared" si="339"/>
        <v>0</v>
      </c>
      <c r="AZ116" s="688">
        <f t="shared" si="339"/>
        <v>0</v>
      </c>
      <c r="BA116" s="688">
        <f t="shared" si="339"/>
        <v>0</v>
      </c>
      <c r="BB116" s="48">
        <f t="shared" si="339"/>
        <v>0</v>
      </c>
      <c r="BC116" s="10" t="str">
        <f t="shared" si="341"/>
        <v>인프라운영그룹선임(CL2)</v>
      </c>
      <c r="BD116" s="10" t="str">
        <f t="shared" si="342"/>
        <v>인프라운영그룹</v>
      </c>
      <c r="BG116" s="540"/>
      <c r="BH116" s="540"/>
    </row>
    <row r="117" spans="1:60">
      <c r="A117" s="528" t="str">
        <f t="shared" si="334"/>
        <v>인프라운영그룹</v>
      </c>
      <c r="B117" s="1217" t="str">
        <f>+B116</f>
        <v>인프라운영그룹</v>
      </c>
      <c r="C117" s="529" t="s">
        <v>250</v>
      </c>
      <c r="D117" s="20" t="s">
        <v>104</v>
      </c>
      <c r="E117" s="19"/>
      <c r="F117" s="20"/>
      <c r="G117" s="49"/>
      <c r="H117" s="50"/>
      <c r="I117" s="51"/>
      <c r="J117" s="50"/>
      <c r="K117" s="50"/>
      <c r="L117" s="50"/>
      <c r="M117" s="50"/>
      <c r="N117" s="50"/>
      <c r="O117" s="50"/>
      <c r="P117" s="50"/>
      <c r="Q117" s="50"/>
      <c r="R117" s="52"/>
      <c r="S117" s="49"/>
      <c r="T117" s="50"/>
      <c r="U117" s="1212"/>
      <c r="V117" s="51"/>
      <c r="W117" s="50"/>
      <c r="X117" s="50"/>
      <c r="Y117" s="50"/>
      <c r="Z117" s="50"/>
      <c r="AA117" s="50"/>
      <c r="AB117" s="50"/>
      <c r="AC117" s="50"/>
      <c r="AD117" s="52"/>
      <c r="AE117" s="49"/>
      <c r="AF117" s="50"/>
      <c r="AG117" s="51"/>
      <c r="AH117" s="50"/>
      <c r="AI117" s="50"/>
      <c r="AJ117" s="50"/>
      <c r="AK117" s="50"/>
      <c r="AL117" s="50"/>
      <c r="AM117" s="50"/>
      <c r="AN117" s="50"/>
      <c r="AO117" s="50"/>
      <c r="AP117" s="52"/>
      <c r="AQ117" s="689">
        <f t="shared" si="339"/>
        <v>0</v>
      </c>
      <c r="AR117" s="689">
        <f t="shared" si="339"/>
        <v>0</v>
      </c>
      <c r="AS117" s="698"/>
      <c r="AT117" s="689">
        <f t="shared" si="339"/>
        <v>0</v>
      </c>
      <c r="AU117" s="689">
        <f t="shared" si="339"/>
        <v>0</v>
      </c>
      <c r="AV117" s="689">
        <f t="shared" si="339"/>
        <v>0</v>
      </c>
      <c r="AW117" s="689">
        <f t="shared" si="339"/>
        <v>0</v>
      </c>
      <c r="AX117" s="689">
        <f t="shared" si="339"/>
        <v>0</v>
      </c>
      <c r="AY117" s="689">
        <f t="shared" si="339"/>
        <v>0</v>
      </c>
      <c r="AZ117" s="689">
        <f t="shared" si="339"/>
        <v>0</v>
      </c>
      <c r="BA117" s="689">
        <f t="shared" si="339"/>
        <v>0</v>
      </c>
      <c r="BB117" s="52">
        <f t="shared" si="339"/>
        <v>0</v>
      </c>
      <c r="BC117" s="10" t="str">
        <f t="shared" si="341"/>
        <v>인프라운영그룹사원(CL1-CL2)</v>
      </c>
      <c r="BD117" s="10" t="str">
        <f t="shared" si="342"/>
        <v>인프라운영그룹</v>
      </c>
      <c r="BG117" s="540"/>
      <c r="BH117" s="540"/>
    </row>
    <row r="118" spans="1:60">
      <c r="A118" s="526" t="str">
        <f t="shared" ref="A118:A123" si="349">+B118&amp;E118</f>
        <v>ERP실행그룹이사</v>
      </c>
      <c r="B118" s="1213" t="s">
        <v>670</v>
      </c>
      <c r="C118" s="16" t="s">
        <v>12</v>
      </c>
      <c r="D118" s="15" t="s">
        <v>105</v>
      </c>
      <c r="E118" s="16" t="s">
        <v>12</v>
      </c>
      <c r="F118" s="15" t="s">
        <v>82</v>
      </c>
      <c r="G118" s="41">
        <v>825430</v>
      </c>
      <c r="H118" s="42">
        <v>825430</v>
      </c>
      <c r="I118" s="43">
        <v>993411</v>
      </c>
      <c r="J118" s="42">
        <f t="shared" ref="J118:U118" si="350">I118</f>
        <v>993411</v>
      </c>
      <c r="K118" s="42">
        <f t="shared" si="350"/>
        <v>993411</v>
      </c>
      <c r="L118" s="42">
        <f t="shared" si="350"/>
        <v>993411</v>
      </c>
      <c r="M118" s="42">
        <f t="shared" si="350"/>
        <v>993411</v>
      </c>
      <c r="N118" s="42">
        <f t="shared" si="350"/>
        <v>993411</v>
      </c>
      <c r="O118" s="42">
        <f t="shared" si="350"/>
        <v>993411</v>
      </c>
      <c r="P118" s="42">
        <f t="shared" si="350"/>
        <v>993411</v>
      </c>
      <c r="Q118" s="42">
        <f t="shared" si="350"/>
        <v>993411</v>
      </c>
      <c r="R118" s="44">
        <v>1004501</v>
      </c>
      <c r="S118" s="41">
        <f t="shared" si="350"/>
        <v>1004501</v>
      </c>
      <c r="T118" s="42">
        <f t="shared" si="350"/>
        <v>1004501</v>
      </c>
      <c r="U118" s="1210">
        <f t="shared" si="350"/>
        <v>1004501</v>
      </c>
      <c r="V118" s="43"/>
      <c r="W118" s="42">
        <f t="shared" ref="W118:AE118" si="351">V118</f>
        <v>0</v>
      </c>
      <c r="X118" s="42">
        <f t="shared" si="351"/>
        <v>0</v>
      </c>
      <c r="Y118" s="42">
        <f t="shared" si="351"/>
        <v>0</v>
      </c>
      <c r="Z118" s="42">
        <f t="shared" si="351"/>
        <v>0</v>
      </c>
      <c r="AA118" s="42">
        <f t="shared" si="351"/>
        <v>0</v>
      </c>
      <c r="AB118" s="42">
        <f t="shared" si="351"/>
        <v>0</v>
      </c>
      <c r="AC118" s="42">
        <f t="shared" si="351"/>
        <v>0</v>
      </c>
      <c r="AD118" s="44">
        <f t="shared" si="351"/>
        <v>0</v>
      </c>
      <c r="AE118" s="41">
        <f t="shared" si="351"/>
        <v>0</v>
      </c>
      <c r="AF118" s="42">
        <f t="shared" ref="AF118:AG121" si="352">AE118</f>
        <v>0</v>
      </c>
      <c r="AG118" s="43">
        <f t="shared" si="352"/>
        <v>0</v>
      </c>
      <c r="AH118" s="42">
        <f t="shared" ref="AH118:AO121" si="353">AG118</f>
        <v>0</v>
      </c>
      <c r="AI118" s="42">
        <f t="shared" si="353"/>
        <v>0</v>
      </c>
      <c r="AJ118" s="42">
        <f t="shared" si="353"/>
        <v>0</v>
      </c>
      <c r="AK118" s="42">
        <f t="shared" si="353"/>
        <v>0</v>
      </c>
      <c r="AL118" s="42">
        <f t="shared" si="353"/>
        <v>0</v>
      </c>
      <c r="AM118" s="42">
        <f t="shared" si="353"/>
        <v>0</v>
      </c>
      <c r="AN118" s="42">
        <f t="shared" si="353"/>
        <v>0</v>
      </c>
      <c r="AO118" s="42">
        <f t="shared" si="353"/>
        <v>0</v>
      </c>
      <c r="AP118" s="44">
        <f>AC118</f>
        <v>0</v>
      </c>
      <c r="AQ118" s="687">
        <f t="shared" ref="AQ118:BB118" si="354">+AP118</f>
        <v>0</v>
      </c>
      <c r="AR118" s="687">
        <f t="shared" si="354"/>
        <v>0</v>
      </c>
      <c r="AS118" s="696">
        <f t="shared" ref="AS118:AS121" si="355">AR118</f>
        <v>0</v>
      </c>
      <c r="AT118" s="687">
        <f t="shared" si="354"/>
        <v>0</v>
      </c>
      <c r="AU118" s="687">
        <f t="shared" si="354"/>
        <v>0</v>
      </c>
      <c r="AV118" s="687">
        <f t="shared" si="354"/>
        <v>0</v>
      </c>
      <c r="AW118" s="687">
        <f t="shared" si="354"/>
        <v>0</v>
      </c>
      <c r="AX118" s="687">
        <f t="shared" si="354"/>
        <v>0</v>
      </c>
      <c r="AY118" s="687">
        <f t="shared" si="354"/>
        <v>0</v>
      </c>
      <c r="AZ118" s="687">
        <f t="shared" si="354"/>
        <v>0</v>
      </c>
      <c r="BA118" s="687">
        <f t="shared" si="354"/>
        <v>0</v>
      </c>
      <c r="BB118" s="44">
        <f t="shared" si="354"/>
        <v>0</v>
      </c>
      <c r="BC118" s="10" t="str">
        <f t="shared" ref="BC118:BC123" si="356">B118&amp;C118</f>
        <v>ERP실행그룹이사</v>
      </c>
      <c r="BD118" s="10" t="str">
        <f>B118&amp;E118</f>
        <v>ERP실행그룹이사</v>
      </c>
      <c r="BG118" s="540"/>
      <c r="BH118" s="540"/>
    </row>
    <row r="119" spans="1:60">
      <c r="A119" s="526" t="str">
        <f t="shared" si="349"/>
        <v>ERP실행그룹CL4(수석)</v>
      </c>
      <c r="B119" s="1213" t="str">
        <f>+B118</f>
        <v>ERP실행그룹</v>
      </c>
      <c r="C119" s="17" t="s">
        <v>246</v>
      </c>
      <c r="D119" s="18" t="s">
        <v>110</v>
      </c>
      <c r="E119" s="17" t="s">
        <v>445</v>
      </c>
      <c r="F119" s="18" t="s">
        <v>82</v>
      </c>
      <c r="G119" s="45">
        <v>872882</v>
      </c>
      <c r="H119" s="46">
        <v>872882</v>
      </c>
      <c r="I119" s="47">
        <v>993411</v>
      </c>
      <c r="J119" s="46">
        <f t="shared" ref="J119:U119" si="357">I119</f>
        <v>993411</v>
      </c>
      <c r="K119" s="46">
        <f t="shared" si="357"/>
        <v>993411</v>
      </c>
      <c r="L119" s="46">
        <f t="shared" si="357"/>
        <v>993411</v>
      </c>
      <c r="M119" s="46">
        <f t="shared" si="357"/>
        <v>993411</v>
      </c>
      <c r="N119" s="46">
        <f t="shared" si="357"/>
        <v>993411</v>
      </c>
      <c r="O119" s="46">
        <f t="shared" si="357"/>
        <v>993411</v>
      </c>
      <c r="P119" s="46">
        <f t="shared" si="357"/>
        <v>993411</v>
      </c>
      <c r="Q119" s="46">
        <f t="shared" si="357"/>
        <v>993411</v>
      </c>
      <c r="R119" s="48">
        <f t="shared" si="357"/>
        <v>993411</v>
      </c>
      <c r="S119" s="45">
        <f t="shared" si="357"/>
        <v>993411</v>
      </c>
      <c r="T119" s="46">
        <f t="shared" si="357"/>
        <v>993411</v>
      </c>
      <c r="U119" s="1211">
        <f t="shared" si="357"/>
        <v>993411</v>
      </c>
      <c r="V119" s="47"/>
      <c r="W119" s="46">
        <f t="shared" ref="W119:AE119" si="358">V119</f>
        <v>0</v>
      </c>
      <c r="X119" s="46">
        <f t="shared" si="358"/>
        <v>0</v>
      </c>
      <c r="Y119" s="46">
        <f t="shared" si="358"/>
        <v>0</v>
      </c>
      <c r="Z119" s="46">
        <f t="shared" si="358"/>
        <v>0</v>
      </c>
      <c r="AA119" s="46">
        <f t="shared" si="358"/>
        <v>0</v>
      </c>
      <c r="AB119" s="46">
        <f t="shared" si="358"/>
        <v>0</v>
      </c>
      <c r="AC119" s="46">
        <f t="shared" si="358"/>
        <v>0</v>
      </c>
      <c r="AD119" s="48">
        <f t="shared" si="358"/>
        <v>0</v>
      </c>
      <c r="AE119" s="45">
        <f t="shared" si="358"/>
        <v>0</v>
      </c>
      <c r="AF119" s="46">
        <f t="shared" si="352"/>
        <v>0</v>
      </c>
      <c r="AG119" s="47">
        <f t="shared" si="352"/>
        <v>0</v>
      </c>
      <c r="AH119" s="46">
        <f t="shared" si="353"/>
        <v>0</v>
      </c>
      <c r="AI119" s="46">
        <f t="shared" si="353"/>
        <v>0</v>
      </c>
      <c r="AJ119" s="46">
        <f t="shared" si="353"/>
        <v>0</v>
      </c>
      <c r="AK119" s="46">
        <f t="shared" si="353"/>
        <v>0</v>
      </c>
      <c r="AL119" s="46">
        <f t="shared" si="353"/>
        <v>0</v>
      </c>
      <c r="AM119" s="46">
        <f t="shared" si="353"/>
        <v>0</v>
      </c>
      <c r="AN119" s="46">
        <f t="shared" si="353"/>
        <v>0</v>
      </c>
      <c r="AO119" s="46">
        <f t="shared" si="353"/>
        <v>0</v>
      </c>
      <c r="AP119" s="48">
        <f>AC119</f>
        <v>0</v>
      </c>
      <c r="AQ119" s="688">
        <f t="shared" ref="AQ119:BB119" si="359">+AP119</f>
        <v>0</v>
      </c>
      <c r="AR119" s="688">
        <f t="shared" si="359"/>
        <v>0</v>
      </c>
      <c r="AS119" s="697">
        <f t="shared" si="355"/>
        <v>0</v>
      </c>
      <c r="AT119" s="688">
        <f t="shared" si="359"/>
        <v>0</v>
      </c>
      <c r="AU119" s="688">
        <f t="shared" si="359"/>
        <v>0</v>
      </c>
      <c r="AV119" s="688">
        <f t="shared" si="359"/>
        <v>0</v>
      </c>
      <c r="AW119" s="688">
        <f t="shared" si="359"/>
        <v>0</v>
      </c>
      <c r="AX119" s="688">
        <f t="shared" si="359"/>
        <v>0</v>
      </c>
      <c r="AY119" s="688">
        <f t="shared" si="359"/>
        <v>0</v>
      </c>
      <c r="AZ119" s="688">
        <f t="shared" si="359"/>
        <v>0</v>
      </c>
      <c r="BA119" s="688">
        <f t="shared" si="359"/>
        <v>0</v>
      </c>
      <c r="BB119" s="48">
        <f t="shared" si="359"/>
        <v>0</v>
      </c>
      <c r="BC119" s="10" t="str">
        <f t="shared" si="356"/>
        <v>ERP실행그룹수석(CL4)</v>
      </c>
      <c r="BD119" s="10" t="str">
        <f>B119&amp;E119</f>
        <v>ERP실행그룹CL4(수석)</v>
      </c>
      <c r="BG119" s="540"/>
      <c r="BH119" s="540"/>
    </row>
    <row r="120" spans="1:60">
      <c r="A120" s="526" t="str">
        <f t="shared" si="349"/>
        <v>ERP실행그룹CL3(책임-수석보)</v>
      </c>
      <c r="B120" s="1213" t="str">
        <f>+B119</f>
        <v>ERP실행그룹</v>
      </c>
      <c r="C120" s="17" t="s">
        <v>247</v>
      </c>
      <c r="D120" s="18" t="s">
        <v>110</v>
      </c>
      <c r="E120" s="17" t="s">
        <v>455</v>
      </c>
      <c r="F120" s="18" t="s">
        <v>459</v>
      </c>
      <c r="G120" s="45">
        <v>732602</v>
      </c>
      <c r="H120" s="46">
        <v>732602</v>
      </c>
      <c r="I120" s="47">
        <v>826004</v>
      </c>
      <c r="J120" s="46">
        <f t="shared" ref="J120:U120" si="360">I120</f>
        <v>826004</v>
      </c>
      <c r="K120" s="46">
        <f t="shared" si="360"/>
        <v>826004</v>
      </c>
      <c r="L120" s="46">
        <f t="shared" si="360"/>
        <v>826004</v>
      </c>
      <c r="M120" s="46">
        <f t="shared" si="360"/>
        <v>826004</v>
      </c>
      <c r="N120" s="46">
        <f t="shared" si="360"/>
        <v>826004</v>
      </c>
      <c r="O120" s="46">
        <f t="shared" si="360"/>
        <v>826004</v>
      </c>
      <c r="P120" s="46">
        <f t="shared" si="360"/>
        <v>826004</v>
      </c>
      <c r="Q120" s="46">
        <f t="shared" si="360"/>
        <v>826004</v>
      </c>
      <c r="R120" s="48">
        <f t="shared" si="360"/>
        <v>826004</v>
      </c>
      <c r="S120" s="45">
        <f t="shared" si="360"/>
        <v>826004</v>
      </c>
      <c r="T120" s="46">
        <f t="shared" si="360"/>
        <v>826004</v>
      </c>
      <c r="U120" s="1211">
        <f t="shared" si="360"/>
        <v>826004</v>
      </c>
      <c r="V120" s="47"/>
      <c r="W120" s="46">
        <f t="shared" ref="W120:AE120" si="361">V120</f>
        <v>0</v>
      </c>
      <c r="X120" s="46">
        <f t="shared" si="361"/>
        <v>0</v>
      </c>
      <c r="Y120" s="46">
        <f t="shared" si="361"/>
        <v>0</v>
      </c>
      <c r="Z120" s="46">
        <f t="shared" si="361"/>
        <v>0</v>
      </c>
      <c r="AA120" s="46">
        <f t="shared" si="361"/>
        <v>0</v>
      </c>
      <c r="AB120" s="46">
        <f t="shared" si="361"/>
        <v>0</v>
      </c>
      <c r="AC120" s="46">
        <f t="shared" si="361"/>
        <v>0</v>
      </c>
      <c r="AD120" s="48">
        <f t="shared" si="361"/>
        <v>0</v>
      </c>
      <c r="AE120" s="45">
        <f t="shared" si="361"/>
        <v>0</v>
      </c>
      <c r="AF120" s="46">
        <f t="shared" si="352"/>
        <v>0</v>
      </c>
      <c r="AG120" s="47">
        <f t="shared" si="352"/>
        <v>0</v>
      </c>
      <c r="AH120" s="46">
        <f t="shared" si="353"/>
        <v>0</v>
      </c>
      <c r="AI120" s="46">
        <f t="shared" si="353"/>
        <v>0</v>
      </c>
      <c r="AJ120" s="46">
        <f t="shared" si="353"/>
        <v>0</v>
      </c>
      <c r="AK120" s="46">
        <f t="shared" si="353"/>
        <v>0</v>
      </c>
      <c r="AL120" s="46">
        <f t="shared" si="353"/>
        <v>0</v>
      </c>
      <c r="AM120" s="46">
        <f t="shared" si="353"/>
        <v>0</v>
      </c>
      <c r="AN120" s="46">
        <f t="shared" si="353"/>
        <v>0</v>
      </c>
      <c r="AO120" s="46">
        <f t="shared" si="353"/>
        <v>0</v>
      </c>
      <c r="AP120" s="48">
        <f>AC120</f>
        <v>0</v>
      </c>
      <c r="AQ120" s="688">
        <f t="shared" ref="AQ120:BB120" si="362">+AP120</f>
        <v>0</v>
      </c>
      <c r="AR120" s="688">
        <f t="shared" si="362"/>
        <v>0</v>
      </c>
      <c r="AS120" s="697">
        <f t="shared" si="355"/>
        <v>0</v>
      </c>
      <c r="AT120" s="688">
        <f t="shared" si="362"/>
        <v>0</v>
      </c>
      <c r="AU120" s="688">
        <f t="shared" si="362"/>
        <v>0</v>
      </c>
      <c r="AV120" s="688">
        <f t="shared" si="362"/>
        <v>0</v>
      </c>
      <c r="AW120" s="688">
        <f t="shared" si="362"/>
        <v>0</v>
      </c>
      <c r="AX120" s="688">
        <f t="shared" si="362"/>
        <v>0</v>
      </c>
      <c r="AY120" s="688">
        <f t="shared" si="362"/>
        <v>0</v>
      </c>
      <c r="AZ120" s="688">
        <f t="shared" si="362"/>
        <v>0</v>
      </c>
      <c r="BA120" s="688">
        <f t="shared" si="362"/>
        <v>0</v>
      </c>
      <c r="BB120" s="48">
        <f t="shared" si="362"/>
        <v>0</v>
      </c>
      <c r="BC120" s="10" t="str">
        <f t="shared" si="356"/>
        <v>ERP실행그룹수석보(CL3)</v>
      </c>
      <c r="BD120" s="10" t="str">
        <f>B120&amp;E120</f>
        <v>ERP실행그룹CL3(책임-수석보)</v>
      </c>
      <c r="BG120" s="540"/>
      <c r="BH120" s="540"/>
    </row>
    <row r="121" spans="1:60">
      <c r="A121" s="526" t="str">
        <f t="shared" si="349"/>
        <v>ERP실행그룹CL2(사원-선임)</v>
      </c>
      <c r="B121" s="1213" t="str">
        <f>+B120</f>
        <v>ERP실행그룹</v>
      </c>
      <c r="C121" s="17" t="s">
        <v>248</v>
      </c>
      <c r="D121" s="18" t="s">
        <v>111</v>
      </c>
      <c r="E121" s="17" t="s">
        <v>457</v>
      </c>
      <c r="F121" s="18" t="s">
        <v>461</v>
      </c>
      <c r="G121" s="45">
        <v>471390</v>
      </c>
      <c r="H121" s="46">
        <v>471390</v>
      </c>
      <c r="I121" s="47">
        <v>557201</v>
      </c>
      <c r="J121" s="46">
        <f t="shared" ref="J121:U121" si="363">I121</f>
        <v>557201</v>
      </c>
      <c r="K121" s="46">
        <f t="shared" si="363"/>
        <v>557201</v>
      </c>
      <c r="L121" s="46">
        <f t="shared" si="363"/>
        <v>557201</v>
      </c>
      <c r="M121" s="46">
        <f t="shared" si="363"/>
        <v>557201</v>
      </c>
      <c r="N121" s="46">
        <f t="shared" si="363"/>
        <v>557201</v>
      </c>
      <c r="O121" s="46">
        <f t="shared" si="363"/>
        <v>557201</v>
      </c>
      <c r="P121" s="46">
        <f t="shared" si="363"/>
        <v>557201</v>
      </c>
      <c r="Q121" s="46">
        <f t="shared" si="363"/>
        <v>557201</v>
      </c>
      <c r="R121" s="48">
        <f t="shared" si="363"/>
        <v>557201</v>
      </c>
      <c r="S121" s="45">
        <f t="shared" si="363"/>
        <v>557201</v>
      </c>
      <c r="T121" s="46">
        <f t="shared" si="363"/>
        <v>557201</v>
      </c>
      <c r="U121" s="1211">
        <f t="shared" si="363"/>
        <v>557201</v>
      </c>
      <c r="V121" s="47"/>
      <c r="W121" s="46">
        <f t="shared" ref="W121:AE121" si="364">V121</f>
        <v>0</v>
      </c>
      <c r="X121" s="46">
        <f t="shared" si="364"/>
        <v>0</v>
      </c>
      <c r="Y121" s="46">
        <f t="shared" si="364"/>
        <v>0</v>
      </c>
      <c r="Z121" s="46">
        <f t="shared" si="364"/>
        <v>0</v>
      </c>
      <c r="AA121" s="46">
        <f t="shared" si="364"/>
        <v>0</v>
      </c>
      <c r="AB121" s="46">
        <f t="shared" si="364"/>
        <v>0</v>
      </c>
      <c r="AC121" s="46">
        <f t="shared" si="364"/>
        <v>0</v>
      </c>
      <c r="AD121" s="48">
        <f t="shared" si="364"/>
        <v>0</v>
      </c>
      <c r="AE121" s="45">
        <f t="shared" si="364"/>
        <v>0</v>
      </c>
      <c r="AF121" s="46">
        <f t="shared" si="352"/>
        <v>0</v>
      </c>
      <c r="AG121" s="47">
        <f t="shared" si="352"/>
        <v>0</v>
      </c>
      <c r="AH121" s="46">
        <f t="shared" si="353"/>
        <v>0</v>
      </c>
      <c r="AI121" s="46">
        <f t="shared" si="353"/>
        <v>0</v>
      </c>
      <c r="AJ121" s="46">
        <f t="shared" si="353"/>
        <v>0</v>
      </c>
      <c r="AK121" s="46">
        <f t="shared" si="353"/>
        <v>0</v>
      </c>
      <c r="AL121" s="46">
        <f t="shared" si="353"/>
        <v>0</v>
      </c>
      <c r="AM121" s="46">
        <f t="shared" si="353"/>
        <v>0</v>
      </c>
      <c r="AN121" s="46">
        <f t="shared" si="353"/>
        <v>0</v>
      </c>
      <c r="AO121" s="46">
        <f t="shared" si="353"/>
        <v>0</v>
      </c>
      <c r="AP121" s="48">
        <f>AC121</f>
        <v>0</v>
      </c>
      <c r="AQ121" s="688">
        <f t="shared" ref="AQ121:BB121" si="365">+AP121</f>
        <v>0</v>
      </c>
      <c r="AR121" s="688">
        <f t="shared" si="365"/>
        <v>0</v>
      </c>
      <c r="AS121" s="697">
        <f t="shared" si="355"/>
        <v>0</v>
      </c>
      <c r="AT121" s="688">
        <f t="shared" si="365"/>
        <v>0</v>
      </c>
      <c r="AU121" s="688">
        <f t="shared" si="365"/>
        <v>0</v>
      </c>
      <c r="AV121" s="688">
        <f t="shared" si="365"/>
        <v>0</v>
      </c>
      <c r="AW121" s="688">
        <f t="shared" si="365"/>
        <v>0</v>
      </c>
      <c r="AX121" s="688">
        <f t="shared" si="365"/>
        <v>0</v>
      </c>
      <c r="AY121" s="688">
        <f t="shared" si="365"/>
        <v>0</v>
      </c>
      <c r="AZ121" s="688">
        <f t="shared" si="365"/>
        <v>0</v>
      </c>
      <c r="BA121" s="688">
        <f t="shared" si="365"/>
        <v>0</v>
      </c>
      <c r="BB121" s="48">
        <f t="shared" si="365"/>
        <v>0</v>
      </c>
      <c r="BC121" s="10" t="str">
        <f t="shared" si="356"/>
        <v>ERP실행그룹책임(CL3)</v>
      </c>
      <c r="BD121" s="10" t="str">
        <f>B121&amp;E121</f>
        <v>ERP실행그룹CL2(사원-선임)</v>
      </c>
      <c r="BG121" s="540"/>
      <c r="BH121" s="540"/>
    </row>
    <row r="122" spans="1:60">
      <c r="A122" s="526" t="str">
        <f t="shared" si="349"/>
        <v>ERP실행그룹</v>
      </c>
      <c r="B122" s="1213" t="str">
        <f>+B121</f>
        <v>ERP실행그룹</v>
      </c>
      <c r="C122" s="17" t="s">
        <v>249</v>
      </c>
      <c r="D122" s="18" t="s">
        <v>112</v>
      </c>
      <c r="E122" s="17"/>
      <c r="F122" s="18"/>
      <c r="G122" s="45"/>
      <c r="H122" s="46"/>
      <c r="I122" s="47"/>
      <c r="J122" s="46"/>
      <c r="K122" s="46"/>
      <c r="L122" s="46"/>
      <c r="M122" s="46"/>
      <c r="N122" s="46"/>
      <c r="O122" s="46"/>
      <c r="P122" s="46"/>
      <c r="Q122" s="46"/>
      <c r="R122" s="48"/>
      <c r="S122" s="45"/>
      <c r="T122" s="46"/>
      <c r="U122" s="1211"/>
      <c r="V122" s="47"/>
      <c r="W122" s="46"/>
      <c r="X122" s="46"/>
      <c r="Y122" s="46"/>
      <c r="Z122" s="46"/>
      <c r="AA122" s="46"/>
      <c r="AB122" s="46"/>
      <c r="AC122" s="46"/>
      <c r="AD122" s="48"/>
      <c r="AE122" s="45"/>
      <c r="AF122" s="46"/>
      <c r="AG122" s="47"/>
      <c r="AH122" s="46"/>
      <c r="AI122" s="46"/>
      <c r="AJ122" s="46"/>
      <c r="AK122" s="46"/>
      <c r="AL122" s="46"/>
      <c r="AM122" s="46"/>
      <c r="AN122" s="46"/>
      <c r="AO122" s="46"/>
      <c r="AP122" s="48"/>
      <c r="AQ122" s="688">
        <f t="shared" ref="AQ122:BB122" si="366">+AP122</f>
        <v>0</v>
      </c>
      <c r="AR122" s="688">
        <f t="shared" si="366"/>
        <v>0</v>
      </c>
      <c r="AS122" s="697"/>
      <c r="AT122" s="688">
        <f t="shared" si="366"/>
        <v>0</v>
      </c>
      <c r="AU122" s="688">
        <f t="shared" si="366"/>
        <v>0</v>
      </c>
      <c r="AV122" s="688">
        <f t="shared" si="366"/>
        <v>0</v>
      </c>
      <c r="AW122" s="688">
        <f t="shared" si="366"/>
        <v>0</v>
      </c>
      <c r="AX122" s="688">
        <f t="shared" si="366"/>
        <v>0</v>
      </c>
      <c r="AY122" s="688">
        <f t="shared" si="366"/>
        <v>0</v>
      </c>
      <c r="AZ122" s="688">
        <f t="shared" si="366"/>
        <v>0</v>
      </c>
      <c r="BA122" s="688">
        <f t="shared" si="366"/>
        <v>0</v>
      </c>
      <c r="BB122" s="48">
        <f t="shared" si="366"/>
        <v>0</v>
      </c>
      <c r="BC122" s="10" t="str">
        <f t="shared" si="356"/>
        <v>ERP실행그룹선임(CL2)</v>
      </c>
      <c r="BD122" s="10" t="s">
        <v>451</v>
      </c>
      <c r="BG122" s="540"/>
      <c r="BH122" s="540"/>
    </row>
    <row r="123" spans="1:60">
      <c r="A123" s="528" t="str">
        <f t="shared" si="349"/>
        <v>ERP실행그룹</v>
      </c>
      <c r="B123" s="1214" t="str">
        <f>+B122</f>
        <v>ERP실행그룹</v>
      </c>
      <c r="C123" s="19" t="s">
        <v>250</v>
      </c>
      <c r="D123" s="20" t="s">
        <v>104</v>
      </c>
      <c r="E123" s="19"/>
      <c r="F123" s="20"/>
      <c r="G123" s="49"/>
      <c r="H123" s="50"/>
      <c r="I123" s="51"/>
      <c r="J123" s="50"/>
      <c r="K123" s="50"/>
      <c r="L123" s="50"/>
      <c r="M123" s="50"/>
      <c r="N123" s="50"/>
      <c r="O123" s="50"/>
      <c r="P123" s="50"/>
      <c r="Q123" s="50"/>
      <c r="R123" s="52"/>
      <c r="S123" s="49"/>
      <c r="T123" s="50"/>
      <c r="U123" s="1212"/>
      <c r="V123" s="51"/>
      <c r="W123" s="50"/>
      <c r="X123" s="50"/>
      <c r="Y123" s="50"/>
      <c r="Z123" s="50"/>
      <c r="AA123" s="50"/>
      <c r="AB123" s="50"/>
      <c r="AC123" s="50"/>
      <c r="AD123" s="52"/>
      <c r="AE123" s="49"/>
      <c r="AF123" s="50"/>
      <c r="AG123" s="51"/>
      <c r="AH123" s="50"/>
      <c r="AI123" s="50"/>
      <c r="AJ123" s="50"/>
      <c r="AK123" s="50"/>
      <c r="AL123" s="50"/>
      <c r="AM123" s="50"/>
      <c r="AN123" s="50"/>
      <c r="AO123" s="50"/>
      <c r="AP123" s="52"/>
      <c r="AQ123" s="689">
        <f t="shared" ref="AQ123:BB123" si="367">+AP123</f>
        <v>0</v>
      </c>
      <c r="AR123" s="689">
        <f t="shared" si="367"/>
        <v>0</v>
      </c>
      <c r="AS123" s="698"/>
      <c r="AT123" s="689">
        <f t="shared" si="367"/>
        <v>0</v>
      </c>
      <c r="AU123" s="689">
        <f t="shared" si="367"/>
        <v>0</v>
      </c>
      <c r="AV123" s="689">
        <f t="shared" si="367"/>
        <v>0</v>
      </c>
      <c r="AW123" s="689">
        <f t="shared" si="367"/>
        <v>0</v>
      </c>
      <c r="AX123" s="689">
        <f t="shared" si="367"/>
        <v>0</v>
      </c>
      <c r="AY123" s="689">
        <f t="shared" si="367"/>
        <v>0</v>
      </c>
      <c r="AZ123" s="689">
        <f t="shared" si="367"/>
        <v>0</v>
      </c>
      <c r="BA123" s="689">
        <f t="shared" si="367"/>
        <v>0</v>
      </c>
      <c r="BB123" s="52">
        <f t="shared" si="367"/>
        <v>0</v>
      </c>
      <c r="BC123" s="10" t="str">
        <f t="shared" si="356"/>
        <v>ERP실행그룹사원(CL1-CL2)</v>
      </c>
      <c r="BD123" s="10" t="s">
        <v>452</v>
      </c>
      <c r="BG123" s="540"/>
      <c r="BH123" s="540"/>
    </row>
    <row r="124" spans="1:60">
      <c r="A124" s="523" t="str">
        <f t="shared" ref="A124:A135" si="368">+B124&amp;E124</f>
        <v>이사</v>
      </c>
      <c r="B124" s="523"/>
      <c r="C124" s="16" t="s">
        <v>12</v>
      </c>
      <c r="D124" s="15" t="s">
        <v>105</v>
      </c>
      <c r="E124" s="16" t="s">
        <v>12</v>
      </c>
      <c r="F124" s="15" t="s">
        <v>82</v>
      </c>
      <c r="G124" s="41">
        <v>0</v>
      </c>
      <c r="H124" s="42">
        <v>0</v>
      </c>
      <c r="I124" s="43">
        <f t="shared" ref="I124:U124" si="369">H124</f>
        <v>0</v>
      </c>
      <c r="J124" s="42">
        <f t="shared" si="369"/>
        <v>0</v>
      </c>
      <c r="K124" s="42">
        <f t="shared" si="369"/>
        <v>0</v>
      </c>
      <c r="L124" s="42">
        <f t="shared" si="369"/>
        <v>0</v>
      </c>
      <c r="M124" s="42">
        <f t="shared" si="369"/>
        <v>0</v>
      </c>
      <c r="N124" s="42">
        <f t="shared" si="369"/>
        <v>0</v>
      </c>
      <c r="O124" s="42">
        <f t="shared" si="369"/>
        <v>0</v>
      </c>
      <c r="P124" s="42">
        <f t="shared" si="369"/>
        <v>0</v>
      </c>
      <c r="Q124" s="42">
        <f t="shared" si="369"/>
        <v>0</v>
      </c>
      <c r="R124" s="44">
        <f t="shared" si="369"/>
        <v>0</v>
      </c>
      <c r="S124" s="41">
        <f t="shared" si="369"/>
        <v>0</v>
      </c>
      <c r="T124" s="42">
        <f t="shared" si="369"/>
        <v>0</v>
      </c>
      <c r="U124" s="1210">
        <f t="shared" si="369"/>
        <v>0</v>
      </c>
      <c r="V124" s="43"/>
      <c r="W124" s="42">
        <f t="shared" ref="W124:AE124" si="370">V124</f>
        <v>0</v>
      </c>
      <c r="X124" s="42">
        <f t="shared" si="370"/>
        <v>0</v>
      </c>
      <c r="Y124" s="42">
        <f t="shared" si="370"/>
        <v>0</v>
      </c>
      <c r="Z124" s="42">
        <f t="shared" si="370"/>
        <v>0</v>
      </c>
      <c r="AA124" s="42">
        <f t="shared" si="370"/>
        <v>0</v>
      </c>
      <c r="AB124" s="42">
        <f t="shared" si="370"/>
        <v>0</v>
      </c>
      <c r="AC124" s="42">
        <f t="shared" si="370"/>
        <v>0</v>
      </c>
      <c r="AD124" s="44">
        <f t="shared" si="370"/>
        <v>0</v>
      </c>
      <c r="AE124" s="41">
        <f t="shared" si="370"/>
        <v>0</v>
      </c>
      <c r="AF124" s="42">
        <f t="shared" ref="AF124:AG127" si="371">AE124</f>
        <v>0</v>
      </c>
      <c r="AG124" s="43">
        <f t="shared" si="371"/>
        <v>0</v>
      </c>
      <c r="AH124" s="42">
        <f t="shared" ref="AH124:AO127" si="372">AG124</f>
        <v>0</v>
      </c>
      <c r="AI124" s="42">
        <f t="shared" si="372"/>
        <v>0</v>
      </c>
      <c r="AJ124" s="42">
        <f t="shared" si="372"/>
        <v>0</v>
      </c>
      <c r="AK124" s="42">
        <f t="shared" si="372"/>
        <v>0</v>
      </c>
      <c r="AL124" s="42">
        <f t="shared" si="372"/>
        <v>0</v>
      </c>
      <c r="AM124" s="42">
        <f t="shared" si="372"/>
        <v>0</v>
      </c>
      <c r="AN124" s="42">
        <f t="shared" si="372"/>
        <v>0</v>
      </c>
      <c r="AO124" s="42">
        <f t="shared" si="372"/>
        <v>0</v>
      </c>
      <c r="AP124" s="44">
        <f>AC124</f>
        <v>0</v>
      </c>
      <c r="AQ124" s="687">
        <f t="shared" ref="AQ124:BB124" si="373">+AP124</f>
        <v>0</v>
      </c>
      <c r="AR124" s="687">
        <f t="shared" si="373"/>
        <v>0</v>
      </c>
      <c r="AS124" s="696">
        <f t="shared" ref="AS124:AS127" si="374">AR124</f>
        <v>0</v>
      </c>
      <c r="AT124" s="687">
        <f t="shared" si="373"/>
        <v>0</v>
      </c>
      <c r="AU124" s="687">
        <f t="shared" si="373"/>
        <v>0</v>
      </c>
      <c r="AV124" s="687">
        <f t="shared" si="373"/>
        <v>0</v>
      </c>
      <c r="AW124" s="687">
        <f t="shared" si="373"/>
        <v>0</v>
      </c>
      <c r="AX124" s="687">
        <f t="shared" si="373"/>
        <v>0</v>
      </c>
      <c r="AY124" s="687">
        <f t="shared" si="373"/>
        <v>0</v>
      </c>
      <c r="AZ124" s="687">
        <f t="shared" si="373"/>
        <v>0</v>
      </c>
      <c r="BA124" s="687">
        <f t="shared" si="373"/>
        <v>0</v>
      </c>
      <c r="BB124" s="44">
        <f t="shared" si="373"/>
        <v>0</v>
      </c>
      <c r="BC124" s="10" t="str">
        <f t="shared" si="106"/>
        <v>이사</v>
      </c>
      <c r="BD124" s="10" t="str">
        <f>B124&amp;E124</f>
        <v>이사</v>
      </c>
      <c r="BG124" s="540"/>
      <c r="BH124" s="540"/>
    </row>
    <row r="125" spans="1:60">
      <c r="A125" s="526" t="str">
        <f t="shared" si="368"/>
        <v>CL4(수석)</v>
      </c>
      <c r="B125" s="526"/>
      <c r="C125" s="17" t="s">
        <v>246</v>
      </c>
      <c r="D125" s="18" t="s">
        <v>110</v>
      </c>
      <c r="E125" s="17" t="s">
        <v>445</v>
      </c>
      <c r="F125" s="18" t="s">
        <v>82</v>
      </c>
      <c r="G125" s="45">
        <v>847272</v>
      </c>
      <c r="H125" s="46">
        <v>847272</v>
      </c>
      <c r="I125" s="47">
        <v>948416</v>
      </c>
      <c r="J125" s="46">
        <f t="shared" ref="J125:U125" si="375">I125</f>
        <v>948416</v>
      </c>
      <c r="K125" s="46">
        <f t="shared" si="375"/>
        <v>948416</v>
      </c>
      <c r="L125" s="46">
        <f t="shared" si="375"/>
        <v>948416</v>
      </c>
      <c r="M125" s="46">
        <f t="shared" si="375"/>
        <v>948416</v>
      </c>
      <c r="N125" s="46">
        <f t="shared" si="375"/>
        <v>948416</v>
      </c>
      <c r="O125" s="46">
        <f t="shared" si="375"/>
        <v>948416</v>
      </c>
      <c r="P125" s="46">
        <f t="shared" si="375"/>
        <v>948416</v>
      </c>
      <c r="Q125" s="46">
        <f t="shared" si="375"/>
        <v>948416</v>
      </c>
      <c r="R125" s="48">
        <f t="shared" si="375"/>
        <v>948416</v>
      </c>
      <c r="S125" s="45">
        <f t="shared" si="375"/>
        <v>948416</v>
      </c>
      <c r="T125" s="46">
        <f t="shared" si="375"/>
        <v>948416</v>
      </c>
      <c r="U125" s="1211">
        <f t="shared" si="375"/>
        <v>948416</v>
      </c>
      <c r="V125" s="47"/>
      <c r="W125" s="46">
        <f t="shared" ref="W125:AE125" si="376">V125</f>
        <v>0</v>
      </c>
      <c r="X125" s="46">
        <f t="shared" si="376"/>
        <v>0</v>
      </c>
      <c r="Y125" s="46">
        <f t="shared" si="376"/>
        <v>0</v>
      </c>
      <c r="Z125" s="46">
        <f t="shared" si="376"/>
        <v>0</v>
      </c>
      <c r="AA125" s="46">
        <f t="shared" si="376"/>
        <v>0</v>
      </c>
      <c r="AB125" s="46">
        <f t="shared" si="376"/>
        <v>0</v>
      </c>
      <c r="AC125" s="46">
        <f t="shared" si="376"/>
        <v>0</v>
      </c>
      <c r="AD125" s="48">
        <f t="shared" si="376"/>
        <v>0</v>
      </c>
      <c r="AE125" s="45">
        <f t="shared" si="376"/>
        <v>0</v>
      </c>
      <c r="AF125" s="46">
        <f t="shared" si="371"/>
        <v>0</v>
      </c>
      <c r="AG125" s="47">
        <f t="shared" si="371"/>
        <v>0</v>
      </c>
      <c r="AH125" s="46">
        <f t="shared" si="372"/>
        <v>0</v>
      </c>
      <c r="AI125" s="46">
        <f t="shared" si="372"/>
        <v>0</v>
      </c>
      <c r="AJ125" s="46">
        <f t="shared" si="372"/>
        <v>0</v>
      </c>
      <c r="AK125" s="46">
        <f t="shared" si="372"/>
        <v>0</v>
      </c>
      <c r="AL125" s="46">
        <f t="shared" si="372"/>
        <v>0</v>
      </c>
      <c r="AM125" s="46">
        <f t="shared" si="372"/>
        <v>0</v>
      </c>
      <c r="AN125" s="46">
        <f t="shared" si="372"/>
        <v>0</v>
      </c>
      <c r="AO125" s="46">
        <f t="shared" si="372"/>
        <v>0</v>
      </c>
      <c r="AP125" s="48">
        <f>AC125</f>
        <v>0</v>
      </c>
      <c r="AQ125" s="688">
        <f t="shared" ref="AQ125:BB125" si="377">+AP125</f>
        <v>0</v>
      </c>
      <c r="AR125" s="688">
        <f t="shared" si="377"/>
        <v>0</v>
      </c>
      <c r="AS125" s="697">
        <f t="shared" si="374"/>
        <v>0</v>
      </c>
      <c r="AT125" s="688">
        <f t="shared" si="377"/>
        <v>0</v>
      </c>
      <c r="AU125" s="688">
        <f t="shared" si="377"/>
        <v>0</v>
      </c>
      <c r="AV125" s="688">
        <f t="shared" si="377"/>
        <v>0</v>
      </c>
      <c r="AW125" s="688">
        <f t="shared" si="377"/>
        <v>0</v>
      </c>
      <c r="AX125" s="688">
        <f t="shared" si="377"/>
        <v>0</v>
      </c>
      <c r="AY125" s="688">
        <f t="shared" si="377"/>
        <v>0</v>
      </c>
      <c r="AZ125" s="688">
        <f t="shared" si="377"/>
        <v>0</v>
      </c>
      <c r="BA125" s="688">
        <f t="shared" si="377"/>
        <v>0</v>
      </c>
      <c r="BB125" s="48">
        <f t="shared" si="377"/>
        <v>0</v>
      </c>
      <c r="BC125" s="10" t="str">
        <f t="shared" si="106"/>
        <v>수석(CL4)</v>
      </c>
      <c r="BD125" s="10" t="str">
        <f>B125&amp;E125</f>
        <v>CL4(수석)</v>
      </c>
      <c r="BG125" s="540"/>
      <c r="BH125" s="540"/>
    </row>
    <row r="126" spans="1:60">
      <c r="A126" s="526" t="str">
        <f t="shared" si="368"/>
        <v>CL3(책임-수석보)</v>
      </c>
      <c r="B126" s="526"/>
      <c r="C126" s="17" t="s">
        <v>247</v>
      </c>
      <c r="D126" s="18" t="s">
        <v>110</v>
      </c>
      <c r="E126" s="17" t="s">
        <v>455</v>
      </c>
      <c r="F126" s="18" t="s">
        <v>459</v>
      </c>
      <c r="G126" s="45">
        <v>678293</v>
      </c>
      <c r="H126" s="46">
        <v>678293</v>
      </c>
      <c r="I126" s="47">
        <v>789943</v>
      </c>
      <c r="J126" s="46">
        <f t="shared" ref="J126:U126" si="378">I126</f>
        <v>789943</v>
      </c>
      <c r="K126" s="46">
        <f t="shared" si="378"/>
        <v>789943</v>
      </c>
      <c r="L126" s="46">
        <f t="shared" si="378"/>
        <v>789943</v>
      </c>
      <c r="M126" s="46">
        <f t="shared" si="378"/>
        <v>789943</v>
      </c>
      <c r="N126" s="46">
        <f t="shared" si="378"/>
        <v>789943</v>
      </c>
      <c r="O126" s="46">
        <f t="shared" si="378"/>
        <v>789943</v>
      </c>
      <c r="P126" s="46">
        <f t="shared" si="378"/>
        <v>789943</v>
      </c>
      <c r="Q126" s="46">
        <f t="shared" si="378"/>
        <v>789943</v>
      </c>
      <c r="R126" s="48">
        <f t="shared" si="378"/>
        <v>789943</v>
      </c>
      <c r="S126" s="45">
        <f t="shared" si="378"/>
        <v>789943</v>
      </c>
      <c r="T126" s="46">
        <f t="shared" si="378"/>
        <v>789943</v>
      </c>
      <c r="U126" s="1211">
        <f t="shared" si="378"/>
        <v>789943</v>
      </c>
      <c r="V126" s="47"/>
      <c r="W126" s="46">
        <f t="shared" ref="W126:AE126" si="379">V126</f>
        <v>0</v>
      </c>
      <c r="X126" s="46">
        <f t="shared" si="379"/>
        <v>0</v>
      </c>
      <c r="Y126" s="46">
        <f t="shared" si="379"/>
        <v>0</v>
      </c>
      <c r="Z126" s="46">
        <f t="shared" si="379"/>
        <v>0</v>
      </c>
      <c r="AA126" s="46">
        <f t="shared" si="379"/>
        <v>0</v>
      </c>
      <c r="AB126" s="46">
        <f t="shared" si="379"/>
        <v>0</v>
      </c>
      <c r="AC126" s="46">
        <f t="shared" si="379"/>
        <v>0</v>
      </c>
      <c r="AD126" s="48">
        <f t="shared" si="379"/>
        <v>0</v>
      </c>
      <c r="AE126" s="45">
        <f t="shared" si="379"/>
        <v>0</v>
      </c>
      <c r="AF126" s="46">
        <f t="shared" si="371"/>
        <v>0</v>
      </c>
      <c r="AG126" s="47">
        <f t="shared" si="371"/>
        <v>0</v>
      </c>
      <c r="AH126" s="46">
        <f t="shared" si="372"/>
        <v>0</v>
      </c>
      <c r="AI126" s="46">
        <f t="shared" si="372"/>
        <v>0</v>
      </c>
      <c r="AJ126" s="46">
        <f t="shared" si="372"/>
        <v>0</v>
      </c>
      <c r="AK126" s="46">
        <f t="shared" si="372"/>
        <v>0</v>
      </c>
      <c r="AL126" s="46">
        <f t="shared" si="372"/>
        <v>0</v>
      </c>
      <c r="AM126" s="46">
        <f t="shared" si="372"/>
        <v>0</v>
      </c>
      <c r="AN126" s="46">
        <f t="shared" si="372"/>
        <v>0</v>
      </c>
      <c r="AO126" s="46">
        <f t="shared" si="372"/>
        <v>0</v>
      </c>
      <c r="AP126" s="48">
        <f>AC126</f>
        <v>0</v>
      </c>
      <c r="AQ126" s="688">
        <f t="shared" ref="AQ126:BB126" si="380">+AP126</f>
        <v>0</v>
      </c>
      <c r="AR126" s="688">
        <f t="shared" si="380"/>
        <v>0</v>
      </c>
      <c r="AS126" s="697">
        <f t="shared" si="374"/>
        <v>0</v>
      </c>
      <c r="AT126" s="688">
        <f t="shared" si="380"/>
        <v>0</v>
      </c>
      <c r="AU126" s="688">
        <f t="shared" si="380"/>
        <v>0</v>
      </c>
      <c r="AV126" s="688">
        <f t="shared" si="380"/>
        <v>0</v>
      </c>
      <c r="AW126" s="688">
        <f t="shared" si="380"/>
        <v>0</v>
      </c>
      <c r="AX126" s="688">
        <f t="shared" si="380"/>
        <v>0</v>
      </c>
      <c r="AY126" s="688">
        <f t="shared" si="380"/>
        <v>0</v>
      </c>
      <c r="AZ126" s="688">
        <f t="shared" si="380"/>
        <v>0</v>
      </c>
      <c r="BA126" s="688">
        <f t="shared" si="380"/>
        <v>0</v>
      </c>
      <c r="BB126" s="48">
        <f t="shared" si="380"/>
        <v>0</v>
      </c>
      <c r="BC126" s="10" t="str">
        <f t="shared" si="106"/>
        <v>수석보(CL3)</v>
      </c>
      <c r="BD126" s="10" t="str">
        <f>B126&amp;E126</f>
        <v>CL3(책임-수석보)</v>
      </c>
      <c r="BG126" s="540"/>
      <c r="BH126" s="540"/>
    </row>
    <row r="127" spans="1:60">
      <c r="A127" s="526" t="str">
        <f t="shared" si="368"/>
        <v>CL2(사원-선임)</v>
      </c>
      <c r="B127" s="526"/>
      <c r="C127" s="17" t="s">
        <v>248</v>
      </c>
      <c r="D127" s="18" t="s">
        <v>111</v>
      </c>
      <c r="E127" s="17" t="s">
        <v>457</v>
      </c>
      <c r="F127" s="18" t="s">
        <v>461</v>
      </c>
      <c r="G127" s="45">
        <v>549810</v>
      </c>
      <c r="H127" s="46">
        <v>549810</v>
      </c>
      <c r="I127" s="47">
        <v>636657</v>
      </c>
      <c r="J127" s="46">
        <f t="shared" ref="J127:U127" si="381">I127</f>
        <v>636657</v>
      </c>
      <c r="K127" s="46">
        <f t="shared" si="381"/>
        <v>636657</v>
      </c>
      <c r="L127" s="46">
        <f t="shared" si="381"/>
        <v>636657</v>
      </c>
      <c r="M127" s="46">
        <f t="shared" si="381"/>
        <v>636657</v>
      </c>
      <c r="N127" s="46">
        <f t="shared" si="381"/>
        <v>636657</v>
      </c>
      <c r="O127" s="46">
        <f t="shared" si="381"/>
        <v>636657</v>
      </c>
      <c r="P127" s="46">
        <f t="shared" si="381"/>
        <v>636657</v>
      </c>
      <c r="Q127" s="46">
        <f t="shared" si="381"/>
        <v>636657</v>
      </c>
      <c r="R127" s="48">
        <f t="shared" si="381"/>
        <v>636657</v>
      </c>
      <c r="S127" s="45">
        <f t="shared" si="381"/>
        <v>636657</v>
      </c>
      <c r="T127" s="46">
        <f t="shared" si="381"/>
        <v>636657</v>
      </c>
      <c r="U127" s="1211">
        <f t="shared" si="381"/>
        <v>636657</v>
      </c>
      <c r="V127" s="47"/>
      <c r="W127" s="46">
        <f t="shared" ref="W127:AE127" si="382">V127</f>
        <v>0</v>
      </c>
      <c r="X127" s="46">
        <f t="shared" si="382"/>
        <v>0</v>
      </c>
      <c r="Y127" s="46">
        <f t="shared" si="382"/>
        <v>0</v>
      </c>
      <c r="Z127" s="46">
        <f t="shared" si="382"/>
        <v>0</v>
      </c>
      <c r="AA127" s="46">
        <f t="shared" si="382"/>
        <v>0</v>
      </c>
      <c r="AB127" s="46">
        <f t="shared" si="382"/>
        <v>0</v>
      </c>
      <c r="AC127" s="46">
        <f t="shared" si="382"/>
        <v>0</v>
      </c>
      <c r="AD127" s="48">
        <f t="shared" si="382"/>
        <v>0</v>
      </c>
      <c r="AE127" s="45">
        <f t="shared" si="382"/>
        <v>0</v>
      </c>
      <c r="AF127" s="46">
        <f t="shared" si="371"/>
        <v>0</v>
      </c>
      <c r="AG127" s="47">
        <f t="shared" si="371"/>
        <v>0</v>
      </c>
      <c r="AH127" s="46">
        <f t="shared" si="372"/>
        <v>0</v>
      </c>
      <c r="AI127" s="46">
        <f t="shared" si="372"/>
        <v>0</v>
      </c>
      <c r="AJ127" s="46">
        <f t="shared" si="372"/>
        <v>0</v>
      </c>
      <c r="AK127" s="46">
        <f t="shared" si="372"/>
        <v>0</v>
      </c>
      <c r="AL127" s="46">
        <f t="shared" si="372"/>
        <v>0</v>
      </c>
      <c r="AM127" s="46">
        <f t="shared" si="372"/>
        <v>0</v>
      </c>
      <c r="AN127" s="46">
        <f t="shared" si="372"/>
        <v>0</v>
      </c>
      <c r="AO127" s="46">
        <f t="shared" si="372"/>
        <v>0</v>
      </c>
      <c r="AP127" s="48">
        <f>AC127</f>
        <v>0</v>
      </c>
      <c r="AQ127" s="688">
        <f t="shared" ref="AQ127:BB127" si="383">+AP127</f>
        <v>0</v>
      </c>
      <c r="AR127" s="688">
        <f t="shared" si="383"/>
        <v>0</v>
      </c>
      <c r="AS127" s="697">
        <f t="shared" si="374"/>
        <v>0</v>
      </c>
      <c r="AT127" s="688">
        <f t="shared" si="383"/>
        <v>0</v>
      </c>
      <c r="AU127" s="688">
        <f t="shared" si="383"/>
        <v>0</v>
      </c>
      <c r="AV127" s="688">
        <f t="shared" si="383"/>
        <v>0</v>
      </c>
      <c r="AW127" s="688">
        <f t="shared" si="383"/>
        <v>0</v>
      </c>
      <c r="AX127" s="688">
        <f t="shared" si="383"/>
        <v>0</v>
      </c>
      <c r="AY127" s="688">
        <f t="shared" si="383"/>
        <v>0</v>
      </c>
      <c r="AZ127" s="688">
        <f t="shared" si="383"/>
        <v>0</v>
      </c>
      <c r="BA127" s="688">
        <f t="shared" si="383"/>
        <v>0</v>
      </c>
      <c r="BB127" s="48">
        <f t="shared" si="383"/>
        <v>0</v>
      </c>
      <c r="BC127" s="10" t="str">
        <f t="shared" si="106"/>
        <v>책임(CL3)</v>
      </c>
      <c r="BD127" s="10" t="str">
        <f>B127&amp;E127</f>
        <v>CL2(사원-선임)</v>
      </c>
      <c r="BG127" s="540"/>
      <c r="BH127" s="540"/>
    </row>
    <row r="128" spans="1:60">
      <c r="A128" s="526" t="str">
        <f t="shared" si="368"/>
        <v/>
      </c>
      <c r="B128" s="526"/>
      <c r="C128" s="17" t="s">
        <v>249</v>
      </c>
      <c r="D128" s="18" t="s">
        <v>112</v>
      </c>
      <c r="E128" s="17"/>
      <c r="F128" s="18"/>
      <c r="G128" s="45"/>
      <c r="H128" s="46"/>
      <c r="I128" s="47"/>
      <c r="J128" s="46"/>
      <c r="K128" s="46"/>
      <c r="L128" s="46"/>
      <c r="M128" s="46"/>
      <c r="N128" s="46"/>
      <c r="O128" s="46"/>
      <c r="P128" s="46"/>
      <c r="Q128" s="46"/>
      <c r="R128" s="48"/>
      <c r="S128" s="45"/>
      <c r="T128" s="46"/>
      <c r="U128" s="1211"/>
      <c r="V128" s="47"/>
      <c r="W128" s="46"/>
      <c r="X128" s="46"/>
      <c r="Y128" s="46"/>
      <c r="Z128" s="46"/>
      <c r="AA128" s="46"/>
      <c r="AB128" s="46"/>
      <c r="AC128" s="46"/>
      <c r="AD128" s="48"/>
      <c r="AE128" s="45"/>
      <c r="AF128" s="46"/>
      <c r="AG128" s="47"/>
      <c r="AH128" s="46"/>
      <c r="AI128" s="46"/>
      <c r="AJ128" s="46"/>
      <c r="AK128" s="46"/>
      <c r="AL128" s="46"/>
      <c r="AM128" s="46"/>
      <c r="AN128" s="46"/>
      <c r="AO128" s="46"/>
      <c r="AP128" s="48"/>
      <c r="AQ128" s="688">
        <f t="shared" ref="AQ128:BB128" si="384">+AP128</f>
        <v>0</v>
      </c>
      <c r="AR128" s="688">
        <f t="shared" si="384"/>
        <v>0</v>
      </c>
      <c r="AS128" s="697"/>
      <c r="AT128" s="688">
        <f t="shared" si="384"/>
        <v>0</v>
      </c>
      <c r="AU128" s="688">
        <f t="shared" si="384"/>
        <v>0</v>
      </c>
      <c r="AV128" s="688">
        <f t="shared" si="384"/>
        <v>0</v>
      </c>
      <c r="AW128" s="688">
        <f t="shared" si="384"/>
        <v>0</v>
      </c>
      <c r="AX128" s="688">
        <f t="shared" si="384"/>
        <v>0</v>
      </c>
      <c r="AY128" s="688">
        <f t="shared" si="384"/>
        <v>0</v>
      </c>
      <c r="AZ128" s="688">
        <f t="shared" si="384"/>
        <v>0</v>
      </c>
      <c r="BA128" s="688">
        <f t="shared" si="384"/>
        <v>0</v>
      </c>
      <c r="BB128" s="48">
        <f t="shared" si="384"/>
        <v>0</v>
      </c>
      <c r="BC128" s="10" t="str">
        <f t="shared" si="106"/>
        <v>선임(CL2)</v>
      </c>
      <c r="BD128" s="10" t="s">
        <v>451</v>
      </c>
      <c r="BG128" s="540"/>
      <c r="BH128" s="540"/>
    </row>
    <row r="129" spans="1:60">
      <c r="A129" s="528" t="str">
        <f t="shared" si="368"/>
        <v/>
      </c>
      <c r="B129" s="528"/>
      <c r="C129" s="19" t="s">
        <v>250</v>
      </c>
      <c r="D129" s="20" t="s">
        <v>104</v>
      </c>
      <c r="E129" s="19"/>
      <c r="F129" s="20"/>
      <c r="G129" s="49"/>
      <c r="H129" s="50"/>
      <c r="I129" s="51"/>
      <c r="J129" s="50"/>
      <c r="K129" s="50"/>
      <c r="L129" s="50"/>
      <c r="M129" s="50"/>
      <c r="N129" s="50"/>
      <c r="O129" s="50"/>
      <c r="P129" s="50"/>
      <c r="Q129" s="50"/>
      <c r="R129" s="52"/>
      <c r="S129" s="49"/>
      <c r="T129" s="50"/>
      <c r="U129" s="1212"/>
      <c r="V129" s="51"/>
      <c r="W129" s="50"/>
      <c r="X129" s="50"/>
      <c r="Y129" s="50"/>
      <c r="Z129" s="50"/>
      <c r="AA129" s="50"/>
      <c r="AB129" s="50"/>
      <c r="AC129" s="50"/>
      <c r="AD129" s="52"/>
      <c r="AE129" s="49"/>
      <c r="AF129" s="50"/>
      <c r="AG129" s="51"/>
      <c r="AH129" s="50"/>
      <c r="AI129" s="50"/>
      <c r="AJ129" s="50"/>
      <c r="AK129" s="50"/>
      <c r="AL129" s="50"/>
      <c r="AM129" s="50"/>
      <c r="AN129" s="50"/>
      <c r="AO129" s="50"/>
      <c r="AP129" s="52"/>
      <c r="AQ129" s="689">
        <f t="shared" ref="AQ129:BB129" si="385">+AP129</f>
        <v>0</v>
      </c>
      <c r="AR129" s="689">
        <f t="shared" si="385"/>
        <v>0</v>
      </c>
      <c r="AS129" s="698"/>
      <c r="AT129" s="689">
        <f t="shared" si="385"/>
        <v>0</v>
      </c>
      <c r="AU129" s="689">
        <f t="shared" si="385"/>
        <v>0</v>
      </c>
      <c r="AV129" s="689">
        <f t="shared" si="385"/>
        <v>0</v>
      </c>
      <c r="AW129" s="689">
        <f t="shared" si="385"/>
        <v>0</v>
      </c>
      <c r="AX129" s="689">
        <f t="shared" si="385"/>
        <v>0</v>
      </c>
      <c r="AY129" s="689">
        <f t="shared" si="385"/>
        <v>0</v>
      </c>
      <c r="AZ129" s="689">
        <f t="shared" si="385"/>
        <v>0</v>
      </c>
      <c r="BA129" s="689">
        <f t="shared" si="385"/>
        <v>0</v>
      </c>
      <c r="BB129" s="52">
        <f t="shared" si="385"/>
        <v>0</v>
      </c>
      <c r="BC129" s="10" t="str">
        <f t="shared" si="106"/>
        <v>사원(CL1-CL2)</v>
      </c>
      <c r="BD129" s="10" t="s">
        <v>452</v>
      </c>
      <c r="BG129" s="540"/>
      <c r="BH129" s="540"/>
    </row>
    <row r="130" spans="1:60">
      <c r="A130" s="523" t="str">
        <f t="shared" si="368"/>
        <v>이사</v>
      </c>
      <c r="B130" s="523"/>
      <c r="C130" s="16" t="s">
        <v>12</v>
      </c>
      <c r="D130" s="15" t="s">
        <v>105</v>
      </c>
      <c r="E130" s="16" t="s">
        <v>12</v>
      </c>
      <c r="F130" s="15" t="s">
        <v>82</v>
      </c>
      <c r="G130" s="41">
        <v>1875960</v>
      </c>
      <c r="H130" s="42">
        <v>1875960</v>
      </c>
      <c r="I130" s="43">
        <v>984672</v>
      </c>
      <c r="J130" s="42">
        <f t="shared" ref="J130:U130" si="386">I130</f>
        <v>984672</v>
      </c>
      <c r="K130" s="42">
        <f t="shared" si="386"/>
        <v>984672</v>
      </c>
      <c r="L130" s="42">
        <f t="shared" si="386"/>
        <v>984672</v>
      </c>
      <c r="M130" s="42">
        <f t="shared" si="386"/>
        <v>984672</v>
      </c>
      <c r="N130" s="42">
        <f t="shared" si="386"/>
        <v>984672</v>
      </c>
      <c r="O130" s="42">
        <f t="shared" si="386"/>
        <v>984672</v>
      </c>
      <c r="P130" s="42">
        <f t="shared" si="386"/>
        <v>984672</v>
      </c>
      <c r="Q130" s="42">
        <f t="shared" si="386"/>
        <v>984672</v>
      </c>
      <c r="R130" s="44">
        <f t="shared" si="386"/>
        <v>984672</v>
      </c>
      <c r="S130" s="41">
        <f t="shared" si="386"/>
        <v>984672</v>
      </c>
      <c r="T130" s="42">
        <f t="shared" si="386"/>
        <v>984672</v>
      </c>
      <c r="U130" s="1210">
        <f t="shared" si="386"/>
        <v>984672</v>
      </c>
      <c r="V130" s="43"/>
      <c r="W130" s="42">
        <f t="shared" ref="W130:AE130" si="387">V130</f>
        <v>0</v>
      </c>
      <c r="X130" s="42">
        <f t="shared" si="387"/>
        <v>0</v>
      </c>
      <c r="Y130" s="42">
        <f t="shared" si="387"/>
        <v>0</v>
      </c>
      <c r="Z130" s="42">
        <f t="shared" si="387"/>
        <v>0</v>
      </c>
      <c r="AA130" s="42">
        <f t="shared" si="387"/>
        <v>0</v>
      </c>
      <c r="AB130" s="42">
        <f t="shared" si="387"/>
        <v>0</v>
      </c>
      <c r="AC130" s="42">
        <f t="shared" si="387"/>
        <v>0</v>
      </c>
      <c r="AD130" s="44">
        <f t="shared" si="387"/>
        <v>0</v>
      </c>
      <c r="AE130" s="41">
        <f t="shared" si="387"/>
        <v>0</v>
      </c>
      <c r="AF130" s="42">
        <f t="shared" ref="AF130:AG133" si="388">AE130</f>
        <v>0</v>
      </c>
      <c r="AG130" s="43">
        <f t="shared" si="388"/>
        <v>0</v>
      </c>
      <c r="AH130" s="42">
        <f t="shared" ref="AH130:AO133" si="389">AG130</f>
        <v>0</v>
      </c>
      <c r="AI130" s="42">
        <f t="shared" si="389"/>
        <v>0</v>
      </c>
      <c r="AJ130" s="42">
        <f t="shared" si="389"/>
        <v>0</v>
      </c>
      <c r="AK130" s="42">
        <f t="shared" si="389"/>
        <v>0</v>
      </c>
      <c r="AL130" s="42">
        <f t="shared" si="389"/>
        <v>0</v>
      </c>
      <c r="AM130" s="42">
        <f t="shared" si="389"/>
        <v>0</v>
      </c>
      <c r="AN130" s="42">
        <f t="shared" si="389"/>
        <v>0</v>
      </c>
      <c r="AO130" s="42">
        <f t="shared" si="389"/>
        <v>0</v>
      </c>
      <c r="AP130" s="44">
        <f>AC130</f>
        <v>0</v>
      </c>
      <c r="AQ130" s="687">
        <f t="shared" ref="AQ130:BB130" si="390">+AP130</f>
        <v>0</v>
      </c>
      <c r="AR130" s="687">
        <f t="shared" si="390"/>
        <v>0</v>
      </c>
      <c r="AS130" s="696">
        <f t="shared" ref="AS130:AS133" si="391">AR130</f>
        <v>0</v>
      </c>
      <c r="AT130" s="687">
        <f t="shared" si="390"/>
        <v>0</v>
      </c>
      <c r="AU130" s="687">
        <f t="shared" si="390"/>
        <v>0</v>
      </c>
      <c r="AV130" s="687">
        <f t="shared" si="390"/>
        <v>0</v>
      </c>
      <c r="AW130" s="687">
        <f t="shared" si="390"/>
        <v>0</v>
      </c>
      <c r="AX130" s="687">
        <f t="shared" si="390"/>
        <v>0</v>
      </c>
      <c r="AY130" s="687">
        <f t="shared" si="390"/>
        <v>0</v>
      </c>
      <c r="AZ130" s="687">
        <f t="shared" si="390"/>
        <v>0</v>
      </c>
      <c r="BA130" s="687">
        <f t="shared" si="390"/>
        <v>0</v>
      </c>
      <c r="BB130" s="44">
        <f t="shared" si="390"/>
        <v>0</v>
      </c>
      <c r="BC130" s="10" t="str">
        <f t="shared" si="106"/>
        <v>이사</v>
      </c>
      <c r="BD130" s="10" t="str">
        <f>B130&amp;E130</f>
        <v>이사</v>
      </c>
      <c r="BG130" s="540"/>
      <c r="BH130" s="540"/>
    </row>
    <row r="131" spans="1:60">
      <c r="A131" s="526" t="str">
        <f t="shared" si="368"/>
        <v>CL4(수석)</v>
      </c>
      <c r="B131" s="526"/>
      <c r="C131" s="17" t="s">
        <v>246</v>
      </c>
      <c r="D131" s="18" t="s">
        <v>110</v>
      </c>
      <c r="E131" s="17" t="s">
        <v>445</v>
      </c>
      <c r="F131" s="18" t="s">
        <v>82</v>
      </c>
      <c r="G131" s="45">
        <v>804702</v>
      </c>
      <c r="H131" s="46">
        <v>804702</v>
      </c>
      <c r="I131" s="47">
        <v>984672</v>
      </c>
      <c r="J131" s="46">
        <f t="shared" ref="J131:U131" si="392">I131</f>
        <v>984672</v>
      </c>
      <c r="K131" s="46">
        <f t="shared" si="392"/>
        <v>984672</v>
      </c>
      <c r="L131" s="46">
        <f t="shared" si="392"/>
        <v>984672</v>
      </c>
      <c r="M131" s="46">
        <f t="shared" si="392"/>
        <v>984672</v>
      </c>
      <c r="N131" s="46">
        <f t="shared" si="392"/>
        <v>984672</v>
      </c>
      <c r="O131" s="46">
        <f t="shared" si="392"/>
        <v>984672</v>
      </c>
      <c r="P131" s="46">
        <f t="shared" si="392"/>
        <v>984672</v>
      </c>
      <c r="Q131" s="46">
        <f t="shared" si="392"/>
        <v>984672</v>
      </c>
      <c r="R131" s="48">
        <f t="shared" si="392"/>
        <v>984672</v>
      </c>
      <c r="S131" s="45">
        <f t="shared" si="392"/>
        <v>984672</v>
      </c>
      <c r="T131" s="46">
        <f t="shared" si="392"/>
        <v>984672</v>
      </c>
      <c r="U131" s="1211">
        <f t="shared" si="392"/>
        <v>984672</v>
      </c>
      <c r="V131" s="47"/>
      <c r="W131" s="46">
        <f t="shared" ref="W131:AE131" si="393">V131</f>
        <v>0</v>
      </c>
      <c r="X131" s="46">
        <f t="shared" si="393"/>
        <v>0</v>
      </c>
      <c r="Y131" s="46">
        <f t="shared" si="393"/>
        <v>0</v>
      </c>
      <c r="Z131" s="46">
        <f t="shared" si="393"/>
        <v>0</v>
      </c>
      <c r="AA131" s="46">
        <f t="shared" si="393"/>
        <v>0</v>
      </c>
      <c r="AB131" s="46">
        <f t="shared" si="393"/>
        <v>0</v>
      </c>
      <c r="AC131" s="46">
        <f t="shared" si="393"/>
        <v>0</v>
      </c>
      <c r="AD131" s="48">
        <f t="shared" si="393"/>
        <v>0</v>
      </c>
      <c r="AE131" s="45">
        <f t="shared" si="393"/>
        <v>0</v>
      </c>
      <c r="AF131" s="46">
        <f t="shared" si="388"/>
        <v>0</v>
      </c>
      <c r="AG131" s="47">
        <f t="shared" si="388"/>
        <v>0</v>
      </c>
      <c r="AH131" s="46">
        <f t="shared" si="389"/>
        <v>0</v>
      </c>
      <c r="AI131" s="46">
        <f t="shared" si="389"/>
        <v>0</v>
      </c>
      <c r="AJ131" s="46">
        <f t="shared" si="389"/>
        <v>0</v>
      </c>
      <c r="AK131" s="46">
        <f t="shared" si="389"/>
        <v>0</v>
      </c>
      <c r="AL131" s="46">
        <f t="shared" si="389"/>
        <v>0</v>
      </c>
      <c r="AM131" s="46">
        <f t="shared" si="389"/>
        <v>0</v>
      </c>
      <c r="AN131" s="46">
        <f t="shared" si="389"/>
        <v>0</v>
      </c>
      <c r="AO131" s="46">
        <f t="shared" si="389"/>
        <v>0</v>
      </c>
      <c r="AP131" s="48">
        <f>AC131</f>
        <v>0</v>
      </c>
      <c r="AQ131" s="688">
        <f t="shared" ref="AQ131:BB131" si="394">+AP131</f>
        <v>0</v>
      </c>
      <c r="AR131" s="688">
        <f t="shared" si="394"/>
        <v>0</v>
      </c>
      <c r="AS131" s="697">
        <f t="shared" si="391"/>
        <v>0</v>
      </c>
      <c r="AT131" s="688">
        <f t="shared" si="394"/>
        <v>0</v>
      </c>
      <c r="AU131" s="688">
        <f t="shared" si="394"/>
        <v>0</v>
      </c>
      <c r="AV131" s="688">
        <f t="shared" si="394"/>
        <v>0</v>
      </c>
      <c r="AW131" s="688">
        <f t="shared" si="394"/>
        <v>0</v>
      </c>
      <c r="AX131" s="688">
        <f t="shared" si="394"/>
        <v>0</v>
      </c>
      <c r="AY131" s="688">
        <f t="shared" si="394"/>
        <v>0</v>
      </c>
      <c r="AZ131" s="688">
        <f t="shared" si="394"/>
        <v>0</v>
      </c>
      <c r="BA131" s="688">
        <f t="shared" si="394"/>
        <v>0</v>
      </c>
      <c r="BB131" s="48">
        <f t="shared" si="394"/>
        <v>0</v>
      </c>
      <c r="BC131" s="10" t="str">
        <f t="shared" si="106"/>
        <v>수석(CL4)</v>
      </c>
      <c r="BD131" s="10" t="str">
        <f>B131&amp;E131</f>
        <v>CL4(수석)</v>
      </c>
      <c r="BG131" s="540"/>
      <c r="BH131" s="540"/>
    </row>
    <row r="132" spans="1:60">
      <c r="A132" s="526" t="str">
        <f t="shared" si="368"/>
        <v>CL3(책임-수석보)</v>
      </c>
      <c r="B132" s="526"/>
      <c r="C132" s="17" t="s">
        <v>247</v>
      </c>
      <c r="D132" s="18" t="s">
        <v>110</v>
      </c>
      <c r="E132" s="17" t="s">
        <v>455</v>
      </c>
      <c r="F132" s="18" t="s">
        <v>459</v>
      </c>
      <c r="G132" s="45">
        <v>697124</v>
      </c>
      <c r="H132" s="46">
        <v>697124</v>
      </c>
      <c r="I132" s="47">
        <v>876837</v>
      </c>
      <c r="J132" s="46">
        <f t="shared" ref="J132:U132" si="395">I132</f>
        <v>876837</v>
      </c>
      <c r="K132" s="46">
        <f t="shared" si="395"/>
        <v>876837</v>
      </c>
      <c r="L132" s="46">
        <f t="shared" si="395"/>
        <v>876837</v>
      </c>
      <c r="M132" s="46">
        <f t="shared" si="395"/>
        <v>876837</v>
      </c>
      <c r="N132" s="46">
        <f t="shared" si="395"/>
        <v>876837</v>
      </c>
      <c r="O132" s="46">
        <f t="shared" si="395"/>
        <v>876837</v>
      </c>
      <c r="P132" s="46">
        <f t="shared" si="395"/>
        <v>876837</v>
      </c>
      <c r="Q132" s="46">
        <f t="shared" si="395"/>
        <v>876837</v>
      </c>
      <c r="R132" s="48">
        <f t="shared" si="395"/>
        <v>876837</v>
      </c>
      <c r="S132" s="45">
        <f t="shared" si="395"/>
        <v>876837</v>
      </c>
      <c r="T132" s="46">
        <f t="shared" si="395"/>
        <v>876837</v>
      </c>
      <c r="U132" s="1211">
        <f t="shared" si="395"/>
        <v>876837</v>
      </c>
      <c r="V132" s="47"/>
      <c r="W132" s="46">
        <f t="shared" ref="W132:AE132" si="396">V132</f>
        <v>0</v>
      </c>
      <c r="X132" s="46">
        <f t="shared" si="396"/>
        <v>0</v>
      </c>
      <c r="Y132" s="46">
        <f t="shared" si="396"/>
        <v>0</v>
      </c>
      <c r="Z132" s="46">
        <f t="shared" si="396"/>
        <v>0</v>
      </c>
      <c r="AA132" s="46">
        <f t="shared" si="396"/>
        <v>0</v>
      </c>
      <c r="AB132" s="46">
        <f t="shared" si="396"/>
        <v>0</v>
      </c>
      <c r="AC132" s="46">
        <f t="shared" si="396"/>
        <v>0</v>
      </c>
      <c r="AD132" s="48">
        <f t="shared" si="396"/>
        <v>0</v>
      </c>
      <c r="AE132" s="45">
        <f t="shared" si="396"/>
        <v>0</v>
      </c>
      <c r="AF132" s="46">
        <f t="shared" si="388"/>
        <v>0</v>
      </c>
      <c r="AG132" s="47">
        <f t="shared" si="388"/>
        <v>0</v>
      </c>
      <c r="AH132" s="46">
        <f t="shared" si="389"/>
        <v>0</v>
      </c>
      <c r="AI132" s="46">
        <f t="shared" si="389"/>
        <v>0</v>
      </c>
      <c r="AJ132" s="46">
        <f t="shared" si="389"/>
        <v>0</v>
      </c>
      <c r="AK132" s="46">
        <f t="shared" si="389"/>
        <v>0</v>
      </c>
      <c r="AL132" s="46">
        <f t="shared" si="389"/>
        <v>0</v>
      </c>
      <c r="AM132" s="46">
        <f t="shared" si="389"/>
        <v>0</v>
      </c>
      <c r="AN132" s="46">
        <f t="shared" si="389"/>
        <v>0</v>
      </c>
      <c r="AO132" s="46">
        <f t="shared" si="389"/>
        <v>0</v>
      </c>
      <c r="AP132" s="48">
        <f>AC132</f>
        <v>0</v>
      </c>
      <c r="AQ132" s="688">
        <f t="shared" ref="AQ132:BB132" si="397">+AP132</f>
        <v>0</v>
      </c>
      <c r="AR132" s="688">
        <f t="shared" si="397"/>
        <v>0</v>
      </c>
      <c r="AS132" s="697">
        <f t="shared" si="391"/>
        <v>0</v>
      </c>
      <c r="AT132" s="688">
        <f t="shared" si="397"/>
        <v>0</v>
      </c>
      <c r="AU132" s="688">
        <f t="shared" si="397"/>
        <v>0</v>
      </c>
      <c r="AV132" s="688">
        <f t="shared" si="397"/>
        <v>0</v>
      </c>
      <c r="AW132" s="688">
        <f t="shared" si="397"/>
        <v>0</v>
      </c>
      <c r="AX132" s="688">
        <f t="shared" si="397"/>
        <v>0</v>
      </c>
      <c r="AY132" s="688">
        <f t="shared" si="397"/>
        <v>0</v>
      </c>
      <c r="AZ132" s="688">
        <f t="shared" si="397"/>
        <v>0</v>
      </c>
      <c r="BA132" s="688">
        <f t="shared" si="397"/>
        <v>0</v>
      </c>
      <c r="BB132" s="48">
        <f t="shared" si="397"/>
        <v>0</v>
      </c>
      <c r="BC132" s="10" t="str">
        <f t="shared" si="106"/>
        <v>수석보(CL3)</v>
      </c>
      <c r="BD132" s="10" t="str">
        <f>B132&amp;E132</f>
        <v>CL3(책임-수석보)</v>
      </c>
      <c r="BG132" s="540"/>
      <c r="BH132" s="540"/>
    </row>
    <row r="133" spans="1:60">
      <c r="A133" s="526" t="str">
        <f t="shared" si="368"/>
        <v>CL2(사원-선임)</v>
      </c>
      <c r="B133" s="526"/>
      <c r="C133" s="17" t="s">
        <v>248</v>
      </c>
      <c r="D133" s="18" t="s">
        <v>111</v>
      </c>
      <c r="E133" s="17" t="s">
        <v>457</v>
      </c>
      <c r="F133" s="18" t="s">
        <v>461</v>
      </c>
      <c r="G133" s="45">
        <v>542821</v>
      </c>
      <c r="H133" s="46">
        <v>542821</v>
      </c>
      <c r="I133" s="47">
        <v>592497</v>
      </c>
      <c r="J133" s="46">
        <f t="shared" ref="J133:U133" si="398">I133</f>
        <v>592497</v>
      </c>
      <c r="K133" s="46">
        <f t="shared" si="398"/>
        <v>592497</v>
      </c>
      <c r="L133" s="46">
        <f t="shared" si="398"/>
        <v>592497</v>
      </c>
      <c r="M133" s="46">
        <f t="shared" si="398"/>
        <v>592497</v>
      </c>
      <c r="N133" s="46">
        <f t="shared" si="398"/>
        <v>592497</v>
      </c>
      <c r="O133" s="46">
        <f t="shared" si="398"/>
        <v>592497</v>
      </c>
      <c r="P133" s="46">
        <f t="shared" si="398"/>
        <v>592497</v>
      </c>
      <c r="Q133" s="46">
        <f t="shared" si="398"/>
        <v>592497</v>
      </c>
      <c r="R133" s="48">
        <f t="shared" si="398"/>
        <v>592497</v>
      </c>
      <c r="S133" s="45">
        <f t="shared" si="398"/>
        <v>592497</v>
      </c>
      <c r="T133" s="46">
        <f t="shared" si="398"/>
        <v>592497</v>
      </c>
      <c r="U133" s="1211">
        <f t="shared" si="398"/>
        <v>592497</v>
      </c>
      <c r="V133" s="47"/>
      <c r="W133" s="46">
        <f t="shared" ref="W133:AE133" si="399">V133</f>
        <v>0</v>
      </c>
      <c r="X133" s="46">
        <f t="shared" si="399"/>
        <v>0</v>
      </c>
      <c r="Y133" s="46">
        <f t="shared" si="399"/>
        <v>0</v>
      </c>
      <c r="Z133" s="46">
        <f t="shared" si="399"/>
        <v>0</v>
      </c>
      <c r="AA133" s="46">
        <f t="shared" si="399"/>
        <v>0</v>
      </c>
      <c r="AB133" s="46">
        <f t="shared" si="399"/>
        <v>0</v>
      </c>
      <c r="AC133" s="46">
        <f t="shared" si="399"/>
        <v>0</v>
      </c>
      <c r="AD133" s="48">
        <f t="shared" si="399"/>
        <v>0</v>
      </c>
      <c r="AE133" s="45">
        <f t="shared" si="399"/>
        <v>0</v>
      </c>
      <c r="AF133" s="46">
        <f t="shared" si="388"/>
        <v>0</v>
      </c>
      <c r="AG133" s="47">
        <f t="shared" si="388"/>
        <v>0</v>
      </c>
      <c r="AH133" s="46">
        <f t="shared" si="389"/>
        <v>0</v>
      </c>
      <c r="AI133" s="46">
        <f t="shared" si="389"/>
        <v>0</v>
      </c>
      <c r="AJ133" s="46">
        <f t="shared" si="389"/>
        <v>0</v>
      </c>
      <c r="AK133" s="46">
        <f t="shared" si="389"/>
        <v>0</v>
      </c>
      <c r="AL133" s="46">
        <f t="shared" si="389"/>
        <v>0</v>
      </c>
      <c r="AM133" s="46">
        <f t="shared" si="389"/>
        <v>0</v>
      </c>
      <c r="AN133" s="46">
        <f t="shared" si="389"/>
        <v>0</v>
      </c>
      <c r="AO133" s="46">
        <f t="shared" si="389"/>
        <v>0</v>
      </c>
      <c r="AP133" s="48">
        <f>AC133</f>
        <v>0</v>
      </c>
      <c r="AQ133" s="688">
        <f t="shared" ref="AQ133:BB133" si="400">+AP133</f>
        <v>0</v>
      </c>
      <c r="AR133" s="688">
        <f t="shared" si="400"/>
        <v>0</v>
      </c>
      <c r="AS133" s="697">
        <f t="shared" si="391"/>
        <v>0</v>
      </c>
      <c r="AT133" s="688">
        <f t="shared" si="400"/>
        <v>0</v>
      </c>
      <c r="AU133" s="688">
        <f t="shared" si="400"/>
        <v>0</v>
      </c>
      <c r="AV133" s="688">
        <f t="shared" si="400"/>
        <v>0</v>
      </c>
      <c r="AW133" s="688">
        <f t="shared" si="400"/>
        <v>0</v>
      </c>
      <c r="AX133" s="688">
        <f t="shared" si="400"/>
        <v>0</v>
      </c>
      <c r="AY133" s="688">
        <f t="shared" si="400"/>
        <v>0</v>
      </c>
      <c r="AZ133" s="688">
        <f t="shared" si="400"/>
        <v>0</v>
      </c>
      <c r="BA133" s="688">
        <f t="shared" si="400"/>
        <v>0</v>
      </c>
      <c r="BB133" s="48">
        <f t="shared" si="400"/>
        <v>0</v>
      </c>
      <c r="BC133" s="10" t="str">
        <f t="shared" si="106"/>
        <v>책임(CL3)</v>
      </c>
      <c r="BD133" s="10" t="str">
        <f>B133&amp;E133</f>
        <v>CL2(사원-선임)</v>
      </c>
      <c r="BG133" s="540"/>
      <c r="BH133" s="540"/>
    </row>
    <row r="134" spans="1:60">
      <c r="A134" s="526" t="str">
        <f t="shared" si="368"/>
        <v/>
      </c>
      <c r="B134" s="526"/>
      <c r="C134" s="17" t="s">
        <v>249</v>
      </c>
      <c r="D134" s="18" t="s">
        <v>112</v>
      </c>
      <c r="E134" s="17"/>
      <c r="F134" s="18"/>
      <c r="G134" s="45"/>
      <c r="H134" s="46"/>
      <c r="I134" s="47"/>
      <c r="J134" s="46"/>
      <c r="K134" s="46"/>
      <c r="L134" s="46"/>
      <c r="M134" s="46"/>
      <c r="N134" s="46"/>
      <c r="O134" s="46"/>
      <c r="P134" s="46"/>
      <c r="Q134" s="46"/>
      <c r="R134" s="48"/>
      <c r="S134" s="45"/>
      <c r="T134" s="46"/>
      <c r="U134" s="1211">
        <f t="shared" ref="U134:U135" si="401">ROUND(T134*105%,0)</f>
        <v>0</v>
      </c>
      <c r="V134" s="47"/>
      <c r="W134" s="46"/>
      <c r="X134" s="46"/>
      <c r="Y134" s="46"/>
      <c r="Z134" s="46"/>
      <c r="AA134" s="46"/>
      <c r="AB134" s="46"/>
      <c r="AC134" s="46"/>
      <c r="AD134" s="48"/>
      <c r="AE134" s="45"/>
      <c r="AF134" s="46"/>
      <c r="AG134" s="47"/>
      <c r="AH134" s="46"/>
      <c r="AI134" s="46"/>
      <c r="AJ134" s="46"/>
      <c r="AK134" s="46"/>
      <c r="AL134" s="46"/>
      <c r="AM134" s="46"/>
      <c r="AN134" s="46"/>
      <c r="AO134" s="46"/>
      <c r="AP134" s="48"/>
      <c r="AQ134" s="688">
        <f t="shared" ref="AQ134:BB134" si="402">+AP134</f>
        <v>0</v>
      </c>
      <c r="AR134" s="688">
        <f t="shared" si="402"/>
        <v>0</v>
      </c>
      <c r="AS134" s="697"/>
      <c r="AT134" s="688">
        <f t="shared" si="402"/>
        <v>0</v>
      </c>
      <c r="AU134" s="688">
        <f t="shared" si="402"/>
        <v>0</v>
      </c>
      <c r="AV134" s="688">
        <f t="shared" si="402"/>
        <v>0</v>
      </c>
      <c r="AW134" s="688">
        <f t="shared" si="402"/>
        <v>0</v>
      </c>
      <c r="AX134" s="688">
        <f t="shared" si="402"/>
        <v>0</v>
      </c>
      <c r="AY134" s="688">
        <f t="shared" si="402"/>
        <v>0</v>
      </c>
      <c r="AZ134" s="688">
        <f t="shared" si="402"/>
        <v>0</v>
      </c>
      <c r="BA134" s="688">
        <f t="shared" si="402"/>
        <v>0</v>
      </c>
      <c r="BB134" s="48">
        <f t="shared" si="402"/>
        <v>0</v>
      </c>
      <c r="BC134" s="10" t="str">
        <f t="shared" ref="BC134:BC135" si="403">B134&amp;C134</f>
        <v>선임(CL2)</v>
      </c>
      <c r="BD134" s="10" t="s">
        <v>451</v>
      </c>
      <c r="BG134" s="540"/>
      <c r="BH134" s="540"/>
    </row>
    <row r="135" spans="1:60">
      <c r="A135" s="528" t="str">
        <f t="shared" si="368"/>
        <v/>
      </c>
      <c r="B135" s="528"/>
      <c r="C135" s="19" t="s">
        <v>250</v>
      </c>
      <c r="D135" s="20" t="s">
        <v>104</v>
      </c>
      <c r="E135" s="19"/>
      <c r="F135" s="20"/>
      <c r="G135" s="49"/>
      <c r="H135" s="50"/>
      <c r="I135" s="51"/>
      <c r="J135" s="50"/>
      <c r="K135" s="50"/>
      <c r="L135" s="50"/>
      <c r="M135" s="50"/>
      <c r="N135" s="50"/>
      <c r="O135" s="50"/>
      <c r="P135" s="50"/>
      <c r="Q135" s="50"/>
      <c r="R135" s="52"/>
      <c r="S135" s="49"/>
      <c r="T135" s="50"/>
      <c r="U135" s="1212">
        <f t="shared" si="401"/>
        <v>0</v>
      </c>
      <c r="V135" s="51"/>
      <c r="W135" s="50"/>
      <c r="X135" s="50"/>
      <c r="Y135" s="50"/>
      <c r="Z135" s="50"/>
      <c r="AA135" s="50"/>
      <c r="AB135" s="50"/>
      <c r="AC135" s="50"/>
      <c r="AD135" s="52"/>
      <c r="AE135" s="49"/>
      <c r="AF135" s="50"/>
      <c r="AG135" s="51"/>
      <c r="AH135" s="50"/>
      <c r="AI135" s="50"/>
      <c r="AJ135" s="50"/>
      <c r="AK135" s="50"/>
      <c r="AL135" s="50"/>
      <c r="AM135" s="50"/>
      <c r="AN135" s="50"/>
      <c r="AO135" s="50"/>
      <c r="AP135" s="52"/>
      <c r="AQ135" s="689">
        <f t="shared" ref="AQ135:BB135" si="404">+AP135</f>
        <v>0</v>
      </c>
      <c r="AR135" s="689">
        <f t="shared" si="404"/>
        <v>0</v>
      </c>
      <c r="AS135" s="698"/>
      <c r="AT135" s="689">
        <f t="shared" si="404"/>
        <v>0</v>
      </c>
      <c r="AU135" s="689">
        <f t="shared" si="404"/>
        <v>0</v>
      </c>
      <c r="AV135" s="689">
        <f t="shared" si="404"/>
        <v>0</v>
      </c>
      <c r="AW135" s="689">
        <f t="shared" si="404"/>
        <v>0</v>
      </c>
      <c r="AX135" s="689">
        <f t="shared" si="404"/>
        <v>0</v>
      </c>
      <c r="AY135" s="689">
        <f t="shared" si="404"/>
        <v>0</v>
      </c>
      <c r="AZ135" s="689">
        <f t="shared" si="404"/>
        <v>0</v>
      </c>
      <c r="BA135" s="689">
        <f t="shared" si="404"/>
        <v>0</v>
      </c>
      <c r="BB135" s="52">
        <f t="shared" si="404"/>
        <v>0</v>
      </c>
      <c r="BC135" s="10" t="str">
        <f t="shared" si="403"/>
        <v>사원(CL1-CL2)</v>
      </c>
      <c r="BD135" s="10" t="s">
        <v>452</v>
      </c>
      <c r="BG135" s="540"/>
      <c r="BH135" s="540"/>
    </row>
  </sheetData>
  <autoFilter ref="A3:BH135"/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showGridLines="0" workbookViewId="0">
      <selection activeCell="G35" sqref="G35"/>
    </sheetView>
  </sheetViews>
  <sheetFormatPr defaultRowHeight="16.899999999999999"/>
  <cols>
    <col min="1" max="1" width="22.0625" bestFit="1" customWidth="1"/>
    <col min="2" max="2" width="16.0625" customWidth="1"/>
    <col min="3" max="3" width="11.5625" customWidth="1"/>
    <col min="10" max="10" width="16.0625" bestFit="1" customWidth="1"/>
    <col min="13" max="13" width="25" bestFit="1" customWidth="1"/>
    <col min="14" max="14" width="29.1875" customWidth="1"/>
    <col min="15" max="15" width="15.6875" bestFit="1" customWidth="1"/>
  </cols>
  <sheetData>
    <row r="1" spans="1:17">
      <c r="A1" s="1099" t="s">
        <v>106</v>
      </c>
      <c r="B1" t="s">
        <v>114</v>
      </c>
      <c r="C1" t="s">
        <v>115</v>
      </c>
      <c r="D1" t="s">
        <v>1112</v>
      </c>
      <c r="E1" t="s">
        <v>195</v>
      </c>
      <c r="F1" t="s">
        <v>700</v>
      </c>
      <c r="G1" t="s">
        <v>197</v>
      </c>
      <c r="H1">
        <v>30</v>
      </c>
      <c r="I1" t="s">
        <v>270</v>
      </c>
      <c r="J1" s="288" t="s">
        <v>985</v>
      </c>
      <c r="K1" t="s">
        <v>319</v>
      </c>
      <c r="M1" s="1186" t="s">
        <v>113</v>
      </c>
      <c r="N1" t="s">
        <v>954</v>
      </c>
      <c r="O1" t="s">
        <v>1016</v>
      </c>
      <c r="P1" t="s">
        <v>422</v>
      </c>
      <c r="Q1" s="77" t="s">
        <v>616</v>
      </c>
    </row>
    <row r="2" spans="1:17">
      <c r="A2" s="1100" t="s">
        <v>522</v>
      </c>
      <c r="B2" t="s">
        <v>454</v>
      </c>
      <c r="C2" t="s">
        <v>446</v>
      </c>
      <c r="D2" t="s">
        <v>1113</v>
      </c>
      <c r="E2" t="s">
        <v>196</v>
      </c>
      <c r="F2" t="s">
        <v>701</v>
      </c>
      <c r="G2" t="s">
        <v>198</v>
      </c>
      <c r="H2">
        <v>60</v>
      </c>
      <c r="I2" t="s">
        <v>271</v>
      </c>
      <c r="J2" s="288" t="s">
        <v>417</v>
      </c>
      <c r="K2" t="s">
        <v>320</v>
      </c>
      <c r="M2" s="1186" t="s">
        <v>659</v>
      </c>
      <c r="N2" t="s">
        <v>952</v>
      </c>
      <c r="O2" t="s">
        <v>293</v>
      </c>
      <c r="P2" t="s">
        <v>423</v>
      </c>
      <c r="Q2" s="77" t="s">
        <v>615</v>
      </c>
    </row>
    <row r="3" spans="1:17">
      <c r="A3" s="1100" t="s">
        <v>521</v>
      </c>
      <c r="B3" t="s">
        <v>456</v>
      </c>
      <c r="C3" t="s">
        <v>460</v>
      </c>
      <c r="D3" t="s">
        <v>1114</v>
      </c>
      <c r="E3" t="s">
        <v>999</v>
      </c>
      <c r="H3">
        <v>90</v>
      </c>
      <c r="J3" t="s">
        <v>1017</v>
      </c>
      <c r="K3" t="s">
        <v>321</v>
      </c>
      <c r="M3" s="1186" t="s">
        <v>666</v>
      </c>
      <c r="N3" t="s">
        <v>953</v>
      </c>
      <c r="O3" t="s">
        <v>1099</v>
      </c>
      <c r="Q3" t="s">
        <v>1091</v>
      </c>
    </row>
    <row r="4" spans="1:17">
      <c r="A4" s="1100" t="s">
        <v>532</v>
      </c>
      <c r="B4" t="s">
        <v>458</v>
      </c>
      <c r="C4" t="s">
        <v>462</v>
      </c>
      <c r="D4" t="s">
        <v>1115</v>
      </c>
      <c r="H4">
        <v>120</v>
      </c>
      <c r="J4" t="s">
        <v>1018</v>
      </c>
      <c r="K4" t="s">
        <v>322</v>
      </c>
      <c r="M4" s="1186" t="s">
        <v>658</v>
      </c>
      <c r="N4" t="s">
        <v>955</v>
      </c>
      <c r="O4" t="s">
        <v>949</v>
      </c>
    </row>
    <row r="5" spans="1:17">
      <c r="A5" s="1100" t="s">
        <v>520</v>
      </c>
      <c r="B5" t="s">
        <v>497</v>
      </c>
      <c r="C5" t="s">
        <v>499</v>
      </c>
      <c r="D5" t="s">
        <v>950</v>
      </c>
      <c r="J5" s="288" t="s">
        <v>988</v>
      </c>
      <c r="K5" t="s">
        <v>323</v>
      </c>
      <c r="M5" s="1186" t="s">
        <v>667</v>
      </c>
      <c r="N5" t="s">
        <v>956</v>
      </c>
    </row>
    <row r="6" spans="1:17">
      <c r="A6" s="1100" t="s">
        <v>657</v>
      </c>
      <c r="D6" t="s">
        <v>951</v>
      </c>
      <c r="J6" s="288" t="s">
        <v>987</v>
      </c>
      <c r="K6" t="s">
        <v>324</v>
      </c>
      <c r="M6" s="1186" t="s">
        <v>664</v>
      </c>
      <c r="N6" t="s">
        <v>957</v>
      </c>
    </row>
    <row r="7" spans="1:17">
      <c r="A7" s="1100" t="s">
        <v>523</v>
      </c>
      <c r="J7" s="288" t="s">
        <v>1092</v>
      </c>
      <c r="K7" t="s">
        <v>325</v>
      </c>
      <c r="M7" s="1186" t="s">
        <v>662</v>
      </c>
      <c r="N7" t="s">
        <v>958</v>
      </c>
    </row>
    <row r="8" spans="1:17">
      <c r="A8" s="1100" t="s">
        <v>533</v>
      </c>
      <c r="J8" s="288"/>
      <c r="K8" t="s">
        <v>326</v>
      </c>
      <c r="M8" s="1186" t="s">
        <v>684</v>
      </c>
      <c r="N8" t="s">
        <v>959</v>
      </c>
    </row>
    <row r="9" spans="1:17">
      <c r="A9" s="1100" t="s">
        <v>1018</v>
      </c>
      <c r="J9" s="288"/>
      <c r="K9" t="s">
        <v>327</v>
      </c>
      <c r="M9" s="1186" t="s">
        <v>660</v>
      </c>
      <c r="N9" t="s">
        <v>1001</v>
      </c>
    </row>
    <row r="10" spans="1:17">
      <c r="A10" s="1100" t="s">
        <v>1075</v>
      </c>
      <c r="J10" s="288"/>
      <c r="K10" t="s">
        <v>328</v>
      </c>
      <c r="M10" s="1186" t="s">
        <v>610</v>
      </c>
      <c r="N10" t="s">
        <v>960</v>
      </c>
    </row>
    <row r="11" spans="1:17">
      <c r="A11" s="1100" t="s">
        <v>1020</v>
      </c>
      <c r="J11" s="288"/>
      <c r="K11" t="s">
        <v>329</v>
      </c>
      <c r="M11" s="1186" t="s">
        <v>561</v>
      </c>
      <c r="N11" t="s">
        <v>961</v>
      </c>
    </row>
    <row r="12" spans="1:17">
      <c r="A12" s="1100" t="s">
        <v>1019</v>
      </c>
      <c r="J12" s="288"/>
      <c r="K12" t="s">
        <v>330</v>
      </c>
      <c r="M12" s="1186" t="s">
        <v>559</v>
      </c>
      <c r="N12" t="s">
        <v>962</v>
      </c>
    </row>
    <row r="13" spans="1:17">
      <c r="J13" s="288"/>
      <c r="K13" t="s">
        <v>331</v>
      </c>
      <c r="M13" s="1186" t="s">
        <v>611</v>
      </c>
      <c r="N13" t="s">
        <v>963</v>
      </c>
    </row>
    <row r="14" spans="1:17">
      <c r="A14" s="10"/>
      <c r="J14" s="288"/>
      <c r="K14" t="s">
        <v>332</v>
      </c>
      <c r="M14" s="1186" t="s">
        <v>558</v>
      </c>
      <c r="N14" t="s">
        <v>964</v>
      </c>
    </row>
    <row r="15" spans="1:17">
      <c r="A15" s="10"/>
      <c r="J15" s="288"/>
      <c r="K15" t="s">
        <v>333</v>
      </c>
      <c r="M15" s="1186" t="s">
        <v>612</v>
      </c>
      <c r="N15" t="s">
        <v>1109</v>
      </c>
    </row>
    <row r="16" spans="1:17">
      <c r="K16" t="s">
        <v>334</v>
      </c>
      <c r="M16" s="1186" t="s">
        <v>613</v>
      </c>
      <c r="N16" t="s">
        <v>965</v>
      </c>
    </row>
    <row r="17" spans="1:17">
      <c r="K17" t="s">
        <v>335</v>
      </c>
      <c r="M17" s="1186" t="s">
        <v>562</v>
      </c>
      <c r="N17" t="s">
        <v>966</v>
      </c>
    </row>
    <row r="18" spans="1:17">
      <c r="K18" t="s">
        <v>336</v>
      </c>
      <c r="M18" s="1186" t="s">
        <v>636</v>
      </c>
      <c r="N18" t="s">
        <v>935</v>
      </c>
    </row>
    <row r="19" spans="1:17">
      <c r="K19" t="s">
        <v>337</v>
      </c>
      <c r="M19" s="1186" t="s">
        <v>683</v>
      </c>
      <c r="N19" s="1101" t="s">
        <v>1122</v>
      </c>
    </row>
    <row r="20" spans="1:17">
      <c r="K20" t="s">
        <v>338</v>
      </c>
      <c r="M20" s="1187" t="s">
        <v>673</v>
      </c>
      <c r="N20" s="463" t="s">
        <v>1061</v>
      </c>
    </row>
    <row r="21" spans="1:17">
      <c r="K21" t="s">
        <v>339</v>
      </c>
      <c r="M21" s="1188" t="s">
        <v>674</v>
      </c>
      <c r="N21" s="463"/>
    </row>
    <row r="22" spans="1:17">
      <c r="K22" t="s">
        <v>340</v>
      </c>
      <c r="M22" s="1188" t="s">
        <v>675</v>
      </c>
      <c r="N22" s="765"/>
    </row>
    <row r="23" spans="1:17">
      <c r="K23" t="s">
        <v>341</v>
      </c>
    </row>
    <row r="24" spans="1:17">
      <c r="K24" t="s">
        <v>342</v>
      </c>
      <c r="Q24" s="641"/>
    </row>
    <row r="25" spans="1:17">
      <c r="A25" s="1109" t="s">
        <v>984</v>
      </c>
      <c r="B25" s="1112" t="s">
        <v>969</v>
      </c>
      <c r="C25" s="1104" t="s">
        <v>970</v>
      </c>
      <c r="Q25" s="641"/>
    </row>
    <row r="26" spans="1:17">
      <c r="A26" s="1109" t="s">
        <v>971</v>
      </c>
      <c r="B26" s="1113" t="s">
        <v>704</v>
      </c>
      <c r="C26" s="1108" t="s">
        <v>972</v>
      </c>
      <c r="Q26" s="641"/>
    </row>
    <row r="27" spans="1:17">
      <c r="A27" s="1110" t="s">
        <v>971</v>
      </c>
      <c r="B27" s="1114" t="s">
        <v>704</v>
      </c>
      <c r="C27" s="1105" t="s">
        <v>973</v>
      </c>
      <c r="Q27" s="641"/>
    </row>
    <row r="28" spans="1:17">
      <c r="A28" s="1110" t="s">
        <v>971</v>
      </c>
      <c r="B28" s="1115" t="s">
        <v>704</v>
      </c>
      <c r="C28" s="1106" t="s">
        <v>974</v>
      </c>
      <c r="Q28" s="641"/>
    </row>
    <row r="29" spans="1:17">
      <c r="A29" s="1110" t="s">
        <v>971</v>
      </c>
      <c r="B29" s="1114" t="s">
        <v>989</v>
      </c>
      <c r="C29" s="1105" t="s">
        <v>973</v>
      </c>
      <c r="Q29" s="641"/>
    </row>
    <row r="30" spans="1:17">
      <c r="A30" s="1111" t="s">
        <v>971</v>
      </c>
      <c r="B30" s="1114" t="s">
        <v>989</v>
      </c>
      <c r="C30" s="1107" t="s">
        <v>972</v>
      </c>
      <c r="Q30" s="641"/>
    </row>
    <row r="31" spans="1:17">
      <c r="A31" s="1110" t="s">
        <v>975</v>
      </c>
      <c r="B31" s="1113" t="s">
        <v>976</v>
      </c>
      <c r="C31" s="1108" t="s">
        <v>973</v>
      </c>
      <c r="Q31" s="641"/>
    </row>
    <row r="32" spans="1:17">
      <c r="A32" s="1110" t="s">
        <v>975</v>
      </c>
      <c r="B32" s="1116" t="s">
        <v>976</v>
      </c>
      <c r="C32" s="1107" t="s">
        <v>972</v>
      </c>
      <c r="Q32" s="641"/>
    </row>
    <row r="33" spans="1:17">
      <c r="A33" s="1110" t="s">
        <v>975</v>
      </c>
      <c r="B33" s="1114" t="s">
        <v>977</v>
      </c>
      <c r="C33" s="1105" t="s">
        <v>973</v>
      </c>
      <c r="J33" s="1095"/>
      <c r="Q33" s="641"/>
    </row>
    <row r="34" spans="1:17">
      <c r="A34" s="1110" t="s">
        <v>975</v>
      </c>
      <c r="B34" s="1113" t="s">
        <v>978</v>
      </c>
      <c r="C34" s="1108" t="s">
        <v>973</v>
      </c>
      <c r="Q34" s="641"/>
    </row>
    <row r="35" spans="1:17">
      <c r="A35" s="1110" t="s">
        <v>975</v>
      </c>
      <c r="B35" s="1116" t="s">
        <v>978</v>
      </c>
      <c r="C35" s="1107" t="s">
        <v>972</v>
      </c>
      <c r="Q35" s="641"/>
    </row>
    <row r="36" spans="1:17">
      <c r="A36" s="1110" t="s">
        <v>975</v>
      </c>
      <c r="B36" s="1114" t="s">
        <v>977</v>
      </c>
      <c r="C36" s="1105" t="s">
        <v>972</v>
      </c>
      <c r="Q36" s="641"/>
    </row>
    <row r="37" spans="1:17">
      <c r="A37" s="1110" t="s">
        <v>975</v>
      </c>
      <c r="B37" s="1113" t="s">
        <v>980</v>
      </c>
      <c r="C37" s="1108" t="s">
        <v>972</v>
      </c>
    </row>
    <row r="38" spans="1:17">
      <c r="A38" s="1110" t="s">
        <v>975</v>
      </c>
      <c r="B38" s="1116" t="s">
        <v>980</v>
      </c>
      <c r="C38" s="1107" t="s">
        <v>973</v>
      </c>
    </row>
    <row r="39" spans="1:17">
      <c r="A39" s="1110" t="s">
        <v>975</v>
      </c>
      <c r="B39" s="1114" t="s">
        <v>979</v>
      </c>
      <c r="C39" s="1105" t="s">
        <v>972</v>
      </c>
      <c r="Q39" s="641"/>
    </row>
    <row r="40" spans="1:17">
      <c r="A40" s="1110" t="s">
        <v>975</v>
      </c>
      <c r="B40" s="1113" t="s">
        <v>981</v>
      </c>
      <c r="C40" s="1108" t="s">
        <v>973</v>
      </c>
    </row>
    <row r="41" spans="1:17">
      <c r="A41" s="1110" t="s">
        <v>975</v>
      </c>
      <c r="B41" s="1116" t="s">
        <v>981</v>
      </c>
      <c r="C41" s="1107" t="s">
        <v>972</v>
      </c>
    </row>
    <row r="42" spans="1:17">
      <c r="A42" s="1110" t="s">
        <v>975</v>
      </c>
      <c r="B42" s="1117" t="s">
        <v>982</v>
      </c>
      <c r="C42" s="1118" t="s">
        <v>972</v>
      </c>
    </row>
    <row r="43" spans="1:17">
      <c r="A43" s="1110" t="s">
        <v>975</v>
      </c>
      <c r="B43" s="1114" t="s">
        <v>983</v>
      </c>
      <c r="C43" s="1105" t="s">
        <v>972</v>
      </c>
    </row>
    <row r="44" spans="1:17">
      <c r="A44" s="1109" t="s">
        <v>512</v>
      </c>
      <c r="B44" s="1113" t="s">
        <v>512</v>
      </c>
      <c r="C44" s="1108" t="s">
        <v>973</v>
      </c>
    </row>
    <row r="45" spans="1:17">
      <c r="A45" s="1111" t="s">
        <v>512</v>
      </c>
      <c r="B45" s="1116" t="s">
        <v>512</v>
      </c>
      <c r="C45" s="1107" t="s">
        <v>972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C32"/>
  <sheetViews>
    <sheetView zoomScaleNormal="100" workbookViewId="0">
      <selection activeCell="L36" sqref="L36"/>
    </sheetView>
  </sheetViews>
  <sheetFormatPr defaultRowHeight="16.899999999999999"/>
  <cols>
    <col min="2" max="2" width="26.8125" bestFit="1" customWidth="1"/>
    <col min="3" max="3" width="46.6875" bestFit="1" customWidth="1"/>
  </cols>
  <sheetData>
    <row r="8" spans="2:3">
      <c r="B8" s="1095" t="s">
        <v>948</v>
      </c>
    </row>
    <row r="11" spans="2:3">
      <c r="B11" t="s">
        <v>913</v>
      </c>
      <c r="C11" t="s">
        <v>919</v>
      </c>
    </row>
    <row r="12" spans="2:3">
      <c r="B12" t="s">
        <v>914</v>
      </c>
      <c r="C12" t="s">
        <v>920</v>
      </c>
    </row>
    <row r="13" spans="2:3">
      <c r="B13" t="s">
        <v>665</v>
      </c>
      <c r="C13" t="s">
        <v>921</v>
      </c>
    </row>
    <row r="14" spans="2:3">
      <c r="B14" t="s">
        <v>915</v>
      </c>
      <c r="C14" t="s">
        <v>922</v>
      </c>
    </row>
    <row r="15" spans="2:3">
      <c r="B15" t="s">
        <v>916</v>
      </c>
      <c r="C15" t="s">
        <v>923</v>
      </c>
    </row>
    <row r="16" spans="2:3">
      <c r="B16" t="s">
        <v>663</v>
      </c>
      <c r="C16" t="s">
        <v>924</v>
      </c>
    </row>
    <row r="17" spans="2:3">
      <c r="B17" t="s">
        <v>917</v>
      </c>
      <c r="C17" t="s">
        <v>925</v>
      </c>
    </row>
    <row r="18" spans="2:3">
      <c r="B18" t="s">
        <v>918</v>
      </c>
      <c r="C18" t="s">
        <v>926</v>
      </c>
    </row>
    <row r="22" spans="2:3">
      <c r="B22" t="s">
        <v>927</v>
      </c>
      <c r="C22" t="s">
        <v>937</v>
      </c>
    </row>
    <row r="23" spans="2:3">
      <c r="B23" t="s">
        <v>928</v>
      </c>
      <c r="C23" t="s">
        <v>938</v>
      </c>
    </row>
    <row r="24" spans="2:3">
      <c r="B24" t="s">
        <v>929</v>
      </c>
      <c r="C24" t="s">
        <v>939</v>
      </c>
    </row>
    <row r="25" spans="2:3">
      <c r="B25" t="s">
        <v>930</v>
      </c>
      <c r="C25" t="s">
        <v>940</v>
      </c>
    </row>
    <row r="26" spans="2:3">
      <c r="B26" t="s">
        <v>931</v>
      </c>
      <c r="C26" t="s">
        <v>941</v>
      </c>
    </row>
    <row r="27" spans="2:3">
      <c r="B27" t="s">
        <v>932</v>
      </c>
      <c r="C27" t="s">
        <v>942</v>
      </c>
    </row>
    <row r="28" spans="2:3">
      <c r="B28" t="s">
        <v>661</v>
      </c>
      <c r="C28" t="s">
        <v>943</v>
      </c>
    </row>
    <row r="29" spans="2:3">
      <c r="B29" t="s">
        <v>933</v>
      </c>
      <c r="C29" t="s">
        <v>944</v>
      </c>
    </row>
    <row r="30" spans="2:3">
      <c r="B30" t="s">
        <v>934</v>
      </c>
      <c r="C30" t="s">
        <v>945</v>
      </c>
    </row>
    <row r="31" spans="2:3">
      <c r="B31" t="s">
        <v>935</v>
      </c>
      <c r="C31" t="s">
        <v>946</v>
      </c>
    </row>
    <row r="32" spans="2:3">
      <c r="B32" t="s">
        <v>936</v>
      </c>
      <c r="C32" t="s">
        <v>947</v>
      </c>
    </row>
  </sheetData>
  <phoneticPr fontId="1" type="noConversion"/>
  <pageMargins left="0.7" right="0.7" top="0.75" bottom="0.75" header="0.3" footer="0.3"/>
  <pageSetup paperSize="9" scale="98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K30"/>
  <sheetViews>
    <sheetView showGridLines="0" zoomScale="70" zoomScaleNormal="70" workbookViewId="0">
      <selection activeCell="C46" sqref="C46"/>
    </sheetView>
  </sheetViews>
  <sheetFormatPr defaultRowHeight="16.899999999999999"/>
  <cols>
    <col min="1" max="1" width="2.3125" customWidth="1"/>
    <col min="2" max="2" width="31.75" style="657" bestFit="1" customWidth="1"/>
    <col min="3" max="3" width="69.5" style="657" customWidth="1"/>
    <col min="4" max="4" width="15.5625" style="657" customWidth="1"/>
  </cols>
  <sheetData>
    <row r="3" spans="2:37" ht="24.7" customHeight="1">
      <c r="B3" s="732" t="s">
        <v>637</v>
      </c>
      <c r="C3" s="733" t="s">
        <v>638</v>
      </c>
      <c r="D3" s="734" t="s">
        <v>639</v>
      </c>
    </row>
    <row r="4" spans="2:37" ht="33.75">
      <c r="B4" s="735" t="s">
        <v>640</v>
      </c>
      <c r="C4" s="741" t="s">
        <v>641</v>
      </c>
      <c r="D4" s="736" t="s">
        <v>642</v>
      </c>
      <c r="P4" t="s">
        <v>875</v>
      </c>
    </row>
    <row r="5" spans="2:37">
      <c r="B5" s="735" t="s">
        <v>643</v>
      </c>
      <c r="C5" s="742" t="s">
        <v>646</v>
      </c>
      <c r="D5" s="737" t="s">
        <v>644</v>
      </c>
      <c r="AJ5" s="1055" t="s">
        <v>884</v>
      </c>
      <c r="AK5" s="1056" t="s">
        <v>885</v>
      </c>
    </row>
    <row r="6" spans="2:37" ht="33.75">
      <c r="B6" s="735" t="s">
        <v>647</v>
      </c>
      <c r="C6" s="741" t="s">
        <v>651</v>
      </c>
      <c r="D6" s="737" t="s">
        <v>644</v>
      </c>
      <c r="P6" t="s">
        <v>876</v>
      </c>
      <c r="Y6" t="s">
        <v>879</v>
      </c>
      <c r="AA6" t="s">
        <v>903</v>
      </c>
      <c r="AJ6" s="1055" t="s">
        <v>886</v>
      </c>
      <c r="AK6" s="1056" t="s">
        <v>887</v>
      </c>
    </row>
    <row r="7" spans="2:37">
      <c r="B7" s="735" t="s">
        <v>648</v>
      </c>
      <c r="C7" s="742" t="s">
        <v>649</v>
      </c>
      <c r="D7" s="737" t="s">
        <v>644</v>
      </c>
      <c r="P7" t="s">
        <v>877</v>
      </c>
      <c r="AJ7" s="1055" t="s">
        <v>888</v>
      </c>
      <c r="AK7" s="1055" t="s">
        <v>889</v>
      </c>
    </row>
    <row r="8" spans="2:37" ht="33.75">
      <c r="B8" s="735" t="s">
        <v>650</v>
      </c>
      <c r="C8" s="741" t="s">
        <v>652</v>
      </c>
      <c r="D8" s="737" t="s">
        <v>644</v>
      </c>
      <c r="P8" t="s">
        <v>878</v>
      </c>
      <c r="Y8" t="s">
        <v>881</v>
      </c>
      <c r="Z8" t="s">
        <v>880</v>
      </c>
      <c r="AJ8" s="1055" t="s">
        <v>890</v>
      </c>
      <c r="AK8" s="1055" t="s">
        <v>891</v>
      </c>
    </row>
    <row r="9" spans="2:37">
      <c r="B9" s="735" t="s">
        <v>653</v>
      </c>
      <c r="C9" s="742" t="s">
        <v>654</v>
      </c>
      <c r="D9" s="737" t="s">
        <v>644</v>
      </c>
      <c r="Y9" t="s">
        <v>882</v>
      </c>
      <c r="Z9" t="s">
        <v>883</v>
      </c>
      <c r="AJ9" s="1055" t="s">
        <v>892</v>
      </c>
      <c r="AK9" s="1055" t="s">
        <v>893</v>
      </c>
    </row>
    <row r="10" spans="2:37">
      <c r="B10" s="735" t="s">
        <v>655</v>
      </c>
      <c r="C10" s="742" t="s">
        <v>656</v>
      </c>
      <c r="D10" s="737" t="s">
        <v>644</v>
      </c>
    </row>
    <row r="11" spans="2:37">
      <c r="B11" s="735" t="s">
        <v>690</v>
      </c>
      <c r="C11" s="742" t="s">
        <v>689</v>
      </c>
      <c r="D11" s="737" t="s">
        <v>644</v>
      </c>
    </row>
    <row r="12" spans="2:37">
      <c r="B12" s="735" t="s">
        <v>691</v>
      </c>
      <c r="C12" s="743" t="s">
        <v>692</v>
      </c>
      <c r="D12" s="737" t="s">
        <v>644</v>
      </c>
    </row>
    <row r="13" spans="2:37">
      <c r="B13" s="735" t="s">
        <v>693</v>
      </c>
      <c r="C13" s="742" t="s">
        <v>694</v>
      </c>
      <c r="D13" s="737" t="s">
        <v>644</v>
      </c>
    </row>
    <row r="14" spans="2:37" ht="67.5">
      <c r="B14" s="735" t="s">
        <v>703</v>
      </c>
      <c r="C14" s="741" t="s">
        <v>706</v>
      </c>
      <c r="D14" s="737" t="s">
        <v>644</v>
      </c>
    </row>
    <row r="15" spans="2:37">
      <c r="B15" s="735" t="s">
        <v>707</v>
      </c>
      <c r="C15" s="742" t="s">
        <v>705</v>
      </c>
      <c r="D15" s="737" t="s">
        <v>644</v>
      </c>
    </row>
    <row r="16" spans="2:37">
      <c r="B16" s="735" t="s">
        <v>905</v>
      </c>
      <c r="C16" s="742" t="s">
        <v>906</v>
      </c>
      <c r="D16" s="737" t="s">
        <v>644</v>
      </c>
    </row>
    <row r="17" spans="2:29">
      <c r="B17" s="735" t="s">
        <v>1086</v>
      </c>
      <c r="C17" s="742" t="s">
        <v>1087</v>
      </c>
      <c r="D17" s="737" t="s">
        <v>644</v>
      </c>
    </row>
    <row r="18" spans="2:29">
      <c r="B18" s="735" t="s">
        <v>1088</v>
      </c>
      <c r="C18" s="742" t="s">
        <v>1089</v>
      </c>
      <c r="D18" s="737" t="s">
        <v>644</v>
      </c>
      <c r="Z18" t="s">
        <v>417</v>
      </c>
    </row>
    <row r="19" spans="2:29" ht="118.15">
      <c r="B19" s="735" t="s">
        <v>1104</v>
      </c>
      <c r="C19" s="741" t="s">
        <v>1124</v>
      </c>
      <c r="D19" s="737" t="s">
        <v>644</v>
      </c>
      <c r="Z19" t="s">
        <v>894</v>
      </c>
    </row>
    <row r="20" spans="2:29" ht="33.75">
      <c r="B20" s="735" t="s">
        <v>1146</v>
      </c>
      <c r="C20" s="741" t="s">
        <v>1147</v>
      </c>
      <c r="D20" s="737" t="s">
        <v>644</v>
      </c>
      <c r="Z20" t="s">
        <v>895</v>
      </c>
      <c r="AC20" t="s">
        <v>902</v>
      </c>
    </row>
    <row r="21" spans="2:29">
      <c r="B21" s="735" t="s">
        <v>1150</v>
      </c>
      <c r="C21" s="742" t="s">
        <v>1151</v>
      </c>
      <c r="D21" s="737" t="s">
        <v>1154</v>
      </c>
      <c r="Z21" t="s">
        <v>896</v>
      </c>
    </row>
    <row r="22" spans="2:29">
      <c r="B22" s="735" t="s">
        <v>1152</v>
      </c>
      <c r="C22" s="742" t="s">
        <v>1153</v>
      </c>
      <c r="D22" s="737" t="s">
        <v>1154</v>
      </c>
      <c r="Z22" s="1057" t="s">
        <v>897</v>
      </c>
    </row>
    <row r="23" spans="2:29">
      <c r="B23" s="735"/>
      <c r="C23" s="743"/>
      <c r="D23" s="737"/>
      <c r="Z23" s="1057" t="s">
        <v>898</v>
      </c>
    </row>
    <row r="24" spans="2:29">
      <c r="B24" s="735"/>
      <c r="C24" s="743"/>
      <c r="D24" s="737"/>
      <c r="Z24" s="1057" t="s">
        <v>899</v>
      </c>
    </row>
    <row r="25" spans="2:29">
      <c r="B25" s="735"/>
      <c r="C25" s="743"/>
      <c r="D25" s="737"/>
      <c r="Z25" t="s">
        <v>900</v>
      </c>
    </row>
    <row r="26" spans="2:29">
      <c r="B26" s="735"/>
      <c r="C26" s="743"/>
      <c r="D26" s="737"/>
      <c r="Z26" t="s">
        <v>901</v>
      </c>
    </row>
    <row r="27" spans="2:29">
      <c r="B27" s="735"/>
      <c r="C27" s="743"/>
      <c r="D27" s="737"/>
    </row>
    <row r="28" spans="2:29">
      <c r="B28" s="735"/>
      <c r="C28" s="743"/>
      <c r="D28" s="737"/>
    </row>
    <row r="29" spans="2:29">
      <c r="B29" s="735"/>
      <c r="C29" s="743"/>
      <c r="D29" s="737"/>
    </row>
    <row r="30" spans="2:29">
      <c r="B30" s="738"/>
      <c r="C30" s="744"/>
      <c r="D30" s="739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workbookViewId="0">
      <selection activeCell="E2" sqref="E2"/>
    </sheetView>
  </sheetViews>
  <sheetFormatPr defaultColWidth="8.5625" defaultRowHeight="16.899999999999999"/>
  <cols>
    <col min="1" max="1" width="9.8125" style="3" bestFit="1" customWidth="1"/>
    <col min="2" max="2" width="21" style="3" bestFit="1" customWidth="1"/>
    <col min="3" max="3" width="10.5625" style="3" bestFit="1" customWidth="1"/>
    <col min="4" max="4" width="6.0625" style="3" bestFit="1" customWidth="1"/>
    <col min="5" max="5" width="10.0625" style="3" bestFit="1" customWidth="1"/>
    <col min="6" max="6" width="7.0625" style="3" bestFit="1" customWidth="1"/>
    <col min="7" max="7" width="11.5625" style="3" bestFit="1" customWidth="1"/>
    <col min="8" max="8" width="7.0625" style="3" bestFit="1" customWidth="1"/>
    <col min="9" max="9" width="6.0625" style="3" bestFit="1" customWidth="1"/>
    <col min="10" max="10" width="7.0625" style="3" bestFit="1" customWidth="1"/>
    <col min="11" max="11" width="6.0625" style="3" bestFit="1" customWidth="1"/>
    <col min="12" max="12" width="10.5625" style="3" bestFit="1" customWidth="1"/>
    <col min="13" max="16384" width="8.5625" style="3"/>
  </cols>
  <sheetData>
    <row r="1" spans="1:13" ht="8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126</v>
      </c>
      <c r="K1" s="2" t="s">
        <v>125</v>
      </c>
      <c r="L1" s="2" t="s">
        <v>9</v>
      </c>
    </row>
    <row r="2" spans="1:13">
      <c r="A2" s="3" t="s">
        <v>10</v>
      </c>
      <c r="B2" s="3" t="s">
        <v>563</v>
      </c>
      <c r="C2" s="3" t="s">
        <v>11</v>
      </c>
      <c r="D2" s="3" t="s">
        <v>12</v>
      </c>
      <c r="E2" s="4">
        <v>10484908</v>
      </c>
      <c r="F2" s="4">
        <v>210600</v>
      </c>
      <c r="G2" s="4">
        <v>0</v>
      </c>
      <c r="H2" s="4">
        <v>301300</v>
      </c>
      <c r="I2" s="4">
        <v>69770</v>
      </c>
      <c r="J2" s="4">
        <v>149250</v>
      </c>
      <c r="K2" s="4">
        <v>22230</v>
      </c>
      <c r="L2" s="4">
        <v>0</v>
      </c>
      <c r="M2" s="53">
        <f>SUM(F2:L2)</f>
        <v>753150</v>
      </c>
    </row>
    <row r="3" spans="1:13">
      <c r="A3" s="3" t="s">
        <v>10</v>
      </c>
      <c r="B3" s="3" t="s">
        <v>563</v>
      </c>
      <c r="C3" s="3" t="s">
        <v>13</v>
      </c>
      <c r="D3" s="3" t="s">
        <v>14</v>
      </c>
      <c r="E3" s="4">
        <v>10017476</v>
      </c>
      <c r="F3" s="4">
        <v>210600</v>
      </c>
      <c r="G3" s="4">
        <v>0</v>
      </c>
      <c r="H3" s="4">
        <v>280643</v>
      </c>
      <c r="I3" s="4">
        <v>64987</v>
      </c>
      <c r="J3" s="4">
        <v>139015</v>
      </c>
      <c r="K3" s="4">
        <v>20705</v>
      </c>
      <c r="L3" s="4">
        <v>0</v>
      </c>
      <c r="M3" s="53">
        <f t="shared" ref="M3:M66" si="0">SUM(F3:L3)</f>
        <v>715950</v>
      </c>
    </row>
    <row r="4" spans="1:13">
      <c r="A4" s="3" t="s">
        <v>10</v>
      </c>
      <c r="B4" s="3" t="s">
        <v>563</v>
      </c>
      <c r="C4" s="3" t="s">
        <v>15</v>
      </c>
      <c r="D4" s="3" t="s">
        <v>16</v>
      </c>
      <c r="E4" s="4">
        <v>10017476</v>
      </c>
      <c r="F4" s="4">
        <v>210600</v>
      </c>
      <c r="G4" s="4">
        <v>0</v>
      </c>
      <c r="H4" s="4">
        <v>280643</v>
      </c>
      <c r="I4" s="4">
        <v>64987</v>
      </c>
      <c r="J4" s="4">
        <v>139015</v>
      </c>
      <c r="K4" s="4">
        <v>20705</v>
      </c>
      <c r="L4" s="4">
        <v>0</v>
      </c>
      <c r="M4" s="53">
        <f t="shared" si="0"/>
        <v>715950</v>
      </c>
    </row>
    <row r="5" spans="1:13">
      <c r="A5" s="3" t="s">
        <v>10</v>
      </c>
      <c r="B5" s="3" t="s">
        <v>563</v>
      </c>
      <c r="C5" s="3" t="s">
        <v>17</v>
      </c>
      <c r="D5" s="3" t="s">
        <v>18</v>
      </c>
      <c r="E5" s="4">
        <v>7638928</v>
      </c>
      <c r="F5" s="4">
        <v>210600</v>
      </c>
      <c r="G5" s="4">
        <v>0</v>
      </c>
      <c r="H5" s="4">
        <v>209322</v>
      </c>
      <c r="I5" s="4">
        <v>48470</v>
      </c>
      <c r="J5" s="4">
        <v>103686</v>
      </c>
      <c r="K5" s="4">
        <v>15444</v>
      </c>
      <c r="L5" s="4">
        <v>0</v>
      </c>
      <c r="M5" s="53">
        <f t="shared" si="0"/>
        <v>587522</v>
      </c>
    </row>
    <row r="6" spans="1:13">
      <c r="A6" s="3" t="s">
        <v>10</v>
      </c>
      <c r="B6" s="3" t="s">
        <v>563</v>
      </c>
      <c r="C6" s="3" t="s">
        <v>19</v>
      </c>
      <c r="D6" s="3" t="s">
        <v>20</v>
      </c>
      <c r="E6" s="4">
        <v>7638928</v>
      </c>
      <c r="F6" s="4">
        <v>210600</v>
      </c>
      <c r="G6" s="4">
        <v>0</v>
      </c>
      <c r="H6" s="4">
        <v>209322</v>
      </c>
      <c r="I6" s="4">
        <v>48470</v>
      </c>
      <c r="J6" s="4">
        <v>103686</v>
      </c>
      <c r="K6" s="4">
        <v>15444</v>
      </c>
      <c r="L6" s="4">
        <v>0</v>
      </c>
      <c r="M6" s="53">
        <f t="shared" si="0"/>
        <v>587522</v>
      </c>
    </row>
    <row r="7" spans="1:13">
      <c r="A7" s="3" t="s">
        <v>10</v>
      </c>
      <c r="B7" s="3" t="s">
        <v>563</v>
      </c>
      <c r="C7" s="3" t="s">
        <v>21</v>
      </c>
      <c r="D7" s="3" t="s">
        <v>22</v>
      </c>
      <c r="E7" s="4">
        <v>6260604</v>
      </c>
      <c r="F7" s="4">
        <v>200864</v>
      </c>
      <c r="G7" s="4">
        <v>0</v>
      </c>
      <c r="H7" s="4">
        <v>168250</v>
      </c>
      <c r="I7" s="4">
        <v>38959</v>
      </c>
      <c r="J7" s="4">
        <v>83342</v>
      </c>
      <c r="K7" s="4">
        <v>12411</v>
      </c>
      <c r="L7" s="4">
        <v>0</v>
      </c>
      <c r="M7" s="53">
        <f t="shared" si="0"/>
        <v>503826</v>
      </c>
    </row>
    <row r="8" spans="1:13">
      <c r="A8" s="3" t="s">
        <v>10</v>
      </c>
      <c r="B8" s="3" t="s">
        <v>563</v>
      </c>
      <c r="C8" s="3" t="s">
        <v>23</v>
      </c>
      <c r="D8" s="3" t="s">
        <v>24</v>
      </c>
      <c r="E8" s="4">
        <v>6260604</v>
      </c>
      <c r="F8" s="4">
        <v>200864</v>
      </c>
      <c r="G8" s="4">
        <v>0</v>
      </c>
      <c r="H8" s="4">
        <v>168250</v>
      </c>
      <c r="I8" s="4">
        <v>38959</v>
      </c>
      <c r="J8" s="4">
        <v>83342</v>
      </c>
      <c r="K8" s="4">
        <v>12411</v>
      </c>
      <c r="L8" s="4">
        <v>0</v>
      </c>
      <c r="M8" s="53">
        <f t="shared" si="0"/>
        <v>503826</v>
      </c>
    </row>
    <row r="9" spans="1:13">
      <c r="A9" s="3" t="s">
        <v>10</v>
      </c>
      <c r="B9" s="3" t="s">
        <v>563</v>
      </c>
      <c r="C9" s="3" t="s">
        <v>25</v>
      </c>
      <c r="D9" s="3" t="s">
        <v>26</v>
      </c>
      <c r="E9" s="4">
        <v>5185723</v>
      </c>
      <c r="F9" s="4">
        <v>182030</v>
      </c>
      <c r="G9" s="4">
        <v>0</v>
      </c>
      <c r="H9" s="4">
        <v>142291</v>
      </c>
      <c r="I9" s="4">
        <v>32949</v>
      </c>
      <c r="J9" s="4">
        <v>70481</v>
      </c>
      <c r="K9" s="4">
        <v>10499</v>
      </c>
      <c r="L9" s="4">
        <v>0</v>
      </c>
      <c r="M9" s="53">
        <f t="shared" si="0"/>
        <v>438250</v>
      </c>
    </row>
    <row r="10" spans="1:13">
      <c r="A10" s="3" t="s">
        <v>10</v>
      </c>
      <c r="B10" s="3" t="s">
        <v>563</v>
      </c>
      <c r="C10" s="3" t="s">
        <v>27</v>
      </c>
      <c r="D10" s="3" t="s">
        <v>28</v>
      </c>
      <c r="E10" s="4">
        <v>5185723</v>
      </c>
      <c r="F10" s="4">
        <v>182030</v>
      </c>
      <c r="G10" s="4">
        <v>0</v>
      </c>
      <c r="H10" s="4">
        <v>142291</v>
      </c>
      <c r="I10" s="4">
        <v>32949</v>
      </c>
      <c r="J10" s="4">
        <v>70481</v>
      </c>
      <c r="K10" s="4">
        <v>10499</v>
      </c>
      <c r="L10" s="4">
        <v>0</v>
      </c>
      <c r="M10" s="53">
        <f t="shared" si="0"/>
        <v>438250</v>
      </c>
    </row>
    <row r="11" spans="1:13">
      <c r="A11" s="3" t="s">
        <v>10</v>
      </c>
      <c r="B11" s="3" t="s">
        <v>563</v>
      </c>
      <c r="C11" s="3" t="s">
        <v>29</v>
      </c>
      <c r="D11" s="3" t="s">
        <v>30</v>
      </c>
      <c r="E11" s="4">
        <v>4147989</v>
      </c>
      <c r="F11" s="4">
        <v>149980</v>
      </c>
      <c r="G11" s="4">
        <v>0</v>
      </c>
      <c r="H11" s="4">
        <v>123430</v>
      </c>
      <c r="I11" s="4">
        <v>28580</v>
      </c>
      <c r="J11" s="4">
        <v>61140</v>
      </c>
      <c r="K11" s="4">
        <v>9100</v>
      </c>
      <c r="L11" s="4">
        <v>0</v>
      </c>
      <c r="M11" s="53">
        <f t="shared" si="0"/>
        <v>372230</v>
      </c>
    </row>
    <row r="12" spans="1:13">
      <c r="A12" s="3" t="s">
        <v>31</v>
      </c>
      <c r="B12" s="3" t="s">
        <v>32</v>
      </c>
      <c r="C12" s="3" t="s">
        <v>11</v>
      </c>
      <c r="D12" s="3" t="s">
        <v>12</v>
      </c>
      <c r="E12" s="4">
        <v>10484908</v>
      </c>
      <c r="F12" s="4">
        <v>210600</v>
      </c>
      <c r="G12" s="4">
        <v>0</v>
      </c>
      <c r="H12" s="4">
        <v>301300</v>
      </c>
      <c r="I12" s="4">
        <v>69770</v>
      </c>
      <c r="J12" s="4">
        <v>149250</v>
      </c>
      <c r="K12" s="4">
        <v>22230</v>
      </c>
      <c r="L12" s="4">
        <v>0</v>
      </c>
      <c r="M12" s="53">
        <f t="shared" si="0"/>
        <v>753150</v>
      </c>
    </row>
    <row r="13" spans="1:13">
      <c r="A13" s="3" t="s">
        <v>31</v>
      </c>
      <c r="B13" s="3" t="s">
        <v>32</v>
      </c>
      <c r="C13" s="3" t="s">
        <v>13</v>
      </c>
      <c r="D13" s="3" t="s">
        <v>14</v>
      </c>
      <c r="E13" s="4">
        <v>10017476</v>
      </c>
      <c r="F13" s="4">
        <v>210600</v>
      </c>
      <c r="G13" s="4">
        <v>0</v>
      </c>
      <c r="H13" s="4">
        <v>280643</v>
      </c>
      <c r="I13" s="4">
        <v>64987</v>
      </c>
      <c r="J13" s="4">
        <v>139015</v>
      </c>
      <c r="K13" s="4">
        <v>20705</v>
      </c>
      <c r="L13" s="4">
        <v>0</v>
      </c>
      <c r="M13" s="53">
        <f t="shared" si="0"/>
        <v>715950</v>
      </c>
    </row>
    <row r="14" spans="1:13">
      <c r="A14" s="3" t="s">
        <v>31</v>
      </c>
      <c r="B14" s="3" t="s">
        <v>32</v>
      </c>
      <c r="C14" s="3" t="s">
        <v>15</v>
      </c>
      <c r="D14" s="3" t="s">
        <v>16</v>
      </c>
      <c r="E14" s="4">
        <v>10017476</v>
      </c>
      <c r="F14" s="4">
        <v>210600</v>
      </c>
      <c r="G14" s="4">
        <v>0</v>
      </c>
      <c r="H14" s="4">
        <v>280643</v>
      </c>
      <c r="I14" s="4">
        <v>64987</v>
      </c>
      <c r="J14" s="4">
        <v>139015</v>
      </c>
      <c r="K14" s="4">
        <v>20705</v>
      </c>
      <c r="L14" s="4">
        <v>0</v>
      </c>
      <c r="M14" s="53">
        <f t="shared" si="0"/>
        <v>715950</v>
      </c>
    </row>
    <row r="15" spans="1:13">
      <c r="A15" s="3" t="s">
        <v>31</v>
      </c>
      <c r="B15" s="3" t="s">
        <v>32</v>
      </c>
      <c r="C15" s="3" t="s">
        <v>17</v>
      </c>
      <c r="D15" s="3" t="s">
        <v>18</v>
      </c>
      <c r="E15" s="4">
        <v>7638928</v>
      </c>
      <c r="F15" s="4">
        <v>210600</v>
      </c>
      <c r="G15" s="4">
        <v>0</v>
      </c>
      <c r="H15" s="4">
        <v>209322</v>
      </c>
      <c r="I15" s="4">
        <v>48470</v>
      </c>
      <c r="J15" s="4">
        <v>103686</v>
      </c>
      <c r="K15" s="4">
        <v>15444</v>
      </c>
      <c r="L15" s="4">
        <v>0</v>
      </c>
      <c r="M15" s="53">
        <f t="shared" si="0"/>
        <v>587522</v>
      </c>
    </row>
    <row r="16" spans="1:13">
      <c r="A16" s="3" t="s">
        <v>31</v>
      </c>
      <c r="B16" s="3" t="s">
        <v>32</v>
      </c>
      <c r="C16" s="3" t="s">
        <v>19</v>
      </c>
      <c r="D16" s="3" t="s">
        <v>20</v>
      </c>
      <c r="E16" s="4">
        <v>7638928</v>
      </c>
      <c r="F16" s="4">
        <v>210600</v>
      </c>
      <c r="G16" s="4">
        <v>0</v>
      </c>
      <c r="H16" s="4">
        <v>209322</v>
      </c>
      <c r="I16" s="4">
        <v>48470</v>
      </c>
      <c r="J16" s="4">
        <v>103686</v>
      </c>
      <c r="K16" s="4">
        <v>15444</v>
      </c>
      <c r="L16" s="4">
        <v>0</v>
      </c>
      <c r="M16" s="53">
        <f t="shared" si="0"/>
        <v>587522</v>
      </c>
    </row>
    <row r="17" spans="1:13">
      <c r="A17" s="3" t="s">
        <v>31</v>
      </c>
      <c r="B17" s="3" t="s">
        <v>32</v>
      </c>
      <c r="C17" s="3" t="s">
        <v>21</v>
      </c>
      <c r="D17" s="3" t="s">
        <v>22</v>
      </c>
      <c r="E17" s="4">
        <v>6260604</v>
      </c>
      <c r="F17" s="4">
        <v>200864</v>
      </c>
      <c r="G17" s="4">
        <v>0</v>
      </c>
      <c r="H17" s="4">
        <v>168250</v>
      </c>
      <c r="I17" s="4">
        <v>38959</v>
      </c>
      <c r="J17" s="4">
        <v>83342</v>
      </c>
      <c r="K17" s="4">
        <v>12411</v>
      </c>
      <c r="L17" s="4">
        <v>0</v>
      </c>
      <c r="M17" s="53">
        <f t="shared" si="0"/>
        <v>503826</v>
      </c>
    </row>
    <row r="18" spans="1:13">
      <c r="A18" s="3" t="s">
        <v>31</v>
      </c>
      <c r="B18" s="3" t="s">
        <v>32</v>
      </c>
      <c r="C18" s="3" t="s">
        <v>23</v>
      </c>
      <c r="D18" s="3" t="s">
        <v>24</v>
      </c>
      <c r="E18" s="4">
        <v>6260604</v>
      </c>
      <c r="F18" s="4">
        <v>200864</v>
      </c>
      <c r="G18" s="4">
        <v>0</v>
      </c>
      <c r="H18" s="4">
        <v>168250</v>
      </c>
      <c r="I18" s="4">
        <v>38959</v>
      </c>
      <c r="J18" s="4">
        <v>83342</v>
      </c>
      <c r="K18" s="4">
        <v>12411</v>
      </c>
      <c r="L18" s="4">
        <v>0</v>
      </c>
      <c r="M18" s="53">
        <f t="shared" si="0"/>
        <v>503826</v>
      </c>
    </row>
    <row r="19" spans="1:13">
      <c r="A19" s="3" t="s">
        <v>31</v>
      </c>
      <c r="B19" s="3" t="s">
        <v>32</v>
      </c>
      <c r="C19" s="3" t="s">
        <v>25</v>
      </c>
      <c r="D19" s="3" t="s">
        <v>26</v>
      </c>
      <c r="E19" s="4">
        <v>5185723</v>
      </c>
      <c r="F19" s="4">
        <v>182030</v>
      </c>
      <c r="G19" s="4">
        <v>0</v>
      </c>
      <c r="H19" s="4">
        <v>142291</v>
      </c>
      <c r="I19" s="4">
        <v>32949</v>
      </c>
      <c r="J19" s="4">
        <v>70481</v>
      </c>
      <c r="K19" s="4">
        <v>10499</v>
      </c>
      <c r="L19" s="4">
        <v>0</v>
      </c>
      <c r="M19" s="53">
        <f t="shared" si="0"/>
        <v>438250</v>
      </c>
    </row>
    <row r="20" spans="1:13">
      <c r="A20" s="3" t="s">
        <v>31</v>
      </c>
      <c r="B20" s="3" t="s">
        <v>32</v>
      </c>
      <c r="C20" s="3" t="s">
        <v>27</v>
      </c>
      <c r="D20" s="3" t="s">
        <v>28</v>
      </c>
      <c r="E20" s="4">
        <v>5185723</v>
      </c>
      <c r="F20" s="4">
        <v>182030</v>
      </c>
      <c r="G20" s="4">
        <v>0</v>
      </c>
      <c r="H20" s="4">
        <v>142291</v>
      </c>
      <c r="I20" s="4">
        <v>32949</v>
      </c>
      <c r="J20" s="4">
        <v>70481</v>
      </c>
      <c r="K20" s="4">
        <v>10499</v>
      </c>
      <c r="L20" s="4">
        <v>0</v>
      </c>
      <c r="M20" s="53">
        <f t="shared" si="0"/>
        <v>438250</v>
      </c>
    </row>
    <row r="21" spans="1:13">
      <c r="A21" s="3" t="s">
        <v>31</v>
      </c>
      <c r="B21" s="3" t="s">
        <v>32</v>
      </c>
      <c r="C21" s="3" t="s">
        <v>29</v>
      </c>
      <c r="D21" s="3" t="s">
        <v>30</v>
      </c>
      <c r="E21" s="4">
        <v>4147989</v>
      </c>
      <c r="F21" s="4">
        <v>149980</v>
      </c>
      <c r="G21" s="4">
        <v>0</v>
      </c>
      <c r="H21" s="4">
        <v>123430</v>
      </c>
      <c r="I21" s="4">
        <v>28580</v>
      </c>
      <c r="J21" s="4">
        <v>61140</v>
      </c>
      <c r="K21" s="4">
        <v>9100</v>
      </c>
      <c r="L21" s="4">
        <v>0</v>
      </c>
      <c r="M21" s="53">
        <f t="shared" si="0"/>
        <v>372230</v>
      </c>
    </row>
    <row r="22" spans="1:13">
      <c r="A22" s="3" t="s">
        <v>33</v>
      </c>
      <c r="B22" s="3" t="s">
        <v>560</v>
      </c>
      <c r="C22" s="3" t="s">
        <v>11</v>
      </c>
      <c r="D22" s="3" t="s">
        <v>12</v>
      </c>
      <c r="E22" s="4">
        <v>10198674</v>
      </c>
      <c r="F22" s="4">
        <v>210600</v>
      </c>
      <c r="G22" s="4">
        <v>0</v>
      </c>
      <c r="H22" s="4">
        <v>304460</v>
      </c>
      <c r="I22" s="4">
        <v>70503</v>
      </c>
      <c r="J22" s="4">
        <v>150814</v>
      </c>
      <c r="K22" s="4">
        <v>22463</v>
      </c>
      <c r="L22" s="4">
        <v>0</v>
      </c>
      <c r="M22" s="53">
        <f t="shared" si="0"/>
        <v>758840</v>
      </c>
    </row>
    <row r="23" spans="1:13">
      <c r="A23" s="3" t="s">
        <v>33</v>
      </c>
      <c r="B23" s="3" t="s">
        <v>560</v>
      </c>
      <c r="C23" s="3" t="s">
        <v>13</v>
      </c>
      <c r="D23" s="3" t="s">
        <v>14</v>
      </c>
      <c r="E23" s="4">
        <v>8295659</v>
      </c>
      <c r="F23" s="4">
        <v>210600</v>
      </c>
      <c r="G23" s="4">
        <v>0</v>
      </c>
      <c r="H23" s="4">
        <v>235066</v>
      </c>
      <c r="I23" s="4">
        <v>54433</v>
      </c>
      <c r="J23" s="4">
        <v>116439</v>
      </c>
      <c r="K23" s="4">
        <v>17343</v>
      </c>
      <c r="L23" s="4">
        <v>0</v>
      </c>
      <c r="M23" s="53">
        <f t="shared" si="0"/>
        <v>633881</v>
      </c>
    </row>
    <row r="24" spans="1:13">
      <c r="A24" s="3" t="s">
        <v>33</v>
      </c>
      <c r="B24" s="3" t="s">
        <v>560</v>
      </c>
      <c r="C24" s="3" t="s">
        <v>15</v>
      </c>
      <c r="D24" s="3" t="s">
        <v>16</v>
      </c>
      <c r="E24" s="4">
        <v>8295659</v>
      </c>
      <c r="F24" s="4">
        <v>210600</v>
      </c>
      <c r="G24" s="4">
        <v>0</v>
      </c>
      <c r="H24" s="4">
        <v>235066</v>
      </c>
      <c r="I24" s="4">
        <v>54433</v>
      </c>
      <c r="J24" s="4">
        <v>116439</v>
      </c>
      <c r="K24" s="4">
        <v>17343</v>
      </c>
      <c r="L24" s="4">
        <v>0</v>
      </c>
      <c r="M24" s="53">
        <f t="shared" si="0"/>
        <v>633881</v>
      </c>
    </row>
    <row r="25" spans="1:13">
      <c r="A25" s="3" t="s">
        <v>33</v>
      </c>
      <c r="B25" s="3" t="s">
        <v>560</v>
      </c>
      <c r="C25" s="3" t="s">
        <v>17</v>
      </c>
      <c r="D25" s="3" t="s">
        <v>18</v>
      </c>
      <c r="E25" s="4">
        <v>7123558</v>
      </c>
      <c r="F25" s="4">
        <v>210600</v>
      </c>
      <c r="G25" s="4">
        <v>0</v>
      </c>
      <c r="H25" s="4">
        <v>194918</v>
      </c>
      <c r="I25" s="4">
        <v>45135</v>
      </c>
      <c r="J25" s="4">
        <v>96551</v>
      </c>
      <c r="K25" s="4">
        <v>14380</v>
      </c>
      <c r="L25" s="4">
        <v>0</v>
      </c>
      <c r="M25" s="53">
        <f t="shared" si="0"/>
        <v>561584</v>
      </c>
    </row>
    <row r="26" spans="1:13">
      <c r="A26" s="3" t="s">
        <v>33</v>
      </c>
      <c r="B26" s="3" t="s">
        <v>560</v>
      </c>
      <c r="C26" s="3" t="s">
        <v>19</v>
      </c>
      <c r="D26" s="3" t="s">
        <v>20</v>
      </c>
      <c r="E26" s="4">
        <v>7123558</v>
      </c>
      <c r="F26" s="4">
        <v>210600</v>
      </c>
      <c r="G26" s="4">
        <v>0</v>
      </c>
      <c r="H26" s="4">
        <v>194918</v>
      </c>
      <c r="I26" s="4">
        <v>45135</v>
      </c>
      <c r="J26" s="4">
        <v>96551</v>
      </c>
      <c r="K26" s="4">
        <v>14380</v>
      </c>
      <c r="L26" s="4">
        <v>0</v>
      </c>
      <c r="M26" s="53">
        <f t="shared" si="0"/>
        <v>561584</v>
      </c>
    </row>
    <row r="27" spans="1:13">
      <c r="A27" s="3" t="s">
        <v>33</v>
      </c>
      <c r="B27" s="3" t="s">
        <v>560</v>
      </c>
      <c r="C27" s="3" t="s">
        <v>21</v>
      </c>
      <c r="D27" s="3" t="s">
        <v>22</v>
      </c>
      <c r="E27" s="4">
        <v>5969988</v>
      </c>
      <c r="F27" s="4">
        <v>204321</v>
      </c>
      <c r="G27" s="4">
        <v>0</v>
      </c>
      <c r="H27" s="4">
        <v>160959</v>
      </c>
      <c r="I27" s="4">
        <v>37247</v>
      </c>
      <c r="J27" s="4">
        <v>79682</v>
      </c>
      <c r="K27" s="4">
        <v>11905</v>
      </c>
      <c r="L27" s="4">
        <v>0</v>
      </c>
      <c r="M27" s="53">
        <f t="shared" si="0"/>
        <v>494114</v>
      </c>
    </row>
    <row r="28" spans="1:13">
      <c r="A28" s="3" t="s">
        <v>33</v>
      </c>
      <c r="B28" s="3" t="s">
        <v>560</v>
      </c>
      <c r="C28" s="3" t="s">
        <v>23</v>
      </c>
      <c r="D28" s="3" t="s">
        <v>24</v>
      </c>
      <c r="E28" s="4">
        <v>5969988</v>
      </c>
      <c r="F28" s="4">
        <v>204321</v>
      </c>
      <c r="G28" s="4">
        <v>0</v>
      </c>
      <c r="H28" s="4">
        <v>160959</v>
      </c>
      <c r="I28" s="4">
        <v>37247</v>
      </c>
      <c r="J28" s="4">
        <v>79682</v>
      </c>
      <c r="K28" s="4">
        <v>11905</v>
      </c>
      <c r="L28" s="4">
        <v>0</v>
      </c>
      <c r="M28" s="53">
        <f t="shared" si="0"/>
        <v>494114</v>
      </c>
    </row>
    <row r="29" spans="1:13">
      <c r="A29" s="3" t="s">
        <v>33</v>
      </c>
      <c r="B29" s="3" t="s">
        <v>560</v>
      </c>
      <c r="C29" s="3" t="s">
        <v>25</v>
      </c>
      <c r="D29" s="3" t="s">
        <v>26</v>
      </c>
      <c r="E29" s="4">
        <v>5029001</v>
      </c>
      <c r="F29" s="4">
        <v>178362</v>
      </c>
      <c r="G29" s="4">
        <v>0</v>
      </c>
      <c r="H29" s="4">
        <v>134444</v>
      </c>
      <c r="I29" s="4">
        <v>31111</v>
      </c>
      <c r="J29" s="4">
        <v>66552</v>
      </c>
      <c r="K29" s="4">
        <v>9937</v>
      </c>
      <c r="L29" s="4">
        <v>0</v>
      </c>
      <c r="M29" s="53">
        <f t="shared" si="0"/>
        <v>420406</v>
      </c>
    </row>
    <row r="30" spans="1:13">
      <c r="A30" s="3" t="s">
        <v>33</v>
      </c>
      <c r="B30" s="3" t="s">
        <v>560</v>
      </c>
      <c r="C30" s="3" t="s">
        <v>27</v>
      </c>
      <c r="D30" s="3" t="s">
        <v>28</v>
      </c>
      <c r="E30" s="4">
        <v>5029001</v>
      </c>
      <c r="F30" s="4">
        <v>178362</v>
      </c>
      <c r="G30" s="4">
        <v>0</v>
      </c>
      <c r="H30" s="4">
        <v>134444</v>
      </c>
      <c r="I30" s="4">
        <v>31111</v>
      </c>
      <c r="J30" s="4">
        <v>66552</v>
      </c>
      <c r="K30" s="4">
        <v>9937</v>
      </c>
      <c r="L30" s="4">
        <v>0</v>
      </c>
      <c r="M30" s="53">
        <f t="shared" si="0"/>
        <v>420406</v>
      </c>
    </row>
    <row r="31" spans="1:13">
      <c r="A31" s="3" t="s">
        <v>33</v>
      </c>
      <c r="B31" s="3" t="s">
        <v>560</v>
      </c>
      <c r="C31" s="3" t="s">
        <v>29</v>
      </c>
      <c r="D31" s="3" t="s">
        <v>30</v>
      </c>
      <c r="E31" s="4">
        <v>4060529</v>
      </c>
      <c r="F31" s="4">
        <v>143356</v>
      </c>
      <c r="G31" s="4">
        <v>0</v>
      </c>
      <c r="H31" s="4">
        <v>110311</v>
      </c>
      <c r="I31" s="4">
        <v>25542</v>
      </c>
      <c r="J31" s="4">
        <v>54640</v>
      </c>
      <c r="K31" s="4">
        <v>8135</v>
      </c>
      <c r="L31" s="4">
        <v>0</v>
      </c>
      <c r="M31" s="53">
        <f t="shared" si="0"/>
        <v>341984</v>
      </c>
    </row>
    <row r="32" spans="1:13">
      <c r="A32" s="3" t="s">
        <v>34</v>
      </c>
      <c r="B32" s="3" t="s">
        <v>35</v>
      </c>
      <c r="C32" s="3" t="s">
        <v>11</v>
      </c>
      <c r="D32" s="3" t="s">
        <v>12</v>
      </c>
      <c r="E32" s="4">
        <v>10198674</v>
      </c>
      <c r="F32" s="4">
        <v>210600</v>
      </c>
      <c r="G32" s="4">
        <v>0</v>
      </c>
      <c r="H32" s="4">
        <v>304460</v>
      </c>
      <c r="I32" s="4">
        <v>70503</v>
      </c>
      <c r="J32" s="4">
        <v>150814</v>
      </c>
      <c r="K32" s="4">
        <v>22463</v>
      </c>
      <c r="L32" s="4">
        <v>0</v>
      </c>
      <c r="M32" s="53">
        <f t="shared" si="0"/>
        <v>758840</v>
      </c>
    </row>
    <row r="33" spans="1:13">
      <c r="A33" s="3" t="s">
        <v>34</v>
      </c>
      <c r="B33" s="3" t="s">
        <v>35</v>
      </c>
      <c r="C33" s="3" t="s">
        <v>13</v>
      </c>
      <c r="D33" s="3" t="s">
        <v>14</v>
      </c>
      <c r="E33" s="4">
        <v>8295659</v>
      </c>
      <c r="F33" s="4">
        <v>210600</v>
      </c>
      <c r="G33" s="4">
        <v>0</v>
      </c>
      <c r="H33" s="4">
        <v>235066</v>
      </c>
      <c r="I33" s="4">
        <v>54433</v>
      </c>
      <c r="J33" s="4">
        <v>116439</v>
      </c>
      <c r="K33" s="4">
        <v>17343</v>
      </c>
      <c r="L33" s="4">
        <v>0</v>
      </c>
      <c r="M33" s="53">
        <f t="shared" si="0"/>
        <v>633881</v>
      </c>
    </row>
    <row r="34" spans="1:13">
      <c r="A34" s="3" t="s">
        <v>34</v>
      </c>
      <c r="B34" s="3" t="s">
        <v>35</v>
      </c>
      <c r="C34" s="3" t="s">
        <v>15</v>
      </c>
      <c r="D34" s="3" t="s">
        <v>16</v>
      </c>
      <c r="E34" s="4">
        <v>8295659</v>
      </c>
      <c r="F34" s="4">
        <v>210600</v>
      </c>
      <c r="G34" s="4">
        <v>0</v>
      </c>
      <c r="H34" s="4">
        <v>235066</v>
      </c>
      <c r="I34" s="4">
        <v>54433</v>
      </c>
      <c r="J34" s="4">
        <v>116439</v>
      </c>
      <c r="K34" s="4">
        <v>17343</v>
      </c>
      <c r="L34" s="4">
        <v>0</v>
      </c>
      <c r="M34" s="53">
        <f t="shared" si="0"/>
        <v>633881</v>
      </c>
    </row>
    <row r="35" spans="1:13">
      <c r="A35" s="3" t="s">
        <v>34</v>
      </c>
      <c r="B35" s="3" t="s">
        <v>35</v>
      </c>
      <c r="C35" s="3" t="s">
        <v>17</v>
      </c>
      <c r="D35" s="3" t="s">
        <v>18</v>
      </c>
      <c r="E35" s="4">
        <v>7123558</v>
      </c>
      <c r="F35" s="4">
        <v>210600</v>
      </c>
      <c r="G35" s="4">
        <v>0</v>
      </c>
      <c r="H35" s="4">
        <v>194918</v>
      </c>
      <c r="I35" s="4">
        <v>45135</v>
      </c>
      <c r="J35" s="4">
        <v>96551</v>
      </c>
      <c r="K35" s="4">
        <v>14380</v>
      </c>
      <c r="L35" s="4">
        <v>0</v>
      </c>
      <c r="M35" s="53">
        <f t="shared" si="0"/>
        <v>561584</v>
      </c>
    </row>
    <row r="36" spans="1:13">
      <c r="A36" s="3" t="s">
        <v>34</v>
      </c>
      <c r="B36" s="3" t="s">
        <v>35</v>
      </c>
      <c r="C36" s="3" t="s">
        <v>19</v>
      </c>
      <c r="D36" s="3" t="s">
        <v>20</v>
      </c>
      <c r="E36" s="4">
        <v>7123558</v>
      </c>
      <c r="F36" s="4">
        <v>210600</v>
      </c>
      <c r="G36" s="4">
        <v>0</v>
      </c>
      <c r="H36" s="4">
        <v>194918</v>
      </c>
      <c r="I36" s="4">
        <v>45135</v>
      </c>
      <c r="J36" s="4">
        <v>96551</v>
      </c>
      <c r="K36" s="4">
        <v>14380</v>
      </c>
      <c r="L36" s="4">
        <v>0</v>
      </c>
      <c r="M36" s="53">
        <f t="shared" si="0"/>
        <v>561584</v>
      </c>
    </row>
    <row r="37" spans="1:13">
      <c r="A37" s="3" t="s">
        <v>34</v>
      </c>
      <c r="B37" s="3" t="s">
        <v>35</v>
      </c>
      <c r="C37" s="3" t="s">
        <v>21</v>
      </c>
      <c r="D37" s="3" t="s">
        <v>22</v>
      </c>
      <c r="E37" s="4">
        <v>5969988</v>
      </c>
      <c r="F37" s="4">
        <v>204321</v>
      </c>
      <c r="G37" s="4">
        <v>0</v>
      </c>
      <c r="H37" s="4">
        <v>160959</v>
      </c>
      <c r="I37" s="4">
        <v>37247</v>
      </c>
      <c r="J37" s="4">
        <v>79682</v>
      </c>
      <c r="K37" s="4">
        <v>11905</v>
      </c>
      <c r="L37" s="4">
        <v>0</v>
      </c>
      <c r="M37" s="53">
        <f t="shared" si="0"/>
        <v>494114</v>
      </c>
    </row>
    <row r="38" spans="1:13">
      <c r="A38" s="3" t="s">
        <v>34</v>
      </c>
      <c r="B38" s="3" t="s">
        <v>35</v>
      </c>
      <c r="C38" s="3" t="s">
        <v>23</v>
      </c>
      <c r="D38" s="3" t="s">
        <v>24</v>
      </c>
      <c r="E38" s="4">
        <v>5969988</v>
      </c>
      <c r="F38" s="4">
        <v>204321</v>
      </c>
      <c r="G38" s="4">
        <v>0</v>
      </c>
      <c r="H38" s="4">
        <v>160959</v>
      </c>
      <c r="I38" s="4">
        <v>37247</v>
      </c>
      <c r="J38" s="4">
        <v>79682</v>
      </c>
      <c r="K38" s="4">
        <v>11905</v>
      </c>
      <c r="L38" s="4">
        <v>0</v>
      </c>
      <c r="M38" s="53">
        <f t="shared" si="0"/>
        <v>494114</v>
      </c>
    </row>
    <row r="39" spans="1:13">
      <c r="A39" s="3" t="s">
        <v>34</v>
      </c>
      <c r="B39" s="3" t="s">
        <v>35</v>
      </c>
      <c r="C39" s="3" t="s">
        <v>25</v>
      </c>
      <c r="D39" s="3" t="s">
        <v>26</v>
      </c>
      <c r="E39" s="4">
        <v>5029001</v>
      </c>
      <c r="F39" s="4">
        <v>178362</v>
      </c>
      <c r="G39" s="4">
        <v>0</v>
      </c>
      <c r="H39" s="4">
        <v>134444</v>
      </c>
      <c r="I39" s="4">
        <v>31111</v>
      </c>
      <c r="J39" s="4">
        <v>66552</v>
      </c>
      <c r="K39" s="4">
        <v>9937</v>
      </c>
      <c r="L39" s="4">
        <v>0</v>
      </c>
      <c r="M39" s="53">
        <f t="shared" si="0"/>
        <v>420406</v>
      </c>
    </row>
    <row r="40" spans="1:13">
      <c r="A40" s="3" t="s">
        <v>34</v>
      </c>
      <c r="B40" s="3" t="s">
        <v>35</v>
      </c>
      <c r="C40" s="3" t="s">
        <v>27</v>
      </c>
      <c r="D40" s="3" t="s">
        <v>28</v>
      </c>
      <c r="E40" s="4">
        <v>5029001</v>
      </c>
      <c r="F40" s="4">
        <v>178362</v>
      </c>
      <c r="G40" s="4">
        <v>0</v>
      </c>
      <c r="H40" s="4">
        <v>134444</v>
      </c>
      <c r="I40" s="4">
        <v>31111</v>
      </c>
      <c r="J40" s="4">
        <v>66552</v>
      </c>
      <c r="K40" s="4">
        <v>9937</v>
      </c>
      <c r="L40" s="4">
        <v>0</v>
      </c>
      <c r="M40" s="53">
        <f t="shared" si="0"/>
        <v>420406</v>
      </c>
    </row>
    <row r="41" spans="1:13">
      <c r="A41" s="3" t="s">
        <v>34</v>
      </c>
      <c r="B41" s="3" t="s">
        <v>35</v>
      </c>
      <c r="C41" s="3" t="s">
        <v>29</v>
      </c>
      <c r="D41" s="3" t="s">
        <v>30</v>
      </c>
      <c r="E41" s="4">
        <v>4060529</v>
      </c>
      <c r="F41" s="4">
        <v>143356</v>
      </c>
      <c r="G41" s="4">
        <v>0</v>
      </c>
      <c r="H41" s="4">
        <v>110311</v>
      </c>
      <c r="I41" s="4">
        <v>25542</v>
      </c>
      <c r="J41" s="4">
        <v>54640</v>
      </c>
      <c r="K41" s="4">
        <v>8135</v>
      </c>
      <c r="L41" s="4">
        <v>0</v>
      </c>
      <c r="M41" s="53">
        <f t="shared" si="0"/>
        <v>341984</v>
      </c>
    </row>
    <row r="42" spans="1:13">
      <c r="A42" s="3" t="s">
        <v>36</v>
      </c>
      <c r="B42" s="3" t="s">
        <v>37</v>
      </c>
      <c r="C42" s="3" t="s">
        <v>11</v>
      </c>
      <c r="D42" s="3" t="s">
        <v>12</v>
      </c>
      <c r="E42" s="4">
        <v>10198674</v>
      </c>
      <c r="F42" s="4">
        <v>210600</v>
      </c>
      <c r="G42" s="4">
        <v>0</v>
      </c>
      <c r="H42" s="4">
        <v>304460</v>
      </c>
      <c r="I42" s="4">
        <v>70503</v>
      </c>
      <c r="J42" s="4">
        <v>150814</v>
      </c>
      <c r="K42" s="4">
        <v>22463</v>
      </c>
      <c r="L42" s="4">
        <v>0</v>
      </c>
      <c r="M42" s="53">
        <f t="shared" si="0"/>
        <v>758840</v>
      </c>
    </row>
    <row r="43" spans="1:13">
      <c r="A43" s="3" t="s">
        <v>36</v>
      </c>
      <c r="B43" s="3" t="s">
        <v>37</v>
      </c>
      <c r="C43" s="3" t="s">
        <v>13</v>
      </c>
      <c r="D43" s="3" t="s">
        <v>14</v>
      </c>
      <c r="E43" s="4">
        <v>8295659</v>
      </c>
      <c r="F43" s="4">
        <v>210600</v>
      </c>
      <c r="G43" s="4">
        <v>0</v>
      </c>
      <c r="H43" s="4">
        <v>235066</v>
      </c>
      <c r="I43" s="4">
        <v>54433</v>
      </c>
      <c r="J43" s="4">
        <v>116439</v>
      </c>
      <c r="K43" s="4">
        <v>17343</v>
      </c>
      <c r="L43" s="4">
        <v>0</v>
      </c>
      <c r="M43" s="53">
        <f t="shared" si="0"/>
        <v>633881</v>
      </c>
    </row>
    <row r="44" spans="1:13">
      <c r="A44" s="3" t="s">
        <v>36</v>
      </c>
      <c r="B44" s="3" t="s">
        <v>37</v>
      </c>
      <c r="C44" s="3" t="s">
        <v>15</v>
      </c>
      <c r="D44" s="3" t="s">
        <v>16</v>
      </c>
      <c r="E44" s="4">
        <v>8295659</v>
      </c>
      <c r="F44" s="4">
        <v>210600</v>
      </c>
      <c r="G44" s="4">
        <v>0</v>
      </c>
      <c r="H44" s="4">
        <v>235066</v>
      </c>
      <c r="I44" s="4">
        <v>54433</v>
      </c>
      <c r="J44" s="4">
        <v>116439</v>
      </c>
      <c r="K44" s="4">
        <v>17343</v>
      </c>
      <c r="L44" s="4">
        <v>0</v>
      </c>
      <c r="M44" s="53">
        <f t="shared" si="0"/>
        <v>633881</v>
      </c>
    </row>
    <row r="45" spans="1:13">
      <c r="A45" s="3" t="s">
        <v>36</v>
      </c>
      <c r="B45" s="3" t="s">
        <v>37</v>
      </c>
      <c r="C45" s="3" t="s">
        <v>17</v>
      </c>
      <c r="D45" s="3" t="s">
        <v>18</v>
      </c>
      <c r="E45" s="4">
        <v>7123558</v>
      </c>
      <c r="F45" s="4">
        <v>210600</v>
      </c>
      <c r="G45" s="4">
        <v>0</v>
      </c>
      <c r="H45" s="4">
        <v>194918</v>
      </c>
      <c r="I45" s="4">
        <v>45135</v>
      </c>
      <c r="J45" s="4">
        <v>96551</v>
      </c>
      <c r="K45" s="4">
        <v>14380</v>
      </c>
      <c r="L45" s="4">
        <v>0</v>
      </c>
      <c r="M45" s="53">
        <f t="shared" si="0"/>
        <v>561584</v>
      </c>
    </row>
    <row r="46" spans="1:13">
      <c r="A46" s="3" t="s">
        <v>36</v>
      </c>
      <c r="B46" s="3" t="s">
        <v>37</v>
      </c>
      <c r="C46" s="3" t="s">
        <v>19</v>
      </c>
      <c r="D46" s="3" t="s">
        <v>20</v>
      </c>
      <c r="E46" s="4">
        <v>7123558</v>
      </c>
      <c r="F46" s="4">
        <v>210600</v>
      </c>
      <c r="G46" s="4">
        <v>0</v>
      </c>
      <c r="H46" s="4">
        <v>194918</v>
      </c>
      <c r="I46" s="4">
        <v>45135</v>
      </c>
      <c r="J46" s="4">
        <v>96551</v>
      </c>
      <c r="K46" s="4">
        <v>14380</v>
      </c>
      <c r="L46" s="4">
        <v>0</v>
      </c>
      <c r="M46" s="53">
        <f t="shared" si="0"/>
        <v>561584</v>
      </c>
    </row>
    <row r="47" spans="1:13">
      <c r="A47" s="3" t="s">
        <v>36</v>
      </c>
      <c r="B47" s="3" t="s">
        <v>37</v>
      </c>
      <c r="C47" s="3" t="s">
        <v>21</v>
      </c>
      <c r="D47" s="3" t="s">
        <v>22</v>
      </c>
      <c r="E47" s="4">
        <v>5969988</v>
      </c>
      <c r="F47" s="4">
        <v>204321</v>
      </c>
      <c r="G47" s="4">
        <v>0</v>
      </c>
      <c r="H47" s="4">
        <v>160959</v>
      </c>
      <c r="I47" s="4">
        <v>37247</v>
      </c>
      <c r="J47" s="4">
        <v>79682</v>
      </c>
      <c r="K47" s="4">
        <v>11905</v>
      </c>
      <c r="L47" s="4">
        <v>0</v>
      </c>
      <c r="M47" s="53">
        <f t="shared" si="0"/>
        <v>494114</v>
      </c>
    </row>
    <row r="48" spans="1:13">
      <c r="A48" s="3" t="s">
        <v>36</v>
      </c>
      <c r="B48" s="3" t="s">
        <v>37</v>
      </c>
      <c r="C48" s="3" t="s">
        <v>23</v>
      </c>
      <c r="D48" s="3" t="s">
        <v>24</v>
      </c>
      <c r="E48" s="4">
        <v>5969988</v>
      </c>
      <c r="F48" s="4">
        <v>204321</v>
      </c>
      <c r="G48" s="4">
        <v>0</v>
      </c>
      <c r="H48" s="4">
        <v>160959</v>
      </c>
      <c r="I48" s="4">
        <v>37247</v>
      </c>
      <c r="J48" s="4">
        <v>79682</v>
      </c>
      <c r="K48" s="4">
        <v>11905</v>
      </c>
      <c r="L48" s="4">
        <v>0</v>
      </c>
      <c r="M48" s="53">
        <f t="shared" si="0"/>
        <v>494114</v>
      </c>
    </row>
    <row r="49" spans="1:13">
      <c r="A49" s="3" t="s">
        <v>36</v>
      </c>
      <c r="B49" s="3" t="s">
        <v>37</v>
      </c>
      <c r="C49" s="3" t="s">
        <v>25</v>
      </c>
      <c r="D49" s="3" t="s">
        <v>26</v>
      </c>
      <c r="E49" s="4">
        <v>5029001</v>
      </c>
      <c r="F49" s="4">
        <v>178362</v>
      </c>
      <c r="G49" s="4">
        <v>0</v>
      </c>
      <c r="H49" s="4">
        <v>134444</v>
      </c>
      <c r="I49" s="4">
        <v>31111</v>
      </c>
      <c r="J49" s="4">
        <v>66552</v>
      </c>
      <c r="K49" s="4">
        <v>9937</v>
      </c>
      <c r="L49" s="4">
        <v>0</v>
      </c>
      <c r="M49" s="53">
        <f t="shared" si="0"/>
        <v>420406</v>
      </c>
    </row>
    <row r="50" spans="1:13">
      <c r="A50" s="3" t="s">
        <v>36</v>
      </c>
      <c r="B50" s="3" t="s">
        <v>37</v>
      </c>
      <c r="C50" s="3" t="s">
        <v>27</v>
      </c>
      <c r="D50" s="3" t="s">
        <v>28</v>
      </c>
      <c r="E50" s="4">
        <v>5029001</v>
      </c>
      <c r="F50" s="4">
        <v>178362</v>
      </c>
      <c r="G50" s="4">
        <v>0</v>
      </c>
      <c r="H50" s="4">
        <v>134444</v>
      </c>
      <c r="I50" s="4">
        <v>31111</v>
      </c>
      <c r="J50" s="4">
        <v>66552</v>
      </c>
      <c r="K50" s="4">
        <v>9937</v>
      </c>
      <c r="L50" s="4">
        <v>0</v>
      </c>
      <c r="M50" s="53">
        <f t="shared" si="0"/>
        <v>420406</v>
      </c>
    </row>
    <row r="51" spans="1:13">
      <c r="A51" s="3" t="s">
        <v>36</v>
      </c>
      <c r="B51" s="3" t="s">
        <v>37</v>
      </c>
      <c r="C51" s="3" t="s">
        <v>29</v>
      </c>
      <c r="D51" s="3" t="s">
        <v>30</v>
      </c>
      <c r="E51" s="4">
        <v>4060529</v>
      </c>
      <c r="F51" s="4">
        <v>143356</v>
      </c>
      <c r="G51" s="4">
        <v>0</v>
      </c>
      <c r="H51" s="4">
        <v>110311</v>
      </c>
      <c r="I51" s="4">
        <v>25542</v>
      </c>
      <c r="J51" s="4">
        <v>54640</v>
      </c>
      <c r="K51" s="4">
        <v>8135</v>
      </c>
      <c r="L51" s="4">
        <v>0</v>
      </c>
      <c r="M51" s="53">
        <f t="shared" si="0"/>
        <v>341984</v>
      </c>
    </row>
    <row r="52" spans="1:13">
      <c r="A52" s="3" t="s">
        <v>38</v>
      </c>
      <c r="B52" s="3" t="s">
        <v>39</v>
      </c>
      <c r="C52" s="3" t="s">
        <v>11</v>
      </c>
      <c r="D52" s="3" t="s">
        <v>12</v>
      </c>
      <c r="E52" s="4">
        <v>10198674</v>
      </c>
      <c r="F52" s="4">
        <v>210600</v>
      </c>
      <c r="G52" s="4">
        <v>0</v>
      </c>
      <c r="H52" s="4">
        <v>304460</v>
      </c>
      <c r="I52" s="4">
        <v>70503</v>
      </c>
      <c r="J52" s="4">
        <v>150814</v>
      </c>
      <c r="K52" s="4">
        <v>22463</v>
      </c>
      <c r="L52" s="4">
        <v>0</v>
      </c>
      <c r="M52" s="53">
        <f t="shared" si="0"/>
        <v>758840</v>
      </c>
    </row>
    <row r="53" spans="1:13">
      <c r="A53" s="3" t="s">
        <v>38</v>
      </c>
      <c r="B53" s="3" t="s">
        <v>39</v>
      </c>
      <c r="C53" s="3" t="s">
        <v>13</v>
      </c>
      <c r="D53" s="3" t="s">
        <v>14</v>
      </c>
      <c r="E53" s="4">
        <v>8295659</v>
      </c>
      <c r="F53" s="4">
        <v>210600</v>
      </c>
      <c r="G53" s="4">
        <v>0</v>
      </c>
      <c r="H53" s="4">
        <v>235066</v>
      </c>
      <c r="I53" s="4">
        <v>54433</v>
      </c>
      <c r="J53" s="4">
        <v>116439</v>
      </c>
      <c r="K53" s="4">
        <v>17343</v>
      </c>
      <c r="L53" s="4">
        <v>0</v>
      </c>
      <c r="M53" s="53">
        <f t="shared" si="0"/>
        <v>633881</v>
      </c>
    </row>
    <row r="54" spans="1:13">
      <c r="A54" s="3" t="s">
        <v>38</v>
      </c>
      <c r="B54" s="3" t="s">
        <v>39</v>
      </c>
      <c r="C54" s="3" t="s">
        <v>15</v>
      </c>
      <c r="D54" s="3" t="s">
        <v>16</v>
      </c>
      <c r="E54" s="4">
        <v>8295659</v>
      </c>
      <c r="F54" s="4">
        <v>210600</v>
      </c>
      <c r="G54" s="4">
        <v>0</v>
      </c>
      <c r="H54" s="4">
        <v>235066</v>
      </c>
      <c r="I54" s="4">
        <v>54433</v>
      </c>
      <c r="J54" s="4">
        <v>116439</v>
      </c>
      <c r="K54" s="4">
        <v>17343</v>
      </c>
      <c r="L54" s="4">
        <v>0</v>
      </c>
      <c r="M54" s="53">
        <f t="shared" si="0"/>
        <v>633881</v>
      </c>
    </row>
    <row r="55" spans="1:13">
      <c r="A55" s="3" t="s">
        <v>38</v>
      </c>
      <c r="B55" s="3" t="s">
        <v>39</v>
      </c>
      <c r="C55" s="3" t="s">
        <v>17</v>
      </c>
      <c r="D55" s="3" t="s">
        <v>18</v>
      </c>
      <c r="E55" s="4">
        <v>7123558</v>
      </c>
      <c r="F55" s="4">
        <v>210600</v>
      </c>
      <c r="G55" s="4">
        <v>0</v>
      </c>
      <c r="H55" s="4">
        <v>194918</v>
      </c>
      <c r="I55" s="4">
        <v>45135</v>
      </c>
      <c r="J55" s="4">
        <v>96551</v>
      </c>
      <c r="K55" s="4">
        <v>14380</v>
      </c>
      <c r="L55" s="4">
        <v>0</v>
      </c>
      <c r="M55" s="53">
        <f t="shared" si="0"/>
        <v>561584</v>
      </c>
    </row>
    <row r="56" spans="1:13">
      <c r="A56" s="3" t="s">
        <v>38</v>
      </c>
      <c r="B56" s="3" t="s">
        <v>39</v>
      </c>
      <c r="C56" s="3" t="s">
        <v>19</v>
      </c>
      <c r="D56" s="3" t="s">
        <v>20</v>
      </c>
      <c r="E56" s="4">
        <v>7123558</v>
      </c>
      <c r="F56" s="4">
        <v>210600</v>
      </c>
      <c r="G56" s="4">
        <v>0</v>
      </c>
      <c r="H56" s="4">
        <v>194918</v>
      </c>
      <c r="I56" s="4">
        <v>45135</v>
      </c>
      <c r="J56" s="4">
        <v>96551</v>
      </c>
      <c r="K56" s="4">
        <v>14380</v>
      </c>
      <c r="L56" s="4">
        <v>0</v>
      </c>
      <c r="M56" s="53">
        <f t="shared" si="0"/>
        <v>561584</v>
      </c>
    </row>
    <row r="57" spans="1:13">
      <c r="A57" s="3" t="s">
        <v>38</v>
      </c>
      <c r="B57" s="3" t="s">
        <v>39</v>
      </c>
      <c r="C57" s="3" t="s">
        <v>21</v>
      </c>
      <c r="D57" s="3" t="s">
        <v>22</v>
      </c>
      <c r="E57" s="4">
        <v>5969988</v>
      </c>
      <c r="F57" s="4">
        <v>204321</v>
      </c>
      <c r="G57" s="4">
        <v>0</v>
      </c>
      <c r="H57" s="4">
        <v>160959</v>
      </c>
      <c r="I57" s="4">
        <v>37247</v>
      </c>
      <c r="J57" s="4">
        <v>79682</v>
      </c>
      <c r="K57" s="4">
        <v>11905</v>
      </c>
      <c r="L57" s="4">
        <v>0</v>
      </c>
      <c r="M57" s="53">
        <f t="shared" si="0"/>
        <v>494114</v>
      </c>
    </row>
    <row r="58" spans="1:13">
      <c r="A58" s="3" t="s">
        <v>38</v>
      </c>
      <c r="B58" s="3" t="s">
        <v>39</v>
      </c>
      <c r="C58" s="3" t="s">
        <v>23</v>
      </c>
      <c r="D58" s="3" t="s">
        <v>24</v>
      </c>
      <c r="E58" s="4">
        <v>5969988</v>
      </c>
      <c r="F58" s="4">
        <v>204321</v>
      </c>
      <c r="G58" s="4">
        <v>0</v>
      </c>
      <c r="H58" s="4">
        <v>160959</v>
      </c>
      <c r="I58" s="4">
        <v>37247</v>
      </c>
      <c r="J58" s="4">
        <v>79682</v>
      </c>
      <c r="K58" s="4">
        <v>11905</v>
      </c>
      <c r="L58" s="4">
        <v>0</v>
      </c>
      <c r="M58" s="53">
        <f t="shared" si="0"/>
        <v>494114</v>
      </c>
    </row>
    <row r="59" spans="1:13">
      <c r="A59" s="3" t="s">
        <v>38</v>
      </c>
      <c r="B59" s="3" t="s">
        <v>39</v>
      </c>
      <c r="C59" s="3" t="s">
        <v>25</v>
      </c>
      <c r="D59" s="3" t="s">
        <v>26</v>
      </c>
      <c r="E59" s="4">
        <v>5029001</v>
      </c>
      <c r="F59" s="4">
        <v>178362</v>
      </c>
      <c r="G59" s="4">
        <v>0</v>
      </c>
      <c r="H59" s="4">
        <v>134444</v>
      </c>
      <c r="I59" s="4">
        <v>31111</v>
      </c>
      <c r="J59" s="4">
        <v>66552</v>
      </c>
      <c r="K59" s="4">
        <v>9937</v>
      </c>
      <c r="L59" s="4">
        <v>0</v>
      </c>
      <c r="M59" s="53">
        <f t="shared" si="0"/>
        <v>420406</v>
      </c>
    </row>
    <row r="60" spans="1:13">
      <c r="A60" s="3" t="s">
        <v>38</v>
      </c>
      <c r="B60" s="3" t="s">
        <v>39</v>
      </c>
      <c r="C60" s="3" t="s">
        <v>27</v>
      </c>
      <c r="D60" s="3" t="s">
        <v>28</v>
      </c>
      <c r="E60" s="4">
        <v>5029001</v>
      </c>
      <c r="F60" s="4">
        <v>178362</v>
      </c>
      <c r="G60" s="4">
        <v>0</v>
      </c>
      <c r="H60" s="4">
        <v>134444</v>
      </c>
      <c r="I60" s="4">
        <v>31111</v>
      </c>
      <c r="J60" s="4">
        <v>66552</v>
      </c>
      <c r="K60" s="4">
        <v>9937</v>
      </c>
      <c r="L60" s="4">
        <v>0</v>
      </c>
      <c r="M60" s="53">
        <f t="shared" si="0"/>
        <v>420406</v>
      </c>
    </row>
    <row r="61" spans="1:13">
      <c r="A61" s="3" t="s">
        <v>38</v>
      </c>
      <c r="B61" s="3" t="s">
        <v>39</v>
      </c>
      <c r="C61" s="3" t="s">
        <v>29</v>
      </c>
      <c r="D61" s="3" t="s">
        <v>30</v>
      </c>
      <c r="E61" s="4">
        <v>4060529</v>
      </c>
      <c r="F61" s="4">
        <v>143356</v>
      </c>
      <c r="G61" s="4">
        <v>0</v>
      </c>
      <c r="H61" s="4">
        <v>110311</v>
      </c>
      <c r="I61" s="4">
        <v>25542</v>
      </c>
      <c r="J61" s="4">
        <v>54640</v>
      </c>
      <c r="K61" s="4">
        <v>8135</v>
      </c>
      <c r="L61" s="4">
        <v>0</v>
      </c>
      <c r="M61" s="53">
        <f t="shared" si="0"/>
        <v>341984</v>
      </c>
    </row>
    <row r="62" spans="1:13">
      <c r="A62" s="3" t="s">
        <v>40</v>
      </c>
      <c r="B62" s="3" t="s">
        <v>41</v>
      </c>
      <c r="C62" s="3" t="s">
        <v>11</v>
      </c>
      <c r="D62" s="3" t="s">
        <v>12</v>
      </c>
      <c r="E62" s="4">
        <v>10198674</v>
      </c>
      <c r="F62" s="4">
        <v>210600</v>
      </c>
      <c r="G62" s="4">
        <v>0</v>
      </c>
      <c r="H62" s="4">
        <v>304460</v>
      </c>
      <c r="I62" s="4">
        <v>70503</v>
      </c>
      <c r="J62" s="4">
        <v>150814</v>
      </c>
      <c r="K62" s="4">
        <v>22463</v>
      </c>
      <c r="L62" s="4">
        <v>0</v>
      </c>
      <c r="M62" s="53">
        <f t="shared" si="0"/>
        <v>758840</v>
      </c>
    </row>
    <row r="63" spans="1:13">
      <c r="A63" s="3" t="s">
        <v>40</v>
      </c>
      <c r="B63" s="3" t="s">
        <v>41</v>
      </c>
      <c r="C63" s="3" t="s">
        <v>13</v>
      </c>
      <c r="D63" s="3" t="s">
        <v>14</v>
      </c>
      <c r="E63" s="4">
        <v>8295659</v>
      </c>
      <c r="F63" s="4">
        <v>210600</v>
      </c>
      <c r="G63" s="4">
        <v>0</v>
      </c>
      <c r="H63" s="4">
        <v>235066</v>
      </c>
      <c r="I63" s="4">
        <v>54433</v>
      </c>
      <c r="J63" s="4">
        <v>116439</v>
      </c>
      <c r="K63" s="4">
        <v>17343</v>
      </c>
      <c r="L63" s="4">
        <v>0</v>
      </c>
      <c r="M63" s="53">
        <f t="shared" si="0"/>
        <v>633881</v>
      </c>
    </row>
    <row r="64" spans="1:13">
      <c r="A64" s="3" t="s">
        <v>40</v>
      </c>
      <c r="B64" s="3" t="s">
        <v>41</v>
      </c>
      <c r="C64" s="3" t="s">
        <v>15</v>
      </c>
      <c r="D64" s="3" t="s">
        <v>16</v>
      </c>
      <c r="E64" s="4">
        <v>8295659</v>
      </c>
      <c r="F64" s="4">
        <v>210600</v>
      </c>
      <c r="G64" s="4">
        <v>0</v>
      </c>
      <c r="H64" s="4">
        <v>235066</v>
      </c>
      <c r="I64" s="4">
        <v>54433</v>
      </c>
      <c r="J64" s="4">
        <v>116439</v>
      </c>
      <c r="K64" s="4">
        <v>17343</v>
      </c>
      <c r="L64" s="4">
        <v>0</v>
      </c>
      <c r="M64" s="53">
        <f t="shared" si="0"/>
        <v>633881</v>
      </c>
    </row>
    <row r="65" spans="1:13">
      <c r="A65" s="3" t="s">
        <v>40</v>
      </c>
      <c r="B65" s="3" t="s">
        <v>41</v>
      </c>
      <c r="C65" s="3" t="s">
        <v>17</v>
      </c>
      <c r="D65" s="3" t="s">
        <v>18</v>
      </c>
      <c r="E65" s="4">
        <v>7123558</v>
      </c>
      <c r="F65" s="4">
        <v>210600</v>
      </c>
      <c r="G65" s="4">
        <v>0</v>
      </c>
      <c r="H65" s="4">
        <v>194918</v>
      </c>
      <c r="I65" s="4">
        <v>45135</v>
      </c>
      <c r="J65" s="4">
        <v>96551</v>
      </c>
      <c r="K65" s="4">
        <v>14380</v>
      </c>
      <c r="L65" s="4">
        <v>0</v>
      </c>
      <c r="M65" s="53">
        <f t="shared" si="0"/>
        <v>561584</v>
      </c>
    </row>
    <row r="66" spans="1:13">
      <c r="A66" s="3" t="s">
        <v>40</v>
      </c>
      <c r="B66" s="3" t="s">
        <v>41</v>
      </c>
      <c r="C66" s="3" t="s">
        <v>19</v>
      </c>
      <c r="D66" s="3" t="s">
        <v>20</v>
      </c>
      <c r="E66" s="4">
        <v>7123558</v>
      </c>
      <c r="F66" s="4">
        <v>210600</v>
      </c>
      <c r="G66" s="4">
        <v>0</v>
      </c>
      <c r="H66" s="4">
        <v>194918</v>
      </c>
      <c r="I66" s="4">
        <v>45135</v>
      </c>
      <c r="J66" s="4">
        <v>96551</v>
      </c>
      <c r="K66" s="4">
        <v>14380</v>
      </c>
      <c r="L66" s="4">
        <v>0</v>
      </c>
      <c r="M66" s="53">
        <f t="shared" si="0"/>
        <v>561584</v>
      </c>
    </row>
    <row r="67" spans="1:13">
      <c r="A67" s="3" t="s">
        <v>40</v>
      </c>
      <c r="B67" s="3" t="s">
        <v>41</v>
      </c>
      <c r="C67" s="3" t="s">
        <v>21</v>
      </c>
      <c r="D67" s="3" t="s">
        <v>22</v>
      </c>
      <c r="E67" s="4">
        <v>5969988</v>
      </c>
      <c r="F67" s="4">
        <v>204321</v>
      </c>
      <c r="G67" s="4">
        <v>0</v>
      </c>
      <c r="H67" s="4">
        <v>160959</v>
      </c>
      <c r="I67" s="4">
        <v>37247</v>
      </c>
      <c r="J67" s="4">
        <v>79682</v>
      </c>
      <c r="K67" s="4">
        <v>11905</v>
      </c>
      <c r="L67" s="4">
        <v>0</v>
      </c>
      <c r="M67" s="53">
        <f t="shared" ref="M67:M130" si="1">SUM(F67:L67)</f>
        <v>494114</v>
      </c>
    </row>
    <row r="68" spans="1:13">
      <c r="A68" s="3" t="s">
        <v>40</v>
      </c>
      <c r="B68" s="3" t="s">
        <v>41</v>
      </c>
      <c r="C68" s="3" t="s">
        <v>23</v>
      </c>
      <c r="D68" s="3" t="s">
        <v>24</v>
      </c>
      <c r="E68" s="4">
        <v>5969988</v>
      </c>
      <c r="F68" s="4">
        <v>204321</v>
      </c>
      <c r="G68" s="4">
        <v>0</v>
      </c>
      <c r="H68" s="4">
        <v>160959</v>
      </c>
      <c r="I68" s="4">
        <v>37247</v>
      </c>
      <c r="J68" s="4">
        <v>79682</v>
      </c>
      <c r="K68" s="4">
        <v>11905</v>
      </c>
      <c r="L68" s="4">
        <v>0</v>
      </c>
      <c r="M68" s="53">
        <f t="shared" si="1"/>
        <v>494114</v>
      </c>
    </row>
    <row r="69" spans="1:13">
      <c r="A69" s="3" t="s">
        <v>40</v>
      </c>
      <c r="B69" s="3" t="s">
        <v>41</v>
      </c>
      <c r="C69" s="3" t="s">
        <v>25</v>
      </c>
      <c r="D69" s="3" t="s">
        <v>26</v>
      </c>
      <c r="E69" s="4">
        <v>5029001</v>
      </c>
      <c r="F69" s="4">
        <v>178362</v>
      </c>
      <c r="G69" s="4">
        <v>0</v>
      </c>
      <c r="H69" s="4">
        <v>134444</v>
      </c>
      <c r="I69" s="4">
        <v>31111</v>
      </c>
      <c r="J69" s="4">
        <v>66552</v>
      </c>
      <c r="K69" s="4">
        <v>9937</v>
      </c>
      <c r="L69" s="4">
        <v>0</v>
      </c>
      <c r="M69" s="53">
        <f t="shared" si="1"/>
        <v>420406</v>
      </c>
    </row>
    <row r="70" spans="1:13">
      <c r="A70" s="3" t="s">
        <v>40</v>
      </c>
      <c r="B70" s="3" t="s">
        <v>41</v>
      </c>
      <c r="C70" s="3" t="s">
        <v>27</v>
      </c>
      <c r="D70" s="3" t="s">
        <v>28</v>
      </c>
      <c r="E70" s="4">
        <v>5029001</v>
      </c>
      <c r="F70" s="4">
        <v>178362</v>
      </c>
      <c r="G70" s="4">
        <v>0</v>
      </c>
      <c r="H70" s="4">
        <v>134444</v>
      </c>
      <c r="I70" s="4">
        <v>31111</v>
      </c>
      <c r="J70" s="4">
        <v>66552</v>
      </c>
      <c r="K70" s="4">
        <v>9937</v>
      </c>
      <c r="L70" s="4">
        <v>0</v>
      </c>
      <c r="M70" s="53">
        <f t="shared" si="1"/>
        <v>420406</v>
      </c>
    </row>
    <row r="71" spans="1:13">
      <c r="A71" s="3" t="s">
        <v>40</v>
      </c>
      <c r="B71" s="3" t="s">
        <v>41</v>
      </c>
      <c r="C71" s="3" t="s">
        <v>29</v>
      </c>
      <c r="D71" s="3" t="s">
        <v>30</v>
      </c>
      <c r="E71" s="4">
        <v>4060529</v>
      </c>
      <c r="F71" s="4">
        <v>143356</v>
      </c>
      <c r="G71" s="4">
        <v>0</v>
      </c>
      <c r="H71" s="4">
        <v>110311</v>
      </c>
      <c r="I71" s="4">
        <v>25542</v>
      </c>
      <c r="J71" s="4">
        <v>54640</v>
      </c>
      <c r="K71" s="4">
        <v>8135</v>
      </c>
      <c r="L71" s="4">
        <v>0</v>
      </c>
      <c r="M71" s="53">
        <f t="shared" si="1"/>
        <v>341984</v>
      </c>
    </row>
    <row r="72" spans="1:13">
      <c r="A72" s="3" t="s">
        <v>42</v>
      </c>
      <c r="B72" s="3" t="s">
        <v>43</v>
      </c>
      <c r="C72" s="3" t="s">
        <v>11</v>
      </c>
      <c r="D72" s="3" t="s">
        <v>12</v>
      </c>
      <c r="E72" s="4">
        <v>10198674</v>
      </c>
      <c r="F72" s="4">
        <v>210600</v>
      </c>
      <c r="G72" s="4">
        <v>0</v>
      </c>
      <c r="H72" s="4">
        <v>304460</v>
      </c>
      <c r="I72" s="4">
        <v>70503</v>
      </c>
      <c r="J72" s="4">
        <v>150814</v>
      </c>
      <c r="K72" s="4">
        <v>22463</v>
      </c>
      <c r="L72" s="4">
        <v>0</v>
      </c>
      <c r="M72" s="53">
        <f t="shared" si="1"/>
        <v>758840</v>
      </c>
    </row>
    <row r="73" spans="1:13">
      <c r="A73" s="3" t="s">
        <v>42</v>
      </c>
      <c r="B73" s="3" t="s">
        <v>43</v>
      </c>
      <c r="C73" s="3" t="s">
        <v>13</v>
      </c>
      <c r="D73" s="3" t="s">
        <v>14</v>
      </c>
      <c r="E73" s="4">
        <v>8295659</v>
      </c>
      <c r="F73" s="4">
        <v>210600</v>
      </c>
      <c r="G73" s="4">
        <v>0</v>
      </c>
      <c r="H73" s="4">
        <v>235066</v>
      </c>
      <c r="I73" s="4">
        <v>54433</v>
      </c>
      <c r="J73" s="4">
        <v>116439</v>
      </c>
      <c r="K73" s="4">
        <v>17343</v>
      </c>
      <c r="L73" s="4">
        <v>0</v>
      </c>
      <c r="M73" s="53">
        <f t="shared" si="1"/>
        <v>633881</v>
      </c>
    </row>
    <row r="74" spans="1:13">
      <c r="A74" s="3" t="s">
        <v>42</v>
      </c>
      <c r="B74" s="3" t="s">
        <v>43</v>
      </c>
      <c r="C74" s="3" t="s">
        <v>15</v>
      </c>
      <c r="D74" s="3" t="s">
        <v>16</v>
      </c>
      <c r="E74" s="4">
        <v>8295659</v>
      </c>
      <c r="F74" s="4">
        <v>210600</v>
      </c>
      <c r="G74" s="4">
        <v>0</v>
      </c>
      <c r="H74" s="4">
        <v>235066</v>
      </c>
      <c r="I74" s="4">
        <v>54433</v>
      </c>
      <c r="J74" s="4">
        <v>116439</v>
      </c>
      <c r="K74" s="4">
        <v>17343</v>
      </c>
      <c r="L74" s="4">
        <v>0</v>
      </c>
      <c r="M74" s="53">
        <f t="shared" si="1"/>
        <v>633881</v>
      </c>
    </row>
    <row r="75" spans="1:13">
      <c r="A75" s="3" t="s">
        <v>42</v>
      </c>
      <c r="B75" s="3" t="s">
        <v>43</v>
      </c>
      <c r="C75" s="3" t="s">
        <v>17</v>
      </c>
      <c r="D75" s="3" t="s">
        <v>18</v>
      </c>
      <c r="E75" s="4">
        <v>7123558</v>
      </c>
      <c r="F75" s="4">
        <v>210600</v>
      </c>
      <c r="G75" s="4">
        <v>0</v>
      </c>
      <c r="H75" s="4">
        <v>194918</v>
      </c>
      <c r="I75" s="4">
        <v>45135</v>
      </c>
      <c r="J75" s="4">
        <v>96551</v>
      </c>
      <c r="K75" s="4">
        <v>14380</v>
      </c>
      <c r="L75" s="4">
        <v>0</v>
      </c>
      <c r="M75" s="53">
        <f t="shared" si="1"/>
        <v>561584</v>
      </c>
    </row>
    <row r="76" spans="1:13">
      <c r="A76" s="3" t="s">
        <v>42</v>
      </c>
      <c r="B76" s="3" t="s">
        <v>43</v>
      </c>
      <c r="C76" s="3" t="s">
        <v>19</v>
      </c>
      <c r="D76" s="3" t="s">
        <v>20</v>
      </c>
      <c r="E76" s="4">
        <v>7123558</v>
      </c>
      <c r="F76" s="4">
        <v>210600</v>
      </c>
      <c r="G76" s="4">
        <v>0</v>
      </c>
      <c r="H76" s="4">
        <v>194918</v>
      </c>
      <c r="I76" s="4">
        <v>45135</v>
      </c>
      <c r="J76" s="4">
        <v>96551</v>
      </c>
      <c r="K76" s="4">
        <v>14380</v>
      </c>
      <c r="L76" s="4">
        <v>0</v>
      </c>
      <c r="M76" s="53">
        <f t="shared" si="1"/>
        <v>561584</v>
      </c>
    </row>
    <row r="77" spans="1:13">
      <c r="A77" s="3" t="s">
        <v>42</v>
      </c>
      <c r="B77" s="3" t="s">
        <v>43</v>
      </c>
      <c r="C77" s="3" t="s">
        <v>21</v>
      </c>
      <c r="D77" s="3" t="s">
        <v>22</v>
      </c>
      <c r="E77" s="4">
        <v>5969988</v>
      </c>
      <c r="F77" s="4">
        <v>204321</v>
      </c>
      <c r="G77" s="4">
        <v>0</v>
      </c>
      <c r="H77" s="4">
        <v>160959</v>
      </c>
      <c r="I77" s="4">
        <v>37247</v>
      </c>
      <c r="J77" s="4">
        <v>79682</v>
      </c>
      <c r="K77" s="4">
        <v>11905</v>
      </c>
      <c r="L77" s="4">
        <v>0</v>
      </c>
      <c r="M77" s="53">
        <f t="shared" si="1"/>
        <v>494114</v>
      </c>
    </row>
    <row r="78" spans="1:13">
      <c r="A78" s="3" t="s">
        <v>42</v>
      </c>
      <c r="B78" s="3" t="s">
        <v>43</v>
      </c>
      <c r="C78" s="3" t="s">
        <v>23</v>
      </c>
      <c r="D78" s="3" t="s">
        <v>24</v>
      </c>
      <c r="E78" s="4">
        <v>5969988</v>
      </c>
      <c r="F78" s="4">
        <v>204321</v>
      </c>
      <c r="G78" s="4">
        <v>0</v>
      </c>
      <c r="H78" s="4">
        <v>160959</v>
      </c>
      <c r="I78" s="4">
        <v>37247</v>
      </c>
      <c r="J78" s="4">
        <v>79682</v>
      </c>
      <c r="K78" s="4">
        <v>11905</v>
      </c>
      <c r="L78" s="4">
        <v>0</v>
      </c>
      <c r="M78" s="53">
        <f t="shared" si="1"/>
        <v>494114</v>
      </c>
    </row>
    <row r="79" spans="1:13">
      <c r="A79" s="3" t="s">
        <v>42</v>
      </c>
      <c r="B79" s="3" t="s">
        <v>43</v>
      </c>
      <c r="C79" s="3" t="s">
        <v>25</v>
      </c>
      <c r="D79" s="3" t="s">
        <v>26</v>
      </c>
      <c r="E79" s="4">
        <v>5029001</v>
      </c>
      <c r="F79" s="4">
        <v>178362</v>
      </c>
      <c r="G79" s="4">
        <v>0</v>
      </c>
      <c r="H79" s="4">
        <v>134444</v>
      </c>
      <c r="I79" s="4">
        <v>31111</v>
      </c>
      <c r="J79" s="4">
        <v>66552</v>
      </c>
      <c r="K79" s="4">
        <v>9937</v>
      </c>
      <c r="L79" s="4">
        <v>0</v>
      </c>
      <c r="M79" s="53">
        <f t="shared" si="1"/>
        <v>420406</v>
      </c>
    </row>
    <row r="80" spans="1:13">
      <c r="A80" s="3" t="s">
        <v>42</v>
      </c>
      <c r="B80" s="3" t="s">
        <v>43</v>
      </c>
      <c r="C80" s="3" t="s">
        <v>27</v>
      </c>
      <c r="D80" s="3" t="s">
        <v>28</v>
      </c>
      <c r="E80" s="4">
        <v>5029001</v>
      </c>
      <c r="F80" s="4">
        <v>178362</v>
      </c>
      <c r="G80" s="4">
        <v>0</v>
      </c>
      <c r="H80" s="4">
        <v>134444</v>
      </c>
      <c r="I80" s="4">
        <v>31111</v>
      </c>
      <c r="J80" s="4">
        <v>66552</v>
      </c>
      <c r="K80" s="4">
        <v>9937</v>
      </c>
      <c r="L80" s="4">
        <v>0</v>
      </c>
      <c r="M80" s="53">
        <f t="shared" si="1"/>
        <v>420406</v>
      </c>
    </row>
    <row r="81" spans="1:13">
      <c r="A81" s="3" t="s">
        <v>42</v>
      </c>
      <c r="B81" s="3" t="s">
        <v>43</v>
      </c>
      <c r="C81" s="3" t="s">
        <v>29</v>
      </c>
      <c r="D81" s="3" t="s">
        <v>30</v>
      </c>
      <c r="E81" s="4">
        <v>4060529</v>
      </c>
      <c r="F81" s="4">
        <v>143356</v>
      </c>
      <c r="G81" s="4">
        <v>0</v>
      </c>
      <c r="H81" s="4">
        <v>110311</v>
      </c>
      <c r="I81" s="4">
        <v>25542</v>
      </c>
      <c r="J81" s="4">
        <v>54640</v>
      </c>
      <c r="K81" s="4">
        <v>8135</v>
      </c>
      <c r="L81" s="4">
        <v>0</v>
      </c>
      <c r="M81" s="53">
        <f t="shared" si="1"/>
        <v>341984</v>
      </c>
    </row>
    <row r="82" spans="1:13">
      <c r="A82" s="3" t="s">
        <v>44</v>
      </c>
      <c r="B82" s="3" t="s">
        <v>45</v>
      </c>
      <c r="C82" s="3" t="s">
        <v>11</v>
      </c>
      <c r="D82" s="3" t="s">
        <v>12</v>
      </c>
      <c r="E82" s="4">
        <v>10198674</v>
      </c>
      <c r="F82" s="4">
        <v>210600</v>
      </c>
      <c r="G82" s="4">
        <v>0</v>
      </c>
      <c r="H82" s="4">
        <v>304460</v>
      </c>
      <c r="I82" s="4">
        <v>70503</v>
      </c>
      <c r="J82" s="4">
        <v>150814</v>
      </c>
      <c r="K82" s="4">
        <v>22463</v>
      </c>
      <c r="L82" s="4">
        <v>0</v>
      </c>
      <c r="M82" s="53">
        <f t="shared" si="1"/>
        <v>758840</v>
      </c>
    </row>
    <row r="83" spans="1:13">
      <c r="A83" s="3" t="s">
        <v>44</v>
      </c>
      <c r="B83" s="3" t="s">
        <v>45</v>
      </c>
      <c r="C83" s="3" t="s">
        <v>13</v>
      </c>
      <c r="D83" s="3" t="s">
        <v>14</v>
      </c>
      <c r="E83" s="4">
        <v>8295659</v>
      </c>
      <c r="F83" s="4">
        <v>210600</v>
      </c>
      <c r="G83" s="4">
        <v>0</v>
      </c>
      <c r="H83" s="4">
        <v>235066</v>
      </c>
      <c r="I83" s="4">
        <v>54433</v>
      </c>
      <c r="J83" s="4">
        <v>116439</v>
      </c>
      <c r="K83" s="4">
        <v>17343</v>
      </c>
      <c r="L83" s="4">
        <v>0</v>
      </c>
      <c r="M83" s="53">
        <f t="shared" si="1"/>
        <v>633881</v>
      </c>
    </row>
    <row r="84" spans="1:13">
      <c r="A84" s="3" t="s">
        <v>44</v>
      </c>
      <c r="B84" s="3" t="s">
        <v>45</v>
      </c>
      <c r="C84" s="3" t="s">
        <v>15</v>
      </c>
      <c r="D84" s="3" t="s">
        <v>16</v>
      </c>
      <c r="E84" s="4">
        <v>8295659</v>
      </c>
      <c r="F84" s="4">
        <v>210600</v>
      </c>
      <c r="G84" s="4">
        <v>0</v>
      </c>
      <c r="H84" s="4">
        <v>235066</v>
      </c>
      <c r="I84" s="4">
        <v>54433</v>
      </c>
      <c r="J84" s="4">
        <v>116439</v>
      </c>
      <c r="K84" s="4">
        <v>17343</v>
      </c>
      <c r="L84" s="4">
        <v>0</v>
      </c>
      <c r="M84" s="53">
        <f t="shared" si="1"/>
        <v>633881</v>
      </c>
    </row>
    <row r="85" spans="1:13">
      <c r="A85" s="3" t="s">
        <v>44</v>
      </c>
      <c r="B85" s="3" t="s">
        <v>45</v>
      </c>
      <c r="C85" s="3" t="s">
        <v>17</v>
      </c>
      <c r="D85" s="3" t="s">
        <v>18</v>
      </c>
      <c r="E85" s="4">
        <v>7123558</v>
      </c>
      <c r="F85" s="4">
        <v>210600</v>
      </c>
      <c r="G85" s="4">
        <v>0</v>
      </c>
      <c r="H85" s="4">
        <v>194918</v>
      </c>
      <c r="I85" s="4">
        <v>45135</v>
      </c>
      <c r="J85" s="4">
        <v>96551</v>
      </c>
      <c r="K85" s="4">
        <v>14380</v>
      </c>
      <c r="L85" s="4">
        <v>0</v>
      </c>
      <c r="M85" s="53">
        <f t="shared" si="1"/>
        <v>561584</v>
      </c>
    </row>
    <row r="86" spans="1:13">
      <c r="A86" s="3" t="s">
        <v>44</v>
      </c>
      <c r="B86" s="3" t="s">
        <v>45</v>
      </c>
      <c r="C86" s="3" t="s">
        <v>19</v>
      </c>
      <c r="D86" s="3" t="s">
        <v>20</v>
      </c>
      <c r="E86" s="4">
        <v>7123558</v>
      </c>
      <c r="F86" s="4">
        <v>210600</v>
      </c>
      <c r="G86" s="4">
        <v>0</v>
      </c>
      <c r="H86" s="4">
        <v>194918</v>
      </c>
      <c r="I86" s="4">
        <v>45135</v>
      </c>
      <c r="J86" s="4">
        <v>96551</v>
      </c>
      <c r="K86" s="4">
        <v>14380</v>
      </c>
      <c r="L86" s="4">
        <v>0</v>
      </c>
      <c r="M86" s="53">
        <f t="shared" si="1"/>
        <v>561584</v>
      </c>
    </row>
    <row r="87" spans="1:13">
      <c r="A87" s="3" t="s">
        <v>44</v>
      </c>
      <c r="B87" s="3" t="s">
        <v>45</v>
      </c>
      <c r="C87" s="3" t="s">
        <v>21</v>
      </c>
      <c r="D87" s="3" t="s">
        <v>22</v>
      </c>
      <c r="E87" s="4">
        <v>5969988</v>
      </c>
      <c r="F87" s="4">
        <v>204321</v>
      </c>
      <c r="G87" s="4">
        <v>0</v>
      </c>
      <c r="H87" s="4">
        <v>160959</v>
      </c>
      <c r="I87" s="4">
        <v>37247</v>
      </c>
      <c r="J87" s="4">
        <v>79682</v>
      </c>
      <c r="K87" s="4">
        <v>11905</v>
      </c>
      <c r="L87" s="4">
        <v>0</v>
      </c>
      <c r="M87" s="53">
        <f t="shared" si="1"/>
        <v>494114</v>
      </c>
    </row>
    <row r="88" spans="1:13">
      <c r="A88" s="3" t="s">
        <v>44</v>
      </c>
      <c r="B88" s="3" t="s">
        <v>45</v>
      </c>
      <c r="C88" s="3" t="s">
        <v>23</v>
      </c>
      <c r="D88" s="3" t="s">
        <v>24</v>
      </c>
      <c r="E88" s="4">
        <v>5969988</v>
      </c>
      <c r="F88" s="4">
        <v>204321</v>
      </c>
      <c r="G88" s="4">
        <v>0</v>
      </c>
      <c r="H88" s="4">
        <v>160959</v>
      </c>
      <c r="I88" s="4">
        <v>37247</v>
      </c>
      <c r="J88" s="4">
        <v>79682</v>
      </c>
      <c r="K88" s="4">
        <v>11905</v>
      </c>
      <c r="L88" s="4">
        <v>0</v>
      </c>
      <c r="M88" s="53">
        <f t="shared" si="1"/>
        <v>494114</v>
      </c>
    </row>
    <row r="89" spans="1:13">
      <c r="A89" s="3" t="s">
        <v>44</v>
      </c>
      <c r="B89" s="3" t="s">
        <v>45</v>
      </c>
      <c r="C89" s="3" t="s">
        <v>25</v>
      </c>
      <c r="D89" s="3" t="s">
        <v>26</v>
      </c>
      <c r="E89" s="4">
        <v>5029001</v>
      </c>
      <c r="F89" s="4">
        <v>178362</v>
      </c>
      <c r="G89" s="4">
        <v>0</v>
      </c>
      <c r="H89" s="4">
        <v>134444</v>
      </c>
      <c r="I89" s="4">
        <v>31111</v>
      </c>
      <c r="J89" s="4">
        <v>66552</v>
      </c>
      <c r="K89" s="4">
        <v>9937</v>
      </c>
      <c r="L89" s="4">
        <v>0</v>
      </c>
      <c r="M89" s="53">
        <f t="shared" si="1"/>
        <v>420406</v>
      </c>
    </row>
    <row r="90" spans="1:13">
      <c r="A90" s="3" t="s">
        <v>44</v>
      </c>
      <c r="B90" s="3" t="s">
        <v>45</v>
      </c>
      <c r="C90" s="3" t="s">
        <v>27</v>
      </c>
      <c r="D90" s="3" t="s">
        <v>28</v>
      </c>
      <c r="E90" s="4">
        <v>5029001</v>
      </c>
      <c r="F90" s="4">
        <v>178362</v>
      </c>
      <c r="G90" s="4">
        <v>0</v>
      </c>
      <c r="H90" s="4">
        <v>134444</v>
      </c>
      <c r="I90" s="4">
        <v>31111</v>
      </c>
      <c r="J90" s="4">
        <v>66552</v>
      </c>
      <c r="K90" s="4">
        <v>9937</v>
      </c>
      <c r="L90" s="4">
        <v>0</v>
      </c>
      <c r="M90" s="53">
        <f t="shared" si="1"/>
        <v>420406</v>
      </c>
    </row>
    <row r="91" spans="1:13">
      <c r="A91" s="3" t="s">
        <v>44</v>
      </c>
      <c r="B91" s="3" t="s">
        <v>45</v>
      </c>
      <c r="C91" s="3" t="s">
        <v>29</v>
      </c>
      <c r="D91" s="3" t="s">
        <v>30</v>
      </c>
      <c r="E91" s="4">
        <v>4060529</v>
      </c>
      <c r="F91" s="4">
        <v>143356</v>
      </c>
      <c r="G91" s="4">
        <v>0</v>
      </c>
      <c r="H91" s="4">
        <v>110311</v>
      </c>
      <c r="I91" s="4">
        <v>25542</v>
      </c>
      <c r="J91" s="4">
        <v>54640</v>
      </c>
      <c r="K91" s="4">
        <v>8135</v>
      </c>
      <c r="L91" s="4">
        <v>0</v>
      </c>
      <c r="M91" s="53">
        <f t="shared" si="1"/>
        <v>341984</v>
      </c>
    </row>
    <row r="92" spans="1:13">
      <c r="A92" s="3" t="s">
        <v>46</v>
      </c>
      <c r="B92" s="3" t="s">
        <v>47</v>
      </c>
      <c r="C92" s="3" t="s">
        <v>11</v>
      </c>
      <c r="D92" s="3" t="s">
        <v>12</v>
      </c>
      <c r="E92" s="4">
        <v>10198674</v>
      </c>
      <c r="F92" s="4">
        <v>210600</v>
      </c>
      <c r="G92" s="4">
        <v>0</v>
      </c>
      <c r="H92" s="4">
        <v>304460</v>
      </c>
      <c r="I92" s="4">
        <v>70503</v>
      </c>
      <c r="J92" s="4">
        <v>150814</v>
      </c>
      <c r="K92" s="4">
        <v>22463</v>
      </c>
      <c r="L92" s="4">
        <v>0</v>
      </c>
      <c r="M92" s="53">
        <f t="shared" si="1"/>
        <v>758840</v>
      </c>
    </row>
    <row r="93" spans="1:13">
      <c r="A93" s="3" t="s">
        <v>46</v>
      </c>
      <c r="B93" s="3" t="s">
        <v>47</v>
      </c>
      <c r="C93" s="3" t="s">
        <v>13</v>
      </c>
      <c r="D93" s="3" t="s">
        <v>14</v>
      </c>
      <c r="E93" s="4">
        <v>8295659</v>
      </c>
      <c r="F93" s="4">
        <v>210600</v>
      </c>
      <c r="G93" s="4">
        <v>0</v>
      </c>
      <c r="H93" s="4">
        <v>235066</v>
      </c>
      <c r="I93" s="4">
        <v>54433</v>
      </c>
      <c r="J93" s="4">
        <v>116439</v>
      </c>
      <c r="K93" s="4">
        <v>17343</v>
      </c>
      <c r="L93" s="4">
        <v>0</v>
      </c>
      <c r="M93" s="53">
        <f t="shared" si="1"/>
        <v>633881</v>
      </c>
    </row>
    <row r="94" spans="1:13">
      <c r="A94" s="3" t="s">
        <v>46</v>
      </c>
      <c r="B94" s="3" t="s">
        <v>47</v>
      </c>
      <c r="C94" s="3" t="s">
        <v>15</v>
      </c>
      <c r="D94" s="3" t="s">
        <v>16</v>
      </c>
      <c r="E94" s="4">
        <v>8295659</v>
      </c>
      <c r="F94" s="4">
        <v>210600</v>
      </c>
      <c r="G94" s="4">
        <v>0</v>
      </c>
      <c r="H94" s="4">
        <v>235066</v>
      </c>
      <c r="I94" s="4">
        <v>54433</v>
      </c>
      <c r="J94" s="4">
        <v>116439</v>
      </c>
      <c r="K94" s="4">
        <v>17343</v>
      </c>
      <c r="L94" s="4">
        <v>0</v>
      </c>
      <c r="M94" s="53">
        <f t="shared" si="1"/>
        <v>633881</v>
      </c>
    </row>
    <row r="95" spans="1:13">
      <c r="A95" s="3" t="s">
        <v>46</v>
      </c>
      <c r="B95" s="3" t="s">
        <v>47</v>
      </c>
      <c r="C95" s="3" t="s">
        <v>17</v>
      </c>
      <c r="D95" s="3" t="s">
        <v>18</v>
      </c>
      <c r="E95" s="4">
        <v>7123558</v>
      </c>
      <c r="F95" s="4">
        <v>210600</v>
      </c>
      <c r="G95" s="4">
        <v>0</v>
      </c>
      <c r="H95" s="4">
        <v>194918</v>
      </c>
      <c r="I95" s="4">
        <v>45135</v>
      </c>
      <c r="J95" s="4">
        <v>96551</v>
      </c>
      <c r="K95" s="4">
        <v>14380</v>
      </c>
      <c r="L95" s="4">
        <v>0</v>
      </c>
      <c r="M95" s="53">
        <f t="shared" si="1"/>
        <v>561584</v>
      </c>
    </row>
    <row r="96" spans="1:13">
      <c r="A96" s="3" t="s">
        <v>46</v>
      </c>
      <c r="B96" s="3" t="s">
        <v>47</v>
      </c>
      <c r="C96" s="3" t="s">
        <v>19</v>
      </c>
      <c r="D96" s="3" t="s">
        <v>20</v>
      </c>
      <c r="E96" s="4">
        <v>7123558</v>
      </c>
      <c r="F96" s="4">
        <v>210600</v>
      </c>
      <c r="G96" s="4">
        <v>0</v>
      </c>
      <c r="H96" s="4">
        <v>194918</v>
      </c>
      <c r="I96" s="4">
        <v>45135</v>
      </c>
      <c r="J96" s="4">
        <v>96551</v>
      </c>
      <c r="K96" s="4">
        <v>14380</v>
      </c>
      <c r="L96" s="4">
        <v>0</v>
      </c>
      <c r="M96" s="53">
        <f t="shared" si="1"/>
        <v>561584</v>
      </c>
    </row>
    <row r="97" spans="1:13">
      <c r="A97" s="3" t="s">
        <v>46</v>
      </c>
      <c r="B97" s="3" t="s">
        <v>47</v>
      </c>
      <c r="C97" s="3" t="s">
        <v>21</v>
      </c>
      <c r="D97" s="3" t="s">
        <v>22</v>
      </c>
      <c r="E97" s="4">
        <v>5969988</v>
      </c>
      <c r="F97" s="4">
        <v>204321</v>
      </c>
      <c r="G97" s="4">
        <v>0</v>
      </c>
      <c r="H97" s="4">
        <v>160959</v>
      </c>
      <c r="I97" s="4">
        <v>37247</v>
      </c>
      <c r="J97" s="4">
        <v>79682</v>
      </c>
      <c r="K97" s="4">
        <v>11905</v>
      </c>
      <c r="L97" s="4">
        <v>0</v>
      </c>
      <c r="M97" s="53">
        <f t="shared" si="1"/>
        <v>494114</v>
      </c>
    </row>
    <row r="98" spans="1:13">
      <c r="A98" s="3" t="s">
        <v>46</v>
      </c>
      <c r="B98" s="3" t="s">
        <v>47</v>
      </c>
      <c r="C98" s="3" t="s">
        <v>23</v>
      </c>
      <c r="D98" s="3" t="s">
        <v>24</v>
      </c>
      <c r="E98" s="4">
        <v>5969988</v>
      </c>
      <c r="F98" s="4">
        <v>204321</v>
      </c>
      <c r="G98" s="4">
        <v>0</v>
      </c>
      <c r="H98" s="4">
        <v>160959</v>
      </c>
      <c r="I98" s="4">
        <v>37247</v>
      </c>
      <c r="J98" s="4">
        <v>79682</v>
      </c>
      <c r="K98" s="4">
        <v>11905</v>
      </c>
      <c r="L98" s="4">
        <v>0</v>
      </c>
      <c r="M98" s="53">
        <f t="shared" si="1"/>
        <v>494114</v>
      </c>
    </row>
    <row r="99" spans="1:13">
      <c r="A99" s="3" t="s">
        <v>46</v>
      </c>
      <c r="B99" s="3" t="s">
        <v>47</v>
      </c>
      <c r="C99" s="3" t="s">
        <v>25</v>
      </c>
      <c r="D99" s="3" t="s">
        <v>26</v>
      </c>
      <c r="E99" s="4">
        <v>5029001</v>
      </c>
      <c r="F99" s="4">
        <v>178362</v>
      </c>
      <c r="G99" s="4">
        <v>0</v>
      </c>
      <c r="H99" s="4">
        <v>134444</v>
      </c>
      <c r="I99" s="4">
        <v>31111</v>
      </c>
      <c r="J99" s="4">
        <v>66552</v>
      </c>
      <c r="K99" s="4">
        <v>9937</v>
      </c>
      <c r="L99" s="4">
        <v>0</v>
      </c>
      <c r="M99" s="53">
        <f t="shared" si="1"/>
        <v>420406</v>
      </c>
    </row>
    <row r="100" spans="1:13">
      <c r="A100" s="3" t="s">
        <v>46</v>
      </c>
      <c r="B100" s="3" t="s">
        <v>47</v>
      </c>
      <c r="C100" s="3" t="s">
        <v>27</v>
      </c>
      <c r="D100" s="3" t="s">
        <v>28</v>
      </c>
      <c r="E100" s="4">
        <v>5029001</v>
      </c>
      <c r="F100" s="4">
        <v>178362</v>
      </c>
      <c r="G100" s="4">
        <v>0</v>
      </c>
      <c r="H100" s="4">
        <v>134444</v>
      </c>
      <c r="I100" s="4">
        <v>31111</v>
      </c>
      <c r="J100" s="4">
        <v>66552</v>
      </c>
      <c r="K100" s="4">
        <v>9937</v>
      </c>
      <c r="L100" s="4">
        <v>0</v>
      </c>
      <c r="M100" s="53">
        <f t="shared" si="1"/>
        <v>420406</v>
      </c>
    </row>
    <row r="101" spans="1:13">
      <c r="A101" s="3" t="s">
        <v>46</v>
      </c>
      <c r="B101" s="3" t="s">
        <v>47</v>
      </c>
      <c r="C101" s="3" t="s">
        <v>29</v>
      </c>
      <c r="D101" s="3" t="s">
        <v>30</v>
      </c>
      <c r="E101" s="4">
        <v>4060529</v>
      </c>
      <c r="F101" s="4">
        <v>143356</v>
      </c>
      <c r="G101" s="4">
        <v>0</v>
      </c>
      <c r="H101" s="4">
        <v>110311</v>
      </c>
      <c r="I101" s="4">
        <v>25542</v>
      </c>
      <c r="J101" s="4">
        <v>54640</v>
      </c>
      <c r="K101" s="4">
        <v>8135</v>
      </c>
      <c r="L101" s="4">
        <v>0</v>
      </c>
      <c r="M101" s="53">
        <f t="shared" si="1"/>
        <v>341984</v>
      </c>
    </row>
    <row r="102" spans="1:13">
      <c r="A102" s="3" t="s">
        <v>48</v>
      </c>
      <c r="B102" s="3" t="s">
        <v>49</v>
      </c>
      <c r="C102" s="3" t="s">
        <v>11</v>
      </c>
      <c r="D102" s="3" t="s">
        <v>12</v>
      </c>
      <c r="E102" s="4">
        <v>10198674</v>
      </c>
      <c r="F102" s="4">
        <v>210600</v>
      </c>
      <c r="G102" s="4">
        <v>0</v>
      </c>
      <c r="H102" s="4">
        <v>304460</v>
      </c>
      <c r="I102" s="4">
        <v>70503</v>
      </c>
      <c r="J102" s="4">
        <v>150814</v>
      </c>
      <c r="K102" s="4">
        <v>22463</v>
      </c>
      <c r="L102" s="4">
        <v>0</v>
      </c>
      <c r="M102" s="53">
        <f t="shared" si="1"/>
        <v>758840</v>
      </c>
    </row>
    <row r="103" spans="1:13">
      <c r="A103" s="3" t="s">
        <v>48</v>
      </c>
      <c r="B103" s="3" t="s">
        <v>49</v>
      </c>
      <c r="C103" s="3" t="s">
        <v>13</v>
      </c>
      <c r="D103" s="3" t="s">
        <v>14</v>
      </c>
      <c r="E103" s="4">
        <v>8295659</v>
      </c>
      <c r="F103" s="4">
        <v>210600</v>
      </c>
      <c r="G103" s="4">
        <v>0</v>
      </c>
      <c r="H103" s="4">
        <v>235066</v>
      </c>
      <c r="I103" s="4">
        <v>54433</v>
      </c>
      <c r="J103" s="4">
        <v>116439</v>
      </c>
      <c r="K103" s="4">
        <v>17343</v>
      </c>
      <c r="L103" s="4">
        <v>0</v>
      </c>
      <c r="M103" s="53">
        <f t="shared" si="1"/>
        <v>633881</v>
      </c>
    </row>
    <row r="104" spans="1:13">
      <c r="A104" s="3" t="s">
        <v>48</v>
      </c>
      <c r="B104" s="3" t="s">
        <v>49</v>
      </c>
      <c r="C104" s="3" t="s">
        <v>15</v>
      </c>
      <c r="D104" s="3" t="s">
        <v>16</v>
      </c>
      <c r="E104" s="4">
        <v>8295659</v>
      </c>
      <c r="F104" s="4">
        <v>210600</v>
      </c>
      <c r="G104" s="4">
        <v>0</v>
      </c>
      <c r="H104" s="4">
        <v>235066</v>
      </c>
      <c r="I104" s="4">
        <v>54433</v>
      </c>
      <c r="J104" s="4">
        <v>116439</v>
      </c>
      <c r="K104" s="4">
        <v>17343</v>
      </c>
      <c r="L104" s="4">
        <v>0</v>
      </c>
      <c r="M104" s="53">
        <f t="shared" si="1"/>
        <v>633881</v>
      </c>
    </row>
    <row r="105" spans="1:13">
      <c r="A105" s="3" t="s">
        <v>48</v>
      </c>
      <c r="B105" s="3" t="s">
        <v>49</v>
      </c>
      <c r="C105" s="3" t="s">
        <v>17</v>
      </c>
      <c r="D105" s="3" t="s">
        <v>18</v>
      </c>
      <c r="E105" s="4">
        <v>7123558</v>
      </c>
      <c r="F105" s="4">
        <v>210600</v>
      </c>
      <c r="G105" s="4">
        <v>0</v>
      </c>
      <c r="H105" s="4">
        <v>194918</v>
      </c>
      <c r="I105" s="4">
        <v>45135</v>
      </c>
      <c r="J105" s="4">
        <v>96551</v>
      </c>
      <c r="K105" s="4">
        <v>14380</v>
      </c>
      <c r="L105" s="4">
        <v>0</v>
      </c>
      <c r="M105" s="53">
        <f t="shared" si="1"/>
        <v>561584</v>
      </c>
    </row>
    <row r="106" spans="1:13">
      <c r="A106" s="3" t="s">
        <v>48</v>
      </c>
      <c r="B106" s="3" t="s">
        <v>49</v>
      </c>
      <c r="C106" s="3" t="s">
        <v>19</v>
      </c>
      <c r="D106" s="3" t="s">
        <v>20</v>
      </c>
      <c r="E106" s="4">
        <v>7123558</v>
      </c>
      <c r="F106" s="4">
        <v>210600</v>
      </c>
      <c r="G106" s="4">
        <v>0</v>
      </c>
      <c r="H106" s="4">
        <v>194918</v>
      </c>
      <c r="I106" s="4">
        <v>45135</v>
      </c>
      <c r="J106" s="4">
        <v>96551</v>
      </c>
      <c r="K106" s="4">
        <v>14380</v>
      </c>
      <c r="L106" s="4">
        <v>0</v>
      </c>
      <c r="M106" s="53">
        <f t="shared" si="1"/>
        <v>561584</v>
      </c>
    </row>
    <row r="107" spans="1:13">
      <c r="A107" s="3" t="s">
        <v>48</v>
      </c>
      <c r="B107" s="3" t="s">
        <v>49</v>
      </c>
      <c r="C107" s="3" t="s">
        <v>21</v>
      </c>
      <c r="D107" s="3" t="s">
        <v>22</v>
      </c>
      <c r="E107" s="4">
        <v>5969988</v>
      </c>
      <c r="F107" s="4">
        <v>204321</v>
      </c>
      <c r="G107" s="4">
        <v>0</v>
      </c>
      <c r="H107" s="4">
        <v>160959</v>
      </c>
      <c r="I107" s="4">
        <v>37247</v>
      </c>
      <c r="J107" s="4">
        <v>79682</v>
      </c>
      <c r="K107" s="4">
        <v>11905</v>
      </c>
      <c r="L107" s="4">
        <v>0</v>
      </c>
      <c r="M107" s="53">
        <f t="shared" si="1"/>
        <v>494114</v>
      </c>
    </row>
    <row r="108" spans="1:13">
      <c r="A108" s="3" t="s">
        <v>48</v>
      </c>
      <c r="B108" s="3" t="s">
        <v>49</v>
      </c>
      <c r="C108" s="3" t="s">
        <v>23</v>
      </c>
      <c r="D108" s="3" t="s">
        <v>24</v>
      </c>
      <c r="E108" s="4">
        <v>5969988</v>
      </c>
      <c r="F108" s="4">
        <v>204321</v>
      </c>
      <c r="G108" s="4">
        <v>0</v>
      </c>
      <c r="H108" s="4">
        <v>160959</v>
      </c>
      <c r="I108" s="4">
        <v>37247</v>
      </c>
      <c r="J108" s="4">
        <v>79682</v>
      </c>
      <c r="K108" s="4">
        <v>11905</v>
      </c>
      <c r="L108" s="4">
        <v>0</v>
      </c>
      <c r="M108" s="53">
        <f t="shared" si="1"/>
        <v>494114</v>
      </c>
    </row>
    <row r="109" spans="1:13">
      <c r="A109" s="3" t="s">
        <v>48</v>
      </c>
      <c r="B109" s="3" t="s">
        <v>49</v>
      </c>
      <c r="C109" s="3" t="s">
        <v>25</v>
      </c>
      <c r="D109" s="3" t="s">
        <v>26</v>
      </c>
      <c r="E109" s="4">
        <v>5029001</v>
      </c>
      <c r="F109" s="4">
        <v>178362</v>
      </c>
      <c r="G109" s="4">
        <v>0</v>
      </c>
      <c r="H109" s="4">
        <v>134444</v>
      </c>
      <c r="I109" s="4">
        <v>31111</v>
      </c>
      <c r="J109" s="4">
        <v>66552</v>
      </c>
      <c r="K109" s="4">
        <v>9937</v>
      </c>
      <c r="L109" s="4">
        <v>0</v>
      </c>
      <c r="M109" s="53">
        <f t="shared" si="1"/>
        <v>420406</v>
      </c>
    </row>
    <row r="110" spans="1:13">
      <c r="A110" s="3" t="s">
        <v>48</v>
      </c>
      <c r="B110" s="3" t="s">
        <v>49</v>
      </c>
      <c r="C110" s="3" t="s">
        <v>27</v>
      </c>
      <c r="D110" s="3" t="s">
        <v>28</v>
      </c>
      <c r="E110" s="4">
        <v>5029001</v>
      </c>
      <c r="F110" s="4">
        <v>178362</v>
      </c>
      <c r="G110" s="4">
        <v>0</v>
      </c>
      <c r="H110" s="4">
        <v>134444</v>
      </c>
      <c r="I110" s="4">
        <v>31111</v>
      </c>
      <c r="J110" s="4">
        <v>66552</v>
      </c>
      <c r="K110" s="4">
        <v>9937</v>
      </c>
      <c r="L110" s="4">
        <v>0</v>
      </c>
      <c r="M110" s="53">
        <f t="shared" si="1"/>
        <v>420406</v>
      </c>
    </row>
    <row r="111" spans="1:13">
      <c r="A111" s="3" t="s">
        <v>48</v>
      </c>
      <c r="B111" s="3" t="s">
        <v>49</v>
      </c>
      <c r="C111" s="3" t="s">
        <v>29</v>
      </c>
      <c r="D111" s="3" t="s">
        <v>30</v>
      </c>
      <c r="E111" s="4">
        <v>4060529</v>
      </c>
      <c r="F111" s="4">
        <v>143356</v>
      </c>
      <c r="G111" s="4">
        <v>0</v>
      </c>
      <c r="H111" s="4">
        <v>110311</v>
      </c>
      <c r="I111" s="4">
        <v>25542</v>
      </c>
      <c r="J111" s="4">
        <v>54640</v>
      </c>
      <c r="K111" s="4">
        <v>8135</v>
      </c>
      <c r="L111" s="4">
        <v>0</v>
      </c>
      <c r="M111" s="53">
        <f t="shared" si="1"/>
        <v>341984</v>
      </c>
    </row>
    <row r="112" spans="1:13">
      <c r="A112" s="3" t="s">
        <v>50</v>
      </c>
      <c r="B112" s="3" t="s">
        <v>51</v>
      </c>
      <c r="C112" s="3" t="s">
        <v>11</v>
      </c>
      <c r="D112" s="3" t="s">
        <v>12</v>
      </c>
      <c r="E112" s="4">
        <v>10198674</v>
      </c>
      <c r="F112" s="4">
        <v>210600</v>
      </c>
      <c r="G112" s="4">
        <v>0</v>
      </c>
      <c r="H112" s="4">
        <v>304460</v>
      </c>
      <c r="I112" s="4">
        <v>70503</v>
      </c>
      <c r="J112" s="4">
        <v>150814</v>
      </c>
      <c r="K112" s="4">
        <v>22463</v>
      </c>
      <c r="L112" s="4">
        <v>0</v>
      </c>
      <c r="M112" s="53">
        <f t="shared" si="1"/>
        <v>758840</v>
      </c>
    </row>
    <row r="113" spans="1:13">
      <c r="A113" s="3" t="s">
        <v>50</v>
      </c>
      <c r="B113" s="3" t="s">
        <v>51</v>
      </c>
      <c r="C113" s="3" t="s">
        <v>13</v>
      </c>
      <c r="D113" s="3" t="s">
        <v>14</v>
      </c>
      <c r="E113" s="4">
        <v>8295659</v>
      </c>
      <c r="F113" s="4">
        <v>210600</v>
      </c>
      <c r="G113" s="4">
        <v>0</v>
      </c>
      <c r="H113" s="4">
        <v>235066</v>
      </c>
      <c r="I113" s="4">
        <v>54433</v>
      </c>
      <c r="J113" s="4">
        <v>116439</v>
      </c>
      <c r="K113" s="4">
        <v>17343</v>
      </c>
      <c r="L113" s="4">
        <v>0</v>
      </c>
      <c r="M113" s="53">
        <f t="shared" si="1"/>
        <v>633881</v>
      </c>
    </row>
    <row r="114" spans="1:13">
      <c r="A114" s="3" t="s">
        <v>50</v>
      </c>
      <c r="B114" s="3" t="s">
        <v>51</v>
      </c>
      <c r="C114" s="3" t="s">
        <v>15</v>
      </c>
      <c r="D114" s="3" t="s">
        <v>16</v>
      </c>
      <c r="E114" s="4">
        <v>8295659</v>
      </c>
      <c r="F114" s="4">
        <v>210600</v>
      </c>
      <c r="G114" s="4">
        <v>0</v>
      </c>
      <c r="H114" s="4">
        <v>235066</v>
      </c>
      <c r="I114" s="4">
        <v>54433</v>
      </c>
      <c r="J114" s="4">
        <v>116439</v>
      </c>
      <c r="K114" s="4">
        <v>17343</v>
      </c>
      <c r="L114" s="4">
        <v>0</v>
      </c>
      <c r="M114" s="53">
        <f t="shared" si="1"/>
        <v>633881</v>
      </c>
    </row>
    <row r="115" spans="1:13">
      <c r="A115" s="3" t="s">
        <v>50</v>
      </c>
      <c r="B115" s="3" t="s">
        <v>51</v>
      </c>
      <c r="C115" s="3" t="s">
        <v>17</v>
      </c>
      <c r="D115" s="3" t="s">
        <v>18</v>
      </c>
      <c r="E115" s="4">
        <v>7123558</v>
      </c>
      <c r="F115" s="4">
        <v>210600</v>
      </c>
      <c r="G115" s="4">
        <v>0</v>
      </c>
      <c r="H115" s="4">
        <v>194918</v>
      </c>
      <c r="I115" s="4">
        <v>45135</v>
      </c>
      <c r="J115" s="4">
        <v>96551</v>
      </c>
      <c r="K115" s="4">
        <v>14380</v>
      </c>
      <c r="L115" s="4">
        <v>0</v>
      </c>
      <c r="M115" s="53">
        <f t="shared" si="1"/>
        <v>561584</v>
      </c>
    </row>
    <row r="116" spans="1:13">
      <c r="A116" s="3" t="s">
        <v>50</v>
      </c>
      <c r="B116" s="3" t="s">
        <v>51</v>
      </c>
      <c r="C116" s="3" t="s">
        <v>19</v>
      </c>
      <c r="D116" s="3" t="s">
        <v>20</v>
      </c>
      <c r="E116" s="4">
        <v>7123558</v>
      </c>
      <c r="F116" s="4">
        <v>210600</v>
      </c>
      <c r="G116" s="4">
        <v>0</v>
      </c>
      <c r="H116" s="4">
        <v>194918</v>
      </c>
      <c r="I116" s="4">
        <v>45135</v>
      </c>
      <c r="J116" s="4">
        <v>96551</v>
      </c>
      <c r="K116" s="4">
        <v>14380</v>
      </c>
      <c r="L116" s="4">
        <v>0</v>
      </c>
      <c r="M116" s="53">
        <f t="shared" si="1"/>
        <v>561584</v>
      </c>
    </row>
    <row r="117" spans="1:13">
      <c r="A117" s="3" t="s">
        <v>50</v>
      </c>
      <c r="B117" s="3" t="s">
        <v>51</v>
      </c>
      <c r="C117" s="3" t="s">
        <v>21</v>
      </c>
      <c r="D117" s="3" t="s">
        <v>22</v>
      </c>
      <c r="E117" s="4">
        <v>5969988</v>
      </c>
      <c r="F117" s="4">
        <v>204321</v>
      </c>
      <c r="G117" s="4">
        <v>0</v>
      </c>
      <c r="H117" s="4">
        <v>160959</v>
      </c>
      <c r="I117" s="4">
        <v>37247</v>
      </c>
      <c r="J117" s="4">
        <v>79682</v>
      </c>
      <c r="K117" s="4">
        <v>11905</v>
      </c>
      <c r="L117" s="4">
        <v>0</v>
      </c>
      <c r="M117" s="53">
        <f t="shared" si="1"/>
        <v>494114</v>
      </c>
    </row>
    <row r="118" spans="1:13">
      <c r="A118" s="3" t="s">
        <v>50</v>
      </c>
      <c r="B118" s="3" t="s">
        <v>51</v>
      </c>
      <c r="C118" s="3" t="s">
        <v>23</v>
      </c>
      <c r="D118" s="3" t="s">
        <v>24</v>
      </c>
      <c r="E118" s="4">
        <v>5969988</v>
      </c>
      <c r="F118" s="4">
        <v>204321</v>
      </c>
      <c r="G118" s="4">
        <v>0</v>
      </c>
      <c r="H118" s="4">
        <v>160959</v>
      </c>
      <c r="I118" s="4">
        <v>37247</v>
      </c>
      <c r="J118" s="4">
        <v>79682</v>
      </c>
      <c r="K118" s="4">
        <v>11905</v>
      </c>
      <c r="L118" s="4">
        <v>0</v>
      </c>
      <c r="M118" s="53">
        <f t="shared" si="1"/>
        <v>494114</v>
      </c>
    </row>
    <row r="119" spans="1:13">
      <c r="A119" s="3" t="s">
        <v>50</v>
      </c>
      <c r="B119" s="3" t="s">
        <v>51</v>
      </c>
      <c r="C119" s="3" t="s">
        <v>25</v>
      </c>
      <c r="D119" s="3" t="s">
        <v>26</v>
      </c>
      <c r="E119" s="4">
        <v>5029001</v>
      </c>
      <c r="F119" s="4">
        <v>178362</v>
      </c>
      <c r="G119" s="4">
        <v>0</v>
      </c>
      <c r="H119" s="4">
        <v>134444</v>
      </c>
      <c r="I119" s="4">
        <v>31111</v>
      </c>
      <c r="J119" s="4">
        <v>66552</v>
      </c>
      <c r="K119" s="4">
        <v>9937</v>
      </c>
      <c r="L119" s="4">
        <v>0</v>
      </c>
      <c r="M119" s="53">
        <f t="shared" si="1"/>
        <v>420406</v>
      </c>
    </row>
    <row r="120" spans="1:13">
      <c r="A120" s="3" t="s">
        <v>50</v>
      </c>
      <c r="B120" s="3" t="s">
        <v>51</v>
      </c>
      <c r="C120" s="3" t="s">
        <v>27</v>
      </c>
      <c r="D120" s="3" t="s">
        <v>28</v>
      </c>
      <c r="E120" s="4">
        <v>5029001</v>
      </c>
      <c r="F120" s="4">
        <v>178362</v>
      </c>
      <c r="G120" s="4">
        <v>0</v>
      </c>
      <c r="H120" s="4">
        <v>134444</v>
      </c>
      <c r="I120" s="4">
        <v>31111</v>
      </c>
      <c r="J120" s="4">
        <v>66552</v>
      </c>
      <c r="K120" s="4">
        <v>9937</v>
      </c>
      <c r="L120" s="4">
        <v>0</v>
      </c>
      <c r="M120" s="53">
        <f t="shared" si="1"/>
        <v>420406</v>
      </c>
    </row>
    <row r="121" spans="1:13">
      <c r="A121" s="3" t="s">
        <v>50</v>
      </c>
      <c r="B121" s="3" t="s">
        <v>51</v>
      </c>
      <c r="C121" s="3" t="s">
        <v>29</v>
      </c>
      <c r="D121" s="3" t="s">
        <v>30</v>
      </c>
      <c r="E121" s="4">
        <v>4060529</v>
      </c>
      <c r="F121" s="4">
        <v>143356</v>
      </c>
      <c r="G121" s="4">
        <v>0</v>
      </c>
      <c r="H121" s="4">
        <v>110311</v>
      </c>
      <c r="I121" s="4">
        <v>25542</v>
      </c>
      <c r="J121" s="4">
        <v>54640</v>
      </c>
      <c r="K121" s="4">
        <v>8135</v>
      </c>
      <c r="L121" s="4">
        <v>0</v>
      </c>
      <c r="M121" s="53">
        <f t="shared" si="1"/>
        <v>341984</v>
      </c>
    </row>
    <row r="122" spans="1:13">
      <c r="A122" s="3" t="s">
        <v>52</v>
      </c>
      <c r="B122" s="3" t="s">
        <v>562</v>
      </c>
      <c r="C122" s="3" t="s">
        <v>11</v>
      </c>
      <c r="D122" s="3" t="s">
        <v>12</v>
      </c>
      <c r="E122" s="4">
        <v>10198674</v>
      </c>
      <c r="F122" s="4">
        <v>210600</v>
      </c>
      <c r="G122" s="4">
        <v>0</v>
      </c>
      <c r="H122" s="4">
        <v>304460</v>
      </c>
      <c r="I122" s="4">
        <v>70503</v>
      </c>
      <c r="J122" s="4">
        <v>150814</v>
      </c>
      <c r="K122" s="4">
        <v>22463</v>
      </c>
      <c r="L122" s="4">
        <v>0</v>
      </c>
      <c r="M122" s="53">
        <f t="shared" si="1"/>
        <v>758840</v>
      </c>
    </row>
    <row r="123" spans="1:13">
      <c r="A123" s="3" t="s">
        <v>52</v>
      </c>
      <c r="B123" s="3" t="s">
        <v>562</v>
      </c>
      <c r="C123" s="3" t="s">
        <v>13</v>
      </c>
      <c r="D123" s="3" t="s">
        <v>14</v>
      </c>
      <c r="E123" s="4">
        <v>8295659</v>
      </c>
      <c r="F123" s="4">
        <v>210600</v>
      </c>
      <c r="G123" s="4">
        <v>0</v>
      </c>
      <c r="H123" s="4">
        <v>235066</v>
      </c>
      <c r="I123" s="4">
        <v>54433</v>
      </c>
      <c r="J123" s="4">
        <v>116439</v>
      </c>
      <c r="K123" s="4">
        <v>17343</v>
      </c>
      <c r="L123" s="4">
        <v>0</v>
      </c>
      <c r="M123" s="53">
        <f t="shared" si="1"/>
        <v>633881</v>
      </c>
    </row>
    <row r="124" spans="1:13">
      <c r="A124" s="3" t="s">
        <v>52</v>
      </c>
      <c r="B124" s="3" t="s">
        <v>562</v>
      </c>
      <c r="C124" s="3" t="s">
        <v>15</v>
      </c>
      <c r="D124" s="3" t="s">
        <v>16</v>
      </c>
      <c r="E124" s="4">
        <v>8295659</v>
      </c>
      <c r="F124" s="4">
        <v>210600</v>
      </c>
      <c r="G124" s="4">
        <v>0</v>
      </c>
      <c r="H124" s="4">
        <v>235066</v>
      </c>
      <c r="I124" s="4">
        <v>54433</v>
      </c>
      <c r="J124" s="4">
        <v>116439</v>
      </c>
      <c r="K124" s="4">
        <v>17343</v>
      </c>
      <c r="L124" s="4">
        <v>0</v>
      </c>
      <c r="M124" s="53">
        <f t="shared" si="1"/>
        <v>633881</v>
      </c>
    </row>
    <row r="125" spans="1:13">
      <c r="A125" s="3" t="s">
        <v>52</v>
      </c>
      <c r="B125" s="3" t="s">
        <v>562</v>
      </c>
      <c r="C125" s="3" t="s">
        <v>17</v>
      </c>
      <c r="D125" s="3" t="s">
        <v>18</v>
      </c>
      <c r="E125" s="4">
        <v>7123558</v>
      </c>
      <c r="F125" s="4">
        <v>210600</v>
      </c>
      <c r="G125" s="4">
        <v>0</v>
      </c>
      <c r="H125" s="4">
        <v>194918</v>
      </c>
      <c r="I125" s="4">
        <v>45135</v>
      </c>
      <c r="J125" s="4">
        <v>96551</v>
      </c>
      <c r="K125" s="4">
        <v>14380</v>
      </c>
      <c r="L125" s="4">
        <v>0</v>
      </c>
      <c r="M125" s="53">
        <f t="shared" si="1"/>
        <v>561584</v>
      </c>
    </row>
    <row r="126" spans="1:13">
      <c r="A126" s="3" t="s">
        <v>52</v>
      </c>
      <c r="B126" s="3" t="s">
        <v>562</v>
      </c>
      <c r="C126" s="3" t="s">
        <v>19</v>
      </c>
      <c r="D126" s="3" t="s">
        <v>20</v>
      </c>
      <c r="E126" s="4">
        <v>7123558</v>
      </c>
      <c r="F126" s="4">
        <v>210600</v>
      </c>
      <c r="G126" s="4">
        <v>0</v>
      </c>
      <c r="H126" s="4">
        <v>194918</v>
      </c>
      <c r="I126" s="4">
        <v>45135</v>
      </c>
      <c r="J126" s="4">
        <v>96551</v>
      </c>
      <c r="K126" s="4">
        <v>14380</v>
      </c>
      <c r="L126" s="4">
        <v>0</v>
      </c>
      <c r="M126" s="53">
        <f t="shared" si="1"/>
        <v>561584</v>
      </c>
    </row>
    <row r="127" spans="1:13">
      <c r="A127" s="3" t="s">
        <v>52</v>
      </c>
      <c r="B127" s="3" t="s">
        <v>562</v>
      </c>
      <c r="C127" s="3" t="s">
        <v>21</v>
      </c>
      <c r="D127" s="3" t="s">
        <v>22</v>
      </c>
      <c r="E127" s="4">
        <v>5969988</v>
      </c>
      <c r="F127" s="4">
        <v>204321</v>
      </c>
      <c r="G127" s="4">
        <v>0</v>
      </c>
      <c r="H127" s="4">
        <v>160959</v>
      </c>
      <c r="I127" s="4">
        <v>37247</v>
      </c>
      <c r="J127" s="4">
        <v>79682</v>
      </c>
      <c r="K127" s="4">
        <v>11905</v>
      </c>
      <c r="L127" s="4">
        <v>0</v>
      </c>
      <c r="M127" s="53">
        <f t="shared" si="1"/>
        <v>494114</v>
      </c>
    </row>
    <row r="128" spans="1:13">
      <c r="A128" s="3" t="s">
        <v>52</v>
      </c>
      <c r="B128" s="3" t="s">
        <v>562</v>
      </c>
      <c r="C128" s="3" t="s">
        <v>23</v>
      </c>
      <c r="D128" s="3" t="s">
        <v>24</v>
      </c>
      <c r="E128" s="4">
        <v>5969988</v>
      </c>
      <c r="F128" s="4">
        <v>204321</v>
      </c>
      <c r="G128" s="4">
        <v>0</v>
      </c>
      <c r="H128" s="4">
        <v>160959</v>
      </c>
      <c r="I128" s="4">
        <v>37247</v>
      </c>
      <c r="J128" s="4">
        <v>79682</v>
      </c>
      <c r="K128" s="4">
        <v>11905</v>
      </c>
      <c r="L128" s="4">
        <v>0</v>
      </c>
      <c r="M128" s="53">
        <f t="shared" si="1"/>
        <v>494114</v>
      </c>
    </row>
    <row r="129" spans="1:13">
      <c r="A129" s="3" t="s">
        <v>52</v>
      </c>
      <c r="B129" s="3" t="s">
        <v>562</v>
      </c>
      <c r="C129" s="3" t="s">
        <v>25</v>
      </c>
      <c r="D129" s="3" t="s">
        <v>26</v>
      </c>
      <c r="E129" s="4">
        <v>5029001</v>
      </c>
      <c r="F129" s="4">
        <v>178362</v>
      </c>
      <c r="G129" s="4">
        <v>0</v>
      </c>
      <c r="H129" s="4">
        <v>134444</v>
      </c>
      <c r="I129" s="4">
        <v>31111</v>
      </c>
      <c r="J129" s="4">
        <v>66552</v>
      </c>
      <c r="K129" s="4">
        <v>9937</v>
      </c>
      <c r="L129" s="4">
        <v>0</v>
      </c>
      <c r="M129" s="53">
        <f t="shared" si="1"/>
        <v>420406</v>
      </c>
    </row>
    <row r="130" spans="1:13">
      <c r="A130" s="3" t="s">
        <v>52</v>
      </c>
      <c r="B130" s="3" t="s">
        <v>562</v>
      </c>
      <c r="C130" s="3" t="s">
        <v>27</v>
      </c>
      <c r="D130" s="3" t="s">
        <v>28</v>
      </c>
      <c r="E130" s="4">
        <v>5029001</v>
      </c>
      <c r="F130" s="4">
        <v>178362</v>
      </c>
      <c r="G130" s="4">
        <v>0</v>
      </c>
      <c r="H130" s="4">
        <v>134444</v>
      </c>
      <c r="I130" s="4">
        <v>31111</v>
      </c>
      <c r="J130" s="4">
        <v>66552</v>
      </c>
      <c r="K130" s="4">
        <v>9937</v>
      </c>
      <c r="L130" s="4">
        <v>0</v>
      </c>
      <c r="M130" s="53">
        <f t="shared" si="1"/>
        <v>420406</v>
      </c>
    </row>
    <row r="131" spans="1:13">
      <c r="A131" s="3" t="s">
        <v>52</v>
      </c>
      <c r="B131" s="3" t="s">
        <v>562</v>
      </c>
      <c r="C131" s="3" t="s">
        <v>29</v>
      </c>
      <c r="D131" s="3" t="s">
        <v>30</v>
      </c>
      <c r="E131" s="4">
        <v>4060529</v>
      </c>
      <c r="F131" s="4">
        <v>143356</v>
      </c>
      <c r="G131" s="4">
        <v>0</v>
      </c>
      <c r="H131" s="4">
        <v>110311</v>
      </c>
      <c r="I131" s="4">
        <v>25542</v>
      </c>
      <c r="J131" s="4">
        <v>54640</v>
      </c>
      <c r="K131" s="4">
        <v>8135</v>
      </c>
      <c r="L131" s="4">
        <v>0</v>
      </c>
      <c r="M131" s="53">
        <f t="shared" ref="M131:M194" si="2">SUM(F131:L131)</f>
        <v>341984</v>
      </c>
    </row>
    <row r="132" spans="1:13">
      <c r="A132" s="3" t="s">
        <v>53</v>
      </c>
      <c r="B132" s="3" t="s">
        <v>54</v>
      </c>
      <c r="C132" s="3" t="s">
        <v>11</v>
      </c>
      <c r="D132" s="3" t="s">
        <v>12</v>
      </c>
      <c r="E132" s="4">
        <v>10594286</v>
      </c>
      <c r="F132" s="4">
        <v>210600</v>
      </c>
      <c r="G132" s="4">
        <v>0</v>
      </c>
      <c r="H132" s="4">
        <v>298320</v>
      </c>
      <c r="I132" s="4">
        <v>69080</v>
      </c>
      <c r="J132" s="4">
        <v>147775</v>
      </c>
      <c r="K132" s="4">
        <v>22010</v>
      </c>
      <c r="L132" s="4">
        <v>0</v>
      </c>
      <c r="M132" s="53">
        <f t="shared" si="2"/>
        <v>747785</v>
      </c>
    </row>
    <row r="133" spans="1:13">
      <c r="A133" s="3" t="s">
        <v>53</v>
      </c>
      <c r="B133" s="3" t="s">
        <v>54</v>
      </c>
      <c r="C133" s="3" t="s">
        <v>13</v>
      </c>
      <c r="D133" s="3" t="s">
        <v>14</v>
      </c>
      <c r="E133" s="4">
        <v>8194099</v>
      </c>
      <c r="F133" s="4">
        <v>210600</v>
      </c>
      <c r="G133" s="4">
        <v>0</v>
      </c>
      <c r="H133" s="4">
        <v>232967</v>
      </c>
      <c r="I133" s="4">
        <v>53949</v>
      </c>
      <c r="J133" s="4">
        <v>115400</v>
      </c>
      <c r="K133" s="4">
        <v>17187</v>
      </c>
      <c r="L133" s="4">
        <v>0</v>
      </c>
      <c r="M133" s="53">
        <f t="shared" si="2"/>
        <v>630103</v>
      </c>
    </row>
    <row r="134" spans="1:13">
      <c r="A134" s="3" t="s">
        <v>53</v>
      </c>
      <c r="B134" s="3" t="s">
        <v>54</v>
      </c>
      <c r="C134" s="3" t="s">
        <v>15</v>
      </c>
      <c r="D134" s="3" t="s">
        <v>16</v>
      </c>
      <c r="E134" s="4">
        <v>8194099</v>
      </c>
      <c r="F134" s="4">
        <v>210600</v>
      </c>
      <c r="G134" s="4">
        <v>0</v>
      </c>
      <c r="H134" s="4">
        <v>232967</v>
      </c>
      <c r="I134" s="4">
        <v>53949</v>
      </c>
      <c r="J134" s="4">
        <v>115400</v>
      </c>
      <c r="K134" s="4">
        <v>17187</v>
      </c>
      <c r="L134" s="4">
        <v>0</v>
      </c>
      <c r="M134" s="53">
        <f t="shared" si="2"/>
        <v>630103</v>
      </c>
    </row>
    <row r="135" spans="1:13">
      <c r="A135" s="3" t="s">
        <v>53</v>
      </c>
      <c r="B135" s="3" t="s">
        <v>54</v>
      </c>
      <c r="C135" s="3" t="s">
        <v>17</v>
      </c>
      <c r="D135" s="3" t="s">
        <v>18</v>
      </c>
      <c r="E135" s="4">
        <v>7131977</v>
      </c>
      <c r="F135" s="4">
        <v>210600</v>
      </c>
      <c r="G135" s="4">
        <v>0</v>
      </c>
      <c r="H135" s="4">
        <v>195830</v>
      </c>
      <c r="I135" s="4">
        <v>45347</v>
      </c>
      <c r="J135" s="4">
        <v>97002</v>
      </c>
      <c r="K135" s="4">
        <v>14447</v>
      </c>
      <c r="L135" s="4">
        <v>0</v>
      </c>
      <c r="M135" s="53">
        <f t="shared" si="2"/>
        <v>563226</v>
      </c>
    </row>
    <row r="136" spans="1:13">
      <c r="A136" s="3" t="s">
        <v>53</v>
      </c>
      <c r="B136" s="3" t="s">
        <v>54</v>
      </c>
      <c r="C136" s="3" t="s">
        <v>19</v>
      </c>
      <c r="D136" s="3" t="s">
        <v>20</v>
      </c>
      <c r="E136" s="4">
        <v>7131977</v>
      </c>
      <c r="F136" s="4">
        <v>210600</v>
      </c>
      <c r="G136" s="4">
        <v>0</v>
      </c>
      <c r="H136" s="4">
        <v>195830</v>
      </c>
      <c r="I136" s="4">
        <v>45347</v>
      </c>
      <c r="J136" s="4">
        <v>97002</v>
      </c>
      <c r="K136" s="4">
        <v>14447</v>
      </c>
      <c r="L136" s="4">
        <v>0</v>
      </c>
      <c r="M136" s="53">
        <f t="shared" si="2"/>
        <v>563226</v>
      </c>
    </row>
    <row r="137" spans="1:13">
      <c r="A137" s="3" t="s">
        <v>53</v>
      </c>
      <c r="B137" s="3" t="s">
        <v>54</v>
      </c>
      <c r="C137" s="3" t="s">
        <v>21</v>
      </c>
      <c r="D137" s="3" t="s">
        <v>22</v>
      </c>
      <c r="E137" s="4">
        <v>5861821</v>
      </c>
      <c r="F137" s="4">
        <v>200862</v>
      </c>
      <c r="G137" s="4">
        <v>0</v>
      </c>
      <c r="H137" s="4">
        <v>159020</v>
      </c>
      <c r="I137" s="4">
        <v>36822</v>
      </c>
      <c r="J137" s="4">
        <v>78769</v>
      </c>
      <c r="K137" s="4">
        <v>11744</v>
      </c>
      <c r="L137" s="4">
        <v>0</v>
      </c>
      <c r="M137" s="53">
        <f t="shared" si="2"/>
        <v>487217</v>
      </c>
    </row>
    <row r="138" spans="1:13">
      <c r="A138" s="3" t="s">
        <v>53</v>
      </c>
      <c r="B138" s="3" t="s">
        <v>54</v>
      </c>
      <c r="C138" s="3" t="s">
        <v>23</v>
      </c>
      <c r="D138" s="3" t="s">
        <v>24</v>
      </c>
      <c r="E138" s="4">
        <v>5861821</v>
      </c>
      <c r="F138" s="4">
        <v>200862</v>
      </c>
      <c r="G138" s="4">
        <v>0</v>
      </c>
      <c r="H138" s="4">
        <v>159020</v>
      </c>
      <c r="I138" s="4">
        <v>36822</v>
      </c>
      <c r="J138" s="4">
        <v>78769</v>
      </c>
      <c r="K138" s="4">
        <v>11744</v>
      </c>
      <c r="L138" s="4">
        <v>0</v>
      </c>
      <c r="M138" s="53">
        <f t="shared" si="2"/>
        <v>487217</v>
      </c>
    </row>
    <row r="139" spans="1:13">
      <c r="A139" s="3" t="s">
        <v>53</v>
      </c>
      <c r="B139" s="3" t="s">
        <v>54</v>
      </c>
      <c r="C139" s="3" t="s">
        <v>25</v>
      </c>
      <c r="D139" s="3" t="s">
        <v>26</v>
      </c>
      <c r="E139" s="4">
        <v>4887909</v>
      </c>
      <c r="F139" s="4">
        <v>172017</v>
      </c>
      <c r="G139" s="4">
        <v>0</v>
      </c>
      <c r="H139" s="4">
        <v>132383</v>
      </c>
      <c r="I139" s="4">
        <v>30654</v>
      </c>
      <c r="J139" s="4">
        <v>65575</v>
      </c>
      <c r="K139" s="4">
        <v>9765</v>
      </c>
      <c r="L139" s="4">
        <v>0</v>
      </c>
      <c r="M139" s="53">
        <f t="shared" si="2"/>
        <v>410394</v>
      </c>
    </row>
    <row r="140" spans="1:13">
      <c r="A140" s="3" t="s">
        <v>53</v>
      </c>
      <c r="B140" s="3" t="s">
        <v>54</v>
      </c>
      <c r="C140" s="3" t="s">
        <v>27</v>
      </c>
      <c r="D140" s="3" t="s">
        <v>28</v>
      </c>
      <c r="E140" s="4">
        <v>4887909</v>
      </c>
      <c r="F140" s="4">
        <v>172017</v>
      </c>
      <c r="G140" s="4">
        <v>0</v>
      </c>
      <c r="H140" s="4">
        <v>132383</v>
      </c>
      <c r="I140" s="4">
        <v>30654</v>
      </c>
      <c r="J140" s="4">
        <v>65575</v>
      </c>
      <c r="K140" s="4">
        <v>9765</v>
      </c>
      <c r="L140" s="4">
        <v>0</v>
      </c>
      <c r="M140" s="53">
        <f t="shared" si="2"/>
        <v>410394</v>
      </c>
    </row>
    <row r="141" spans="1:13">
      <c r="A141" s="3" t="s">
        <v>53</v>
      </c>
      <c r="B141" s="3" t="s">
        <v>54</v>
      </c>
      <c r="C141" s="3" t="s">
        <v>29</v>
      </c>
      <c r="D141" s="3" t="s">
        <v>30</v>
      </c>
      <c r="E141" s="4">
        <v>3990162</v>
      </c>
      <c r="F141" s="4">
        <v>142332</v>
      </c>
      <c r="G141" s="4">
        <v>0</v>
      </c>
      <c r="H141" s="4">
        <v>112658</v>
      </c>
      <c r="I141" s="4">
        <v>26086</v>
      </c>
      <c r="J141" s="4">
        <v>55800</v>
      </c>
      <c r="K141" s="4">
        <v>8308</v>
      </c>
      <c r="L141" s="4">
        <v>0</v>
      </c>
      <c r="M141" s="53">
        <f t="shared" si="2"/>
        <v>345184</v>
      </c>
    </row>
    <row r="142" spans="1:13">
      <c r="A142" s="3" t="s">
        <v>55</v>
      </c>
      <c r="B142" s="3" t="s">
        <v>56</v>
      </c>
      <c r="C142" s="3" t="s">
        <v>11</v>
      </c>
      <c r="D142" s="3" t="s">
        <v>12</v>
      </c>
      <c r="E142" s="4">
        <v>10198674</v>
      </c>
      <c r="F142" s="4">
        <v>210600</v>
      </c>
      <c r="G142" s="4">
        <v>0</v>
      </c>
      <c r="H142" s="4">
        <v>304460</v>
      </c>
      <c r="I142" s="4">
        <v>70503</v>
      </c>
      <c r="J142" s="4">
        <v>150814</v>
      </c>
      <c r="K142" s="4">
        <v>22463</v>
      </c>
      <c r="L142" s="4">
        <v>0</v>
      </c>
      <c r="M142" s="53">
        <f t="shared" si="2"/>
        <v>758840</v>
      </c>
    </row>
    <row r="143" spans="1:13">
      <c r="A143" s="3" t="s">
        <v>55</v>
      </c>
      <c r="B143" s="3" t="s">
        <v>56</v>
      </c>
      <c r="C143" s="3" t="s">
        <v>13</v>
      </c>
      <c r="D143" s="3" t="s">
        <v>14</v>
      </c>
      <c r="E143" s="4">
        <v>8295659</v>
      </c>
      <c r="F143" s="4">
        <v>210600</v>
      </c>
      <c r="G143" s="4">
        <v>0</v>
      </c>
      <c r="H143" s="4">
        <v>235066</v>
      </c>
      <c r="I143" s="4">
        <v>54433</v>
      </c>
      <c r="J143" s="4">
        <v>116439</v>
      </c>
      <c r="K143" s="4">
        <v>17343</v>
      </c>
      <c r="L143" s="4">
        <v>0</v>
      </c>
      <c r="M143" s="53">
        <f t="shared" si="2"/>
        <v>633881</v>
      </c>
    </row>
    <row r="144" spans="1:13">
      <c r="A144" s="3" t="s">
        <v>55</v>
      </c>
      <c r="B144" s="3" t="s">
        <v>56</v>
      </c>
      <c r="C144" s="3" t="s">
        <v>15</v>
      </c>
      <c r="D144" s="3" t="s">
        <v>16</v>
      </c>
      <c r="E144" s="4">
        <v>8295659</v>
      </c>
      <c r="F144" s="4">
        <v>210600</v>
      </c>
      <c r="G144" s="4">
        <v>0</v>
      </c>
      <c r="H144" s="4">
        <v>235066</v>
      </c>
      <c r="I144" s="4">
        <v>54433</v>
      </c>
      <c r="J144" s="4">
        <v>116439</v>
      </c>
      <c r="K144" s="4">
        <v>17343</v>
      </c>
      <c r="L144" s="4">
        <v>0</v>
      </c>
      <c r="M144" s="53">
        <f t="shared" si="2"/>
        <v>633881</v>
      </c>
    </row>
    <row r="145" spans="1:13">
      <c r="A145" s="3" t="s">
        <v>55</v>
      </c>
      <c r="B145" s="3" t="s">
        <v>56</v>
      </c>
      <c r="C145" s="3" t="s">
        <v>17</v>
      </c>
      <c r="D145" s="3" t="s">
        <v>18</v>
      </c>
      <c r="E145" s="4">
        <v>7123558</v>
      </c>
      <c r="F145" s="4">
        <v>210600</v>
      </c>
      <c r="G145" s="4">
        <v>0</v>
      </c>
      <c r="H145" s="4">
        <v>194918</v>
      </c>
      <c r="I145" s="4">
        <v>45135</v>
      </c>
      <c r="J145" s="4">
        <v>96551</v>
      </c>
      <c r="K145" s="4">
        <v>14380</v>
      </c>
      <c r="L145" s="4">
        <v>0</v>
      </c>
      <c r="M145" s="53">
        <f t="shared" si="2"/>
        <v>561584</v>
      </c>
    </row>
    <row r="146" spans="1:13">
      <c r="A146" s="3" t="s">
        <v>55</v>
      </c>
      <c r="B146" s="3" t="s">
        <v>56</v>
      </c>
      <c r="C146" s="3" t="s">
        <v>19</v>
      </c>
      <c r="D146" s="3" t="s">
        <v>20</v>
      </c>
      <c r="E146" s="4">
        <v>7123558</v>
      </c>
      <c r="F146" s="4">
        <v>210600</v>
      </c>
      <c r="G146" s="4">
        <v>0</v>
      </c>
      <c r="H146" s="4">
        <v>194918</v>
      </c>
      <c r="I146" s="4">
        <v>45135</v>
      </c>
      <c r="J146" s="4">
        <v>96551</v>
      </c>
      <c r="K146" s="4">
        <v>14380</v>
      </c>
      <c r="L146" s="4">
        <v>0</v>
      </c>
      <c r="M146" s="53">
        <f t="shared" si="2"/>
        <v>561584</v>
      </c>
    </row>
    <row r="147" spans="1:13">
      <c r="A147" s="3" t="s">
        <v>55</v>
      </c>
      <c r="B147" s="3" t="s">
        <v>56</v>
      </c>
      <c r="C147" s="3" t="s">
        <v>21</v>
      </c>
      <c r="D147" s="3" t="s">
        <v>22</v>
      </c>
      <c r="E147" s="4">
        <v>5969988</v>
      </c>
      <c r="F147" s="4">
        <v>204321</v>
      </c>
      <c r="G147" s="4">
        <v>0</v>
      </c>
      <c r="H147" s="4">
        <v>160959</v>
      </c>
      <c r="I147" s="4">
        <v>37247</v>
      </c>
      <c r="J147" s="4">
        <v>79682</v>
      </c>
      <c r="K147" s="4">
        <v>11905</v>
      </c>
      <c r="L147" s="4">
        <v>0</v>
      </c>
      <c r="M147" s="53">
        <f t="shared" si="2"/>
        <v>494114</v>
      </c>
    </row>
    <row r="148" spans="1:13">
      <c r="A148" s="3" t="s">
        <v>55</v>
      </c>
      <c r="B148" s="3" t="s">
        <v>56</v>
      </c>
      <c r="C148" s="3" t="s">
        <v>23</v>
      </c>
      <c r="D148" s="3" t="s">
        <v>24</v>
      </c>
      <c r="E148" s="4">
        <v>5969988</v>
      </c>
      <c r="F148" s="4">
        <v>204321</v>
      </c>
      <c r="G148" s="4">
        <v>0</v>
      </c>
      <c r="H148" s="4">
        <v>160959</v>
      </c>
      <c r="I148" s="4">
        <v>37247</v>
      </c>
      <c r="J148" s="4">
        <v>79682</v>
      </c>
      <c r="K148" s="4">
        <v>11905</v>
      </c>
      <c r="L148" s="4">
        <v>0</v>
      </c>
      <c r="M148" s="53">
        <f t="shared" si="2"/>
        <v>494114</v>
      </c>
    </row>
    <row r="149" spans="1:13">
      <c r="A149" s="3" t="s">
        <v>55</v>
      </c>
      <c r="B149" s="3" t="s">
        <v>56</v>
      </c>
      <c r="C149" s="3" t="s">
        <v>25</v>
      </c>
      <c r="D149" s="3" t="s">
        <v>26</v>
      </c>
      <c r="E149" s="4">
        <v>5029001</v>
      </c>
      <c r="F149" s="4">
        <v>178362</v>
      </c>
      <c r="G149" s="4">
        <v>0</v>
      </c>
      <c r="H149" s="4">
        <v>134444</v>
      </c>
      <c r="I149" s="4">
        <v>31111</v>
      </c>
      <c r="J149" s="4">
        <v>66552</v>
      </c>
      <c r="K149" s="4">
        <v>9937</v>
      </c>
      <c r="L149" s="4">
        <v>0</v>
      </c>
      <c r="M149" s="53">
        <f t="shared" si="2"/>
        <v>420406</v>
      </c>
    </row>
    <row r="150" spans="1:13">
      <c r="A150" s="3" t="s">
        <v>55</v>
      </c>
      <c r="B150" s="3" t="s">
        <v>56</v>
      </c>
      <c r="C150" s="3" t="s">
        <v>27</v>
      </c>
      <c r="D150" s="3" t="s">
        <v>28</v>
      </c>
      <c r="E150" s="4">
        <v>5029001</v>
      </c>
      <c r="F150" s="4">
        <v>178362</v>
      </c>
      <c r="G150" s="4">
        <v>0</v>
      </c>
      <c r="H150" s="4">
        <v>134444</v>
      </c>
      <c r="I150" s="4">
        <v>31111</v>
      </c>
      <c r="J150" s="4">
        <v>66552</v>
      </c>
      <c r="K150" s="4">
        <v>9937</v>
      </c>
      <c r="L150" s="4">
        <v>0</v>
      </c>
      <c r="M150" s="53">
        <f t="shared" si="2"/>
        <v>420406</v>
      </c>
    </row>
    <row r="151" spans="1:13">
      <c r="A151" s="3" t="s">
        <v>55</v>
      </c>
      <c r="B151" s="3" t="s">
        <v>56</v>
      </c>
      <c r="C151" s="3" t="s">
        <v>29</v>
      </c>
      <c r="D151" s="3" t="s">
        <v>30</v>
      </c>
      <c r="E151" s="4">
        <v>4060529</v>
      </c>
      <c r="F151" s="4">
        <v>143356</v>
      </c>
      <c r="G151" s="4">
        <v>0</v>
      </c>
      <c r="H151" s="4">
        <v>110311</v>
      </c>
      <c r="I151" s="4">
        <v>25542</v>
      </c>
      <c r="J151" s="4">
        <v>54640</v>
      </c>
      <c r="K151" s="4">
        <v>8135</v>
      </c>
      <c r="L151" s="4">
        <v>0</v>
      </c>
      <c r="M151" s="53">
        <f t="shared" si="2"/>
        <v>341984</v>
      </c>
    </row>
    <row r="152" spans="1:13">
      <c r="A152" s="3" t="s">
        <v>57</v>
      </c>
      <c r="B152" s="3" t="s">
        <v>58</v>
      </c>
      <c r="C152" s="3" t="s">
        <v>11</v>
      </c>
      <c r="D152" s="3" t="s">
        <v>12</v>
      </c>
      <c r="E152" s="4">
        <v>10198674</v>
      </c>
      <c r="F152" s="4">
        <v>210600</v>
      </c>
      <c r="G152" s="4">
        <v>0</v>
      </c>
      <c r="H152" s="4">
        <v>304460</v>
      </c>
      <c r="I152" s="4">
        <v>70503</v>
      </c>
      <c r="J152" s="4">
        <v>150814</v>
      </c>
      <c r="K152" s="4">
        <v>22463</v>
      </c>
      <c r="L152" s="4">
        <v>0</v>
      </c>
      <c r="M152" s="53">
        <f t="shared" si="2"/>
        <v>758840</v>
      </c>
    </row>
    <row r="153" spans="1:13">
      <c r="A153" s="3" t="s">
        <v>57</v>
      </c>
      <c r="B153" s="3" t="s">
        <v>58</v>
      </c>
      <c r="C153" s="3" t="s">
        <v>13</v>
      </c>
      <c r="D153" s="3" t="s">
        <v>14</v>
      </c>
      <c r="E153" s="4">
        <v>8295659</v>
      </c>
      <c r="F153" s="4">
        <v>210600</v>
      </c>
      <c r="G153" s="4">
        <v>0</v>
      </c>
      <c r="H153" s="4">
        <v>235066</v>
      </c>
      <c r="I153" s="4">
        <v>54433</v>
      </c>
      <c r="J153" s="4">
        <v>116439</v>
      </c>
      <c r="K153" s="4">
        <v>17343</v>
      </c>
      <c r="L153" s="4">
        <v>0</v>
      </c>
      <c r="M153" s="53">
        <f t="shared" si="2"/>
        <v>633881</v>
      </c>
    </row>
    <row r="154" spans="1:13">
      <c r="A154" s="3" t="s">
        <v>57</v>
      </c>
      <c r="B154" s="3" t="s">
        <v>58</v>
      </c>
      <c r="C154" s="3" t="s">
        <v>15</v>
      </c>
      <c r="D154" s="3" t="s">
        <v>16</v>
      </c>
      <c r="E154" s="4">
        <v>8295659</v>
      </c>
      <c r="F154" s="4">
        <v>210600</v>
      </c>
      <c r="G154" s="4">
        <v>0</v>
      </c>
      <c r="H154" s="4">
        <v>235066</v>
      </c>
      <c r="I154" s="4">
        <v>54433</v>
      </c>
      <c r="J154" s="4">
        <v>116439</v>
      </c>
      <c r="K154" s="4">
        <v>17343</v>
      </c>
      <c r="L154" s="4">
        <v>0</v>
      </c>
      <c r="M154" s="53">
        <f t="shared" si="2"/>
        <v>633881</v>
      </c>
    </row>
    <row r="155" spans="1:13">
      <c r="A155" s="3" t="s">
        <v>57</v>
      </c>
      <c r="B155" s="3" t="s">
        <v>58</v>
      </c>
      <c r="C155" s="3" t="s">
        <v>17</v>
      </c>
      <c r="D155" s="3" t="s">
        <v>18</v>
      </c>
      <c r="E155" s="4">
        <v>7123558</v>
      </c>
      <c r="F155" s="4">
        <v>210600</v>
      </c>
      <c r="G155" s="4">
        <v>0</v>
      </c>
      <c r="H155" s="4">
        <v>194918</v>
      </c>
      <c r="I155" s="4">
        <v>45135</v>
      </c>
      <c r="J155" s="4">
        <v>96551</v>
      </c>
      <c r="K155" s="4">
        <v>14380</v>
      </c>
      <c r="L155" s="4">
        <v>0</v>
      </c>
      <c r="M155" s="53">
        <f t="shared" si="2"/>
        <v>561584</v>
      </c>
    </row>
    <row r="156" spans="1:13">
      <c r="A156" s="3" t="s">
        <v>57</v>
      </c>
      <c r="B156" s="3" t="s">
        <v>58</v>
      </c>
      <c r="C156" s="3" t="s">
        <v>19</v>
      </c>
      <c r="D156" s="3" t="s">
        <v>20</v>
      </c>
      <c r="E156" s="4">
        <v>7123558</v>
      </c>
      <c r="F156" s="4">
        <v>210600</v>
      </c>
      <c r="G156" s="4">
        <v>0</v>
      </c>
      <c r="H156" s="4">
        <v>194918</v>
      </c>
      <c r="I156" s="4">
        <v>45135</v>
      </c>
      <c r="J156" s="4">
        <v>96551</v>
      </c>
      <c r="K156" s="4">
        <v>14380</v>
      </c>
      <c r="L156" s="4">
        <v>0</v>
      </c>
      <c r="M156" s="53">
        <f t="shared" si="2"/>
        <v>561584</v>
      </c>
    </row>
    <row r="157" spans="1:13">
      <c r="A157" s="3" t="s">
        <v>57</v>
      </c>
      <c r="B157" s="3" t="s">
        <v>58</v>
      </c>
      <c r="C157" s="3" t="s">
        <v>21</v>
      </c>
      <c r="D157" s="3" t="s">
        <v>22</v>
      </c>
      <c r="E157" s="4">
        <v>5969988</v>
      </c>
      <c r="F157" s="4">
        <v>204321</v>
      </c>
      <c r="G157" s="4">
        <v>0</v>
      </c>
      <c r="H157" s="4">
        <v>160959</v>
      </c>
      <c r="I157" s="4">
        <v>37247</v>
      </c>
      <c r="J157" s="4">
        <v>79682</v>
      </c>
      <c r="K157" s="4">
        <v>11905</v>
      </c>
      <c r="L157" s="4">
        <v>0</v>
      </c>
      <c r="M157" s="53">
        <f t="shared" si="2"/>
        <v>494114</v>
      </c>
    </row>
    <row r="158" spans="1:13">
      <c r="A158" s="3" t="s">
        <v>57</v>
      </c>
      <c r="B158" s="3" t="s">
        <v>58</v>
      </c>
      <c r="C158" s="3" t="s">
        <v>23</v>
      </c>
      <c r="D158" s="3" t="s">
        <v>24</v>
      </c>
      <c r="E158" s="4">
        <v>5969988</v>
      </c>
      <c r="F158" s="4">
        <v>204321</v>
      </c>
      <c r="G158" s="4">
        <v>0</v>
      </c>
      <c r="H158" s="4">
        <v>160959</v>
      </c>
      <c r="I158" s="4">
        <v>37247</v>
      </c>
      <c r="J158" s="4">
        <v>79682</v>
      </c>
      <c r="K158" s="4">
        <v>11905</v>
      </c>
      <c r="L158" s="4">
        <v>0</v>
      </c>
      <c r="M158" s="53">
        <f t="shared" si="2"/>
        <v>494114</v>
      </c>
    </row>
    <row r="159" spans="1:13">
      <c r="A159" s="3" t="s">
        <v>57</v>
      </c>
      <c r="B159" s="3" t="s">
        <v>58</v>
      </c>
      <c r="C159" s="3" t="s">
        <v>25</v>
      </c>
      <c r="D159" s="3" t="s">
        <v>26</v>
      </c>
      <c r="E159" s="4">
        <v>5029001</v>
      </c>
      <c r="F159" s="4">
        <v>178362</v>
      </c>
      <c r="G159" s="4">
        <v>0</v>
      </c>
      <c r="H159" s="4">
        <v>134444</v>
      </c>
      <c r="I159" s="4">
        <v>31111</v>
      </c>
      <c r="J159" s="4">
        <v>66552</v>
      </c>
      <c r="K159" s="4">
        <v>9937</v>
      </c>
      <c r="L159" s="4">
        <v>0</v>
      </c>
      <c r="M159" s="53">
        <f t="shared" si="2"/>
        <v>420406</v>
      </c>
    </row>
    <row r="160" spans="1:13">
      <c r="A160" s="3" t="s">
        <v>57</v>
      </c>
      <c r="B160" s="3" t="s">
        <v>58</v>
      </c>
      <c r="C160" s="3" t="s">
        <v>27</v>
      </c>
      <c r="D160" s="3" t="s">
        <v>28</v>
      </c>
      <c r="E160" s="4">
        <v>5029001</v>
      </c>
      <c r="F160" s="4">
        <v>178362</v>
      </c>
      <c r="G160" s="4">
        <v>0</v>
      </c>
      <c r="H160" s="4">
        <v>134444</v>
      </c>
      <c r="I160" s="4">
        <v>31111</v>
      </c>
      <c r="J160" s="4">
        <v>66552</v>
      </c>
      <c r="K160" s="4">
        <v>9937</v>
      </c>
      <c r="L160" s="4">
        <v>0</v>
      </c>
      <c r="M160" s="53">
        <f t="shared" si="2"/>
        <v>420406</v>
      </c>
    </row>
    <row r="161" spans="1:13">
      <c r="A161" s="3" t="s">
        <v>57</v>
      </c>
      <c r="B161" s="3" t="s">
        <v>58</v>
      </c>
      <c r="C161" s="3" t="s">
        <v>29</v>
      </c>
      <c r="D161" s="3" t="s">
        <v>30</v>
      </c>
      <c r="E161" s="4">
        <v>4060529</v>
      </c>
      <c r="F161" s="4">
        <v>143356</v>
      </c>
      <c r="G161" s="4">
        <v>0</v>
      </c>
      <c r="H161" s="4">
        <v>110311</v>
      </c>
      <c r="I161" s="4">
        <v>25542</v>
      </c>
      <c r="J161" s="4">
        <v>54640</v>
      </c>
      <c r="K161" s="4">
        <v>8135</v>
      </c>
      <c r="L161" s="4">
        <v>0</v>
      </c>
      <c r="M161" s="53">
        <f t="shared" si="2"/>
        <v>341984</v>
      </c>
    </row>
    <row r="162" spans="1:13">
      <c r="A162" s="3" t="s">
        <v>59</v>
      </c>
      <c r="B162" s="3" t="s">
        <v>60</v>
      </c>
      <c r="C162" s="3" t="s">
        <v>11</v>
      </c>
      <c r="D162" s="3" t="s">
        <v>12</v>
      </c>
      <c r="E162" s="4">
        <v>10198674</v>
      </c>
      <c r="F162" s="4">
        <v>210600</v>
      </c>
      <c r="G162" s="4">
        <v>0</v>
      </c>
      <c r="H162" s="4">
        <v>304460</v>
      </c>
      <c r="I162" s="4">
        <v>70503</v>
      </c>
      <c r="J162" s="4">
        <v>150814</v>
      </c>
      <c r="K162" s="4">
        <v>22463</v>
      </c>
      <c r="L162" s="4">
        <v>0</v>
      </c>
      <c r="M162" s="53">
        <f t="shared" si="2"/>
        <v>758840</v>
      </c>
    </row>
    <row r="163" spans="1:13">
      <c r="A163" s="3" t="s">
        <v>59</v>
      </c>
      <c r="B163" s="3" t="s">
        <v>60</v>
      </c>
      <c r="C163" s="3" t="s">
        <v>13</v>
      </c>
      <c r="D163" s="3" t="s">
        <v>14</v>
      </c>
      <c r="E163" s="4">
        <v>8295659</v>
      </c>
      <c r="F163" s="4">
        <v>210600</v>
      </c>
      <c r="G163" s="4">
        <v>0</v>
      </c>
      <c r="H163" s="4">
        <v>235066</v>
      </c>
      <c r="I163" s="4">
        <v>54433</v>
      </c>
      <c r="J163" s="4">
        <v>116439</v>
      </c>
      <c r="K163" s="4">
        <v>17343</v>
      </c>
      <c r="L163" s="4">
        <v>0</v>
      </c>
      <c r="M163" s="53">
        <f t="shared" si="2"/>
        <v>633881</v>
      </c>
    </row>
    <row r="164" spans="1:13">
      <c r="A164" s="3" t="s">
        <v>59</v>
      </c>
      <c r="B164" s="3" t="s">
        <v>60</v>
      </c>
      <c r="C164" s="3" t="s">
        <v>15</v>
      </c>
      <c r="D164" s="3" t="s">
        <v>16</v>
      </c>
      <c r="E164" s="4">
        <v>8295659</v>
      </c>
      <c r="F164" s="4">
        <v>210600</v>
      </c>
      <c r="G164" s="4">
        <v>0</v>
      </c>
      <c r="H164" s="4">
        <v>235066</v>
      </c>
      <c r="I164" s="4">
        <v>54433</v>
      </c>
      <c r="J164" s="4">
        <v>116439</v>
      </c>
      <c r="K164" s="4">
        <v>17343</v>
      </c>
      <c r="L164" s="4">
        <v>0</v>
      </c>
      <c r="M164" s="53">
        <f t="shared" si="2"/>
        <v>633881</v>
      </c>
    </row>
    <row r="165" spans="1:13">
      <c r="A165" s="3" t="s">
        <v>59</v>
      </c>
      <c r="B165" s="3" t="s">
        <v>60</v>
      </c>
      <c r="C165" s="3" t="s">
        <v>17</v>
      </c>
      <c r="D165" s="3" t="s">
        <v>18</v>
      </c>
      <c r="E165" s="4">
        <v>7123558</v>
      </c>
      <c r="F165" s="4">
        <v>210600</v>
      </c>
      <c r="G165" s="4">
        <v>0</v>
      </c>
      <c r="H165" s="4">
        <v>194918</v>
      </c>
      <c r="I165" s="4">
        <v>45135</v>
      </c>
      <c r="J165" s="4">
        <v>96551</v>
      </c>
      <c r="K165" s="4">
        <v>14380</v>
      </c>
      <c r="L165" s="4">
        <v>0</v>
      </c>
      <c r="M165" s="53">
        <f t="shared" si="2"/>
        <v>561584</v>
      </c>
    </row>
    <row r="166" spans="1:13">
      <c r="A166" s="3" t="s">
        <v>59</v>
      </c>
      <c r="B166" s="3" t="s">
        <v>60</v>
      </c>
      <c r="C166" s="3" t="s">
        <v>19</v>
      </c>
      <c r="D166" s="3" t="s">
        <v>20</v>
      </c>
      <c r="E166" s="4">
        <v>7123558</v>
      </c>
      <c r="F166" s="4">
        <v>210600</v>
      </c>
      <c r="G166" s="4">
        <v>0</v>
      </c>
      <c r="H166" s="4">
        <v>194918</v>
      </c>
      <c r="I166" s="4">
        <v>45135</v>
      </c>
      <c r="J166" s="4">
        <v>96551</v>
      </c>
      <c r="K166" s="4">
        <v>14380</v>
      </c>
      <c r="L166" s="4">
        <v>0</v>
      </c>
      <c r="M166" s="53">
        <f t="shared" si="2"/>
        <v>561584</v>
      </c>
    </row>
    <row r="167" spans="1:13">
      <c r="A167" s="3" t="s">
        <v>59</v>
      </c>
      <c r="B167" s="3" t="s">
        <v>60</v>
      </c>
      <c r="C167" s="3" t="s">
        <v>21</v>
      </c>
      <c r="D167" s="3" t="s">
        <v>22</v>
      </c>
      <c r="E167" s="4">
        <v>5969988</v>
      </c>
      <c r="F167" s="4">
        <v>204321</v>
      </c>
      <c r="G167" s="4">
        <v>0</v>
      </c>
      <c r="H167" s="4">
        <v>160959</v>
      </c>
      <c r="I167" s="4">
        <v>37247</v>
      </c>
      <c r="J167" s="4">
        <v>79682</v>
      </c>
      <c r="K167" s="4">
        <v>11905</v>
      </c>
      <c r="L167" s="4">
        <v>0</v>
      </c>
      <c r="M167" s="53">
        <f t="shared" si="2"/>
        <v>494114</v>
      </c>
    </row>
    <row r="168" spans="1:13">
      <c r="A168" s="3" t="s">
        <v>59</v>
      </c>
      <c r="B168" s="3" t="s">
        <v>60</v>
      </c>
      <c r="C168" s="3" t="s">
        <v>23</v>
      </c>
      <c r="D168" s="3" t="s">
        <v>24</v>
      </c>
      <c r="E168" s="4">
        <v>5969988</v>
      </c>
      <c r="F168" s="4">
        <v>204321</v>
      </c>
      <c r="G168" s="4">
        <v>0</v>
      </c>
      <c r="H168" s="4">
        <v>160959</v>
      </c>
      <c r="I168" s="4">
        <v>37247</v>
      </c>
      <c r="J168" s="4">
        <v>79682</v>
      </c>
      <c r="K168" s="4">
        <v>11905</v>
      </c>
      <c r="L168" s="4">
        <v>0</v>
      </c>
      <c r="M168" s="53">
        <f t="shared" si="2"/>
        <v>494114</v>
      </c>
    </row>
    <row r="169" spans="1:13">
      <c r="A169" s="3" t="s">
        <v>59</v>
      </c>
      <c r="B169" s="3" t="s">
        <v>60</v>
      </c>
      <c r="C169" s="3" t="s">
        <v>25</v>
      </c>
      <c r="D169" s="3" t="s">
        <v>26</v>
      </c>
      <c r="E169" s="4">
        <v>5029001</v>
      </c>
      <c r="F169" s="4">
        <v>178362</v>
      </c>
      <c r="G169" s="4">
        <v>0</v>
      </c>
      <c r="H169" s="4">
        <v>134444</v>
      </c>
      <c r="I169" s="4">
        <v>31111</v>
      </c>
      <c r="J169" s="4">
        <v>66552</v>
      </c>
      <c r="K169" s="4">
        <v>9937</v>
      </c>
      <c r="L169" s="4">
        <v>0</v>
      </c>
      <c r="M169" s="53">
        <f t="shared" si="2"/>
        <v>420406</v>
      </c>
    </row>
    <row r="170" spans="1:13">
      <c r="A170" s="3" t="s">
        <v>59</v>
      </c>
      <c r="B170" s="3" t="s">
        <v>60</v>
      </c>
      <c r="C170" s="3" t="s">
        <v>27</v>
      </c>
      <c r="D170" s="3" t="s">
        <v>28</v>
      </c>
      <c r="E170" s="4">
        <v>5029001</v>
      </c>
      <c r="F170" s="4">
        <v>178362</v>
      </c>
      <c r="G170" s="4">
        <v>0</v>
      </c>
      <c r="H170" s="4">
        <v>134444</v>
      </c>
      <c r="I170" s="4">
        <v>31111</v>
      </c>
      <c r="J170" s="4">
        <v>66552</v>
      </c>
      <c r="K170" s="4">
        <v>9937</v>
      </c>
      <c r="L170" s="4">
        <v>0</v>
      </c>
      <c r="M170" s="53">
        <f t="shared" si="2"/>
        <v>420406</v>
      </c>
    </row>
    <row r="171" spans="1:13">
      <c r="A171" s="3" t="s">
        <v>59</v>
      </c>
      <c r="B171" s="3" t="s">
        <v>60</v>
      </c>
      <c r="C171" s="3" t="s">
        <v>29</v>
      </c>
      <c r="D171" s="3" t="s">
        <v>30</v>
      </c>
      <c r="E171" s="4">
        <v>4060529</v>
      </c>
      <c r="F171" s="4">
        <v>143356</v>
      </c>
      <c r="G171" s="4">
        <v>0</v>
      </c>
      <c r="H171" s="4">
        <v>110311</v>
      </c>
      <c r="I171" s="4">
        <v>25542</v>
      </c>
      <c r="J171" s="4">
        <v>54640</v>
      </c>
      <c r="K171" s="4">
        <v>8135</v>
      </c>
      <c r="L171" s="4">
        <v>0</v>
      </c>
      <c r="M171" s="53">
        <f t="shared" si="2"/>
        <v>341984</v>
      </c>
    </row>
    <row r="172" spans="1:13">
      <c r="A172" s="3" t="s">
        <v>61</v>
      </c>
      <c r="B172" s="3" t="s">
        <v>32</v>
      </c>
      <c r="C172" s="3" t="s">
        <v>11</v>
      </c>
      <c r="D172" s="3" t="s">
        <v>12</v>
      </c>
      <c r="E172" s="4">
        <v>10198674</v>
      </c>
      <c r="F172" s="4">
        <v>210600</v>
      </c>
      <c r="G172" s="4">
        <v>0</v>
      </c>
      <c r="H172" s="4">
        <v>304460</v>
      </c>
      <c r="I172" s="4">
        <v>70503</v>
      </c>
      <c r="J172" s="4">
        <v>150814</v>
      </c>
      <c r="K172" s="4">
        <v>22463</v>
      </c>
      <c r="L172" s="4">
        <v>0</v>
      </c>
      <c r="M172" s="53">
        <f t="shared" si="2"/>
        <v>758840</v>
      </c>
    </row>
    <row r="173" spans="1:13">
      <c r="A173" s="3" t="s">
        <v>61</v>
      </c>
      <c r="B173" s="3" t="s">
        <v>32</v>
      </c>
      <c r="C173" s="3" t="s">
        <v>13</v>
      </c>
      <c r="D173" s="3" t="s">
        <v>14</v>
      </c>
      <c r="E173" s="4">
        <v>8295659</v>
      </c>
      <c r="F173" s="4">
        <v>210600</v>
      </c>
      <c r="G173" s="4">
        <v>0</v>
      </c>
      <c r="H173" s="4">
        <v>235066</v>
      </c>
      <c r="I173" s="4">
        <v>54433</v>
      </c>
      <c r="J173" s="4">
        <v>116439</v>
      </c>
      <c r="K173" s="4">
        <v>17343</v>
      </c>
      <c r="L173" s="4">
        <v>0</v>
      </c>
      <c r="M173" s="53">
        <f t="shared" si="2"/>
        <v>633881</v>
      </c>
    </row>
    <row r="174" spans="1:13">
      <c r="A174" s="3" t="s">
        <v>61</v>
      </c>
      <c r="B174" s="3" t="s">
        <v>32</v>
      </c>
      <c r="C174" s="3" t="s">
        <v>15</v>
      </c>
      <c r="D174" s="3" t="s">
        <v>16</v>
      </c>
      <c r="E174" s="4">
        <v>8295659</v>
      </c>
      <c r="F174" s="4">
        <v>210600</v>
      </c>
      <c r="G174" s="4">
        <v>0</v>
      </c>
      <c r="H174" s="4">
        <v>235066</v>
      </c>
      <c r="I174" s="4">
        <v>54433</v>
      </c>
      <c r="J174" s="4">
        <v>116439</v>
      </c>
      <c r="K174" s="4">
        <v>17343</v>
      </c>
      <c r="L174" s="4">
        <v>0</v>
      </c>
      <c r="M174" s="53">
        <f t="shared" si="2"/>
        <v>633881</v>
      </c>
    </row>
    <row r="175" spans="1:13">
      <c r="A175" s="3" t="s">
        <v>61</v>
      </c>
      <c r="B175" s="3" t="s">
        <v>32</v>
      </c>
      <c r="C175" s="3" t="s">
        <v>17</v>
      </c>
      <c r="D175" s="3" t="s">
        <v>18</v>
      </c>
      <c r="E175" s="4">
        <v>7123558</v>
      </c>
      <c r="F175" s="4">
        <v>210600</v>
      </c>
      <c r="G175" s="4">
        <v>0</v>
      </c>
      <c r="H175" s="4">
        <v>194918</v>
      </c>
      <c r="I175" s="4">
        <v>45135</v>
      </c>
      <c r="J175" s="4">
        <v>96551</v>
      </c>
      <c r="K175" s="4">
        <v>14380</v>
      </c>
      <c r="L175" s="4">
        <v>0</v>
      </c>
      <c r="M175" s="53">
        <f t="shared" si="2"/>
        <v>561584</v>
      </c>
    </row>
    <row r="176" spans="1:13">
      <c r="A176" s="3" t="s">
        <v>61</v>
      </c>
      <c r="B176" s="3" t="s">
        <v>32</v>
      </c>
      <c r="C176" s="3" t="s">
        <v>19</v>
      </c>
      <c r="D176" s="3" t="s">
        <v>20</v>
      </c>
      <c r="E176" s="4">
        <v>7123558</v>
      </c>
      <c r="F176" s="4">
        <v>210600</v>
      </c>
      <c r="G176" s="4">
        <v>0</v>
      </c>
      <c r="H176" s="4">
        <v>194918</v>
      </c>
      <c r="I176" s="4">
        <v>45135</v>
      </c>
      <c r="J176" s="4">
        <v>96551</v>
      </c>
      <c r="K176" s="4">
        <v>14380</v>
      </c>
      <c r="L176" s="4">
        <v>0</v>
      </c>
      <c r="M176" s="53">
        <f t="shared" si="2"/>
        <v>561584</v>
      </c>
    </row>
    <row r="177" spans="1:13">
      <c r="A177" s="3" t="s">
        <v>61</v>
      </c>
      <c r="B177" s="3" t="s">
        <v>32</v>
      </c>
      <c r="C177" s="3" t="s">
        <v>21</v>
      </c>
      <c r="D177" s="3" t="s">
        <v>22</v>
      </c>
      <c r="E177" s="4">
        <v>5969988</v>
      </c>
      <c r="F177" s="4">
        <v>204321</v>
      </c>
      <c r="G177" s="4">
        <v>0</v>
      </c>
      <c r="H177" s="4">
        <v>160959</v>
      </c>
      <c r="I177" s="4">
        <v>37247</v>
      </c>
      <c r="J177" s="4">
        <v>79682</v>
      </c>
      <c r="K177" s="4">
        <v>11905</v>
      </c>
      <c r="L177" s="4">
        <v>0</v>
      </c>
      <c r="M177" s="53">
        <f t="shared" si="2"/>
        <v>494114</v>
      </c>
    </row>
    <row r="178" spans="1:13">
      <c r="A178" s="3" t="s">
        <v>61</v>
      </c>
      <c r="B178" s="3" t="s">
        <v>32</v>
      </c>
      <c r="C178" s="3" t="s">
        <v>23</v>
      </c>
      <c r="D178" s="3" t="s">
        <v>24</v>
      </c>
      <c r="E178" s="4">
        <v>5969988</v>
      </c>
      <c r="F178" s="4">
        <v>204321</v>
      </c>
      <c r="G178" s="4">
        <v>0</v>
      </c>
      <c r="H178" s="4">
        <v>160959</v>
      </c>
      <c r="I178" s="4">
        <v>37247</v>
      </c>
      <c r="J178" s="4">
        <v>79682</v>
      </c>
      <c r="K178" s="4">
        <v>11905</v>
      </c>
      <c r="L178" s="4">
        <v>0</v>
      </c>
      <c r="M178" s="53">
        <f t="shared" si="2"/>
        <v>494114</v>
      </c>
    </row>
    <row r="179" spans="1:13">
      <c r="A179" s="3" t="s">
        <v>61</v>
      </c>
      <c r="B179" s="3" t="s">
        <v>32</v>
      </c>
      <c r="C179" s="3" t="s">
        <v>25</v>
      </c>
      <c r="D179" s="3" t="s">
        <v>26</v>
      </c>
      <c r="E179" s="4">
        <v>5029001</v>
      </c>
      <c r="F179" s="4">
        <v>178362</v>
      </c>
      <c r="G179" s="4">
        <v>0</v>
      </c>
      <c r="H179" s="4">
        <v>134444</v>
      </c>
      <c r="I179" s="4">
        <v>31111</v>
      </c>
      <c r="J179" s="4">
        <v>66552</v>
      </c>
      <c r="K179" s="4">
        <v>9937</v>
      </c>
      <c r="L179" s="4">
        <v>0</v>
      </c>
      <c r="M179" s="53">
        <f t="shared" si="2"/>
        <v>420406</v>
      </c>
    </row>
    <row r="180" spans="1:13">
      <c r="A180" s="3" t="s">
        <v>61</v>
      </c>
      <c r="B180" s="3" t="s">
        <v>32</v>
      </c>
      <c r="C180" s="3" t="s">
        <v>27</v>
      </c>
      <c r="D180" s="3" t="s">
        <v>28</v>
      </c>
      <c r="E180" s="4">
        <v>5029001</v>
      </c>
      <c r="F180" s="4">
        <v>178362</v>
      </c>
      <c r="G180" s="4">
        <v>0</v>
      </c>
      <c r="H180" s="4">
        <v>134444</v>
      </c>
      <c r="I180" s="4">
        <v>31111</v>
      </c>
      <c r="J180" s="4">
        <v>66552</v>
      </c>
      <c r="K180" s="4">
        <v>9937</v>
      </c>
      <c r="L180" s="4">
        <v>0</v>
      </c>
      <c r="M180" s="53">
        <f t="shared" si="2"/>
        <v>420406</v>
      </c>
    </row>
    <row r="181" spans="1:13">
      <c r="A181" s="3" t="s">
        <v>61</v>
      </c>
      <c r="B181" s="3" t="s">
        <v>32</v>
      </c>
      <c r="C181" s="3" t="s">
        <v>29</v>
      </c>
      <c r="D181" s="3" t="s">
        <v>30</v>
      </c>
      <c r="E181" s="4">
        <v>4060529</v>
      </c>
      <c r="F181" s="4">
        <v>143356</v>
      </c>
      <c r="G181" s="4">
        <v>0</v>
      </c>
      <c r="H181" s="4">
        <v>110311</v>
      </c>
      <c r="I181" s="4">
        <v>25542</v>
      </c>
      <c r="J181" s="4">
        <v>54640</v>
      </c>
      <c r="K181" s="4">
        <v>8135</v>
      </c>
      <c r="L181" s="4">
        <v>0</v>
      </c>
      <c r="M181" s="53">
        <f t="shared" si="2"/>
        <v>341984</v>
      </c>
    </row>
    <row r="182" spans="1:13">
      <c r="A182" s="3" t="s">
        <v>62</v>
      </c>
      <c r="B182" s="3" t="s">
        <v>63</v>
      </c>
      <c r="C182" s="3" t="s">
        <v>11</v>
      </c>
      <c r="D182" s="3" t="s">
        <v>12</v>
      </c>
      <c r="E182" s="4">
        <v>10198674</v>
      </c>
      <c r="F182" s="4">
        <v>210600</v>
      </c>
      <c r="G182" s="4">
        <v>0</v>
      </c>
      <c r="H182" s="4">
        <v>304460</v>
      </c>
      <c r="I182" s="4">
        <v>70503</v>
      </c>
      <c r="J182" s="4">
        <v>150814</v>
      </c>
      <c r="K182" s="4">
        <v>22463</v>
      </c>
      <c r="L182" s="4">
        <v>0</v>
      </c>
      <c r="M182" s="53">
        <f t="shared" si="2"/>
        <v>758840</v>
      </c>
    </row>
    <row r="183" spans="1:13">
      <c r="A183" s="3" t="s">
        <v>62</v>
      </c>
      <c r="B183" s="3" t="s">
        <v>63</v>
      </c>
      <c r="C183" s="3" t="s">
        <v>13</v>
      </c>
      <c r="D183" s="3" t="s">
        <v>14</v>
      </c>
      <c r="E183" s="4">
        <v>8295659</v>
      </c>
      <c r="F183" s="4">
        <v>210600</v>
      </c>
      <c r="G183" s="4">
        <v>0</v>
      </c>
      <c r="H183" s="4">
        <v>235066</v>
      </c>
      <c r="I183" s="4">
        <v>54433</v>
      </c>
      <c r="J183" s="4">
        <v>116439</v>
      </c>
      <c r="K183" s="4">
        <v>17343</v>
      </c>
      <c r="L183" s="4">
        <v>0</v>
      </c>
      <c r="M183" s="53">
        <f t="shared" si="2"/>
        <v>633881</v>
      </c>
    </row>
    <row r="184" spans="1:13">
      <c r="A184" s="3" t="s">
        <v>62</v>
      </c>
      <c r="B184" s="3" t="s">
        <v>63</v>
      </c>
      <c r="C184" s="3" t="s">
        <v>15</v>
      </c>
      <c r="D184" s="3" t="s">
        <v>16</v>
      </c>
      <c r="E184" s="4">
        <v>8295659</v>
      </c>
      <c r="F184" s="4">
        <v>210600</v>
      </c>
      <c r="G184" s="4">
        <v>0</v>
      </c>
      <c r="H184" s="4">
        <v>235066</v>
      </c>
      <c r="I184" s="4">
        <v>54433</v>
      </c>
      <c r="J184" s="4">
        <v>116439</v>
      </c>
      <c r="K184" s="4">
        <v>17343</v>
      </c>
      <c r="L184" s="4">
        <v>0</v>
      </c>
      <c r="M184" s="53">
        <f t="shared" si="2"/>
        <v>633881</v>
      </c>
    </row>
    <row r="185" spans="1:13">
      <c r="A185" s="3" t="s">
        <v>62</v>
      </c>
      <c r="B185" s="3" t="s">
        <v>63</v>
      </c>
      <c r="C185" s="3" t="s">
        <v>17</v>
      </c>
      <c r="D185" s="3" t="s">
        <v>18</v>
      </c>
      <c r="E185" s="4">
        <v>7123558</v>
      </c>
      <c r="F185" s="4">
        <v>210600</v>
      </c>
      <c r="G185" s="4">
        <v>0</v>
      </c>
      <c r="H185" s="4">
        <v>194918</v>
      </c>
      <c r="I185" s="4">
        <v>45135</v>
      </c>
      <c r="J185" s="4">
        <v>96551</v>
      </c>
      <c r="K185" s="4">
        <v>14380</v>
      </c>
      <c r="L185" s="4">
        <v>0</v>
      </c>
      <c r="M185" s="53">
        <f t="shared" si="2"/>
        <v>561584</v>
      </c>
    </row>
    <row r="186" spans="1:13">
      <c r="A186" s="3" t="s">
        <v>62</v>
      </c>
      <c r="B186" s="3" t="s">
        <v>63</v>
      </c>
      <c r="C186" s="3" t="s">
        <v>19</v>
      </c>
      <c r="D186" s="3" t="s">
        <v>20</v>
      </c>
      <c r="E186" s="4">
        <v>7123558</v>
      </c>
      <c r="F186" s="4">
        <v>210600</v>
      </c>
      <c r="G186" s="4">
        <v>0</v>
      </c>
      <c r="H186" s="4">
        <v>194918</v>
      </c>
      <c r="I186" s="4">
        <v>45135</v>
      </c>
      <c r="J186" s="4">
        <v>96551</v>
      </c>
      <c r="K186" s="4">
        <v>14380</v>
      </c>
      <c r="L186" s="4">
        <v>0</v>
      </c>
      <c r="M186" s="53">
        <f t="shared" si="2"/>
        <v>561584</v>
      </c>
    </row>
    <row r="187" spans="1:13">
      <c r="A187" s="3" t="s">
        <v>62</v>
      </c>
      <c r="B187" s="3" t="s">
        <v>63</v>
      </c>
      <c r="C187" s="3" t="s">
        <v>21</v>
      </c>
      <c r="D187" s="3" t="s">
        <v>22</v>
      </c>
      <c r="E187" s="4">
        <v>5969988</v>
      </c>
      <c r="F187" s="4">
        <v>204321</v>
      </c>
      <c r="G187" s="4">
        <v>0</v>
      </c>
      <c r="H187" s="4">
        <v>160959</v>
      </c>
      <c r="I187" s="4">
        <v>37247</v>
      </c>
      <c r="J187" s="4">
        <v>79682</v>
      </c>
      <c r="K187" s="4">
        <v>11905</v>
      </c>
      <c r="L187" s="4">
        <v>0</v>
      </c>
      <c r="M187" s="53">
        <f t="shared" si="2"/>
        <v>494114</v>
      </c>
    </row>
    <row r="188" spans="1:13">
      <c r="A188" s="3" t="s">
        <v>62</v>
      </c>
      <c r="B188" s="3" t="s">
        <v>63</v>
      </c>
      <c r="C188" s="3" t="s">
        <v>23</v>
      </c>
      <c r="D188" s="3" t="s">
        <v>24</v>
      </c>
      <c r="E188" s="4">
        <v>5969988</v>
      </c>
      <c r="F188" s="4">
        <v>204321</v>
      </c>
      <c r="G188" s="4">
        <v>0</v>
      </c>
      <c r="H188" s="4">
        <v>160959</v>
      </c>
      <c r="I188" s="4">
        <v>37247</v>
      </c>
      <c r="J188" s="4">
        <v>79682</v>
      </c>
      <c r="K188" s="4">
        <v>11905</v>
      </c>
      <c r="L188" s="4">
        <v>0</v>
      </c>
      <c r="M188" s="53">
        <f t="shared" si="2"/>
        <v>494114</v>
      </c>
    </row>
    <row r="189" spans="1:13">
      <c r="A189" s="3" t="s">
        <v>62</v>
      </c>
      <c r="B189" s="3" t="s">
        <v>63</v>
      </c>
      <c r="C189" s="3" t="s">
        <v>25</v>
      </c>
      <c r="D189" s="3" t="s">
        <v>26</v>
      </c>
      <c r="E189" s="4">
        <v>5029001</v>
      </c>
      <c r="F189" s="4">
        <v>178362</v>
      </c>
      <c r="G189" s="4">
        <v>0</v>
      </c>
      <c r="H189" s="4">
        <v>134444</v>
      </c>
      <c r="I189" s="4">
        <v>31111</v>
      </c>
      <c r="J189" s="4">
        <v>66552</v>
      </c>
      <c r="K189" s="4">
        <v>9937</v>
      </c>
      <c r="L189" s="4">
        <v>0</v>
      </c>
      <c r="M189" s="53">
        <f t="shared" si="2"/>
        <v>420406</v>
      </c>
    </row>
    <row r="190" spans="1:13">
      <c r="A190" s="3" t="s">
        <v>62</v>
      </c>
      <c r="B190" s="3" t="s">
        <v>63</v>
      </c>
      <c r="C190" s="3" t="s">
        <v>27</v>
      </c>
      <c r="D190" s="3" t="s">
        <v>28</v>
      </c>
      <c r="E190" s="4">
        <v>5029001</v>
      </c>
      <c r="F190" s="4">
        <v>178362</v>
      </c>
      <c r="G190" s="4">
        <v>0</v>
      </c>
      <c r="H190" s="4">
        <v>134444</v>
      </c>
      <c r="I190" s="4">
        <v>31111</v>
      </c>
      <c r="J190" s="4">
        <v>66552</v>
      </c>
      <c r="K190" s="4">
        <v>9937</v>
      </c>
      <c r="L190" s="4">
        <v>0</v>
      </c>
      <c r="M190" s="53">
        <f t="shared" si="2"/>
        <v>420406</v>
      </c>
    </row>
    <row r="191" spans="1:13">
      <c r="A191" s="3" t="s">
        <v>62</v>
      </c>
      <c r="B191" s="3" t="s">
        <v>63</v>
      </c>
      <c r="C191" s="3" t="s">
        <v>29</v>
      </c>
      <c r="D191" s="3" t="s">
        <v>30</v>
      </c>
      <c r="E191" s="4">
        <v>4060529</v>
      </c>
      <c r="F191" s="4">
        <v>143356</v>
      </c>
      <c r="G191" s="4">
        <v>0</v>
      </c>
      <c r="H191" s="4">
        <v>110311</v>
      </c>
      <c r="I191" s="4">
        <v>25542</v>
      </c>
      <c r="J191" s="4">
        <v>54640</v>
      </c>
      <c r="K191" s="4">
        <v>8135</v>
      </c>
      <c r="L191" s="4">
        <v>0</v>
      </c>
      <c r="M191" s="53">
        <f t="shared" si="2"/>
        <v>341984</v>
      </c>
    </row>
    <row r="192" spans="1:13">
      <c r="A192" s="3" t="s">
        <v>64</v>
      </c>
      <c r="B192" s="3" t="s">
        <v>65</v>
      </c>
      <c r="C192" s="3" t="s">
        <v>11</v>
      </c>
      <c r="D192" s="3" t="s">
        <v>12</v>
      </c>
      <c r="E192" s="4">
        <v>10198674</v>
      </c>
      <c r="F192" s="4">
        <v>210600</v>
      </c>
      <c r="G192" s="4">
        <v>0</v>
      </c>
      <c r="H192" s="4">
        <v>304460</v>
      </c>
      <c r="I192" s="4">
        <v>70503</v>
      </c>
      <c r="J192" s="4">
        <v>150814</v>
      </c>
      <c r="K192" s="4">
        <v>22463</v>
      </c>
      <c r="L192" s="4">
        <v>0</v>
      </c>
      <c r="M192" s="53">
        <f t="shared" si="2"/>
        <v>758840</v>
      </c>
    </row>
    <row r="193" spans="1:13">
      <c r="A193" s="3" t="s">
        <v>64</v>
      </c>
      <c r="B193" s="3" t="s">
        <v>65</v>
      </c>
      <c r="C193" s="3" t="s">
        <v>13</v>
      </c>
      <c r="D193" s="3" t="s">
        <v>14</v>
      </c>
      <c r="E193" s="4">
        <v>8295659</v>
      </c>
      <c r="F193" s="4">
        <v>210600</v>
      </c>
      <c r="G193" s="4">
        <v>0</v>
      </c>
      <c r="H193" s="4">
        <v>235066</v>
      </c>
      <c r="I193" s="4">
        <v>54433</v>
      </c>
      <c r="J193" s="4">
        <v>116439</v>
      </c>
      <c r="K193" s="4">
        <v>17343</v>
      </c>
      <c r="L193" s="4">
        <v>0</v>
      </c>
      <c r="M193" s="53">
        <f t="shared" si="2"/>
        <v>633881</v>
      </c>
    </row>
    <row r="194" spans="1:13">
      <c r="A194" s="3" t="s">
        <v>64</v>
      </c>
      <c r="B194" s="3" t="s">
        <v>65</v>
      </c>
      <c r="C194" s="3" t="s">
        <v>15</v>
      </c>
      <c r="D194" s="3" t="s">
        <v>16</v>
      </c>
      <c r="E194" s="4">
        <v>8295659</v>
      </c>
      <c r="F194" s="4">
        <v>210600</v>
      </c>
      <c r="G194" s="4">
        <v>0</v>
      </c>
      <c r="H194" s="4">
        <v>235066</v>
      </c>
      <c r="I194" s="4">
        <v>54433</v>
      </c>
      <c r="J194" s="4">
        <v>116439</v>
      </c>
      <c r="K194" s="4">
        <v>17343</v>
      </c>
      <c r="L194" s="4">
        <v>0</v>
      </c>
      <c r="M194" s="53">
        <f t="shared" si="2"/>
        <v>633881</v>
      </c>
    </row>
    <row r="195" spans="1:13">
      <c r="A195" s="3" t="s">
        <v>64</v>
      </c>
      <c r="B195" s="3" t="s">
        <v>65</v>
      </c>
      <c r="C195" s="3" t="s">
        <v>17</v>
      </c>
      <c r="D195" s="3" t="s">
        <v>18</v>
      </c>
      <c r="E195" s="4">
        <v>7123558</v>
      </c>
      <c r="F195" s="4">
        <v>210600</v>
      </c>
      <c r="G195" s="4">
        <v>0</v>
      </c>
      <c r="H195" s="4">
        <v>194918</v>
      </c>
      <c r="I195" s="4">
        <v>45135</v>
      </c>
      <c r="J195" s="4">
        <v>96551</v>
      </c>
      <c r="K195" s="4">
        <v>14380</v>
      </c>
      <c r="L195" s="4">
        <v>0</v>
      </c>
      <c r="M195" s="53">
        <f t="shared" ref="M195:M258" si="3">SUM(F195:L195)</f>
        <v>561584</v>
      </c>
    </row>
    <row r="196" spans="1:13">
      <c r="A196" s="3" t="s">
        <v>64</v>
      </c>
      <c r="B196" s="3" t="s">
        <v>65</v>
      </c>
      <c r="C196" s="3" t="s">
        <v>19</v>
      </c>
      <c r="D196" s="3" t="s">
        <v>20</v>
      </c>
      <c r="E196" s="4">
        <v>7123558</v>
      </c>
      <c r="F196" s="4">
        <v>210600</v>
      </c>
      <c r="G196" s="4">
        <v>0</v>
      </c>
      <c r="H196" s="4">
        <v>194918</v>
      </c>
      <c r="I196" s="4">
        <v>45135</v>
      </c>
      <c r="J196" s="4">
        <v>96551</v>
      </c>
      <c r="K196" s="4">
        <v>14380</v>
      </c>
      <c r="L196" s="4">
        <v>0</v>
      </c>
      <c r="M196" s="53">
        <f t="shared" si="3"/>
        <v>561584</v>
      </c>
    </row>
    <row r="197" spans="1:13">
      <c r="A197" s="3" t="s">
        <v>64</v>
      </c>
      <c r="B197" s="3" t="s">
        <v>65</v>
      </c>
      <c r="C197" s="3" t="s">
        <v>21</v>
      </c>
      <c r="D197" s="3" t="s">
        <v>22</v>
      </c>
      <c r="E197" s="4">
        <v>5969988</v>
      </c>
      <c r="F197" s="4">
        <v>204321</v>
      </c>
      <c r="G197" s="4">
        <v>0</v>
      </c>
      <c r="H197" s="4">
        <v>160959</v>
      </c>
      <c r="I197" s="4">
        <v>37247</v>
      </c>
      <c r="J197" s="4">
        <v>79682</v>
      </c>
      <c r="K197" s="4">
        <v>11905</v>
      </c>
      <c r="L197" s="4">
        <v>0</v>
      </c>
      <c r="M197" s="53">
        <f t="shared" si="3"/>
        <v>494114</v>
      </c>
    </row>
    <row r="198" spans="1:13">
      <c r="A198" s="3" t="s">
        <v>64</v>
      </c>
      <c r="B198" s="3" t="s">
        <v>65</v>
      </c>
      <c r="C198" s="3" t="s">
        <v>23</v>
      </c>
      <c r="D198" s="3" t="s">
        <v>24</v>
      </c>
      <c r="E198" s="4">
        <v>5969988</v>
      </c>
      <c r="F198" s="4">
        <v>204321</v>
      </c>
      <c r="G198" s="4">
        <v>0</v>
      </c>
      <c r="H198" s="4">
        <v>160959</v>
      </c>
      <c r="I198" s="4">
        <v>37247</v>
      </c>
      <c r="J198" s="4">
        <v>79682</v>
      </c>
      <c r="K198" s="4">
        <v>11905</v>
      </c>
      <c r="L198" s="4">
        <v>0</v>
      </c>
      <c r="M198" s="53">
        <f t="shared" si="3"/>
        <v>494114</v>
      </c>
    </row>
    <row r="199" spans="1:13">
      <c r="A199" s="3" t="s">
        <v>64</v>
      </c>
      <c r="B199" s="3" t="s">
        <v>65</v>
      </c>
      <c r="C199" s="3" t="s">
        <v>25</v>
      </c>
      <c r="D199" s="3" t="s">
        <v>26</v>
      </c>
      <c r="E199" s="4">
        <v>5029001</v>
      </c>
      <c r="F199" s="4">
        <v>178362</v>
      </c>
      <c r="G199" s="4">
        <v>0</v>
      </c>
      <c r="H199" s="4">
        <v>134444</v>
      </c>
      <c r="I199" s="4">
        <v>31111</v>
      </c>
      <c r="J199" s="4">
        <v>66552</v>
      </c>
      <c r="K199" s="4">
        <v>9937</v>
      </c>
      <c r="L199" s="4">
        <v>0</v>
      </c>
      <c r="M199" s="53">
        <f t="shared" si="3"/>
        <v>420406</v>
      </c>
    </row>
    <row r="200" spans="1:13">
      <c r="A200" s="3" t="s">
        <v>64</v>
      </c>
      <c r="B200" s="3" t="s">
        <v>65</v>
      </c>
      <c r="C200" s="3" t="s">
        <v>27</v>
      </c>
      <c r="D200" s="3" t="s">
        <v>28</v>
      </c>
      <c r="E200" s="4">
        <v>5029001</v>
      </c>
      <c r="F200" s="4">
        <v>178362</v>
      </c>
      <c r="G200" s="4">
        <v>0</v>
      </c>
      <c r="H200" s="4">
        <v>134444</v>
      </c>
      <c r="I200" s="4">
        <v>31111</v>
      </c>
      <c r="J200" s="4">
        <v>66552</v>
      </c>
      <c r="K200" s="4">
        <v>9937</v>
      </c>
      <c r="L200" s="4">
        <v>0</v>
      </c>
      <c r="M200" s="53">
        <f t="shared" si="3"/>
        <v>420406</v>
      </c>
    </row>
    <row r="201" spans="1:13">
      <c r="A201" s="3" t="s">
        <v>64</v>
      </c>
      <c r="B201" s="3" t="s">
        <v>65</v>
      </c>
      <c r="C201" s="3" t="s">
        <v>29</v>
      </c>
      <c r="D201" s="3" t="s">
        <v>30</v>
      </c>
      <c r="E201" s="4">
        <v>4060529</v>
      </c>
      <c r="F201" s="4">
        <v>143356</v>
      </c>
      <c r="G201" s="4">
        <v>0</v>
      </c>
      <c r="H201" s="4">
        <v>110311</v>
      </c>
      <c r="I201" s="4">
        <v>25542</v>
      </c>
      <c r="J201" s="4">
        <v>54640</v>
      </c>
      <c r="K201" s="4">
        <v>8135</v>
      </c>
      <c r="L201" s="4">
        <v>0</v>
      </c>
      <c r="M201" s="53">
        <f t="shared" si="3"/>
        <v>341984</v>
      </c>
    </row>
    <row r="202" spans="1:13">
      <c r="A202" s="3" t="s">
        <v>66</v>
      </c>
      <c r="B202" s="3" t="s">
        <v>67</v>
      </c>
      <c r="C202" s="3" t="s">
        <v>11</v>
      </c>
      <c r="D202" s="3" t="s">
        <v>12</v>
      </c>
      <c r="E202" s="4">
        <v>10677799</v>
      </c>
      <c r="F202" s="4">
        <v>210600</v>
      </c>
      <c r="G202" s="4">
        <v>0</v>
      </c>
      <c r="H202" s="4">
        <v>313316</v>
      </c>
      <c r="I202" s="4">
        <v>72552</v>
      </c>
      <c r="J202" s="4">
        <v>155201</v>
      </c>
      <c r="K202" s="4">
        <v>23119</v>
      </c>
      <c r="L202" s="4">
        <v>0</v>
      </c>
      <c r="M202" s="53">
        <f t="shared" si="3"/>
        <v>774788</v>
      </c>
    </row>
    <row r="203" spans="1:13">
      <c r="A203" s="3" t="s">
        <v>66</v>
      </c>
      <c r="B203" s="3" t="s">
        <v>67</v>
      </c>
      <c r="C203" s="3" t="s">
        <v>13</v>
      </c>
      <c r="D203" s="3" t="s">
        <v>14</v>
      </c>
      <c r="E203" s="4">
        <v>8613446</v>
      </c>
      <c r="F203" s="4">
        <v>210600</v>
      </c>
      <c r="G203" s="4">
        <v>0</v>
      </c>
      <c r="H203" s="4">
        <v>242258</v>
      </c>
      <c r="I203" s="4">
        <v>56020</v>
      </c>
      <c r="J203" s="4">
        <v>119834</v>
      </c>
      <c r="K203" s="4">
        <v>17937</v>
      </c>
      <c r="L203" s="4">
        <v>0</v>
      </c>
      <c r="M203" s="53">
        <f t="shared" si="3"/>
        <v>646649</v>
      </c>
    </row>
    <row r="204" spans="1:13">
      <c r="A204" s="3" t="s">
        <v>66</v>
      </c>
      <c r="B204" s="3" t="s">
        <v>67</v>
      </c>
      <c r="C204" s="3" t="s">
        <v>15</v>
      </c>
      <c r="D204" s="3" t="s">
        <v>16</v>
      </c>
      <c r="E204" s="4">
        <v>8613446</v>
      </c>
      <c r="F204" s="4">
        <v>210600</v>
      </c>
      <c r="G204" s="4">
        <v>0</v>
      </c>
      <c r="H204" s="4">
        <v>242258</v>
      </c>
      <c r="I204" s="4">
        <v>56020</v>
      </c>
      <c r="J204" s="4">
        <v>119834</v>
      </c>
      <c r="K204" s="4">
        <v>17937</v>
      </c>
      <c r="L204" s="4">
        <v>0</v>
      </c>
      <c r="M204" s="53">
        <f t="shared" si="3"/>
        <v>646649</v>
      </c>
    </row>
    <row r="205" spans="1:13">
      <c r="A205" s="3" t="s">
        <v>66</v>
      </c>
      <c r="B205" s="3" t="s">
        <v>67</v>
      </c>
      <c r="C205" s="3" t="s">
        <v>17</v>
      </c>
      <c r="D205" s="3" t="s">
        <v>18</v>
      </c>
      <c r="E205" s="4">
        <v>7234016</v>
      </c>
      <c r="F205" s="4">
        <v>210577</v>
      </c>
      <c r="G205" s="4">
        <v>0</v>
      </c>
      <c r="H205" s="4">
        <v>200811</v>
      </c>
      <c r="I205" s="4">
        <v>46666</v>
      </c>
      <c r="J205" s="4">
        <v>99826</v>
      </c>
      <c r="K205" s="4">
        <v>14870</v>
      </c>
      <c r="L205" s="4">
        <v>0</v>
      </c>
      <c r="M205" s="53">
        <f t="shared" si="3"/>
        <v>572750</v>
      </c>
    </row>
    <row r="206" spans="1:13">
      <c r="A206" s="3" t="s">
        <v>66</v>
      </c>
      <c r="B206" s="3" t="s">
        <v>67</v>
      </c>
      <c r="C206" s="3" t="s">
        <v>19</v>
      </c>
      <c r="D206" s="3" t="s">
        <v>20</v>
      </c>
      <c r="E206" s="4">
        <v>7234016</v>
      </c>
      <c r="F206" s="4">
        <v>210577</v>
      </c>
      <c r="G206" s="4">
        <v>0</v>
      </c>
      <c r="H206" s="4">
        <v>200811</v>
      </c>
      <c r="I206" s="4">
        <v>46666</v>
      </c>
      <c r="J206" s="4">
        <v>99826</v>
      </c>
      <c r="K206" s="4">
        <v>14870</v>
      </c>
      <c r="L206" s="4">
        <v>0</v>
      </c>
      <c r="M206" s="53">
        <f t="shared" si="3"/>
        <v>572750</v>
      </c>
    </row>
    <row r="207" spans="1:13">
      <c r="A207" s="3" t="s">
        <v>66</v>
      </c>
      <c r="B207" s="3" t="s">
        <v>67</v>
      </c>
      <c r="C207" s="3" t="s">
        <v>21</v>
      </c>
      <c r="D207" s="3" t="s">
        <v>22</v>
      </c>
      <c r="E207" s="4">
        <v>5897424</v>
      </c>
      <c r="F207" s="4">
        <v>199154</v>
      </c>
      <c r="G207" s="4">
        <v>0</v>
      </c>
      <c r="H207" s="4">
        <v>159335</v>
      </c>
      <c r="I207" s="4">
        <v>36880</v>
      </c>
      <c r="J207" s="4">
        <v>78880</v>
      </c>
      <c r="K207" s="4">
        <v>11797</v>
      </c>
      <c r="L207" s="4">
        <v>0</v>
      </c>
      <c r="M207" s="53">
        <f t="shared" si="3"/>
        <v>486046</v>
      </c>
    </row>
    <row r="208" spans="1:13">
      <c r="A208" s="3" t="s">
        <v>66</v>
      </c>
      <c r="B208" s="3" t="s">
        <v>67</v>
      </c>
      <c r="C208" s="3" t="s">
        <v>23</v>
      </c>
      <c r="D208" s="3" t="s">
        <v>24</v>
      </c>
      <c r="E208" s="4">
        <v>5897424</v>
      </c>
      <c r="F208" s="4">
        <v>199154</v>
      </c>
      <c r="G208" s="4">
        <v>0</v>
      </c>
      <c r="H208" s="4">
        <v>159335</v>
      </c>
      <c r="I208" s="4">
        <v>36880</v>
      </c>
      <c r="J208" s="4">
        <v>78880</v>
      </c>
      <c r="K208" s="4">
        <v>11797</v>
      </c>
      <c r="L208" s="4">
        <v>0</v>
      </c>
      <c r="M208" s="53">
        <f t="shared" si="3"/>
        <v>486046</v>
      </c>
    </row>
    <row r="209" spans="1:13">
      <c r="A209" s="3" t="s">
        <v>66</v>
      </c>
      <c r="B209" s="3" t="s">
        <v>67</v>
      </c>
      <c r="C209" s="3" t="s">
        <v>25</v>
      </c>
      <c r="D209" s="3" t="s">
        <v>26</v>
      </c>
      <c r="E209" s="4">
        <v>4970708</v>
      </c>
      <c r="F209" s="4">
        <v>171187</v>
      </c>
      <c r="G209" s="4">
        <v>0</v>
      </c>
      <c r="H209" s="4">
        <v>133854</v>
      </c>
      <c r="I209" s="4">
        <v>30962</v>
      </c>
      <c r="J209" s="4">
        <v>66235</v>
      </c>
      <c r="K209" s="4">
        <v>9900</v>
      </c>
      <c r="L209" s="4">
        <v>0</v>
      </c>
      <c r="M209" s="53">
        <f t="shared" si="3"/>
        <v>412138</v>
      </c>
    </row>
    <row r="210" spans="1:13">
      <c r="A210" s="3" t="s">
        <v>66</v>
      </c>
      <c r="B210" s="3" t="s">
        <v>67</v>
      </c>
      <c r="C210" s="3" t="s">
        <v>27</v>
      </c>
      <c r="D210" s="3" t="s">
        <v>28</v>
      </c>
      <c r="E210" s="4">
        <v>4970708</v>
      </c>
      <c r="F210" s="4">
        <v>171187</v>
      </c>
      <c r="G210" s="4">
        <v>0</v>
      </c>
      <c r="H210" s="4">
        <v>133854</v>
      </c>
      <c r="I210" s="4">
        <v>30962</v>
      </c>
      <c r="J210" s="4">
        <v>66235</v>
      </c>
      <c r="K210" s="4">
        <v>9900</v>
      </c>
      <c r="L210" s="4">
        <v>0</v>
      </c>
      <c r="M210" s="53">
        <f t="shared" si="3"/>
        <v>412138</v>
      </c>
    </row>
    <row r="211" spans="1:13">
      <c r="A211" s="3" t="s">
        <v>66</v>
      </c>
      <c r="B211" s="3" t="s">
        <v>67</v>
      </c>
      <c r="C211" s="3" t="s">
        <v>29</v>
      </c>
      <c r="D211" s="3" t="s">
        <v>30</v>
      </c>
      <c r="E211" s="4">
        <v>4141996</v>
      </c>
      <c r="F211" s="4">
        <v>143593</v>
      </c>
      <c r="G211" s="4">
        <v>0</v>
      </c>
      <c r="H211" s="4">
        <v>112005</v>
      </c>
      <c r="I211" s="4">
        <v>25933</v>
      </c>
      <c r="J211" s="4">
        <v>55478</v>
      </c>
      <c r="K211" s="4">
        <v>8260</v>
      </c>
      <c r="L211" s="4">
        <v>0</v>
      </c>
      <c r="M211" s="53">
        <f t="shared" si="3"/>
        <v>345269</v>
      </c>
    </row>
    <row r="212" spans="1:13">
      <c r="A212" s="3" t="s">
        <v>68</v>
      </c>
      <c r="B212" s="3" t="s">
        <v>69</v>
      </c>
      <c r="C212" s="3" t="s">
        <v>11</v>
      </c>
      <c r="D212" s="3" t="s">
        <v>12</v>
      </c>
      <c r="E212" s="4">
        <v>10677799</v>
      </c>
      <c r="F212" s="4">
        <v>210600</v>
      </c>
      <c r="G212" s="4">
        <v>0</v>
      </c>
      <c r="H212" s="4">
        <v>313316</v>
      </c>
      <c r="I212" s="4">
        <v>72552</v>
      </c>
      <c r="J212" s="4">
        <v>155201</v>
      </c>
      <c r="K212" s="4">
        <v>23119</v>
      </c>
      <c r="L212" s="4">
        <v>0</v>
      </c>
      <c r="M212" s="53">
        <f t="shared" si="3"/>
        <v>774788</v>
      </c>
    </row>
    <row r="213" spans="1:13">
      <c r="A213" s="3" t="s">
        <v>68</v>
      </c>
      <c r="B213" s="3" t="s">
        <v>69</v>
      </c>
      <c r="C213" s="3" t="s">
        <v>13</v>
      </c>
      <c r="D213" s="3" t="s">
        <v>14</v>
      </c>
      <c r="E213" s="4">
        <v>8613446</v>
      </c>
      <c r="F213" s="4">
        <v>210600</v>
      </c>
      <c r="G213" s="4">
        <v>0</v>
      </c>
      <c r="H213" s="4">
        <v>242258</v>
      </c>
      <c r="I213" s="4">
        <v>56020</v>
      </c>
      <c r="J213" s="4">
        <v>119834</v>
      </c>
      <c r="K213" s="4">
        <v>17937</v>
      </c>
      <c r="L213" s="4">
        <v>0</v>
      </c>
      <c r="M213" s="53">
        <f t="shared" si="3"/>
        <v>646649</v>
      </c>
    </row>
    <row r="214" spans="1:13">
      <c r="A214" s="3" t="s">
        <v>68</v>
      </c>
      <c r="B214" s="3" t="s">
        <v>69</v>
      </c>
      <c r="C214" s="3" t="s">
        <v>15</v>
      </c>
      <c r="D214" s="3" t="s">
        <v>16</v>
      </c>
      <c r="E214" s="4">
        <v>8613446</v>
      </c>
      <c r="F214" s="4">
        <v>210600</v>
      </c>
      <c r="G214" s="4">
        <v>0</v>
      </c>
      <c r="H214" s="4">
        <v>242258</v>
      </c>
      <c r="I214" s="4">
        <v>56020</v>
      </c>
      <c r="J214" s="4">
        <v>119834</v>
      </c>
      <c r="K214" s="4">
        <v>17937</v>
      </c>
      <c r="L214" s="4">
        <v>0</v>
      </c>
      <c r="M214" s="53">
        <f t="shared" si="3"/>
        <v>646649</v>
      </c>
    </row>
    <row r="215" spans="1:13">
      <c r="A215" s="3" t="s">
        <v>68</v>
      </c>
      <c r="B215" s="3" t="s">
        <v>69</v>
      </c>
      <c r="C215" s="3" t="s">
        <v>17</v>
      </c>
      <c r="D215" s="3" t="s">
        <v>18</v>
      </c>
      <c r="E215" s="4">
        <v>7234016</v>
      </c>
      <c r="F215" s="4">
        <v>210577</v>
      </c>
      <c r="G215" s="4">
        <v>0</v>
      </c>
      <c r="H215" s="4">
        <v>200811</v>
      </c>
      <c r="I215" s="4">
        <v>46666</v>
      </c>
      <c r="J215" s="4">
        <v>99826</v>
      </c>
      <c r="K215" s="4">
        <v>14870</v>
      </c>
      <c r="L215" s="4">
        <v>0</v>
      </c>
      <c r="M215" s="53">
        <f t="shared" si="3"/>
        <v>572750</v>
      </c>
    </row>
    <row r="216" spans="1:13">
      <c r="A216" s="3" t="s">
        <v>68</v>
      </c>
      <c r="B216" s="3" t="s">
        <v>69</v>
      </c>
      <c r="C216" s="3" t="s">
        <v>19</v>
      </c>
      <c r="D216" s="3" t="s">
        <v>20</v>
      </c>
      <c r="E216" s="4">
        <v>7234016</v>
      </c>
      <c r="F216" s="4">
        <v>210577</v>
      </c>
      <c r="G216" s="4">
        <v>0</v>
      </c>
      <c r="H216" s="4">
        <v>200811</v>
      </c>
      <c r="I216" s="4">
        <v>46666</v>
      </c>
      <c r="J216" s="4">
        <v>99826</v>
      </c>
      <c r="K216" s="4">
        <v>14870</v>
      </c>
      <c r="L216" s="4">
        <v>0</v>
      </c>
      <c r="M216" s="53">
        <f t="shared" si="3"/>
        <v>572750</v>
      </c>
    </row>
    <row r="217" spans="1:13">
      <c r="A217" s="3" t="s">
        <v>68</v>
      </c>
      <c r="B217" s="3" t="s">
        <v>69</v>
      </c>
      <c r="C217" s="3" t="s">
        <v>21</v>
      </c>
      <c r="D217" s="3" t="s">
        <v>22</v>
      </c>
      <c r="E217" s="4">
        <v>5897424</v>
      </c>
      <c r="F217" s="4">
        <v>199154</v>
      </c>
      <c r="G217" s="4">
        <v>0</v>
      </c>
      <c r="H217" s="4">
        <v>159335</v>
      </c>
      <c r="I217" s="4">
        <v>36880</v>
      </c>
      <c r="J217" s="4">
        <v>78880</v>
      </c>
      <c r="K217" s="4">
        <v>11797</v>
      </c>
      <c r="L217" s="4">
        <v>0</v>
      </c>
      <c r="M217" s="53">
        <f t="shared" si="3"/>
        <v>486046</v>
      </c>
    </row>
    <row r="218" spans="1:13">
      <c r="A218" s="3" t="s">
        <v>68</v>
      </c>
      <c r="B218" s="3" t="s">
        <v>69</v>
      </c>
      <c r="C218" s="3" t="s">
        <v>23</v>
      </c>
      <c r="D218" s="3" t="s">
        <v>24</v>
      </c>
      <c r="E218" s="4">
        <v>5897424</v>
      </c>
      <c r="F218" s="4">
        <v>199154</v>
      </c>
      <c r="G218" s="4">
        <v>0</v>
      </c>
      <c r="H218" s="4">
        <v>159335</v>
      </c>
      <c r="I218" s="4">
        <v>36880</v>
      </c>
      <c r="J218" s="4">
        <v>78880</v>
      </c>
      <c r="K218" s="4">
        <v>11797</v>
      </c>
      <c r="L218" s="4">
        <v>0</v>
      </c>
      <c r="M218" s="53">
        <f t="shared" si="3"/>
        <v>486046</v>
      </c>
    </row>
    <row r="219" spans="1:13">
      <c r="A219" s="3" t="s">
        <v>68</v>
      </c>
      <c r="B219" s="3" t="s">
        <v>69</v>
      </c>
      <c r="C219" s="3" t="s">
        <v>25</v>
      </c>
      <c r="D219" s="3" t="s">
        <v>26</v>
      </c>
      <c r="E219" s="4">
        <v>4970708</v>
      </c>
      <c r="F219" s="4">
        <v>171187</v>
      </c>
      <c r="G219" s="4">
        <v>0</v>
      </c>
      <c r="H219" s="4">
        <v>133854</v>
      </c>
      <c r="I219" s="4">
        <v>30962</v>
      </c>
      <c r="J219" s="4">
        <v>66235</v>
      </c>
      <c r="K219" s="4">
        <v>9900</v>
      </c>
      <c r="L219" s="4">
        <v>0</v>
      </c>
      <c r="M219" s="53">
        <f t="shared" si="3"/>
        <v>412138</v>
      </c>
    </row>
    <row r="220" spans="1:13">
      <c r="A220" s="3" t="s">
        <v>68</v>
      </c>
      <c r="B220" s="3" t="s">
        <v>69</v>
      </c>
      <c r="C220" s="3" t="s">
        <v>27</v>
      </c>
      <c r="D220" s="3" t="s">
        <v>28</v>
      </c>
      <c r="E220" s="4">
        <v>4970708</v>
      </c>
      <c r="F220" s="4">
        <v>171187</v>
      </c>
      <c r="G220" s="4">
        <v>0</v>
      </c>
      <c r="H220" s="4">
        <v>133854</v>
      </c>
      <c r="I220" s="4">
        <v>30962</v>
      </c>
      <c r="J220" s="4">
        <v>66235</v>
      </c>
      <c r="K220" s="4">
        <v>9900</v>
      </c>
      <c r="L220" s="4">
        <v>0</v>
      </c>
      <c r="M220" s="53">
        <f t="shared" si="3"/>
        <v>412138</v>
      </c>
    </row>
    <row r="221" spans="1:13">
      <c r="A221" s="3" t="s">
        <v>68</v>
      </c>
      <c r="B221" s="3" t="s">
        <v>69</v>
      </c>
      <c r="C221" s="3" t="s">
        <v>29</v>
      </c>
      <c r="D221" s="3" t="s">
        <v>30</v>
      </c>
      <c r="E221" s="4">
        <v>4141996</v>
      </c>
      <c r="F221" s="4">
        <v>143593</v>
      </c>
      <c r="G221" s="4">
        <v>0</v>
      </c>
      <c r="H221" s="4">
        <v>112005</v>
      </c>
      <c r="I221" s="4">
        <v>25933</v>
      </c>
      <c r="J221" s="4">
        <v>55478</v>
      </c>
      <c r="K221" s="4">
        <v>8260</v>
      </c>
      <c r="L221" s="4">
        <v>0</v>
      </c>
      <c r="M221" s="53">
        <f t="shared" si="3"/>
        <v>345269</v>
      </c>
    </row>
    <row r="222" spans="1:13">
      <c r="A222" s="3" t="s">
        <v>70</v>
      </c>
      <c r="B222" s="3" t="s">
        <v>71</v>
      </c>
      <c r="C222" s="3" t="s">
        <v>11</v>
      </c>
      <c r="D222" s="3" t="s">
        <v>12</v>
      </c>
      <c r="E222" s="4">
        <v>10677799</v>
      </c>
      <c r="F222" s="4">
        <v>210600</v>
      </c>
      <c r="G222" s="4">
        <v>0</v>
      </c>
      <c r="H222" s="4">
        <v>313316</v>
      </c>
      <c r="I222" s="4">
        <v>72552</v>
      </c>
      <c r="J222" s="4">
        <v>155201</v>
      </c>
      <c r="K222" s="4">
        <v>23119</v>
      </c>
      <c r="L222" s="4">
        <v>0</v>
      </c>
      <c r="M222" s="53">
        <f t="shared" si="3"/>
        <v>774788</v>
      </c>
    </row>
    <row r="223" spans="1:13">
      <c r="A223" s="3" t="s">
        <v>70</v>
      </c>
      <c r="B223" s="3" t="s">
        <v>71</v>
      </c>
      <c r="C223" s="3" t="s">
        <v>13</v>
      </c>
      <c r="D223" s="3" t="s">
        <v>14</v>
      </c>
      <c r="E223" s="4">
        <v>8613446</v>
      </c>
      <c r="F223" s="4">
        <v>210600</v>
      </c>
      <c r="G223" s="4">
        <v>0</v>
      </c>
      <c r="H223" s="4">
        <v>242258</v>
      </c>
      <c r="I223" s="4">
        <v>56020</v>
      </c>
      <c r="J223" s="4">
        <v>119834</v>
      </c>
      <c r="K223" s="4">
        <v>17937</v>
      </c>
      <c r="L223" s="4">
        <v>0</v>
      </c>
      <c r="M223" s="53">
        <f t="shared" si="3"/>
        <v>646649</v>
      </c>
    </row>
    <row r="224" spans="1:13">
      <c r="A224" s="3" t="s">
        <v>70</v>
      </c>
      <c r="B224" s="3" t="s">
        <v>71</v>
      </c>
      <c r="C224" s="3" t="s">
        <v>15</v>
      </c>
      <c r="D224" s="3" t="s">
        <v>16</v>
      </c>
      <c r="E224" s="4">
        <v>8613446</v>
      </c>
      <c r="F224" s="4">
        <v>210600</v>
      </c>
      <c r="G224" s="4">
        <v>0</v>
      </c>
      <c r="H224" s="4">
        <v>242258</v>
      </c>
      <c r="I224" s="4">
        <v>56020</v>
      </c>
      <c r="J224" s="4">
        <v>119834</v>
      </c>
      <c r="K224" s="4">
        <v>17937</v>
      </c>
      <c r="L224" s="4">
        <v>0</v>
      </c>
      <c r="M224" s="53">
        <f t="shared" si="3"/>
        <v>646649</v>
      </c>
    </row>
    <row r="225" spans="1:13">
      <c r="A225" s="3" t="s">
        <v>70</v>
      </c>
      <c r="B225" s="3" t="s">
        <v>71</v>
      </c>
      <c r="C225" s="3" t="s">
        <v>17</v>
      </c>
      <c r="D225" s="3" t="s">
        <v>18</v>
      </c>
      <c r="E225" s="4">
        <v>7234016</v>
      </c>
      <c r="F225" s="4">
        <v>210577</v>
      </c>
      <c r="G225" s="4">
        <v>0</v>
      </c>
      <c r="H225" s="4">
        <v>200811</v>
      </c>
      <c r="I225" s="4">
        <v>46666</v>
      </c>
      <c r="J225" s="4">
        <v>99826</v>
      </c>
      <c r="K225" s="4">
        <v>14870</v>
      </c>
      <c r="L225" s="4">
        <v>0</v>
      </c>
      <c r="M225" s="53">
        <f t="shared" si="3"/>
        <v>572750</v>
      </c>
    </row>
    <row r="226" spans="1:13">
      <c r="A226" s="3" t="s">
        <v>70</v>
      </c>
      <c r="B226" s="3" t="s">
        <v>71</v>
      </c>
      <c r="C226" s="3" t="s">
        <v>19</v>
      </c>
      <c r="D226" s="3" t="s">
        <v>20</v>
      </c>
      <c r="E226" s="4">
        <v>7234016</v>
      </c>
      <c r="F226" s="4">
        <v>210577</v>
      </c>
      <c r="G226" s="4">
        <v>0</v>
      </c>
      <c r="H226" s="4">
        <v>200811</v>
      </c>
      <c r="I226" s="4">
        <v>46666</v>
      </c>
      <c r="J226" s="4">
        <v>99826</v>
      </c>
      <c r="K226" s="4">
        <v>14870</v>
      </c>
      <c r="L226" s="4">
        <v>0</v>
      </c>
      <c r="M226" s="53">
        <f t="shared" si="3"/>
        <v>572750</v>
      </c>
    </row>
    <row r="227" spans="1:13">
      <c r="A227" s="3" t="s">
        <v>70</v>
      </c>
      <c r="B227" s="3" t="s">
        <v>71</v>
      </c>
      <c r="C227" s="3" t="s">
        <v>21</v>
      </c>
      <c r="D227" s="3" t="s">
        <v>22</v>
      </c>
      <c r="E227" s="4">
        <v>5897424</v>
      </c>
      <c r="F227" s="4">
        <v>199154</v>
      </c>
      <c r="G227" s="4">
        <v>0</v>
      </c>
      <c r="H227" s="4">
        <v>159335</v>
      </c>
      <c r="I227" s="4">
        <v>36880</v>
      </c>
      <c r="J227" s="4">
        <v>78880</v>
      </c>
      <c r="K227" s="4">
        <v>11797</v>
      </c>
      <c r="L227" s="4">
        <v>0</v>
      </c>
      <c r="M227" s="53">
        <f t="shared" si="3"/>
        <v>486046</v>
      </c>
    </row>
    <row r="228" spans="1:13">
      <c r="A228" s="3" t="s">
        <v>70</v>
      </c>
      <c r="B228" s="3" t="s">
        <v>71</v>
      </c>
      <c r="C228" s="3" t="s">
        <v>23</v>
      </c>
      <c r="D228" s="3" t="s">
        <v>24</v>
      </c>
      <c r="E228" s="4">
        <v>5897424</v>
      </c>
      <c r="F228" s="4">
        <v>199154</v>
      </c>
      <c r="G228" s="4">
        <v>0</v>
      </c>
      <c r="H228" s="4">
        <v>159335</v>
      </c>
      <c r="I228" s="4">
        <v>36880</v>
      </c>
      <c r="J228" s="4">
        <v>78880</v>
      </c>
      <c r="K228" s="4">
        <v>11797</v>
      </c>
      <c r="L228" s="4">
        <v>0</v>
      </c>
      <c r="M228" s="53">
        <f t="shared" si="3"/>
        <v>486046</v>
      </c>
    </row>
    <row r="229" spans="1:13">
      <c r="A229" s="3" t="s">
        <v>70</v>
      </c>
      <c r="B229" s="3" t="s">
        <v>71</v>
      </c>
      <c r="C229" s="3" t="s">
        <v>25</v>
      </c>
      <c r="D229" s="3" t="s">
        <v>26</v>
      </c>
      <c r="E229" s="4">
        <v>4970708</v>
      </c>
      <c r="F229" s="4">
        <v>171187</v>
      </c>
      <c r="G229" s="4">
        <v>0</v>
      </c>
      <c r="H229" s="4">
        <v>133854</v>
      </c>
      <c r="I229" s="4">
        <v>30962</v>
      </c>
      <c r="J229" s="4">
        <v>66235</v>
      </c>
      <c r="K229" s="4">
        <v>9900</v>
      </c>
      <c r="L229" s="4">
        <v>0</v>
      </c>
      <c r="M229" s="53">
        <f t="shared" si="3"/>
        <v>412138</v>
      </c>
    </row>
    <row r="230" spans="1:13">
      <c r="A230" s="3" t="s">
        <v>70</v>
      </c>
      <c r="B230" s="3" t="s">
        <v>71</v>
      </c>
      <c r="C230" s="3" t="s">
        <v>27</v>
      </c>
      <c r="D230" s="3" t="s">
        <v>28</v>
      </c>
      <c r="E230" s="4">
        <v>4970708</v>
      </c>
      <c r="F230" s="4">
        <v>171187</v>
      </c>
      <c r="G230" s="4">
        <v>0</v>
      </c>
      <c r="H230" s="4">
        <v>133854</v>
      </c>
      <c r="I230" s="4">
        <v>30962</v>
      </c>
      <c r="J230" s="4">
        <v>66235</v>
      </c>
      <c r="K230" s="4">
        <v>9900</v>
      </c>
      <c r="L230" s="4">
        <v>0</v>
      </c>
      <c r="M230" s="53">
        <f t="shared" si="3"/>
        <v>412138</v>
      </c>
    </row>
    <row r="231" spans="1:13">
      <c r="A231" s="3" t="s">
        <v>70</v>
      </c>
      <c r="B231" s="3" t="s">
        <v>71</v>
      </c>
      <c r="C231" s="3" t="s">
        <v>29</v>
      </c>
      <c r="D231" s="3" t="s">
        <v>30</v>
      </c>
      <c r="E231" s="4">
        <v>4141996</v>
      </c>
      <c r="F231" s="4">
        <v>143593</v>
      </c>
      <c r="G231" s="4">
        <v>0</v>
      </c>
      <c r="H231" s="4">
        <v>112005</v>
      </c>
      <c r="I231" s="4">
        <v>25933</v>
      </c>
      <c r="J231" s="4">
        <v>55478</v>
      </c>
      <c r="K231" s="4">
        <v>8260</v>
      </c>
      <c r="L231" s="4">
        <v>0</v>
      </c>
      <c r="M231" s="53">
        <f t="shared" si="3"/>
        <v>345269</v>
      </c>
    </row>
    <row r="232" spans="1:13">
      <c r="A232" s="3" t="s">
        <v>72</v>
      </c>
      <c r="B232" s="3" t="s">
        <v>73</v>
      </c>
      <c r="C232" s="3" t="s">
        <v>11</v>
      </c>
      <c r="D232" s="3" t="s">
        <v>12</v>
      </c>
      <c r="E232" s="4">
        <v>10677799</v>
      </c>
      <c r="F232" s="4">
        <v>210600</v>
      </c>
      <c r="G232" s="4">
        <v>0</v>
      </c>
      <c r="H232" s="4">
        <v>313316</v>
      </c>
      <c r="I232" s="4">
        <v>72552</v>
      </c>
      <c r="J232" s="4">
        <v>155201</v>
      </c>
      <c r="K232" s="4">
        <v>23119</v>
      </c>
      <c r="L232" s="4">
        <v>0</v>
      </c>
      <c r="M232" s="53">
        <f t="shared" si="3"/>
        <v>774788</v>
      </c>
    </row>
    <row r="233" spans="1:13">
      <c r="A233" s="3" t="s">
        <v>72</v>
      </c>
      <c r="B233" s="3" t="s">
        <v>73</v>
      </c>
      <c r="C233" s="3" t="s">
        <v>13</v>
      </c>
      <c r="D233" s="3" t="s">
        <v>14</v>
      </c>
      <c r="E233" s="4">
        <v>8613446</v>
      </c>
      <c r="F233" s="4">
        <v>210600</v>
      </c>
      <c r="G233" s="4">
        <v>0</v>
      </c>
      <c r="H233" s="4">
        <v>242258</v>
      </c>
      <c r="I233" s="4">
        <v>56020</v>
      </c>
      <c r="J233" s="4">
        <v>119834</v>
      </c>
      <c r="K233" s="4">
        <v>17937</v>
      </c>
      <c r="L233" s="4">
        <v>0</v>
      </c>
      <c r="M233" s="53">
        <f t="shared" si="3"/>
        <v>646649</v>
      </c>
    </row>
    <row r="234" spans="1:13">
      <c r="A234" s="3" t="s">
        <v>72</v>
      </c>
      <c r="B234" s="3" t="s">
        <v>73</v>
      </c>
      <c r="C234" s="3" t="s">
        <v>15</v>
      </c>
      <c r="D234" s="3" t="s">
        <v>16</v>
      </c>
      <c r="E234" s="4">
        <v>8613446</v>
      </c>
      <c r="F234" s="4">
        <v>210600</v>
      </c>
      <c r="G234" s="4">
        <v>0</v>
      </c>
      <c r="H234" s="4">
        <v>242258</v>
      </c>
      <c r="I234" s="4">
        <v>56020</v>
      </c>
      <c r="J234" s="4">
        <v>119834</v>
      </c>
      <c r="K234" s="4">
        <v>17937</v>
      </c>
      <c r="L234" s="4">
        <v>0</v>
      </c>
      <c r="M234" s="53">
        <f t="shared" si="3"/>
        <v>646649</v>
      </c>
    </row>
    <row r="235" spans="1:13">
      <c r="A235" s="3" t="s">
        <v>72</v>
      </c>
      <c r="B235" s="3" t="s">
        <v>73</v>
      </c>
      <c r="C235" s="3" t="s">
        <v>17</v>
      </c>
      <c r="D235" s="3" t="s">
        <v>18</v>
      </c>
      <c r="E235" s="4">
        <v>7234016</v>
      </c>
      <c r="F235" s="4">
        <v>210577</v>
      </c>
      <c r="G235" s="4">
        <v>0</v>
      </c>
      <c r="H235" s="4">
        <v>200811</v>
      </c>
      <c r="I235" s="4">
        <v>46666</v>
      </c>
      <c r="J235" s="4">
        <v>99826</v>
      </c>
      <c r="K235" s="4">
        <v>14870</v>
      </c>
      <c r="L235" s="4">
        <v>0</v>
      </c>
      <c r="M235" s="53">
        <f t="shared" si="3"/>
        <v>572750</v>
      </c>
    </row>
    <row r="236" spans="1:13">
      <c r="A236" s="3" t="s">
        <v>72</v>
      </c>
      <c r="B236" s="3" t="s">
        <v>73</v>
      </c>
      <c r="C236" s="3" t="s">
        <v>19</v>
      </c>
      <c r="D236" s="3" t="s">
        <v>20</v>
      </c>
      <c r="E236" s="4">
        <v>7234016</v>
      </c>
      <c r="F236" s="4">
        <v>210577</v>
      </c>
      <c r="G236" s="4">
        <v>0</v>
      </c>
      <c r="H236" s="4">
        <v>200811</v>
      </c>
      <c r="I236" s="4">
        <v>46666</v>
      </c>
      <c r="J236" s="4">
        <v>99826</v>
      </c>
      <c r="K236" s="4">
        <v>14870</v>
      </c>
      <c r="L236" s="4">
        <v>0</v>
      </c>
      <c r="M236" s="53">
        <f t="shared" si="3"/>
        <v>572750</v>
      </c>
    </row>
    <row r="237" spans="1:13">
      <c r="A237" s="3" t="s">
        <v>72</v>
      </c>
      <c r="B237" s="3" t="s">
        <v>73</v>
      </c>
      <c r="C237" s="3" t="s">
        <v>21</v>
      </c>
      <c r="D237" s="3" t="s">
        <v>22</v>
      </c>
      <c r="E237" s="4">
        <v>5897424</v>
      </c>
      <c r="F237" s="4">
        <v>199154</v>
      </c>
      <c r="G237" s="4">
        <v>0</v>
      </c>
      <c r="H237" s="4">
        <v>159335</v>
      </c>
      <c r="I237" s="4">
        <v>36880</v>
      </c>
      <c r="J237" s="4">
        <v>78880</v>
      </c>
      <c r="K237" s="4">
        <v>11797</v>
      </c>
      <c r="L237" s="4">
        <v>0</v>
      </c>
      <c r="M237" s="53">
        <f t="shared" si="3"/>
        <v>486046</v>
      </c>
    </row>
    <row r="238" spans="1:13">
      <c r="A238" s="3" t="s">
        <v>72</v>
      </c>
      <c r="B238" s="3" t="s">
        <v>73</v>
      </c>
      <c r="C238" s="3" t="s">
        <v>23</v>
      </c>
      <c r="D238" s="3" t="s">
        <v>24</v>
      </c>
      <c r="E238" s="4">
        <v>5897424</v>
      </c>
      <c r="F238" s="4">
        <v>199154</v>
      </c>
      <c r="G238" s="4">
        <v>0</v>
      </c>
      <c r="H238" s="4">
        <v>159335</v>
      </c>
      <c r="I238" s="4">
        <v>36880</v>
      </c>
      <c r="J238" s="4">
        <v>78880</v>
      </c>
      <c r="K238" s="4">
        <v>11797</v>
      </c>
      <c r="L238" s="4">
        <v>0</v>
      </c>
      <c r="M238" s="53">
        <f t="shared" si="3"/>
        <v>486046</v>
      </c>
    </row>
    <row r="239" spans="1:13">
      <c r="A239" s="3" t="s">
        <v>72</v>
      </c>
      <c r="B239" s="3" t="s">
        <v>73</v>
      </c>
      <c r="C239" s="3" t="s">
        <v>25</v>
      </c>
      <c r="D239" s="3" t="s">
        <v>26</v>
      </c>
      <c r="E239" s="4">
        <v>4970708</v>
      </c>
      <c r="F239" s="4">
        <v>171187</v>
      </c>
      <c r="G239" s="4">
        <v>0</v>
      </c>
      <c r="H239" s="4">
        <v>133854</v>
      </c>
      <c r="I239" s="4">
        <v>30962</v>
      </c>
      <c r="J239" s="4">
        <v>66235</v>
      </c>
      <c r="K239" s="4">
        <v>9900</v>
      </c>
      <c r="L239" s="4">
        <v>0</v>
      </c>
      <c r="M239" s="53">
        <f t="shared" si="3"/>
        <v>412138</v>
      </c>
    </row>
    <row r="240" spans="1:13">
      <c r="A240" s="3" t="s">
        <v>72</v>
      </c>
      <c r="B240" s="3" t="s">
        <v>73</v>
      </c>
      <c r="C240" s="3" t="s">
        <v>27</v>
      </c>
      <c r="D240" s="3" t="s">
        <v>28</v>
      </c>
      <c r="E240" s="4">
        <v>4970708</v>
      </c>
      <c r="F240" s="4">
        <v>171187</v>
      </c>
      <c r="G240" s="4">
        <v>0</v>
      </c>
      <c r="H240" s="4">
        <v>133854</v>
      </c>
      <c r="I240" s="4">
        <v>30962</v>
      </c>
      <c r="J240" s="4">
        <v>66235</v>
      </c>
      <c r="K240" s="4">
        <v>9900</v>
      </c>
      <c r="L240" s="4">
        <v>0</v>
      </c>
      <c r="M240" s="53">
        <f t="shared" si="3"/>
        <v>412138</v>
      </c>
    </row>
    <row r="241" spans="1:13">
      <c r="A241" s="3" t="s">
        <v>72</v>
      </c>
      <c r="B241" s="3" t="s">
        <v>73</v>
      </c>
      <c r="C241" s="3" t="s">
        <v>29</v>
      </c>
      <c r="D241" s="3" t="s">
        <v>30</v>
      </c>
      <c r="E241" s="4">
        <v>4141996</v>
      </c>
      <c r="F241" s="4">
        <v>143593</v>
      </c>
      <c r="G241" s="4">
        <v>0</v>
      </c>
      <c r="H241" s="4">
        <v>112005</v>
      </c>
      <c r="I241" s="4">
        <v>25933</v>
      </c>
      <c r="J241" s="4">
        <v>55478</v>
      </c>
      <c r="K241" s="4">
        <v>8260</v>
      </c>
      <c r="L241" s="4">
        <v>0</v>
      </c>
      <c r="M241" s="53">
        <f t="shared" si="3"/>
        <v>345269</v>
      </c>
    </row>
    <row r="242" spans="1:13">
      <c r="A242" s="3" t="s">
        <v>74</v>
      </c>
      <c r="B242" s="3" t="s">
        <v>75</v>
      </c>
      <c r="C242" s="3" t="s">
        <v>11</v>
      </c>
      <c r="D242" s="3" t="s">
        <v>12</v>
      </c>
      <c r="E242" s="4">
        <v>10677799</v>
      </c>
      <c r="F242" s="4">
        <v>210600</v>
      </c>
      <c r="G242" s="4">
        <v>0</v>
      </c>
      <c r="H242" s="4">
        <v>313316</v>
      </c>
      <c r="I242" s="4">
        <v>72552</v>
      </c>
      <c r="J242" s="4">
        <v>155201</v>
      </c>
      <c r="K242" s="4">
        <v>23119</v>
      </c>
      <c r="L242" s="4">
        <v>0</v>
      </c>
      <c r="M242" s="53">
        <f t="shared" si="3"/>
        <v>774788</v>
      </c>
    </row>
    <row r="243" spans="1:13">
      <c r="A243" s="3" t="s">
        <v>74</v>
      </c>
      <c r="B243" s="3" t="s">
        <v>75</v>
      </c>
      <c r="C243" s="3" t="s">
        <v>13</v>
      </c>
      <c r="D243" s="3" t="s">
        <v>14</v>
      </c>
      <c r="E243" s="4">
        <v>8613446</v>
      </c>
      <c r="F243" s="4">
        <v>210600</v>
      </c>
      <c r="G243" s="4">
        <v>0</v>
      </c>
      <c r="H243" s="4">
        <v>242258</v>
      </c>
      <c r="I243" s="4">
        <v>56020</v>
      </c>
      <c r="J243" s="4">
        <v>119834</v>
      </c>
      <c r="K243" s="4">
        <v>17937</v>
      </c>
      <c r="L243" s="4">
        <v>0</v>
      </c>
      <c r="M243" s="53">
        <f t="shared" si="3"/>
        <v>646649</v>
      </c>
    </row>
    <row r="244" spans="1:13">
      <c r="A244" s="3" t="s">
        <v>74</v>
      </c>
      <c r="B244" s="3" t="s">
        <v>75</v>
      </c>
      <c r="C244" s="3" t="s">
        <v>15</v>
      </c>
      <c r="D244" s="3" t="s">
        <v>16</v>
      </c>
      <c r="E244" s="4">
        <v>8613446</v>
      </c>
      <c r="F244" s="4">
        <v>210600</v>
      </c>
      <c r="G244" s="4">
        <v>0</v>
      </c>
      <c r="H244" s="4">
        <v>242258</v>
      </c>
      <c r="I244" s="4">
        <v>56020</v>
      </c>
      <c r="J244" s="4">
        <v>119834</v>
      </c>
      <c r="K244" s="4">
        <v>17937</v>
      </c>
      <c r="L244" s="4">
        <v>0</v>
      </c>
      <c r="M244" s="53">
        <f t="shared" si="3"/>
        <v>646649</v>
      </c>
    </row>
    <row r="245" spans="1:13">
      <c r="A245" s="3" t="s">
        <v>74</v>
      </c>
      <c r="B245" s="3" t="s">
        <v>75</v>
      </c>
      <c r="C245" s="3" t="s">
        <v>17</v>
      </c>
      <c r="D245" s="3" t="s">
        <v>18</v>
      </c>
      <c r="E245" s="4">
        <v>7234016</v>
      </c>
      <c r="F245" s="4">
        <v>210577</v>
      </c>
      <c r="G245" s="4">
        <v>0</v>
      </c>
      <c r="H245" s="4">
        <v>200811</v>
      </c>
      <c r="I245" s="4">
        <v>46666</v>
      </c>
      <c r="J245" s="4">
        <v>99826</v>
      </c>
      <c r="K245" s="4">
        <v>14870</v>
      </c>
      <c r="L245" s="4">
        <v>0</v>
      </c>
      <c r="M245" s="53">
        <f t="shared" si="3"/>
        <v>572750</v>
      </c>
    </row>
    <row r="246" spans="1:13">
      <c r="A246" s="3" t="s">
        <v>74</v>
      </c>
      <c r="B246" s="3" t="s">
        <v>75</v>
      </c>
      <c r="C246" s="3" t="s">
        <v>19</v>
      </c>
      <c r="D246" s="3" t="s">
        <v>20</v>
      </c>
      <c r="E246" s="4">
        <v>7234016</v>
      </c>
      <c r="F246" s="4">
        <v>210577</v>
      </c>
      <c r="G246" s="4">
        <v>0</v>
      </c>
      <c r="H246" s="4">
        <v>200811</v>
      </c>
      <c r="I246" s="4">
        <v>46666</v>
      </c>
      <c r="J246" s="4">
        <v>99826</v>
      </c>
      <c r="K246" s="4">
        <v>14870</v>
      </c>
      <c r="L246" s="4">
        <v>0</v>
      </c>
      <c r="M246" s="53">
        <f t="shared" si="3"/>
        <v>572750</v>
      </c>
    </row>
    <row r="247" spans="1:13">
      <c r="A247" s="3" t="s">
        <v>74</v>
      </c>
      <c r="B247" s="3" t="s">
        <v>75</v>
      </c>
      <c r="C247" s="3" t="s">
        <v>21</v>
      </c>
      <c r="D247" s="3" t="s">
        <v>22</v>
      </c>
      <c r="E247" s="4">
        <v>5897424</v>
      </c>
      <c r="F247" s="4">
        <v>199154</v>
      </c>
      <c r="G247" s="4">
        <v>0</v>
      </c>
      <c r="H247" s="4">
        <v>159335</v>
      </c>
      <c r="I247" s="4">
        <v>36880</v>
      </c>
      <c r="J247" s="4">
        <v>78880</v>
      </c>
      <c r="K247" s="4">
        <v>11797</v>
      </c>
      <c r="L247" s="4">
        <v>0</v>
      </c>
      <c r="M247" s="53">
        <f t="shared" si="3"/>
        <v>486046</v>
      </c>
    </row>
    <row r="248" spans="1:13">
      <c r="A248" s="3" t="s">
        <v>74</v>
      </c>
      <c r="B248" s="3" t="s">
        <v>75</v>
      </c>
      <c r="C248" s="3" t="s">
        <v>23</v>
      </c>
      <c r="D248" s="3" t="s">
        <v>24</v>
      </c>
      <c r="E248" s="4">
        <v>5897424</v>
      </c>
      <c r="F248" s="4">
        <v>199154</v>
      </c>
      <c r="G248" s="4">
        <v>0</v>
      </c>
      <c r="H248" s="4">
        <v>159335</v>
      </c>
      <c r="I248" s="4">
        <v>36880</v>
      </c>
      <c r="J248" s="4">
        <v>78880</v>
      </c>
      <c r="K248" s="4">
        <v>11797</v>
      </c>
      <c r="L248" s="4">
        <v>0</v>
      </c>
      <c r="M248" s="53">
        <f t="shared" si="3"/>
        <v>486046</v>
      </c>
    </row>
    <row r="249" spans="1:13">
      <c r="A249" s="3" t="s">
        <v>74</v>
      </c>
      <c r="B249" s="3" t="s">
        <v>75</v>
      </c>
      <c r="C249" s="3" t="s">
        <v>25</v>
      </c>
      <c r="D249" s="3" t="s">
        <v>26</v>
      </c>
      <c r="E249" s="4">
        <v>4970708</v>
      </c>
      <c r="F249" s="4">
        <v>171187</v>
      </c>
      <c r="G249" s="4">
        <v>0</v>
      </c>
      <c r="H249" s="4">
        <v>133854</v>
      </c>
      <c r="I249" s="4">
        <v>30962</v>
      </c>
      <c r="J249" s="4">
        <v>66235</v>
      </c>
      <c r="K249" s="4">
        <v>9900</v>
      </c>
      <c r="L249" s="4">
        <v>0</v>
      </c>
      <c r="M249" s="53">
        <f t="shared" si="3"/>
        <v>412138</v>
      </c>
    </row>
    <row r="250" spans="1:13">
      <c r="A250" s="3" t="s">
        <v>74</v>
      </c>
      <c r="B250" s="3" t="s">
        <v>75</v>
      </c>
      <c r="C250" s="3" t="s">
        <v>27</v>
      </c>
      <c r="D250" s="3" t="s">
        <v>28</v>
      </c>
      <c r="E250" s="4">
        <v>4970708</v>
      </c>
      <c r="F250" s="4">
        <v>171187</v>
      </c>
      <c r="G250" s="4">
        <v>0</v>
      </c>
      <c r="H250" s="4">
        <v>133854</v>
      </c>
      <c r="I250" s="4">
        <v>30962</v>
      </c>
      <c r="J250" s="4">
        <v>66235</v>
      </c>
      <c r="K250" s="4">
        <v>9900</v>
      </c>
      <c r="L250" s="4">
        <v>0</v>
      </c>
      <c r="M250" s="53">
        <f t="shared" si="3"/>
        <v>412138</v>
      </c>
    </row>
    <row r="251" spans="1:13">
      <c r="A251" s="3" t="s">
        <v>74</v>
      </c>
      <c r="B251" s="3" t="s">
        <v>75</v>
      </c>
      <c r="C251" s="3" t="s">
        <v>29</v>
      </c>
      <c r="D251" s="3" t="s">
        <v>30</v>
      </c>
      <c r="E251" s="4">
        <v>4141996</v>
      </c>
      <c r="F251" s="4">
        <v>143593</v>
      </c>
      <c r="G251" s="4">
        <v>0</v>
      </c>
      <c r="H251" s="4">
        <v>112005</v>
      </c>
      <c r="I251" s="4">
        <v>25933</v>
      </c>
      <c r="J251" s="4">
        <v>55478</v>
      </c>
      <c r="K251" s="4">
        <v>8260</v>
      </c>
      <c r="L251" s="4">
        <v>0</v>
      </c>
      <c r="M251" s="53">
        <f t="shared" si="3"/>
        <v>345269</v>
      </c>
    </row>
    <row r="252" spans="1:13">
      <c r="A252" s="3" t="s">
        <v>76</v>
      </c>
      <c r="B252" s="3" t="s">
        <v>77</v>
      </c>
      <c r="C252" s="3" t="s">
        <v>11</v>
      </c>
      <c r="D252" s="3" t="s">
        <v>12</v>
      </c>
      <c r="E252" s="4">
        <v>10677799</v>
      </c>
      <c r="F252" s="4">
        <v>210600</v>
      </c>
      <c r="G252" s="4">
        <v>0</v>
      </c>
      <c r="H252" s="4">
        <v>313316</v>
      </c>
      <c r="I252" s="4">
        <v>72552</v>
      </c>
      <c r="J252" s="4">
        <v>155201</v>
      </c>
      <c r="K252" s="4">
        <v>23119</v>
      </c>
      <c r="L252" s="4">
        <v>0</v>
      </c>
      <c r="M252" s="53">
        <f t="shared" si="3"/>
        <v>774788</v>
      </c>
    </row>
    <row r="253" spans="1:13">
      <c r="A253" s="3" t="s">
        <v>76</v>
      </c>
      <c r="B253" s="3" t="s">
        <v>77</v>
      </c>
      <c r="C253" s="3" t="s">
        <v>13</v>
      </c>
      <c r="D253" s="3" t="s">
        <v>14</v>
      </c>
      <c r="E253" s="4">
        <v>8613446</v>
      </c>
      <c r="F253" s="4">
        <v>210600</v>
      </c>
      <c r="G253" s="4">
        <v>0</v>
      </c>
      <c r="H253" s="4">
        <v>242258</v>
      </c>
      <c r="I253" s="4">
        <v>56020</v>
      </c>
      <c r="J253" s="4">
        <v>119834</v>
      </c>
      <c r="K253" s="4">
        <v>17937</v>
      </c>
      <c r="L253" s="4">
        <v>0</v>
      </c>
      <c r="M253" s="53">
        <f t="shared" si="3"/>
        <v>646649</v>
      </c>
    </row>
    <row r="254" spans="1:13">
      <c r="A254" s="3" t="s">
        <v>76</v>
      </c>
      <c r="B254" s="3" t="s">
        <v>77</v>
      </c>
      <c r="C254" s="3" t="s">
        <v>15</v>
      </c>
      <c r="D254" s="3" t="s">
        <v>16</v>
      </c>
      <c r="E254" s="4">
        <v>8613446</v>
      </c>
      <c r="F254" s="4">
        <v>210600</v>
      </c>
      <c r="G254" s="4">
        <v>0</v>
      </c>
      <c r="H254" s="4">
        <v>242258</v>
      </c>
      <c r="I254" s="4">
        <v>56020</v>
      </c>
      <c r="J254" s="4">
        <v>119834</v>
      </c>
      <c r="K254" s="4">
        <v>17937</v>
      </c>
      <c r="L254" s="4">
        <v>0</v>
      </c>
      <c r="M254" s="53">
        <f t="shared" si="3"/>
        <v>646649</v>
      </c>
    </row>
    <row r="255" spans="1:13">
      <c r="A255" s="3" t="s">
        <v>76</v>
      </c>
      <c r="B255" s="3" t="s">
        <v>77</v>
      </c>
      <c r="C255" s="3" t="s">
        <v>17</v>
      </c>
      <c r="D255" s="3" t="s">
        <v>18</v>
      </c>
      <c r="E255" s="4">
        <v>7234016</v>
      </c>
      <c r="F255" s="4">
        <v>210577</v>
      </c>
      <c r="G255" s="4">
        <v>0</v>
      </c>
      <c r="H255" s="4">
        <v>200811</v>
      </c>
      <c r="I255" s="4">
        <v>46666</v>
      </c>
      <c r="J255" s="4">
        <v>99826</v>
      </c>
      <c r="K255" s="4">
        <v>14870</v>
      </c>
      <c r="L255" s="4">
        <v>0</v>
      </c>
      <c r="M255" s="53">
        <f t="shared" si="3"/>
        <v>572750</v>
      </c>
    </row>
    <row r="256" spans="1:13">
      <c r="A256" s="3" t="s">
        <v>76</v>
      </c>
      <c r="B256" s="3" t="s">
        <v>77</v>
      </c>
      <c r="C256" s="3" t="s">
        <v>19</v>
      </c>
      <c r="D256" s="3" t="s">
        <v>20</v>
      </c>
      <c r="E256" s="4">
        <v>7234016</v>
      </c>
      <c r="F256" s="4">
        <v>210577</v>
      </c>
      <c r="G256" s="4">
        <v>0</v>
      </c>
      <c r="H256" s="4">
        <v>200811</v>
      </c>
      <c r="I256" s="4">
        <v>46666</v>
      </c>
      <c r="J256" s="4">
        <v>99826</v>
      </c>
      <c r="K256" s="4">
        <v>14870</v>
      </c>
      <c r="L256" s="4">
        <v>0</v>
      </c>
      <c r="M256" s="53">
        <f t="shared" si="3"/>
        <v>572750</v>
      </c>
    </row>
    <row r="257" spans="1:13">
      <c r="A257" s="3" t="s">
        <v>76</v>
      </c>
      <c r="B257" s="3" t="s">
        <v>77</v>
      </c>
      <c r="C257" s="3" t="s">
        <v>21</v>
      </c>
      <c r="D257" s="3" t="s">
        <v>22</v>
      </c>
      <c r="E257" s="4">
        <v>5897424</v>
      </c>
      <c r="F257" s="4">
        <v>199154</v>
      </c>
      <c r="G257" s="4">
        <v>0</v>
      </c>
      <c r="H257" s="4">
        <v>159335</v>
      </c>
      <c r="I257" s="4">
        <v>36880</v>
      </c>
      <c r="J257" s="4">
        <v>78880</v>
      </c>
      <c r="K257" s="4">
        <v>11797</v>
      </c>
      <c r="L257" s="4">
        <v>0</v>
      </c>
      <c r="M257" s="53">
        <f t="shared" si="3"/>
        <v>486046</v>
      </c>
    </row>
    <row r="258" spans="1:13">
      <c r="A258" s="3" t="s">
        <v>76</v>
      </c>
      <c r="B258" s="3" t="s">
        <v>77</v>
      </c>
      <c r="C258" s="3" t="s">
        <v>23</v>
      </c>
      <c r="D258" s="3" t="s">
        <v>24</v>
      </c>
      <c r="E258" s="4">
        <v>5897424</v>
      </c>
      <c r="F258" s="4">
        <v>199154</v>
      </c>
      <c r="G258" s="4">
        <v>0</v>
      </c>
      <c r="H258" s="4">
        <v>159335</v>
      </c>
      <c r="I258" s="4">
        <v>36880</v>
      </c>
      <c r="J258" s="4">
        <v>78880</v>
      </c>
      <c r="K258" s="4">
        <v>11797</v>
      </c>
      <c r="L258" s="4">
        <v>0</v>
      </c>
      <c r="M258" s="53">
        <f t="shared" si="3"/>
        <v>486046</v>
      </c>
    </row>
    <row r="259" spans="1:13">
      <c r="A259" s="3" t="s">
        <v>76</v>
      </c>
      <c r="B259" s="3" t="s">
        <v>77</v>
      </c>
      <c r="C259" s="3" t="s">
        <v>25</v>
      </c>
      <c r="D259" s="3" t="s">
        <v>26</v>
      </c>
      <c r="E259" s="4">
        <v>4970708</v>
      </c>
      <c r="F259" s="4">
        <v>171187</v>
      </c>
      <c r="G259" s="4">
        <v>0</v>
      </c>
      <c r="H259" s="4">
        <v>133854</v>
      </c>
      <c r="I259" s="4">
        <v>30962</v>
      </c>
      <c r="J259" s="4">
        <v>66235</v>
      </c>
      <c r="K259" s="4">
        <v>9900</v>
      </c>
      <c r="L259" s="4">
        <v>0</v>
      </c>
      <c r="M259" s="53">
        <f t="shared" ref="M259:M281" si="4">SUM(F259:L259)</f>
        <v>412138</v>
      </c>
    </row>
    <row r="260" spans="1:13">
      <c r="A260" s="3" t="s">
        <v>76</v>
      </c>
      <c r="B260" s="3" t="s">
        <v>77</v>
      </c>
      <c r="C260" s="3" t="s">
        <v>27</v>
      </c>
      <c r="D260" s="3" t="s">
        <v>28</v>
      </c>
      <c r="E260" s="4">
        <v>4970708</v>
      </c>
      <c r="F260" s="4">
        <v>171187</v>
      </c>
      <c r="G260" s="4">
        <v>0</v>
      </c>
      <c r="H260" s="4">
        <v>133854</v>
      </c>
      <c r="I260" s="4">
        <v>30962</v>
      </c>
      <c r="J260" s="4">
        <v>66235</v>
      </c>
      <c r="K260" s="4">
        <v>9900</v>
      </c>
      <c r="L260" s="4">
        <v>0</v>
      </c>
      <c r="M260" s="53">
        <f t="shared" si="4"/>
        <v>412138</v>
      </c>
    </row>
    <row r="261" spans="1:13">
      <c r="A261" s="3" t="s">
        <v>76</v>
      </c>
      <c r="B261" s="3" t="s">
        <v>77</v>
      </c>
      <c r="C261" s="3" t="s">
        <v>29</v>
      </c>
      <c r="D261" s="3" t="s">
        <v>30</v>
      </c>
      <c r="E261" s="4">
        <v>4141996</v>
      </c>
      <c r="F261" s="4">
        <v>143593</v>
      </c>
      <c r="G261" s="4">
        <v>0</v>
      </c>
      <c r="H261" s="4">
        <v>112005</v>
      </c>
      <c r="I261" s="4">
        <v>25933</v>
      </c>
      <c r="J261" s="4">
        <v>55478</v>
      </c>
      <c r="K261" s="4">
        <v>8260</v>
      </c>
      <c r="L261" s="4">
        <v>0</v>
      </c>
      <c r="M261" s="53">
        <f t="shared" si="4"/>
        <v>345269</v>
      </c>
    </row>
    <row r="262" spans="1:13">
      <c r="A262" s="3" t="s">
        <v>78</v>
      </c>
      <c r="B262" s="3" t="s">
        <v>79</v>
      </c>
      <c r="C262" s="3" t="s">
        <v>11</v>
      </c>
      <c r="D262" s="3" t="s">
        <v>12</v>
      </c>
      <c r="E262" s="4">
        <v>10677799</v>
      </c>
      <c r="F262" s="4">
        <v>210600</v>
      </c>
      <c r="G262" s="4">
        <v>0</v>
      </c>
      <c r="H262" s="4">
        <v>313316</v>
      </c>
      <c r="I262" s="4">
        <v>72552</v>
      </c>
      <c r="J262" s="4">
        <v>155201</v>
      </c>
      <c r="K262" s="4">
        <v>23119</v>
      </c>
      <c r="L262" s="4">
        <v>0</v>
      </c>
      <c r="M262" s="53">
        <f t="shared" si="4"/>
        <v>774788</v>
      </c>
    </row>
    <row r="263" spans="1:13">
      <c r="A263" s="3" t="s">
        <v>78</v>
      </c>
      <c r="B263" s="3" t="s">
        <v>79</v>
      </c>
      <c r="C263" s="3" t="s">
        <v>13</v>
      </c>
      <c r="D263" s="3" t="s">
        <v>14</v>
      </c>
      <c r="E263" s="4">
        <v>8613446</v>
      </c>
      <c r="F263" s="4">
        <v>210600</v>
      </c>
      <c r="G263" s="4">
        <v>0</v>
      </c>
      <c r="H263" s="4">
        <v>242258</v>
      </c>
      <c r="I263" s="4">
        <v>56020</v>
      </c>
      <c r="J263" s="4">
        <v>119834</v>
      </c>
      <c r="K263" s="4">
        <v>17937</v>
      </c>
      <c r="L263" s="4">
        <v>0</v>
      </c>
      <c r="M263" s="53">
        <f t="shared" si="4"/>
        <v>646649</v>
      </c>
    </row>
    <row r="264" spans="1:13">
      <c r="A264" s="3" t="s">
        <v>78</v>
      </c>
      <c r="B264" s="3" t="s">
        <v>79</v>
      </c>
      <c r="C264" s="3" t="s">
        <v>15</v>
      </c>
      <c r="D264" s="3" t="s">
        <v>16</v>
      </c>
      <c r="E264" s="4">
        <v>8613446</v>
      </c>
      <c r="F264" s="4">
        <v>210600</v>
      </c>
      <c r="G264" s="4">
        <v>0</v>
      </c>
      <c r="H264" s="4">
        <v>242258</v>
      </c>
      <c r="I264" s="4">
        <v>56020</v>
      </c>
      <c r="J264" s="4">
        <v>119834</v>
      </c>
      <c r="K264" s="4">
        <v>17937</v>
      </c>
      <c r="L264" s="4">
        <v>0</v>
      </c>
      <c r="M264" s="53">
        <f t="shared" si="4"/>
        <v>646649</v>
      </c>
    </row>
    <row r="265" spans="1:13">
      <c r="A265" s="3" t="s">
        <v>78</v>
      </c>
      <c r="B265" s="3" t="s">
        <v>79</v>
      </c>
      <c r="C265" s="3" t="s">
        <v>17</v>
      </c>
      <c r="D265" s="3" t="s">
        <v>18</v>
      </c>
      <c r="E265" s="4">
        <v>7234016</v>
      </c>
      <c r="F265" s="4">
        <v>210577</v>
      </c>
      <c r="G265" s="4">
        <v>0</v>
      </c>
      <c r="H265" s="4">
        <v>200811</v>
      </c>
      <c r="I265" s="4">
        <v>46666</v>
      </c>
      <c r="J265" s="4">
        <v>99826</v>
      </c>
      <c r="K265" s="4">
        <v>14870</v>
      </c>
      <c r="L265" s="4">
        <v>0</v>
      </c>
      <c r="M265" s="53">
        <f t="shared" si="4"/>
        <v>572750</v>
      </c>
    </row>
    <row r="266" spans="1:13">
      <c r="A266" s="3" t="s">
        <v>78</v>
      </c>
      <c r="B266" s="3" t="s">
        <v>79</v>
      </c>
      <c r="C266" s="3" t="s">
        <v>19</v>
      </c>
      <c r="D266" s="3" t="s">
        <v>20</v>
      </c>
      <c r="E266" s="4">
        <v>7234016</v>
      </c>
      <c r="F266" s="4">
        <v>210577</v>
      </c>
      <c r="G266" s="4">
        <v>0</v>
      </c>
      <c r="H266" s="4">
        <v>200811</v>
      </c>
      <c r="I266" s="4">
        <v>46666</v>
      </c>
      <c r="J266" s="4">
        <v>99826</v>
      </c>
      <c r="K266" s="4">
        <v>14870</v>
      </c>
      <c r="L266" s="4">
        <v>0</v>
      </c>
      <c r="M266" s="53">
        <f t="shared" si="4"/>
        <v>572750</v>
      </c>
    </row>
    <row r="267" spans="1:13">
      <c r="A267" s="3" t="s">
        <v>78</v>
      </c>
      <c r="B267" s="3" t="s">
        <v>79</v>
      </c>
      <c r="C267" s="3" t="s">
        <v>21</v>
      </c>
      <c r="D267" s="3" t="s">
        <v>22</v>
      </c>
      <c r="E267" s="4">
        <v>5897424</v>
      </c>
      <c r="F267" s="4">
        <v>199154</v>
      </c>
      <c r="G267" s="4">
        <v>0</v>
      </c>
      <c r="H267" s="4">
        <v>159335</v>
      </c>
      <c r="I267" s="4">
        <v>36880</v>
      </c>
      <c r="J267" s="4">
        <v>78880</v>
      </c>
      <c r="K267" s="4">
        <v>11797</v>
      </c>
      <c r="L267" s="4">
        <v>0</v>
      </c>
      <c r="M267" s="53">
        <f t="shared" si="4"/>
        <v>486046</v>
      </c>
    </row>
    <row r="268" spans="1:13">
      <c r="A268" s="3" t="s">
        <v>78</v>
      </c>
      <c r="B268" s="3" t="s">
        <v>79</v>
      </c>
      <c r="C268" s="3" t="s">
        <v>23</v>
      </c>
      <c r="D268" s="3" t="s">
        <v>24</v>
      </c>
      <c r="E268" s="4">
        <v>5897424</v>
      </c>
      <c r="F268" s="4">
        <v>199154</v>
      </c>
      <c r="G268" s="4">
        <v>0</v>
      </c>
      <c r="H268" s="4">
        <v>159335</v>
      </c>
      <c r="I268" s="4">
        <v>36880</v>
      </c>
      <c r="J268" s="4">
        <v>78880</v>
      </c>
      <c r="K268" s="4">
        <v>11797</v>
      </c>
      <c r="L268" s="4">
        <v>0</v>
      </c>
      <c r="M268" s="53">
        <f t="shared" si="4"/>
        <v>486046</v>
      </c>
    </row>
    <row r="269" spans="1:13">
      <c r="A269" s="3" t="s">
        <v>78</v>
      </c>
      <c r="B269" s="3" t="s">
        <v>79</v>
      </c>
      <c r="C269" s="3" t="s">
        <v>25</v>
      </c>
      <c r="D269" s="3" t="s">
        <v>26</v>
      </c>
      <c r="E269" s="4">
        <v>4970708</v>
      </c>
      <c r="F269" s="4">
        <v>171187</v>
      </c>
      <c r="G269" s="4">
        <v>0</v>
      </c>
      <c r="H269" s="4">
        <v>133854</v>
      </c>
      <c r="I269" s="4">
        <v>30962</v>
      </c>
      <c r="J269" s="4">
        <v>66235</v>
      </c>
      <c r="K269" s="4">
        <v>9900</v>
      </c>
      <c r="L269" s="4">
        <v>0</v>
      </c>
      <c r="M269" s="53">
        <f t="shared" si="4"/>
        <v>412138</v>
      </c>
    </row>
    <row r="270" spans="1:13">
      <c r="A270" s="3" t="s">
        <v>78</v>
      </c>
      <c r="B270" s="3" t="s">
        <v>79</v>
      </c>
      <c r="C270" s="3" t="s">
        <v>27</v>
      </c>
      <c r="D270" s="3" t="s">
        <v>28</v>
      </c>
      <c r="E270" s="4">
        <v>4970708</v>
      </c>
      <c r="F270" s="4">
        <v>171187</v>
      </c>
      <c r="G270" s="4">
        <v>0</v>
      </c>
      <c r="H270" s="4">
        <v>133854</v>
      </c>
      <c r="I270" s="4">
        <v>30962</v>
      </c>
      <c r="J270" s="4">
        <v>66235</v>
      </c>
      <c r="K270" s="4">
        <v>9900</v>
      </c>
      <c r="L270" s="4">
        <v>0</v>
      </c>
      <c r="M270" s="53">
        <f t="shared" si="4"/>
        <v>412138</v>
      </c>
    </row>
    <row r="271" spans="1:13">
      <c r="A271" s="3" t="s">
        <v>78</v>
      </c>
      <c r="B271" s="3" t="s">
        <v>79</v>
      </c>
      <c r="C271" s="3" t="s">
        <v>29</v>
      </c>
      <c r="D271" s="3" t="s">
        <v>30</v>
      </c>
      <c r="E271" s="4">
        <v>4141996</v>
      </c>
      <c r="F271" s="4">
        <v>143593</v>
      </c>
      <c r="G271" s="4">
        <v>0</v>
      </c>
      <c r="H271" s="4">
        <v>112005</v>
      </c>
      <c r="I271" s="4">
        <v>25933</v>
      </c>
      <c r="J271" s="4">
        <v>55478</v>
      </c>
      <c r="K271" s="4">
        <v>8260</v>
      </c>
      <c r="L271" s="4">
        <v>0</v>
      </c>
      <c r="M271" s="53">
        <f t="shared" si="4"/>
        <v>345269</v>
      </c>
    </row>
    <row r="272" spans="1:13">
      <c r="A272" s="3" t="s">
        <v>80</v>
      </c>
      <c r="B272" s="3" t="s">
        <v>81</v>
      </c>
      <c r="C272" s="3" t="s">
        <v>11</v>
      </c>
      <c r="D272" s="3" t="s">
        <v>12</v>
      </c>
      <c r="E272" s="4">
        <v>10677799</v>
      </c>
      <c r="F272" s="4">
        <v>210600</v>
      </c>
      <c r="G272" s="4">
        <v>0</v>
      </c>
      <c r="H272" s="4">
        <v>313316</v>
      </c>
      <c r="I272" s="4">
        <v>72552</v>
      </c>
      <c r="J272" s="4">
        <v>155201</v>
      </c>
      <c r="K272" s="4">
        <v>23119</v>
      </c>
      <c r="L272" s="4">
        <v>0</v>
      </c>
      <c r="M272" s="53">
        <f t="shared" si="4"/>
        <v>774788</v>
      </c>
    </row>
    <row r="273" spans="1:13">
      <c r="A273" s="3" t="s">
        <v>80</v>
      </c>
      <c r="B273" s="3" t="s">
        <v>81</v>
      </c>
      <c r="C273" s="3" t="s">
        <v>13</v>
      </c>
      <c r="D273" s="3" t="s">
        <v>14</v>
      </c>
      <c r="E273" s="4">
        <v>8613446</v>
      </c>
      <c r="F273" s="4">
        <v>210600</v>
      </c>
      <c r="G273" s="4">
        <v>0</v>
      </c>
      <c r="H273" s="4">
        <v>242258</v>
      </c>
      <c r="I273" s="4">
        <v>56020</v>
      </c>
      <c r="J273" s="4">
        <v>119834</v>
      </c>
      <c r="K273" s="4">
        <v>17937</v>
      </c>
      <c r="L273" s="4">
        <v>0</v>
      </c>
      <c r="M273" s="53">
        <f t="shared" si="4"/>
        <v>646649</v>
      </c>
    </row>
    <row r="274" spans="1:13">
      <c r="A274" s="3" t="s">
        <v>80</v>
      </c>
      <c r="B274" s="3" t="s">
        <v>81</v>
      </c>
      <c r="C274" s="3" t="s">
        <v>15</v>
      </c>
      <c r="D274" s="3" t="s">
        <v>16</v>
      </c>
      <c r="E274" s="4">
        <v>8613446</v>
      </c>
      <c r="F274" s="4">
        <v>210600</v>
      </c>
      <c r="G274" s="4">
        <v>0</v>
      </c>
      <c r="H274" s="4">
        <v>242258</v>
      </c>
      <c r="I274" s="4">
        <v>56020</v>
      </c>
      <c r="J274" s="4">
        <v>119834</v>
      </c>
      <c r="K274" s="4">
        <v>17937</v>
      </c>
      <c r="L274" s="4">
        <v>0</v>
      </c>
      <c r="M274" s="53">
        <f t="shared" si="4"/>
        <v>646649</v>
      </c>
    </row>
    <row r="275" spans="1:13">
      <c r="A275" s="3" t="s">
        <v>80</v>
      </c>
      <c r="B275" s="3" t="s">
        <v>81</v>
      </c>
      <c r="C275" s="3" t="s">
        <v>17</v>
      </c>
      <c r="D275" s="3" t="s">
        <v>18</v>
      </c>
      <c r="E275" s="4">
        <v>7234016</v>
      </c>
      <c r="F275" s="4">
        <v>210577</v>
      </c>
      <c r="G275" s="4">
        <v>0</v>
      </c>
      <c r="H275" s="4">
        <v>200811</v>
      </c>
      <c r="I275" s="4">
        <v>46666</v>
      </c>
      <c r="J275" s="4">
        <v>99826</v>
      </c>
      <c r="K275" s="4">
        <v>14870</v>
      </c>
      <c r="L275" s="4">
        <v>0</v>
      </c>
      <c r="M275" s="53">
        <f t="shared" si="4"/>
        <v>572750</v>
      </c>
    </row>
    <row r="276" spans="1:13">
      <c r="A276" s="3" t="s">
        <v>80</v>
      </c>
      <c r="B276" s="3" t="s">
        <v>81</v>
      </c>
      <c r="C276" s="3" t="s">
        <v>19</v>
      </c>
      <c r="D276" s="3" t="s">
        <v>20</v>
      </c>
      <c r="E276" s="4">
        <v>7234016</v>
      </c>
      <c r="F276" s="4">
        <v>210577</v>
      </c>
      <c r="G276" s="4">
        <v>0</v>
      </c>
      <c r="H276" s="4">
        <v>200811</v>
      </c>
      <c r="I276" s="4">
        <v>46666</v>
      </c>
      <c r="J276" s="4">
        <v>99826</v>
      </c>
      <c r="K276" s="4">
        <v>14870</v>
      </c>
      <c r="L276" s="4">
        <v>0</v>
      </c>
      <c r="M276" s="53">
        <f t="shared" si="4"/>
        <v>572750</v>
      </c>
    </row>
    <row r="277" spans="1:13">
      <c r="A277" s="3" t="s">
        <v>80</v>
      </c>
      <c r="B277" s="3" t="s">
        <v>81</v>
      </c>
      <c r="C277" s="3" t="s">
        <v>21</v>
      </c>
      <c r="D277" s="3" t="s">
        <v>22</v>
      </c>
      <c r="E277" s="4">
        <v>5897424</v>
      </c>
      <c r="F277" s="4">
        <v>199154</v>
      </c>
      <c r="G277" s="4">
        <v>0</v>
      </c>
      <c r="H277" s="4">
        <v>159335</v>
      </c>
      <c r="I277" s="4">
        <v>36880</v>
      </c>
      <c r="J277" s="4">
        <v>78880</v>
      </c>
      <c r="K277" s="4">
        <v>11797</v>
      </c>
      <c r="L277" s="4">
        <v>0</v>
      </c>
      <c r="M277" s="53">
        <f t="shared" si="4"/>
        <v>486046</v>
      </c>
    </row>
    <row r="278" spans="1:13">
      <c r="A278" s="3" t="s">
        <v>80</v>
      </c>
      <c r="B278" s="3" t="s">
        <v>81</v>
      </c>
      <c r="C278" s="3" t="s">
        <v>23</v>
      </c>
      <c r="D278" s="3" t="s">
        <v>24</v>
      </c>
      <c r="E278" s="4">
        <v>5897424</v>
      </c>
      <c r="F278" s="4">
        <v>199154</v>
      </c>
      <c r="G278" s="4">
        <v>0</v>
      </c>
      <c r="H278" s="4">
        <v>159335</v>
      </c>
      <c r="I278" s="4">
        <v>36880</v>
      </c>
      <c r="J278" s="4">
        <v>78880</v>
      </c>
      <c r="K278" s="4">
        <v>11797</v>
      </c>
      <c r="L278" s="4">
        <v>0</v>
      </c>
      <c r="M278" s="53">
        <f t="shared" si="4"/>
        <v>486046</v>
      </c>
    </row>
    <row r="279" spans="1:13">
      <c r="A279" s="3" t="s">
        <v>80</v>
      </c>
      <c r="B279" s="3" t="s">
        <v>81</v>
      </c>
      <c r="C279" s="3" t="s">
        <v>25</v>
      </c>
      <c r="D279" s="3" t="s">
        <v>26</v>
      </c>
      <c r="E279" s="4">
        <v>4970708</v>
      </c>
      <c r="F279" s="4">
        <v>171187</v>
      </c>
      <c r="G279" s="4">
        <v>0</v>
      </c>
      <c r="H279" s="4">
        <v>133854</v>
      </c>
      <c r="I279" s="4">
        <v>30962</v>
      </c>
      <c r="J279" s="4">
        <v>66235</v>
      </c>
      <c r="K279" s="4">
        <v>9900</v>
      </c>
      <c r="L279" s="4">
        <v>0</v>
      </c>
      <c r="M279" s="53">
        <f t="shared" si="4"/>
        <v>412138</v>
      </c>
    </row>
    <row r="280" spans="1:13">
      <c r="A280" s="3" t="s">
        <v>80</v>
      </c>
      <c r="B280" s="3" t="s">
        <v>81</v>
      </c>
      <c r="C280" s="3" t="s">
        <v>27</v>
      </c>
      <c r="D280" s="3" t="s">
        <v>28</v>
      </c>
      <c r="E280" s="4">
        <v>4970708</v>
      </c>
      <c r="F280" s="4">
        <v>171187</v>
      </c>
      <c r="G280" s="4">
        <v>0</v>
      </c>
      <c r="H280" s="4">
        <v>133854</v>
      </c>
      <c r="I280" s="4">
        <v>30962</v>
      </c>
      <c r="J280" s="4">
        <v>66235</v>
      </c>
      <c r="K280" s="4">
        <v>9900</v>
      </c>
      <c r="L280" s="4">
        <v>0</v>
      </c>
      <c r="M280" s="53">
        <f t="shared" si="4"/>
        <v>412138</v>
      </c>
    </row>
    <row r="281" spans="1:13">
      <c r="A281" s="3" t="s">
        <v>80</v>
      </c>
      <c r="B281" s="3" t="s">
        <v>81</v>
      </c>
      <c r="C281" s="3" t="s">
        <v>29</v>
      </c>
      <c r="D281" s="3" t="s">
        <v>30</v>
      </c>
      <c r="E281" s="4">
        <v>4141996</v>
      </c>
      <c r="F281" s="4">
        <v>143593</v>
      </c>
      <c r="G281" s="4">
        <v>0</v>
      </c>
      <c r="H281" s="4">
        <v>112005</v>
      </c>
      <c r="I281" s="4">
        <v>25933</v>
      </c>
      <c r="J281" s="4">
        <v>55478</v>
      </c>
      <c r="K281" s="4">
        <v>8260</v>
      </c>
      <c r="L281" s="4">
        <v>0</v>
      </c>
      <c r="M281" s="53">
        <f t="shared" si="4"/>
        <v>345269</v>
      </c>
    </row>
  </sheetData>
  <autoFilter ref="A1:M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</vt:i4>
      </vt:variant>
      <vt:variant>
        <vt:lpstr>이름이 지정된 범위</vt:lpstr>
      </vt:variant>
      <vt:variant>
        <vt:i4>15</vt:i4>
      </vt:variant>
    </vt:vector>
  </HeadingPairs>
  <TitlesOfParts>
    <vt:vector size="40" baseType="lpstr">
      <vt:lpstr>작성방법</vt:lpstr>
      <vt:lpstr>수주품의 Check</vt:lpstr>
      <vt:lpstr>손익시뮬레이션</vt:lpstr>
      <vt:lpstr>input=&gt;</vt:lpstr>
      <vt:lpstr>1. 판매품의서</vt:lpstr>
      <vt:lpstr>2. 인건비</vt:lpstr>
      <vt:lpstr>2-1. 사전영업비</vt:lpstr>
      <vt:lpstr>3. 외주비&amp;재료비</vt:lpstr>
      <vt:lpstr>4. 경비(실비정산성경비)</vt:lpstr>
      <vt:lpstr>4-1.경비_보증보험료</vt:lpstr>
      <vt:lpstr>4-2. 미국 L1비자 발급비용</vt:lpstr>
      <vt:lpstr>MESplus SE V7.2</vt:lpstr>
      <vt:lpstr>MESplus SE V7.1</vt:lpstr>
      <vt:lpstr>MESplus SE V7.0</vt:lpstr>
      <vt:lpstr>6. 청구계획</vt:lpstr>
      <vt:lpstr>5. 수주액 상세</vt:lpstr>
      <vt:lpstr>간접비 계산</vt:lpstr>
      <vt:lpstr>경비 기준</vt:lpstr>
      <vt:lpstr>보증보험요율</vt:lpstr>
      <vt:lpstr>Labor Cost_Master</vt:lpstr>
      <vt:lpstr>Benefit_Master</vt:lpstr>
      <vt:lpstr>Master</vt:lpstr>
      <vt:lpstr>Sheet1</vt:lpstr>
      <vt:lpstr>버전이력</vt:lpstr>
      <vt:lpstr>Labor</vt:lpstr>
      <vt:lpstr>'1. 판매품의서'!Print_Area</vt:lpstr>
      <vt:lpstr>'2. 인건비'!Print_Area</vt:lpstr>
      <vt:lpstr>'2-1. 사전영업비'!Print_Area</vt:lpstr>
      <vt:lpstr>'3. 외주비&amp;재료비'!Print_Area</vt:lpstr>
      <vt:lpstr>'4. 경비(실비정산성경비)'!Print_Area</vt:lpstr>
      <vt:lpstr>'5. 수주액 상세'!Print_Area</vt:lpstr>
      <vt:lpstr>'6. 청구계획'!Print_Area</vt:lpstr>
      <vt:lpstr>'MESplus SE V7.0'!Print_Area</vt:lpstr>
      <vt:lpstr>'MESplus SE V7.1'!Print_Area</vt:lpstr>
      <vt:lpstr>'MESplus SE V7.2'!Print_Area</vt:lpstr>
      <vt:lpstr>Sheet1!Print_Area</vt:lpstr>
      <vt:lpstr>'경비 기준'!Print_Area</vt:lpstr>
      <vt:lpstr>손익시뮬레이션!Print_Area</vt:lpstr>
      <vt:lpstr>작성방법!Print_Area</vt:lpstr>
      <vt:lpstr>'3. 외주비&amp;재료비'!Print_Titles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Yeonhee</dc:creator>
  <cp:lastModifiedBy>MIRACOM</cp:lastModifiedBy>
  <cp:lastPrinted>2026-02-10T06:21:20Z</cp:lastPrinted>
  <dcterms:created xsi:type="dcterms:W3CDTF">2020-02-17T05:54:57Z</dcterms:created>
  <dcterms:modified xsi:type="dcterms:W3CDTF">2026-09-28T06:47:38Z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