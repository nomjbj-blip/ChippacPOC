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자료\04_시스템_개발자료\"/>
    </mc:Choice>
  </mc:AlternateContent>
  <bookViews>
    <workbookView xWindow="0" yWindow="0" windowWidth="28800" windowHeight="16240"/>
  </bookViews>
  <sheets>
    <sheet name="개요" sheetId="1" r:id="rId1"/>
    <sheet name="테이블 목록" sheetId="2" r:id="rId2"/>
    <sheet name="TQC_CONFIG" sheetId="3" r:id="rId3"/>
    <sheet name="TQC_CONFIG_USER" sheetId="4" r:id="rId4"/>
    <sheet name="TQC_EQUIP" sheetId="5" r:id="rId5"/>
    <sheet name="TQC_EQUIP_MODEL" sheetId="6" r:id="rId6"/>
    <sheet name="TQC_FUNCTION_LIST" sheetId="7" r:id="rId7"/>
    <sheet name="TQC_GROUP_FUNCTION" sheetId="8" r:id="rId8"/>
    <sheet name="TQC_GROUP_USER" sheetId="9" r:id="rId9"/>
    <sheet name="TQC_LOSS_YIELD_SUM" sheetId="10" r:id="rId10"/>
    <sheet name="TQC_LOT_HIS" sheetId="11" r:id="rId11"/>
    <sheet name="TQC_LOT_STS" sheetId="12" r:id="rId12"/>
    <sheet name="TQC_MATCH_SUM" sheetId="13" r:id="rId13"/>
    <sheet name="TQC_NOTICE_BOARD" sheetId="14" r:id="rId14"/>
    <sheet name="TQC_OPER" sheetId="15" r:id="rId15"/>
    <sheet name="TQC_SECURITY_GROUP" sheetId="16" r:id="rId16"/>
    <sheet name="TQC_SERVICE_LOG" sheetId="17" r:id="rId17"/>
    <sheet name="TQC_USER" sheetId="18" r:id="rId18"/>
    <sheet name="TQC_USER_HITLOG" sheetId="19" r:id="rId19"/>
    <sheet name="관계(논리)" sheetId="20" r:id="rId20"/>
    <sheet name="시퀀스" sheetId="21" r:id="rId21"/>
  </sheets>
  <calcPr calcId="162913"/>
</workbook>
</file>

<file path=xl/calcChain.xml><?xml version="1.0" encoding="utf-8"?>
<calcChain xmlns="http://schemas.openxmlformats.org/spreadsheetml/2006/main">
  <c r="E5" i="19" l="1"/>
  <c r="E20" i="2" s="1"/>
  <c r="E5" i="18"/>
  <c r="E5" i="17"/>
  <c r="E5" i="16"/>
  <c r="E5" i="15"/>
  <c r="E5" i="14"/>
  <c r="E5" i="13"/>
  <c r="E5" i="12"/>
  <c r="E5" i="11"/>
  <c r="E12" i="2" s="1"/>
  <c r="E5" i="10"/>
  <c r="E5" i="9"/>
  <c r="E5" i="8"/>
  <c r="E9" i="2" s="1"/>
  <c r="E5" i="7"/>
  <c r="E8" i="2" s="1"/>
  <c r="E5" i="6"/>
  <c r="E7" i="2" s="1"/>
  <c r="E5" i="5"/>
  <c r="E6" i="2" s="1"/>
  <c r="E5" i="4"/>
  <c r="E5" i="2" s="1"/>
  <c r="E5" i="3"/>
  <c r="E4" i="2" s="1"/>
  <c r="M20" i="2"/>
  <c r="L20" i="2"/>
  <c r="K20" i="2"/>
  <c r="J20" i="2"/>
  <c r="I20" i="2"/>
  <c r="M19" i="2"/>
  <c r="L19" i="2"/>
  <c r="K19" i="2"/>
  <c r="J19" i="2"/>
  <c r="I19" i="2"/>
  <c r="E19" i="2"/>
  <c r="M18" i="2"/>
  <c r="L18" i="2"/>
  <c r="K18" i="2"/>
  <c r="J18" i="2"/>
  <c r="I18" i="2"/>
  <c r="E18" i="2"/>
  <c r="M17" i="2"/>
  <c r="L17" i="2"/>
  <c r="K17" i="2"/>
  <c r="J17" i="2"/>
  <c r="I17" i="2"/>
  <c r="E17" i="2"/>
  <c r="M16" i="2"/>
  <c r="L16" i="2"/>
  <c r="K16" i="2"/>
  <c r="J16" i="2"/>
  <c r="I16" i="2"/>
  <c r="E16" i="2"/>
  <c r="M15" i="2"/>
  <c r="L15" i="2"/>
  <c r="K15" i="2"/>
  <c r="J15" i="2"/>
  <c r="I15" i="2"/>
  <c r="E15" i="2"/>
  <c r="M14" i="2"/>
  <c r="L14" i="2"/>
  <c r="K14" i="2"/>
  <c r="J14" i="2"/>
  <c r="I14" i="2"/>
  <c r="E14" i="2"/>
  <c r="M13" i="2"/>
  <c r="L13" i="2"/>
  <c r="K13" i="2"/>
  <c r="J13" i="2"/>
  <c r="I13" i="2"/>
  <c r="E13" i="2"/>
  <c r="M12" i="2"/>
  <c r="L12" i="2"/>
  <c r="K12" i="2"/>
  <c r="J12" i="2"/>
  <c r="I12" i="2"/>
  <c r="M11" i="2"/>
  <c r="L11" i="2"/>
  <c r="K11" i="2"/>
  <c r="J11" i="2"/>
  <c r="I11" i="2"/>
  <c r="E11" i="2"/>
  <c r="M10" i="2"/>
  <c r="L10" i="2"/>
  <c r="K10" i="2"/>
  <c r="J10" i="2"/>
  <c r="I10" i="2"/>
  <c r="E10" i="2"/>
  <c r="M9" i="2"/>
  <c r="L9" i="2"/>
  <c r="K9" i="2"/>
  <c r="J9" i="2"/>
  <c r="I9" i="2"/>
  <c r="M8" i="2"/>
  <c r="L8" i="2"/>
  <c r="K8" i="2"/>
  <c r="J8" i="2"/>
  <c r="I8" i="2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  <c r="M4" i="2"/>
  <c r="L4" i="2"/>
  <c r="K4" i="2"/>
  <c r="J4" i="2"/>
  <c r="I4" i="2"/>
  <c r="C13" i="1"/>
  <c r="E21" i="2" l="1"/>
  <c r="C14" i="1" s="1"/>
  <c r="J21" i="2"/>
  <c r="C16" i="1" s="1"/>
  <c r="K21" i="2"/>
  <c r="C17" i="1" s="1"/>
  <c r="L21" i="2"/>
  <c r="C18" i="1" s="1"/>
  <c r="M21" i="2"/>
  <c r="C19" i="1" s="1"/>
  <c r="I21" i="2"/>
  <c r="C15" i="1" s="1"/>
</calcChain>
</file>

<file path=xl/sharedStrings.xml><?xml version="1.0" encoding="utf-8"?>
<sst xmlns="http://schemas.openxmlformats.org/spreadsheetml/2006/main" count="2003" uniqueCount="545">
  <si>
    <t>SCK 분석시스템 구축 POC - Common 테이블 명세서</t>
  </si>
  <si>
    <t>대상 시스템</t>
  </si>
  <si>
    <t>DACrux DMS / YMS (SCK 분석시스템 구축 POC)</t>
  </si>
  <si>
    <t>영역</t>
  </si>
  <si>
    <t>Common - DMS / YMS 가 함께 쓰는 공통 테이블 (사용자 / 권한 / 화면 기능 / 설정 / 설비 / 공정 / Lot 상태 / 서비스 로그)</t>
  </si>
  <si>
    <t>기준 DB</t>
  </si>
  <si>
    <t>로컬 개발 DB (Oracle 19c, 스키마 DMSMGR, 문자셋 AL32UTF8)</t>
  </si>
  <si>
    <t>조회 일자</t>
  </si>
  <si>
    <t>2026-10-15</t>
  </si>
  <si>
    <t>작성 근거</t>
  </si>
  <si>
    <t>DB 메타데이터 (컬럼 / 주석 / 제약 / 인덱스 / 시퀀스) + Query XML (DMS/08_DBQuery/ORACLE) / C# 소스 + 같은 제품을 쓴 다른 프로젝트의 테이블 정의서 + 이 프로젝트 설계 문서</t>
  </si>
  <si>
    <t>대상 범위</t>
  </si>
  <si>
    <t>테이블 17개 (이름 접두어 TQC_). POC 신규 테이블(TQP_GDS_*)은 POC 테이블 명세서에 따로 있다.</t>
  </si>
  <si>
    <t>제외</t>
  </si>
  <si>
    <t>소스(Query XML / C#)에서 쓰지 않는 테이블: TQC_SEC_GROUP</t>
  </si>
  <si>
    <t>집계</t>
  </si>
  <si>
    <t>값</t>
  </si>
  <si>
    <t>테이블 수</t>
  </si>
  <si>
    <t>컬럼 수</t>
  </si>
  <si>
    <t>근거: DB 주석</t>
  </si>
  <si>
    <t>근거: 원본 정의서</t>
  </si>
  <si>
    <t>근거: 설계 문서</t>
  </si>
  <si>
    <t>근거: 소스</t>
  </si>
  <si>
    <t>근거: 이름 추정</t>
  </si>
  <si>
    <t>시트</t>
  </si>
  <si>
    <t>내용</t>
  </si>
  <si>
    <t>테이블 목록</t>
  </si>
  <si>
    <t>테이블 요약 (테이블명을 누르면 해당 시트로 이동, 근거별 행 수)</t>
  </si>
  <si>
    <t>테이블별 시트</t>
  </si>
  <si>
    <t>컬럼 / 제약 조건 / 인덱스</t>
  </si>
  <si>
    <t>관계(논리)</t>
  </si>
  <si>
    <t>Query XML / 소스의 조인으로 확인한 테이블 관계 (DB FK 없음)</t>
  </si>
  <si>
    <t>시퀀스</t>
  </si>
  <si>
    <t>이 영역 테이블이 쓰는 시퀀스</t>
  </si>
  <si>
    <t>표기 기준</t>
  </si>
  <si>
    <t>설명</t>
  </si>
  <si>
    <t>데이터 타입</t>
  </si>
  <si>
    <t>VARCHAR2(n CHAR) = 글자 수 기준, VARCHAR2(n) = byte 기준</t>
  </si>
  <si>
    <t>NULL / PK</t>
  </si>
  <si>
    <t>NULL: N = NOT NULL (필수), Y = NULL 허용. PK: 기본 키 안 순서 (노란 행)</t>
  </si>
  <si>
    <t>반복 컬럼</t>
  </si>
  <si>
    <t>같은 접두어 + 번호가 이어지는 컬럼은 한 줄로 묶었다 (회색 행, 예: BIN001 ~ BIN151). No 는 첫 ~ 끝 컬럼 순번</t>
  </si>
  <si>
    <t>참조 (논리)</t>
  </si>
  <si>
    <t>조인으로 확인한 부모 테이블. DB FK 는 없다</t>
  </si>
  <si>
    <t>근거</t>
  </si>
  <si>
    <t>DB 주석 = DB 컬럼 주석 / 원본 정의서 = 같은 제품을 쓴 다른 프로젝트의 테이블 정의서 (컬럼이 같은 것만) / 설계 문서 = 이 프로젝트 설계 문서 (문서/설계) / 소스 = Query XML / C# 소스에서 쓰임을 확인 / 이름 추정 = 근거 자료 없이 컬럼 이름과 값으로 추정 - 확인 필요</t>
  </si>
  <si>
    <t>참고</t>
  </si>
  <si>
    <t>참고 1</t>
  </si>
  <si>
    <t>TQC_LOT_STS / TQC_LOT_HIS 는 이 시스템 소스에 적재 코드가 없다 (MES 에서 채우는 것으로 보이며 확인 필요). 두 테이블의 Flow / 공정 / 일자 컬럼 설명은 이름 추정이다.</t>
  </si>
  <si>
    <t>참고 2</t>
  </si>
  <si>
    <t>TQC_LOSS_YIELD_SUM 은 지금 소스에서 적재하지 않는다 (적재 쿼리를 어디서도 쓰지 않아 2026-10-08 Query XML 정리 때 제거). 조회(Prediction Yield Report)만 남아 있다.</t>
  </si>
  <si>
    <t>참고 3</t>
  </si>
  <si>
    <t>TQC_USER 의 SEC_GRP_ID / USER_CMF_2~10 은 MES 사용자 동기화 때만 채워진다. 화면 권한은 TQC_GROUP_USER 기준이다.</t>
  </si>
  <si>
    <t>참고 4</t>
  </si>
  <si>
    <t>TQC_EQUIP / TQC_EQUIP_MODEL / TQC_OPER 의 DB 주석은 한글이 물음표(??)로 저장되어 있어 쓰지 않고 소스 기준으로 적었다.</t>
  </si>
  <si>
    <t>참고 5</t>
  </si>
  <si>
    <t>DB 에 기본 키(PK)가 없는 테이블 7개: TQC_CONFIG, TQC_CONFIG_USER, TQC_GROUP_USER, TQC_LOSS_YIELD_SUM, TQC_MATCH_SUM, TQC_USER, TQC_USER_HITLOG</t>
  </si>
  <si>
    <t>참고 6</t>
  </si>
  <si>
    <t>쓰지 않는 시퀀스 12개(CMP_BALL_SEQ, CMP_SEQ, CONFIRM_SEQ, DATA_SEQ, HIST_SEQ, RECIPE_SEQ, REPEATER_SEQ, REPEAT_SEQ, REPEAT_SPEC_SEQ, RES_RECIPE_SEQ, SIZE_SEQ, SPEC_SEQ)는 시퀀스 시트에서 뺐다.</t>
  </si>
  <si>
    <t>Common 테이블 목록</t>
  </si>
  <si>
    <t>No</t>
  </si>
  <si>
    <t>테이블명</t>
  </si>
  <si>
    <t>테이블 설명</t>
  </si>
  <si>
    <t>기본 키 (PK)</t>
  </si>
  <si>
    <t>사용 기능</t>
  </si>
  <si>
    <t>관련 테이블 (논리)</t>
  </si>
  <si>
    <t>Query XML</t>
  </si>
  <si>
    <t>TQC_CONFIG</t>
  </si>
  <si>
    <t>공통 설정값 (범주 + 이름별 값, FTP 접속 / 화면 옵션 기본값 등)</t>
  </si>
  <si>
    <t>Configuration Common 화면(F02101) / 사용자 설정 기본값 / Defect Map 이미지 FTP(DEFECT_FTP) / AVI FTP / Defect Alarm 메일 설정</t>
  </si>
  <si>
    <t>TQC_CONFIG_USER</t>
  </si>
  <si>
    <t>TQC_CONFIG.xml</t>
  </si>
  <si>
    <t>사용자별 설정값 (TQC_CONFIG 항목을 공장 / 사용자별로 덮어씀, 표시 항목 / 색상 등)</t>
  </si>
  <si>
    <t>Configuration User 화면(F02105) / Defect Map / Map Gallery / Test Map View 표시 옵션</t>
  </si>
  <si>
    <t>TQC_CONFIG_USER.xml</t>
  </si>
  <si>
    <t>TQC_EQUIP</t>
  </si>
  <si>
    <t>설비 기준정보 (Area / 공정 / 모델 / 데이터 수집 Handler / 설비별 옵션 / 현재 상태)</t>
  </si>
  <si>
    <t>FACTORY, EQUIP_ID</t>
  </si>
  <si>
    <t>설비 정의 화면(F02103) / 각 Data Service 의 Handler 생성 / PCM Equip Status(F04202) / PCM Status Service</t>
  </si>
  <si>
    <t>TQC_EQUIP_MODEL, TQC_LOT_STS, TQC_OPER, TQP_WAFER_SUM</t>
  </si>
  <si>
    <t>TQC_EQUIP.xml</t>
  </si>
  <si>
    <t>TQC_EQUIP_MODEL</t>
  </si>
  <si>
    <t>설비 모델 기준정보</t>
  </si>
  <si>
    <t>FACTORY, EQUIP_MODEL</t>
  </si>
  <si>
    <t>설비 모델 정의 화면(F02102) / 설비 정의 화면 모델 선택</t>
  </si>
  <si>
    <t>TQC_EQUIP_MODEL.xml</t>
  </si>
  <si>
    <t>TQC_FUNCTION_LIST</t>
  </si>
  <si>
    <t>화면(기능) 목록 (권한 부여 단위, 메뉴 FUNCTION_CODE 와 같은 코드)</t>
  </si>
  <si>
    <t>FUNC_CODE</t>
  </si>
  <si>
    <t>기능 관리 화면(F01103) / 보안 그룹 관리(F01102) / 사용자 모니터링(F01104)</t>
  </si>
  <si>
    <t>TQC_GROUP_FUNCTION, TQC_USER_HITLOG</t>
  </si>
  <si>
    <t>TQC_FUNCTION_LIST.xml</t>
  </si>
  <si>
    <t>TQC_GROUP_FUNCTION</t>
  </si>
  <si>
    <t>권한 그룹별 허용 화면(기능) 목록</t>
  </si>
  <si>
    <t>SEC_GRP_ID, FUNC_CODE</t>
  </si>
  <si>
    <t>보안 그룹 관리(F01102) / 메뉴 실행 시 권한 체크(UXUtil.AccessCheck)</t>
  </si>
  <si>
    <t>TQC_FUNCTION_LIST, TQC_SECURITY_GROUP</t>
  </si>
  <si>
    <t>TQC_GROUP_FUNCTION.xml</t>
  </si>
  <si>
    <t>TQC_GROUP_USER</t>
  </si>
  <si>
    <t>권한 그룹별 소속 사용자 (사용자 1명이 여러 그룹 가능)</t>
  </si>
  <si>
    <t>사용자 관리(F01101) / 보안 그룹 관리(F01102) / 내 정보 / 메뉴 권한 체크</t>
  </si>
  <si>
    <t>TQC_SECURITY_GROUP, TQC_USER</t>
  </si>
  <si>
    <t>TQC_GROUP_USER.xml</t>
  </si>
  <si>
    <t>TQC_LOSS_YIELD_SUM</t>
  </si>
  <si>
    <t>CP-Defect 매칭 결과 일 집계 (일자 / Device / Test Area / Step 별 Loss Yield)</t>
  </si>
  <si>
    <t>Prediction Yield Report(F06005) 의 최근 30일 Step 별 평균 Loss Yield</t>
  </si>
  <si>
    <t>TQC_MATCH_SUM</t>
  </si>
  <si>
    <t>TQC_LOSS_YIELD_SUM.xml</t>
  </si>
  <si>
    <t>TQC_LOT_HIS</t>
  </si>
  <si>
    <t>MES Lot 공정 진행 이력 (Flow / 공정 / Recipe / 설비)</t>
  </si>
  <si>
    <t>LOT_ID, TRAN_TIME</t>
  </si>
  <si>
    <t>Commonality Study(F06003) / Commonality Lot List (양품 / 불량 Lot 공정 이력 비교)</t>
  </si>
  <si>
    <t>TQC_LOT_HIS.xml</t>
  </si>
  <si>
    <t>TQC_LOT_STS</t>
  </si>
  <si>
    <t>MES Lot 상태 (Lot 별 고객 / Device / Device Alias(MASK_ID) / 투입 일자)</t>
  </si>
  <si>
    <t>LOT_NO</t>
  </si>
  <si>
    <t>CP / AVI Data Service 의 Device 정보 조회 / CP-Defect Die 매칭 / Defect Map Map ID 조회 / PCM Equip Status</t>
  </si>
  <si>
    <t>TQC_EQUIP, TQP_LOT, TQP_MAPDEF</t>
  </si>
  <si>
    <t>TQC_LOT_STS.xml</t>
  </si>
  <si>
    <t>Wafer 별 CP 테스트 결과와 DM Defect 매칭 요약 (Kill Ratio / Loss Yield)</t>
  </si>
  <si>
    <t>CP Data Service 업로드 시 생성(InsertMatchSum) / Prediction Yield Report(F06005)</t>
  </si>
  <si>
    <t>TQC_LOSS_YIELD_SUM, TQD_DEFECT_DIE, TQD_INSP_INFO, TQP_MAPDEF, TQP_WAFER_SUM</t>
  </si>
  <si>
    <t>TQC_NOTICE_BOARD</t>
  </si>
  <si>
    <t>공지사항 (한국어 / 영어 / 중국어 제목과 본문, 게시 기간)</t>
  </si>
  <si>
    <t>NOTICE_SEQ</t>
  </si>
  <si>
    <t>클라이언트 시작 시 오늘 공지 팝업(DACruxMain.CheckNoticePopup)</t>
  </si>
  <si>
    <t>TQC_NOTICE_BOARD.xml</t>
  </si>
  <si>
    <t>TQC_OPER</t>
  </si>
  <si>
    <t>Area / 공정 기준정보</t>
  </si>
  <si>
    <t>FACTORY, AREA, OPER</t>
  </si>
  <si>
    <t>공정 정의 화면(F02104) / 설비 정의 화면의 Area / Oper 선택 목록</t>
  </si>
  <si>
    <t>TQC_OPER.xml</t>
  </si>
  <si>
    <t>TQC_SECURITY_GROUP</t>
  </si>
  <si>
    <t>권한(보안) 그룹 정의</t>
  </si>
  <si>
    <t>SEC_GRP_ID</t>
  </si>
  <si>
    <t>보안 그룹 관리(F01102) / 사용자 관리(F01101) / 내 정보</t>
  </si>
  <si>
    <t>TQC_GROUP_FUNCTION, TQC_GROUP_USER</t>
  </si>
  <si>
    <t>TQC_SECURITY_GROUP.xml</t>
  </si>
  <si>
    <t>TQC_SERVICE_LOG</t>
  </si>
  <si>
    <t>Data Service 처리 로그 (파일별 성공 / 오류 / 경고, 처리 시간)</t>
  </si>
  <si>
    <t>FACTORY, SERVICE_NAME, TRAN_KEY</t>
  </si>
  <si>
    <t>Inspection / Review / CP / PCM / AVI Data Service 기록(USE_TQC_SERVICE_LOG) / Data Service Log 화면(F06002)</t>
  </si>
  <si>
    <t>TQC_SERVICE_LOG.xml</t>
  </si>
  <si>
    <t>TQC_USER</t>
  </si>
  <si>
    <t>사용자 정보 (로그인 ID / 이름 / 암호 / 연락처 / 부서)</t>
  </si>
  <si>
    <t>로그인 / 사용자 관리(F01101) / 내 정보 / 사용자 모니터링(F01104)</t>
  </si>
  <si>
    <t>TQC_GROUP_USER, TQC_USER_HITLOG</t>
  </si>
  <si>
    <t>TQC_USER.xml</t>
  </si>
  <si>
    <t>TQC_USER_HITLOG</t>
  </si>
  <si>
    <t>화면 사용 기록 (사용자 / 화면 / IP / 시작 / 종료 시각)</t>
  </si>
  <si>
    <t>모든 화면 열기 / 닫기 시 기록(DACruxUXBasic01) / 사용자 모니터링(F01104)</t>
  </si>
  <si>
    <t>TQC_FUNCTION_LIST, TQC_USER</t>
  </si>
  <si>
    <t>TQC_USER_HITLOG.xml</t>
  </si>
  <si>
    <t>합계</t>
  </si>
  <si>
    <t>테이블 명세서</t>
  </si>
  <si>
    <t>&lt;- 테이블 목록</t>
  </si>
  <si>
    <t>Common</t>
  </si>
  <si>
    <t>스키마</t>
  </si>
  <si>
    <t>DMSMGR</t>
  </si>
  <si>
    <t>(없음)</t>
  </si>
  <si>
    <t>컬럼명</t>
  </si>
  <si>
    <t>컬럼 설명</t>
  </si>
  <si>
    <t>NULL</t>
  </si>
  <si>
    <t>PK</t>
  </si>
  <si>
    <t>기본값</t>
  </si>
  <si>
    <t>CATEGORY</t>
  </si>
  <si>
    <t>설정 범주 (예: DEFECT_FTP / AVI_FTP / INTERFACE / WAFER_OPTION)</t>
  </si>
  <si>
    <t>VARCHAR2(40)</t>
  </si>
  <si>
    <t>N</t>
  </si>
  <si>
    <t>원본 정의서</t>
  </si>
  <si>
    <t>NAME</t>
  </si>
  <si>
    <t>설정 항목 이름 (범주 안에서 구분)</t>
  </si>
  <si>
    <t>VALUE</t>
  </si>
  <si>
    <t>설정값</t>
  </si>
  <si>
    <t>VARCHAR2(256)</t>
  </si>
  <si>
    <t>TYPE</t>
  </si>
  <si>
    <t>값 유형 (STRING / NUMBER / INTEGER / HEXA)</t>
  </si>
  <si>
    <t>소스</t>
  </si>
  <si>
    <t>COMMENT</t>
  </si>
  <si>
    <t>설정 항목 설명</t>
  </si>
  <si>
    <t>VARCHAR2(128)</t>
  </si>
  <si>
    <t>Y</t>
  </si>
  <si>
    <t>제약 조건</t>
  </si>
  <si>
    <t>구분</t>
  </si>
  <si>
    <t>제약 이름</t>
  </si>
  <si>
    <t>컬럼</t>
  </si>
  <si>
    <t>-</t>
  </si>
  <si>
    <t>인덱스</t>
  </si>
  <si>
    <t>유일</t>
  </si>
  <si>
    <t>인덱스 이름</t>
  </si>
  <si>
    <t>용도</t>
  </si>
  <si>
    <t>FACTORY</t>
  </si>
  <si>
    <t>공장 코드 (로그인 Factory, 예: SCK)</t>
  </si>
  <si>
    <t>설정 범주 (TQC_CONFIG.CATEGORY)</t>
  </si>
  <si>
    <t>설정 항목 이름 (TQC_CONFIG.NAME)</t>
  </si>
  <si>
    <t>사용자 설정값 (있으면 TQC_CONFIG.VALUE 대신 사용)</t>
  </si>
  <si>
    <t>USERID</t>
  </si>
  <si>
    <t>사용자 ID (설정 소유자)</t>
  </si>
  <si>
    <t>ORDERED</t>
  </si>
  <si>
    <t>표시 순서 (선택 항목은 1부터, 순서 없는 항목은 0)</t>
  </si>
  <si>
    <t>NUMBER</t>
  </si>
  <si>
    <t>CREATE_TIME</t>
  </si>
  <si>
    <t>생성 일시</t>
  </si>
  <si>
    <t>DATE</t>
  </si>
  <si>
    <t>CREATE_USER</t>
  </si>
  <si>
    <t>생성 사용자 ID</t>
  </si>
  <si>
    <t>PK_TQC_EQUIP (FACTORY, EQUIP_ID)</t>
  </si>
  <si>
    <t>TQC_EQUIP_MODEL, TQC_OPER</t>
  </si>
  <si>
    <t>EQUIP_ID</t>
  </si>
  <si>
    <t>설비 ID (예: IPS201 / PTT001 / DTA001)</t>
  </si>
  <si>
    <t>HANDLER</t>
  </si>
  <si>
    <t>데이터 수집 Handler 이름 (HandlerInsp / HandlerCp / HandlerPcm_* 등)</t>
  </si>
  <si>
    <t>EQUIP_MODEL</t>
  </si>
  <si>
    <t>설비 모델 (TQC_EQUIP_MODEL.EQUIP_MODEL)</t>
  </si>
  <si>
    <t>AREA</t>
  </si>
  <si>
    <t>공정 Area (DM / TEST / FOI / PVD, TQC_OPER.AREA)</t>
  </si>
  <si>
    <t>OPER</t>
  </si>
  <si>
    <t>공정 (Inspection / Review / PARAMETRIC / MULTIPROBE 등)</t>
  </si>
  <si>
    <t>CREATE_USER_ID</t>
  </si>
  <si>
    <t>VARCHAR2(20)</t>
  </si>
  <si>
    <t>DB 주석</t>
  </si>
  <si>
    <t>UPDATE_USER_ID</t>
  </si>
  <si>
    <t>수정 사용자 ID</t>
  </si>
  <si>
    <t>UPDATE_TIME</t>
  </si>
  <si>
    <t>수정 일시</t>
  </si>
  <si>
    <t>11 ~ 19</t>
  </si>
  <si>
    <t>QTY_1 ~ QTY_9 (9개)</t>
  </si>
  <si>
    <t>수량 예비 필드 1~9 (설비 정의 화면 저장만, 로직 사용 없음)</t>
  </si>
  <si>
    <t>NUMBER(10)</t>
  </si>
  <si>
    <t>이름 추정</t>
  </si>
  <si>
    <t>20 ~ 28</t>
  </si>
  <si>
    <t>EQUIP_GRP_1 ~ EQUIP_GRP_9 (9개)</t>
  </si>
  <si>
    <t>설비 그룹 / 경로 1~9 (1 = DM 원본 파일 추가 복사 경로, 2~9 미사용)</t>
  </si>
  <si>
    <t>VARCHAR2(500)</t>
  </si>
  <si>
    <t>29 ~ 37</t>
  </si>
  <si>
    <t>EQUIP_STS_1 ~ EQUIP_STS_9 (9개)</t>
  </si>
  <si>
    <t>PCM 설비 상태 (1 상태, 2 상태시각, 3 Lot, 4 Wafer, 5 P-Card, 6 작업자, 7 PGM, 8 WAFER_SEQ, 9 파싱완료)</t>
  </si>
  <si>
    <t>VARCHAR2(50)</t>
  </si>
  <si>
    <t>38 ~ 46</t>
  </si>
  <si>
    <t>EQUIP_CMF_1 ~ EQUIP_CMF_9 (9개)</t>
  </si>
  <si>
    <t>설비 옵션 (1 회전각 / Map 보정 / Probe 수 증가, 2 Review 폴더, 3~6 Cluster / New Defect 기준, 7 LotEnd Review)</t>
  </si>
  <si>
    <t>PK_TQC_EQUIP</t>
  </si>
  <si>
    <t>기본 키</t>
  </si>
  <si>
    <t>UNIQUE</t>
  </si>
  <si>
    <t>PK_TQC_EQUIP_MODEL (FACTORY, EQUIP_MODEL)</t>
  </si>
  <si>
    <t>설비 모델 이름 (예: KLA2139 / IP750)</t>
  </si>
  <si>
    <t>EQUIP_MODEL_DESC</t>
  </si>
  <si>
    <t>설비 모델 설명</t>
  </si>
  <si>
    <t>VARCHAR2(200)</t>
  </si>
  <si>
    <t>4 ~ 13</t>
  </si>
  <si>
    <t>CMF_FIELD01 ~ CMF_FIELD10 (10개)</t>
  </si>
  <si>
    <t>사용자 정의 필드 1~10 (화면 저장만, 로직 사용 없음)</t>
  </si>
  <si>
    <t>PK_TQC_EQUIP_MODEL</t>
  </si>
  <si>
    <t>PK_TQC_FUNCTION_LIST (FUNC_CODE)</t>
  </si>
  <si>
    <t>화면(기능) 코드 (메뉴 FUNCTION_CODE, 예: F01101)</t>
  </si>
  <si>
    <t>FUNC_NAME</t>
  </si>
  <si>
    <t>화면(기능) 이름</t>
  </si>
  <si>
    <t>VARCHAR2(80)</t>
  </si>
  <si>
    <t>HELP_URL</t>
  </si>
  <si>
    <t>도움말 주소 (기능 관리 화면에서 입력)</t>
  </si>
  <si>
    <t>PK_TQC_FUNCTION_LIST</t>
  </si>
  <si>
    <t>PK_TQC_GROUP_FUNCTION (SEC_GRP_ID, FUNC_CODE)</t>
  </si>
  <si>
    <t>권한 그룹 ID (TQC_SECURITY_GROUP.SEC_GRP_ID)</t>
  </si>
  <si>
    <t>VARCHAR2(10)</t>
  </si>
  <si>
    <t>허용 화면(기능) 코드 (TQC_FUNCTION_LIST.FUNC_CODE)</t>
  </si>
  <si>
    <t>PK_TQC_GROUP_FUNCTION</t>
  </si>
  <si>
    <t>USER_ID</t>
  </si>
  <si>
    <t>사용자 ID (TQC_USER.USER_ID)</t>
  </si>
  <si>
    <t>YEAR</t>
  </si>
  <si>
    <t>연도 (yyyy)</t>
  </si>
  <si>
    <t>VARCHAR2(4)</t>
  </si>
  <si>
    <t>MONTH</t>
  </si>
  <si>
    <t>월 (MM)</t>
  </si>
  <si>
    <t>VARCHAR2(2)</t>
  </si>
  <si>
    <t>DAY</t>
  </si>
  <si>
    <t>일 (dd)</t>
  </si>
  <si>
    <t>WEEK</t>
  </si>
  <si>
    <t>연중 주차 (Oracle WW, 01~53)</t>
  </si>
  <si>
    <t>TRAN_DAY</t>
  </si>
  <si>
    <t>집계 일자 (yyyyMMdd, TQC_MATCH_SUM.TRAN_DAY)</t>
  </si>
  <si>
    <t>VARCHAR2(8)</t>
  </si>
  <si>
    <t>CUSTOMER</t>
  </si>
  <si>
    <t>고객사</t>
  </si>
  <si>
    <t>DEVICE_ALIAS</t>
  </si>
  <si>
    <t>Device Alias (Map ID, 예: CX26)</t>
  </si>
  <si>
    <t>PRODUCT</t>
  </si>
  <si>
    <t>제품(Device) 코드</t>
  </si>
  <si>
    <t>TESTAREA</t>
  </si>
  <si>
    <t>Test Area (MULTIPROBE / POSTLASER 등)</t>
  </si>
  <si>
    <t>PROGRAM</t>
  </si>
  <si>
    <t>테스트 프로그램</t>
  </si>
  <si>
    <t>TESTER</t>
  </si>
  <si>
    <t>테스터 ID</t>
  </si>
  <si>
    <t>PROBE_CARD</t>
  </si>
  <si>
    <t>Probe Card ID</t>
  </si>
  <si>
    <t>STEP_ID</t>
  </si>
  <si>
    <t>DM 검사 Step(Layer) ID</t>
  </si>
  <si>
    <t>INSPECTION_EQ</t>
  </si>
  <si>
    <t>DM 검사 설비 ID</t>
  </si>
  <si>
    <t>TESTED_DIE</t>
  </si>
  <si>
    <t>테스트 Die 수 합계</t>
  </si>
  <si>
    <t>DEFECTIVE_DIE</t>
  </si>
  <si>
    <t>DM Defect 가 있는 Die 수 합계</t>
  </si>
  <si>
    <t>BAD_DIE_CNT</t>
  </si>
  <si>
    <t>Defect Die 중 CP 불량 Die 수 합계</t>
  </si>
  <si>
    <t>KILL_RATIO</t>
  </si>
  <si>
    <t>Kill Ratio % (BAD_DIE_CNT / DEFECTIVE_DIE x 100)</t>
  </si>
  <si>
    <t>NETDIE</t>
  </si>
  <si>
    <t>Net Die 수 합계</t>
  </si>
  <si>
    <t>GOOD_CNT</t>
  </si>
  <si>
    <t>CP 양품 Die 수 합계</t>
  </si>
  <si>
    <t>BAD_CNT</t>
  </si>
  <si>
    <t>CP 불량 Die 수 합계</t>
  </si>
  <si>
    <t>LOSS_YIELD</t>
  </si>
  <si>
    <t>Loss Yield % (BAD_CNT / NETDIE x 100)</t>
  </si>
  <si>
    <t>IDX_TQC_LOSS_YIELD_SUM_01</t>
  </si>
  <si>
    <t>TRAN_DAY, TESTAREA, DEVICE_ALIAS</t>
  </si>
  <si>
    <t>TQC_LOT_HIS_PK (LOT_ID, TRAN_TIME)</t>
  </si>
  <si>
    <t>공장 코드 (예: SCK)</t>
  </si>
  <si>
    <t>LOT_ID</t>
  </si>
  <si>
    <t>Lot ID</t>
  </si>
  <si>
    <t>VARCHAR2(25)</t>
  </si>
  <si>
    <t>LOT_TYPE</t>
  </si>
  <si>
    <t>Lot 유형 (PROD / ENPR / TEST)</t>
  </si>
  <si>
    <t>TRAN_TIME</t>
  </si>
  <si>
    <t>이력 발생 일시 (yyyyMMddHHmmss 문자열)</t>
  </si>
  <si>
    <t>VARCHAR2(14)</t>
  </si>
  <si>
    <t>RECIPE</t>
  </si>
  <si>
    <t>Recipe (Commonality 비교 항목)</t>
  </si>
  <si>
    <t>FLOW</t>
  </si>
  <si>
    <t>Flow 코드 (Commonality 비교 항목)</t>
  </si>
  <si>
    <t>FLOW_DESC</t>
  </si>
  <si>
    <t>Flow 설명</t>
  </si>
  <si>
    <t>VARCHAR2(30)</t>
  </si>
  <si>
    <t>FLOW_NO</t>
  </si>
  <si>
    <t>Flow 구분 (예: Metal)</t>
  </si>
  <si>
    <t>공정 코드 (Commonality 비교 항목)</t>
  </si>
  <si>
    <t>OPER_DESC</t>
  </si>
  <si>
    <t>공정 설명</t>
  </si>
  <si>
    <t>OPER_LONG_DESC</t>
  </si>
  <si>
    <t>공정 상세 설명</t>
  </si>
  <si>
    <t>FLOW_OPER_SEQ</t>
  </si>
  <si>
    <t>Flow 안 공정 순번</t>
  </si>
  <si>
    <t>NUMBER(6)</t>
  </si>
  <si>
    <t>FLOW_AREA</t>
  </si>
  <si>
    <t>공정 Area (예: PHOTO / T/F / C/C)</t>
  </si>
  <si>
    <t>RES_ID</t>
  </si>
  <si>
    <t>진행 설비 ID (Commonality 비교 항목)</t>
  </si>
  <si>
    <t>RES_MODEL</t>
  </si>
  <si>
    <t>진행 설비 모델 (Commonality 비교 항목)</t>
  </si>
  <si>
    <t>RES_AREA</t>
  </si>
  <si>
    <t>설비 Area (예: CVD / METRO)</t>
  </si>
  <si>
    <t>TQC_LOT_HIS_PK</t>
  </si>
  <si>
    <t>IDX_TQC_LOT_HIS_01</t>
  </si>
  <si>
    <t>IDX_TQC_LOT_HIS_02</t>
  </si>
  <si>
    <t>TQC_LOT_STS_PK (LOT_NO)</t>
  </si>
  <si>
    <t>FACILITY</t>
  </si>
  <si>
    <t>공장 코드 (FACTORY 와 같은 의미, 예: SCK)</t>
  </si>
  <si>
    <t>설계 문서</t>
  </si>
  <si>
    <t>Lot 번호 (앞 6자리로 조회 후 7자리 / 6자리 순으로 일치 확인)</t>
  </si>
  <si>
    <t>QTY</t>
  </si>
  <si>
    <t>Lot 수량 (Wafer 매수)</t>
  </si>
  <si>
    <t>CREATE_CODE</t>
  </si>
  <si>
    <t>Lot 생성 코드 (예: NL / RL)</t>
  </si>
  <si>
    <t>고객사 (TQP_LOT_SUM / TQP_WAFER_SUM.CUSTOMER 갱신에 사용)</t>
  </si>
  <si>
    <t>PROCESS</t>
  </si>
  <si>
    <t>공정(기술) 코드</t>
  </si>
  <si>
    <t>MAT_ID</t>
  </si>
  <si>
    <t>제품(Device) 코드 (예: D113IP11A01U)</t>
  </si>
  <si>
    <t>MASK_ID</t>
  </si>
  <si>
    <t>Device Alias (Map ID, 4자리, TQP_MAPDEF.MAPID)</t>
  </si>
  <si>
    <t>TQP_MAPDEF</t>
  </si>
  <si>
    <t>현재 Flow</t>
  </si>
  <si>
    <t>현재 Flow 설명</t>
  </si>
  <si>
    <t>현재 공정</t>
  </si>
  <si>
    <t>현재 공정 상세 설명</t>
  </si>
  <si>
    <t>INPUT_DATE</t>
  </si>
  <si>
    <t>Lot 투입 일시</t>
  </si>
  <si>
    <t>FAB_DATE</t>
  </si>
  <si>
    <t>Fab 완료 일시</t>
  </si>
  <si>
    <t>SHIP_DATE</t>
  </si>
  <si>
    <t>출하 일시</t>
  </si>
  <si>
    <t>16 ~ 20</t>
  </si>
  <si>
    <t>CMF_1 ~ CMF_5 (5개)</t>
  </si>
  <si>
    <t>사용자 정의 필드 1~5</t>
  </si>
  <si>
    <t>TQC_LOT_STS_PK</t>
  </si>
  <si>
    <t>IDX_TQC_LOT_STS_01</t>
  </si>
  <si>
    <t>SYS_NC00021$</t>
  </si>
  <si>
    <t>테스트 종료 연도 (yyyy)</t>
  </si>
  <si>
    <t>테스트 종료 월 (MM)</t>
  </si>
  <si>
    <t>테스트 종료 일 (dd)</t>
  </si>
  <si>
    <t>테스트 종료 일자 (yyyyMMdd)</t>
  </si>
  <si>
    <t>WAFER_SEQ</t>
  </si>
  <si>
    <t>CP 테스트 Wafer 순번 (TQP_WAFER_SUM.WAFER_SEQ)</t>
  </si>
  <si>
    <t>TQP_WAFER_SUM, TQD_DEFECT_DIE</t>
  </si>
  <si>
    <t>STEP_SEQ</t>
  </si>
  <si>
    <t>매칭된 DM 검사 Step 순번 (TQD_INSP_INFO.STEP_SEQ)</t>
  </si>
  <si>
    <t>TQD_INSP_INFO, TQD_DEFECT_DIE</t>
  </si>
  <si>
    <t>WAFER_ID</t>
  </si>
  <si>
    <t>Wafer ID</t>
  </si>
  <si>
    <t>TEST_TRAN_TIME</t>
  </si>
  <si>
    <t>테스트 종료 일시 (TQP_WAFER_SUM.END_TIME)</t>
  </si>
  <si>
    <t>테스트 Die 수</t>
  </si>
  <si>
    <t>DM Defect 가 있는 Die 수</t>
  </si>
  <si>
    <t>Defect Die 중 CP 불량 Die 수 (Bin 정의 HIGH_GEC = N, 없으면 Bin 1 아님)</t>
  </si>
  <si>
    <t>Net Die 수 (TQP_MAPDEF.NETDIE)</t>
  </si>
  <si>
    <t>CP 양품 Die 수 (TESTED_DIE x Yield / 100)</t>
  </si>
  <si>
    <t>CP 불량 Die 수 (TESTED_DIE - GOOD_CNT)</t>
  </si>
  <si>
    <t>IDX_TQC_MATCH_SUM_01</t>
  </si>
  <si>
    <t>IDX_TQC_MATCH_SUM_02</t>
  </si>
  <si>
    <t>SYS_C008108 (NOTICE_SEQ)</t>
  </si>
  <si>
    <t>공지 번호 (시퀀스 NOTICE_SEQ)</t>
  </si>
  <si>
    <t>USE_FLAG</t>
  </si>
  <si>
    <t>사용 여부 Y / N (기본 Y, Y 만 팝업)</t>
  </si>
  <si>
    <t>CHAR(1)</t>
  </si>
  <si>
    <t>'Y'</t>
  </si>
  <si>
    <t>TITLE_KOR</t>
  </si>
  <si>
    <t>제목 (한국어)</t>
  </si>
  <si>
    <t>TITLE_ENG</t>
  </si>
  <si>
    <t>제목 (영어)</t>
  </si>
  <si>
    <t>TITLE_CHN</t>
  </si>
  <si>
    <t>제목 (중국어)</t>
  </si>
  <si>
    <t>BODY_KOR</t>
  </si>
  <si>
    <t>본문 (한국어)</t>
  </si>
  <si>
    <t>VARCHAR2(4000)</t>
  </si>
  <si>
    <t>BODY_ENG</t>
  </si>
  <si>
    <t>본문 (영어)</t>
  </si>
  <si>
    <t>BODY_CHN</t>
  </si>
  <si>
    <t>본문 (중국어)</t>
  </si>
  <si>
    <t>NOTICE_START</t>
  </si>
  <si>
    <t>게시 시작 일시</t>
  </si>
  <si>
    <t>NOTICE_END</t>
  </si>
  <si>
    <t>게시 종료 일시 (현재 시각이 기간 안이면 팝업)</t>
  </si>
  <si>
    <t>SYS_C008108</t>
  </si>
  <si>
    <t>PK_TQC_OPER (FACTORY, AREA, OPER)</t>
  </si>
  <si>
    <t>공정 Area (DM / TEST / FOI / PVD)</t>
  </si>
  <si>
    <t>공정 (Inspection / Review / PARAMETRIC / MULTIPROBE / AVI 등)</t>
  </si>
  <si>
    <t>5 ~ 14</t>
  </si>
  <si>
    <t>PK_TQC_OPER</t>
  </si>
  <si>
    <t>PK_TQC_SECURITY_GROUP (SEC_GRP_ID)</t>
  </si>
  <si>
    <t>권한 그룹 ID (예: G001, 신규는 최대값 다음 번호)</t>
  </si>
  <si>
    <t>SEC_GRP_DESC</t>
  </si>
  <si>
    <t>권한 그룹 이름 (예: SYSTEM_ADMIN / DEFAULT)</t>
  </si>
  <si>
    <t>REMARK</t>
  </si>
  <si>
    <t>그룹 설명 (예: 기본 그룹)</t>
  </si>
  <si>
    <t>VARCHAR2(300)</t>
  </si>
  <si>
    <t>PK_TQC_SECURITY_GROUP</t>
  </si>
  <si>
    <t>TQC_SERVICE_LOG_PK (FACTORY, SERVICE_NAME, TRAN_KEY)</t>
  </si>
  <si>
    <t>공장 코드 (서비스 설정 Factory, 예: SCK)</t>
  </si>
  <si>
    <t>(' ')</t>
  </si>
  <si>
    <t>SERVICE_NAME</t>
  </si>
  <si>
    <t>Data Service 이름 (CP.DataService / Inspection.DataService 등)</t>
  </si>
  <si>
    <t>TRAN_KEY</t>
  </si>
  <si>
    <t>기록 시각 키 (yyyyMMddHHmmssffffff)</t>
  </si>
  <si>
    <t>SERVER_NAME</t>
  </si>
  <si>
    <t>서비스 실행 서버 이름 (Machine Name)</t>
  </si>
  <si>
    <t>ACTION</t>
  </si>
  <si>
    <t>처리 결과 (SERVICE_START / SERVICE_STOP / SUCCESS / ERROR / WARNING)</t>
  </si>
  <si>
    <t>FILE_NAME</t>
  </si>
  <si>
    <t>처리한 파일 경로</t>
  </si>
  <si>
    <t>설비 ID</t>
  </si>
  <si>
    <t>Wafer ID (여러 개면 묶어서 기록)</t>
  </si>
  <si>
    <t>처리 Handler 이름 (예: HandlerInsp)</t>
  </si>
  <si>
    <t>EXECUTE_TIME</t>
  </si>
  <si>
    <t>처리 시간 (ms)</t>
  </si>
  <si>
    <t>MESSAGE</t>
  </si>
  <si>
    <t>메시지 (오류 메시지 등)</t>
  </si>
  <si>
    <t>DETAIL_MSG</t>
  </si>
  <si>
    <t>상세 메시지 (오류 Stack Trace / 시작 설정 정보)</t>
  </si>
  <si>
    <t>VARCHAR2(3000)</t>
  </si>
  <si>
    <t>TQC_SERVICE_LOG_PK</t>
  </si>
  <si>
    <t>사용자 ID (로그인 ID, 대문자)</t>
  </si>
  <si>
    <t>USER_NAME</t>
  </si>
  <si>
    <t>사용자 이름</t>
  </si>
  <si>
    <t>PASSWORD</t>
  </si>
  <si>
    <t>로그인 암호 (DES 암호화 후 Base64 문자열)</t>
  </si>
  <si>
    <t>USER_CMF_1 ~ USER_CMF_10 (10개)</t>
  </si>
  <si>
    <t>사용자 정의 필드 1~10 (1 = 부서, MES 동기화 시 USER_GRP_1~10)</t>
  </si>
  <si>
    <t>대표 권한 그룹 ID (MES 동기화 때만 설정, 권한은 TQC_GROUP_USER 기준)</t>
  </si>
  <si>
    <t>PHONE_OFFICE</t>
  </si>
  <si>
    <t>회사 전화번호</t>
  </si>
  <si>
    <t>PHONE_MOBILE</t>
  </si>
  <si>
    <t>휴대 전화번호</t>
  </si>
  <si>
    <t>PHONE_HOME</t>
  </si>
  <si>
    <t>집 전화번호</t>
  </si>
  <si>
    <t>PHONE_OTHER</t>
  </si>
  <si>
    <t>기타 전화번호</t>
  </si>
  <si>
    <t>EMAIL_ID</t>
  </si>
  <si>
    <t>이메일 주소</t>
  </si>
  <si>
    <t>20 ~ 29</t>
  </si>
  <si>
    <t>USER_FLAG_1 ~ USER_FLAG_10 (10개)</t>
  </si>
  <si>
    <t>사용자 플래그 1~10 (예비, 소스 사용처 없음)</t>
  </si>
  <si>
    <t>화면(기능) 코드 (메뉴 FUNCTION_CODE, 없으면 'FUN:' + 화면 제목)</t>
  </si>
  <si>
    <t>사용자 ID</t>
  </si>
  <si>
    <t>IP_ADDRESS</t>
  </si>
  <si>
    <t>사용자 PC IP 주소</t>
  </si>
  <si>
    <t>START_TIME</t>
  </si>
  <si>
    <t>화면 사용 시작 시각 (화면 열 때 SYSTIMESTAMP)</t>
  </si>
  <si>
    <t>TIMESTAMP(6)</t>
  </si>
  <si>
    <t>END_TIME</t>
  </si>
  <si>
    <t>화면 사용 종료 시각 (화면 닫을 때, 미기록 시 NULL)</t>
  </si>
  <si>
    <t>PARAMETER</t>
  </si>
  <si>
    <t>화면 실행 매개 변수 (현재 빈 값으로 기록)</t>
  </si>
  <si>
    <t>비고 (현재 기록하지 않음)</t>
  </si>
  <si>
    <t>테이블 관계 (논리)</t>
  </si>
  <si>
    <t>이 영역의 테이블에는 DB FK 가 없다. Query XML / 소스의 조인 조건으로 확인한 관계만 적는다. [다른 영역] = 부모 또는 자식이 이 명세서 밖의 테이블.</t>
  </si>
  <si>
    <t>자식 테이블</t>
  </si>
  <si>
    <t>자식 컬럼</t>
  </si>
  <si>
    <t>부모 테이블</t>
  </si>
  <si>
    <t>부모 컬럼</t>
  </si>
  <si>
    <t>근거 / 비고</t>
  </si>
  <si>
    <t>CATEGORY, NAME</t>
  </si>
  <si>
    <t>사용자 설정이 없으면 공통값 사용 (TQC_CONFIG_USER.xml SELECT_CONFIG_USER_01 / _04 외부 조인)</t>
  </si>
  <si>
    <t>그룹 소속 사용자 이름 조회 (TQC_GROUP_USER.xml LOADJOINUSERNAME / SEARCHGROUPUSER)</t>
  </si>
  <si>
    <t>사용자의 권한 그룹 (TQC_GROUP_USER.xml LOADJOINALLGROUP / TQC_SECURITY_GROUP.xml GETUSERGROUP)</t>
  </si>
  <si>
    <t>그룹별 허용 화면 (TQC_FUNCTION_LIST.xml LOADGROUPFUNCTION, 그룹 삭제 시 DELETEGROUPALLFUNCTION 후 DELETEGROUP, 권한 체크는 TQC_GROUP_USER.xml CHECKFUNCTION 에서 TQC_GROUP_USER 와 SEC_GRP_ID 조인)</t>
  </si>
  <si>
    <t>허용 화면 이름 조회 (TQC_FUNCTION_LIST.xml LOADGROUPFUNCTION / LOADOUTFUNCTION, 기능 삭제 시 DELETEGROUPFUNCTION)</t>
  </si>
  <si>
    <t>화면별 사용 통계 (TQC_USER_HITLOG.xml HitRateByFunction / HitLogDetail)</t>
  </si>
  <si>
    <t>사용자 / 부서별 사용 통계 (TQC_USER_HITLOG.xml HitRateByFunction / HitRateByDepartment)</t>
  </si>
  <si>
    <t>Area / Oper 별 설비 모델 목록 (TQC_EQUIP_MODEL.xml SELECT_EQUIP_MODEL_03)</t>
  </si>
  <si>
    <t>설비 정의 화면이 Area / Oper 선택값을 TQC_OPER.xml SELECT_AREA_01 / SELECT_OPER_01 에서 가져옴 (XML JOIN 은 없음)</t>
  </si>
  <si>
    <t>EQUIP_STS_3</t>
  </si>
  <si>
    <t>PCM 설비 현재 Lot 의 Device 조회 (TQC_EQUIP.xml SELECT_PCM_EQUIP_STATUS 외부 조인)</t>
  </si>
  <si>
    <t>EQUIP_STS_8</t>
  </si>
  <si>
    <t>TQP_WAFER_SUM</t>
  </si>
  <si>
    <t>[다른 영역] PCM 최종 파싱 Wafer (TQC_EQUIP.xml SELECT_PCM_EQUIP_STATUS, TO_CHAR(WAFER_SEQ) 외부 조인)</t>
  </si>
  <si>
    <t>MAPID</t>
  </si>
  <si>
    <t>[다른 영역] Lot 의 Wafer Map 정의 (TQD_DEFECT_DIE.xml INSERT_DATA)</t>
  </si>
  <si>
    <t>TQP_LOT</t>
  </si>
  <si>
    <t>[다른 영역] CP-Defect Die 매칭 시 Lot 상태 조회 (TQD_DEFECT_DIE.xml INSERT_DATA, 소스는 앞 6 / 7자리로도 찾음)</t>
  </si>
  <si>
    <t>[다른 영역] CP 테스트 Wafer 요약 (TQC_LOSS_YIELD_SUM.xml INSERT_TQC_MATCH_SUM / DELETE_TQC_MATCH_SUM)</t>
  </si>
  <si>
    <t>TQD_INSP_INFO</t>
  </si>
  <si>
    <t>[다른 영역] 매칭된 DM 검사 Step (TQC_LOSS_YIELD_SUM.xml INSERT_TQC_MATCH_SUM)</t>
  </si>
  <si>
    <t>WAFER_SEQ, STEP_SEQ</t>
  </si>
  <si>
    <t>TQD_DEFECT_DIE</t>
  </si>
  <si>
    <t>TEST_WAFER_SEQ, DM_STEP_SEQ</t>
  </si>
  <si>
    <t>[다른 영역] 매칭 Die 집계 원본 (TQC_LOSS_YIELD_SUM.xml INSERT_TQC_MATCH_SUM)</t>
  </si>
  <si>
    <t>[다른 영역] Net Die 기준 Map (TQC_LOSS_YIELD_SUM.xml INSERT_TQC_MATCH_SUM)</t>
  </si>
  <si>
    <t>TRAN_DAY, CUSTOMER, DEVICE_ALIAS, PRODUCT, TESTAREA, PROGRAM, TESTER, PROBE_CARD, STEP_ID, INSPECTION_EQ</t>
  </si>
  <si>
    <t>일 집계 원본 (INSERT_TQC_LOSS_YIELD_SUM, 호출처가 없어 2026-10-08 XML 에서 제거됨)</t>
  </si>
  <si>
    <t>사용 Query XML</t>
  </si>
  <si>
    <t>시작</t>
  </si>
  <si>
    <t>증가</t>
  </si>
  <si>
    <t>CACHE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</si>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</sst>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&quot;개&quot;"/>
    <numFmt numFmtId="177" formatCode="0&quot;행  - DB 컬럼 주석&quot;"/>
    <numFmt numFmtId="178" formatCode="0&quot;행  - 같은 제품을 쓴 다른 프로젝트의 테이블 정의서 (컬럼이 같은 것만)&quot;"/>
    <numFmt numFmtId="179" formatCode="0&quot;행  - 이 프로젝트 설계 문서 (문서/설계)&quot;"/>
    <numFmt numFmtId="180" formatCode="0&quot;행  - Query XML / C# 소스에서 쓰임을 확인&quot;"/>
    <numFmt numFmtId="181" formatCode="0&quot;행  - 근거 자료 없이 컬럼 이름과 값으로 추정 - 확인 필요&quot;"/>
  </numFmts>
  <fonts count="9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179" fontId="4" fillId="0" borderId="1" xfId="0" applyNumberFormat="1" applyFont="1" applyBorder="1" applyAlignment="1">
      <alignment horizontal="left" vertical="center"/>
    </xf>
    <xf numFmtId="180" fontId="4" fillId="0" borderId="1" xfId="0" applyNumberFormat="1" applyFont="1" applyBorder="1" applyAlignment="1">
      <alignment horizontal="left" vertical="center"/>
    </xf>
    <xf numFmtId="181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40"/>
  <sheetViews>
    <sheetView showGridLines="0" tabSelected="1" workbookViewId="0"/>
  </sheetViews>
  <sheetFormatPr defaultRowHeight="17" x14ac:dyDescent="0.45"/>
  <cols>
    <col min="1" max="1" width="4" customWidth="1"/>
    <col min="2" max="2" width="22" customWidth="1"/>
    <col min="3" max="3" width="90" customWidth="1"/>
  </cols>
  <sheetData>
    <row r="2" spans="2:3" ht="32" customHeight="1" x14ac:dyDescent="0.45">
      <c r="B2" s="20" t="s">
        <v>0</v>
      </c>
      <c r="C2" s="21"/>
    </row>
    <row r="4" spans="2:3" x14ac:dyDescent="0.45">
      <c r="B4" s="1" t="s">
        <v>1</v>
      </c>
      <c r="C4" s="2" t="s">
        <v>2</v>
      </c>
    </row>
    <row r="5" spans="2:3" ht="32" x14ac:dyDescent="0.45">
      <c r="B5" s="1" t="s">
        <v>3</v>
      </c>
      <c r="C5" s="2" t="s">
        <v>4</v>
      </c>
    </row>
    <row r="6" spans="2:3" x14ac:dyDescent="0.45">
      <c r="B6" s="1" t="s">
        <v>5</v>
      </c>
      <c r="C6" s="2" t="s">
        <v>6</v>
      </c>
    </row>
    <row r="7" spans="2:3" x14ac:dyDescent="0.45">
      <c r="B7" s="1" t="s">
        <v>7</v>
      </c>
      <c r="C7" s="2" t="s">
        <v>8</v>
      </c>
    </row>
    <row r="8" spans="2:3" ht="32" x14ac:dyDescent="0.45">
      <c r="B8" s="1" t="s">
        <v>9</v>
      </c>
      <c r="C8" s="2" t="s">
        <v>10</v>
      </c>
    </row>
    <row r="9" spans="2:3" x14ac:dyDescent="0.45">
      <c r="B9" s="1" t="s">
        <v>11</v>
      </c>
      <c r="C9" s="2" t="s">
        <v>12</v>
      </c>
    </row>
    <row r="10" spans="2:3" x14ac:dyDescent="0.45">
      <c r="B10" s="1" t="s">
        <v>13</v>
      </c>
      <c r="C10" s="2" t="s">
        <v>14</v>
      </c>
    </row>
    <row r="12" spans="2:3" x14ac:dyDescent="0.45">
      <c r="B12" s="3" t="s">
        <v>15</v>
      </c>
      <c r="C12" s="3" t="s">
        <v>16</v>
      </c>
    </row>
    <row r="13" spans="2:3" x14ac:dyDescent="0.45">
      <c r="B13" s="4" t="s">
        <v>17</v>
      </c>
      <c r="C13" s="5">
        <f>COUNTA('테이블 목록'!B4:B20)</f>
        <v>17</v>
      </c>
    </row>
    <row r="14" spans="2:3" x14ac:dyDescent="0.45">
      <c r="B14" s="4" t="s">
        <v>18</v>
      </c>
      <c r="C14" s="5">
        <f>'테이블 목록'!E21</f>
        <v>254</v>
      </c>
    </row>
    <row r="15" spans="2:3" x14ac:dyDescent="0.45">
      <c r="B15" s="4" t="s">
        <v>19</v>
      </c>
      <c r="C15" s="6">
        <f>'테이블 목록'!I21</f>
        <v>12</v>
      </c>
    </row>
    <row r="16" spans="2:3" x14ac:dyDescent="0.45">
      <c r="B16" s="4" t="s">
        <v>20</v>
      </c>
      <c r="C16" s="7">
        <f>'테이블 목록'!J21</f>
        <v>16</v>
      </c>
    </row>
    <row r="17" spans="2:3" x14ac:dyDescent="0.45">
      <c r="B17" s="4" t="s">
        <v>21</v>
      </c>
      <c r="C17" s="8">
        <f>'테이블 목록'!K21</f>
        <v>1</v>
      </c>
    </row>
    <row r="18" spans="2:3" x14ac:dyDescent="0.45">
      <c r="B18" s="4" t="s">
        <v>22</v>
      </c>
      <c r="C18" s="9">
        <f>'테이블 목록'!L21</f>
        <v>132</v>
      </c>
    </row>
    <row r="19" spans="2:3" x14ac:dyDescent="0.45">
      <c r="B19" s="4" t="s">
        <v>23</v>
      </c>
      <c r="C19" s="10">
        <f>'테이블 목록'!M21</f>
        <v>21</v>
      </c>
    </row>
    <row r="21" spans="2:3" x14ac:dyDescent="0.45">
      <c r="B21" s="3" t="s">
        <v>24</v>
      </c>
      <c r="C21" s="3" t="s">
        <v>25</v>
      </c>
    </row>
    <row r="22" spans="2:3" x14ac:dyDescent="0.45">
      <c r="B22" s="11" t="s">
        <v>26</v>
      </c>
      <c r="C22" s="2" t="s">
        <v>27</v>
      </c>
    </row>
    <row r="23" spans="2:3" x14ac:dyDescent="0.45">
      <c r="B23" s="4" t="s">
        <v>28</v>
      </c>
      <c r="C23" s="2" t="s">
        <v>29</v>
      </c>
    </row>
    <row r="24" spans="2:3" x14ac:dyDescent="0.45">
      <c r="B24" s="11" t="s">
        <v>30</v>
      </c>
      <c r="C24" s="2" t="s">
        <v>31</v>
      </c>
    </row>
    <row r="25" spans="2:3" x14ac:dyDescent="0.45">
      <c r="B25" s="11" t="s">
        <v>32</v>
      </c>
      <c r="C25" s="2" t="s">
        <v>33</v>
      </c>
    </row>
    <row r="27" spans="2:3" x14ac:dyDescent="0.45">
      <c r="B27" s="3" t="s">
        <v>34</v>
      </c>
      <c r="C27" s="3" t="s">
        <v>35</v>
      </c>
    </row>
    <row r="28" spans="2:3" x14ac:dyDescent="0.45">
      <c r="B28" s="4" t="s">
        <v>36</v>
      </c>
      <c r="C28" s="2" t="s">
        <v>37</v>
      </c>
    </row>
    <row r="29" spans="2:3" x14ac:dyDescent="0.45">
      <c r="B29" s="4" t="s">
        <v>38</v>
      </c>
      <c r="C29" s="2" t="s">
        <v>39</v>
      </c>
    </row>
    <row r="30" spans="2:3" x14ac:dyDescent="0.45">
      <c r="B30" s="4" t="s">
        <v>40</v>
      </c>
      <c r="C30" s="2" t="s">
        <v>41</v>
      </c>
    </row>
    <row r="31" spans="2:3" x14ac:dyDescent="0.45">
      <c r="B31" s="4" t="s">
        <v>42</v>
      </c>
      <c r="C31" s="2" t="s">
        <v>43</v>
      </c>
    </row>
    <row r="32" spans="2:3" ht="48" x14ac:dyDescent="0.45">
      <c r="B32" s="4" t="s">
        <v>44</v>
      </c>
      <c r="C32" s="2" t="s">
        <v>45</v>
      </c>
    </row>
    <row r="34" spans="2:3" x14ac:dyDescent="0.45">
      <c r="B34" s="3" t="s">
        <v>46</v>
      </c>
      <c r="C34" s="3" t="s">
        <v>25</v>
      </c>
    </row>
    <row r="35" spans="2:3" ht="32" x14ac:dyDescent="0.45">
      <c r="B35" s="4" t="s">
        <v>47</v>
      </c>
      <c r="C35" s="2" t="s">
        <v>48</v>
      </c>
    </row>
    <row r="36" spans="2:3" ht="32" x14ac:dyDescent="0.45">
      <c r="B36" s="4" t="s">
        <v>49</v>
      </c>
      <c r="C36" s="2" t="s">
        <v>50</v>
      </c>
    </row>
    <row r="37" spans="2:3" ht="32" x14ac:dyDescent="0.45">
      <c r="B37" s="4" t="s">
        <v>51</v>
      </c>
      <c r="C37" s="2" t="s">
        <v>52</v>
      </c>
    </row>
    <row r="38" spans="2:3" ht="32" x14ac:dyDescent="0.45">
      <c r="B38" s="4" t="s">
        <v>53</v>
      </c>
      <c r="C38" s="2" t="s">
        <v>54</v>
      </c>
    </row>
    <row r="39" spans="2:3" ht="32" x14ac:dyDescent="0.45">
      <c r="B39" s="4" t="s">
        <v>55</v>
      </c>
      <c r="C39" s="2" t="s">
        <v>56</v>
      </c>
    </row>
    <row r="40" spans="2:3" ht="32" x14ac:dyDescent="0.45">
      <c r="B40" s="4" t="s">
        <v>57</v>
      </c>
      <c r="C40" s="2" t="s">
        <v>58</v>
      </c>
    </row>
  </sheetData>
  <mergeCells count="1">
    <mergeCell ref="B2:C2"/>
  </mergeCells>
  <phoneticPr fontId="8" type="noConversion"/>
  <hyperlinks>
    <hyperlink ref="B22" location="'테이블 목록'!A1" display="테이블 목록"/>
    <hyperlink ref="B24" location="'관계(논리)'!A1" display="관계(논리)"/>
    <hyperlink ref="B25" location="'시퀀스'!A1" display="시퀀스"/>
  </hyperlinks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5" customWidth="1"/>
    <col min="2" max="2" width="24" customWidth="1"/>
    <col min="3" max="3" width="50" customWidth="1"/>
    <col min="4" max="4" width="30" customWidth="1"/>
    <col min="5" max="5" width="8" customWidth="1"/>
    <col min="6" max="6" width="36" customWidth="1"/>
    <col min="7" max="7" width="30" customWidth="1"/>
    <col min="8" max="8" width="24" customWidth="1"/>
    <col min="9" max="13" width="9" customWidth="1"/>
  </cols>
  <sheetData>
    <row r="1" spans="1:13" ht="26" customHeight="1" x14ac:dyDescent="0.45">
      <c r="A1" s="22" t="s">
        <v>59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1:13" ht="32" x14ac:dyDescent="0.45">
      <c r="A3" s="3" t="s">
        <v>60</v>
      </c>
      <c r="B3" s="3" t="s">
        <v>61</v>
      </c>
      <c r="C3" s="3" t="s">
        <v>62</v>
      </c>
      <c r="D3" s="3" t="s">
        <v>63</v>
      </c>
      <c r="E3" s="3" t="s">
        <v>18</v>
      </c>
      <c r="F3" s="3" t="s">
        <v>64</v>
      </c>
      <c r="G3" s="3" t="s">
        <v>65</v>
      </c>
      <c r="H3" s="3" t="s">
        <v>66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</row>
    <row r="4" spans="1:13" ht="64" x14ac:dyDescent="0.45">
      <c r="A4" s="12">
        <v>1</v>
      </c>
      <c r="B4" s="13" t="s">
        <v>67</v>
      </c>
      <c r="C4" s="2" t="s">
        <v>68</v>
      </c>
      <c r="D4" s="2"/>
      <c r="E4" s="12">
        <f>TQC_CONFIG!E5</f>
        <v>5</v>
      </c>
      <c r="F4" s="2" t="s">
        <v>69</v>
      </c>
      <c r="G4" s="2" t="s">
        <v>70</v>
      </c>
      <c r="H4" s="2" t="s">
        <v>71</v>
      </c>
      <c r="I4" s="12">
        <f>COUNTIF(TQC_CONFIG!I9:I13,"DB 주석")</f>
        <v>0</v>
      </c>
      <c r="J4" s="12">
        <f>COUNTIF(TQC_CONFIG!I9:I13,"원본 정의서")</f>
        <v>3</v>
      </c>
      <c r="K4" s="12">
        <f>COUNTIF(TQC_CONFIG!I9:I13,"설계 문서")</f>
        <v>0</v>
      </c>
      <c r="L4" s="12">
        <f>COUNTIF(TQC_CONFIG!I9:I13,"소스")</f>
        <v>2</v>
      </c>
      <c r="M4" s="12">
        <f>COUNTIF(TQC_CONFIG!I9:I13,"이름 추정")</f>
        <v>0</v>
      </c>
    </row>
    <row r="5" spans="1:13" ht="32" x14ac:dyDescent="0.45">
      <c r="A5" s="12">
        <v>2</v>
      </c>
      <c r="B5" s="13" t="s">
        <v>70</v>
      </c>
      <c r="C5" s="2" t="s">
        <v>72</v>
      </c>
      <c r="D5" s="2"/>
      <c r="E5" s="12">
        <f>TQC_CONFIG_USER!E5</f>
        <v>10</v>
      </c>
      <c r="F5" s="2" t="s">
        <v>73</v>
      </c>
      <c r="G5" s="2" t="s">
        <v>67</v>
      </c>
      <c r="H5" s="2" t="s">
        <v>74</v>
      </c>
      <c r="I5" s="12">
        <f>COUNTIF(TQC_CONFIG_USER!I9:I18,"DB 주석")</f>
        <v>0</v>
      </c>
      <c r="J5" s="12">
        <f>COUNTIF(TQC_CONFIG_USER!I9:I18,"원본 정의서")</f>
        <v>0</v>
      </c>
      <c r="K5" s="12">
        <f>COUNTIF(TQC_CONFIG_USER!I9:I18,"설계 문서")</f>
        <v>0</v>
      </c>
      <c r="L5" s="12">
        <f>COUNTIF(TQC_CONFIG_USER!I9:I18,"소스")</f>
        <v>10</v>
      </c>
      <c r="M5" s="12">
        <f>COUNTIF(TQC_CONFIG_USER!I9:I18,"이름 추정")</f>
        <v>0</v>
      </c>
    </row>
    <row r="6" spans="1:13" ht="48" x14ac:dyDescent="0.45">
      <c r="A6" s="12">
        <v>3</v>
      </c>
      <c r="B6" s="13" t="s">
        <v>75</v>
      </c>
      <c r="C6" s="2" t="s">
        <v>76</v>
      </c>
      <c r="D6" s="2" t="s">
        <v>77</v>
      </c>
      <c r="E6" s="12">
        <f>TQC_EQUIP!E5</f>
        <v>46</v>
      </c>
      <c r="F6" s="2" t="s">
        <v>78</v>
      </c>
      <c r="G6" s="2" t="s">
        <v>79</v>
      </c>
      <c r="H6" s="2" t="s">
        <v>80</v>
      </c>
      <c r="I6" s="12">
        <f>COUNTIF(TQC_EQUIP!I9:I22,"DB 주석")</f>
        <v>4</v>
      </c>
      <c r="J6" s="12">
        <f>COUNTIF(TQC_EQUIP!I9:I22,"원본 정의서")</f>
        <v>0</v>
      </c>
      <c r="K6" s="12">
        <f>COUNTIF(TQC_EQUIP!I9:I22,"설계 문서")</f>
        <v>0</v>
      </c>
      <c r="L6" s="12">
        <f>COUNTIF(TQC_EQUIP!I9:I22,"소스")</f>
        <v>9</v>
      </c>
      <c r="M6" s="12">
        <f>COUNTIF(TQC_EQUIP!I9:I22,"이름 추정")</f>
        <v>1</v>
      </c>
    </row>
    <row r="7" spans="1:13" ht="32" x14ac:dyDescent="0.45">
      <c r="A7" s="12">
        <v>4</v>
      </c>
      <c r="B7" s="13" t="s">
        <v>81</v>
      </c>
      <c r="C7" s="2" t="s">
        <v>82</v>
      </c>
      <c r="D7" s="2" t="s">
        <v>83</v>
      </c>
      <c r="E7" s="12">
        <f>TQC_EQUIP_MODEL!E5</f>
        <v>17</v>
      </c>
      <c r="F7" s="2" t="s">
        <v>84</v>
      </c>
      <c r="G7" s="2" t="s">
        <v>75</v>
      </c>
      <c r="H7" s="2" t="s">
        <v>85</v>
      </c>
      <c r="I7" s="12">
        <f>COUNTIF(TQC_EQUIP_MODEL!I9:I16,"DB 주석")</f>
        <v>4</v>
      </c>
      <c r="J7" s="12">
        <f>COUNTIF(TQC_EQUIP_MODEL!I9:I16,"원본 정의서")</f>
        <v>0</v>
      </c>
      <c r="K7" s="12">
        <f>COUNTIF(TQC_EQUIP_MODEL!I9:I16,"설계 문서")</f>
        <v>0</v>
      </c>
      <c r="L7" s="12">
        <f>COUNTIF(TQC_EQUIP_MODEL!I9:I16,"소스")</f>
        <v>4</v>
      </c>
      <c r="M7" s="12">
        <f>COUNTIF(TQC_EQUIP_MODEL!I9:I16,"이름 추정")</f>
        <v>0</v>
      </c>
    </row>
    <row r="8" spans="1:13" ht="32" x14ac:dyDescent="0.45">
      <c r="A8" s="12">
        <v>5</v>
      </c>
      <c r="B8" s="13" t="s">
        <v>86</v>
      </c>
      <c r="C8" s="2" t="s">
        <v>87</v>
      </c>
      <c r="D8" s="2" t="s">
        <v>88</v>
      </c>
      <c r="E8" s="12">
        <f>TQC_FUNCTION_LIST!E5</f>
        <v>3</v>
      </c>
      <c r="F8" s="2" t="s">
        <v>89</v>
      </c>
      <c r="G8" s="2" t="s">
        <v>90</v>
      </c>
      <c r="H8" s="2" t="s">
        <v>91</v>
      </c>
      <c r="I8" s="12">
        <f>COUNTIF(TQC_FUNCTION_LIST!I9:I11,"DB 주석")</f>
        <v>0</v>
      </c>
      <c r="J8" s="12">
        <f>COUNTIF(TQC_FUNCTION_LIST!I9:I11,"원본 정의서")</f>
        <v>3</v>
      </c>
      <c r="K8" s="12">
        <f>COUNTIF(TQC_FUNCTION_LIST!I9:I11,"설계 문서")</f>
        <v>0</v>
      </c>
      <c r="L8" s="12">
        <f>COUNTIF(TQC_FUNCTION_LIST!I9:I11,"소스")</f>
        <v>0</v>
      </c>
      <c r="M8" s="12">
        <f>COUNTIF(TQC_FUNCTION_LIST!I9:I11,"이름 추정")</f>
        <v>0</v>
      </c>
    </row>
    <row r="9" spans="1:13" ht="32" x14ac:dyDescent="0.45">
      <c r="A9" s="12">
        <v>6</v>
      </c>
      <c r="B9" s="13" t="s">
        <v>92</v>
      </c>
      <c r="C9" s="2" t="s">
        <v>93</v>
      </c>
      <c r="D9" s="2" t="s">
        <v>94</v>
      </c>
      <c r="E9" s="12">
        <f>TQC_GROUP_FUNCTION!E5</f>
        <v>2</v>
      </c>
      <c r="F9" s="2" t="s">
        <v>95</v>
      </c>
      <c r="G9" s="2" t="s">
        <v>96</v>
      </c>
      <c r="H9" s="2" t="s">
        <v>97</v>
      </c>
      <c r="I9" s="12">
        <f>COUNTIF(TQC_GROUP_FUNCTION!I9:I10,"DB 주석")</f>
        <v>0</v>
      </c>
      <c r="J9" s="12">
        <f>COUNTIF(TQC_GROUP_FUNCTION!I9:I10,"원본 정의서")</f>
        <v>2</v>
      </c>
      <c r="K9" s="12">
        <f>COUNTIF(TQC_GROUP_FUNCTION!I9:I10,"설계 문서")</f>
        <v>0</v>
      </c>
      <c r="L9" s="12">
        <f>COUNTIF(TQC_GROUP_FUNCTION!I9:I10,"소스")</f>
        <v>0</v>
      </c>
      <c r="M9" s="12">
        <f>COUNTIF(TQC_GROUP_FUNCTION!I9:I10,"이름 추정")</f>
        <v>0</v>
      </c>
    </row>
    <row r="10" spans="1:13" ht="32" x14ac:dyDescent="0.45">
      <c r="A10" s="12">
        <v>7</v>
      </c>
      <c r="B10" s="13" t="s">
        <v>98</v>
      </c>
      <c r="C10" s="2" t="s">
        <v>99</v>
      </c>
      <c r="D10" s="2"/>
      <c r="E10" s="12">
        <f>TQC_GROUP_USER!E5</f>
        <v>2</v>
      </c>
      <c r="F10" s="2" t="s">
        <v>100</v>
      </c>
      <c r="G10" s="2" t="s">
        <v>101</v>
      </c>
      <c r="H10" s="2" t="s">
        <v>102</v>
      </c>
      <c r="I10" s="12">
        <f>COUNTIF(TQC_GROUP_USER!I9:I10,"DB 주석")</f>
        <v>0</v>
      </c>
      <c r="J10" s="12">
        <f>COUNTIF(TQC_GROUP_USER!I9:I10,"원본 정의서")</f>
        <v>2</v>
      </c>
      <c r="K10" s="12">
        <f>COUNTIF(TQC_GROUP_USER!I9:I10,"설계 문서")</f>
        <v>0</v>
      </c>
      <c r="L10" s="12">
        <f>COUNTIF(TQC_GROUP_USER!I9:I10,"소스")</f>
        <v>0</v>
      </c>
      <c r="M10" s="12">
        <f>COUNTIF(TQC_GROUP_USER!I9:I10,"이름 추정")</f>
        <v>0</v>
      </c>
    </row>
    <row r="11" spans="1:13" ht="32" x14ac:dyDescent="0.45">
      <c r="A11" s="12">
        <v>8</v>
      </c>
      <c r="B11" s="13" t="s">
        <v>103</v>
      </c>
      <c r="C11" s="2" t="s">
        <v>104</v>
      </c>
      <c r="D11" s="2"/>
      <c r="E11" s="12">
        <f>TQC_LOSS_YIELD_SUM!E5</f>
        <v>22</v>
      </c>
      <c r="F11" s="2" t="s">
        <v>105</v>
      </c>
      <c r="G11" s="2" t="s">
        <v>106</v>
      </c>
      <c r="H11" s="2" t="s">
        <v>107</v>
      </c>
      <c r="I11" s="12">
        <f>COUNTIF(TQC_LOSS_YIELD_SUM!I9:I30,"DB 주석")</f>
        <v>0</v>
      </c>
      <c r="J11" s="12">
        <f>COUNTIF(TQC_LOSS_YIELD_SUM!I9:I30,"원본 정의서")</f>
        <v>0</v>
      </c>
      <c r="K11" s="12">
        <f>COUNTIF(TQC_LOSS_YIELD_SUM!I9:I30,"설계 문서")</f>
        <v>0</v>
      </c>
      <c r="L11" s="12">
        <f>COUNTIF(TQC_LOSS_YIELD_SUM!I9:I30,"소스")</f>
        <v>22</v>
      </c>
      <c r="M11" s="12">
        <f>COUNTIF(TQC_LOSS_YIELD_SUM!I9:I30,"이름 추정")</f>
        <v>0</v>
      </c>
    </row>
    <row r="12" spans="1:13" ht="32" x14ac:dyDescent="0.45">
      <c r="A12" s="12">
        <v>9</v>
      </c>
      <c r="B12" s="13" t="s">
        <v>108</v>
      </c>
      <c r="C12" s="2" t="s">
        <v>109</v>
      </c>
      <c r="D12" s="2" t="s">
        <v>110</v>
      </c>
      <c r="E12" s="12">
        <f>TQC_LOT_HIS!E5</f>
        <v>16</v>
      </c>
      <c r="F12" s="2" t="s">
        <v>111</v>
      </c>
      <c r="G12" s="2"/>
      <c r="H12" s="2" t="s">
        <v>112</v>
      </c>
      <c r="I12" s="12">
        <f>COUNTIF(TQC_LOT_HIS!I9:I24,"DB 주석")</f>
        <v>0</v>
      </c>
      <c r="J12" s="12">
        <f>COUNTIF(TQC_LOT_HIS!I9:I24,"원본 정의서")</f>
        <v>0</v>
      </c>
      <c r="K12" s="12">
        <f>COUNTIF(TQC_LOT_HIS!I9:I24,"설계 문서")</f>
        <v>0</v>
      </c>
      <c r="L12" s="12">
        <f>COUNTIF(TQC_LOT_HIS!I9:I24,"소스")</f>
        <v>8</v>
      </c>
      <c r="M12" s="12">
        <f>COUNTIF(TQC_LOT_HIS!I9:I24,"이름 추정")</f>
        <v>8</v>
      </c>
    </row>
    <row r="13" spans="1:13" ht="48" x14ac:dyDescent="0.45">
      <c r="A13" s="12">
        <v>10</v>
      </c>
      <c r="B13" s="13" t="s">
        <v>113</v>
      </c>
      <c r="C13" s="2" t="s">
        <v>114</v>
      </c>
      <c r="D13" s="2" t="s">
        <v>115</v>
      </c>
      <c r="E13" s="12">
        <f>TQC_LOT_STS!E5</f>
        <v>20</v>
      </c>
      <c r="F13" s="2" t="s">
        <v>116</v>
      </c>
      <c r="G13" s="2" t="s">
        <v>117</v>
      </c>
      <c r="H13" s="2" t="s">
        <v>118</v>
      </c>
      <c r="I13" s="12">
        <f>COUNTIF(TQC_LOT_STS!I9:I24,"DB 주석")</f>
        <v>0</v>
      </c>
      <c r="J13" s="12">
        <f>COUNTIF(TQC_LOT_STS!I9:I24,"원본 정의서")</f>
        <v>0</v>
      </c>
      <c r="K13" s="12">
        <f>COUNTIF(TQC_LOT_STS!I9:I24,"설계 문서")</f>
        <v>1</v>
      </c>
      <c r="L13" s="12">
        <f>COUNTIF(TQC_LOT_STS!I9:I24,"소스")</f>
        <v>4</v>
      </c>
      <c r="M13" s="12">
        <f>COUNTIF(TQC_LOT_STS!I9:I24,"이름 추정")</f>
        <v>11</v>
      </c>
    </row>
    <row r="14" spans="1:13" ht="48" x14ac:dyDescent="0.45">
      <c r="A14" s="12">
        <v>11</v>
      </c>
      <c r="B14" s="13" t="s">
        <v>106</v>
      </c>
      <c r="C14" s="2" t="s">
        <v>119</v>
      </c>
      <c r="D14" s="2"/>
      <c r="E14" s="12">
        <f>TQC_MATCH_SUM!E5</f>
        <v>27</v>
      </c>
      <c r="F14" s="2" t="s">
        <v>120</v>
      </c>
      <c r="G14" s="2" t="s">
        <v>121</v>
      </c>
      <c r="H14" s="2"/>
      <c r="I14" s="12">
        <f>COUNTIF(TQC_MATCH_SUM!I9:I35,"DB 주석")</f>
        <v>0</v>
      </c>
      <c r="J14" s="12">
        <f>COUNTIF(TQC_MATCH_SUM!I9:I35,"원본 정의서")</f>
        <v>0</v>
      </c>
      <c r="K14" s="12">
        <f>COUNTIF(TQC_MATCH_SUM!I9:I35,"설계 문서")</f>
        <v>0</v>
      </c>
      <c r="L14" s="12">
        <f>COUNTIF(TQC_MATCH_SUM!I9:I35,"소스")</f>
        <v>27</v>
      </c>
      <c r="M14" s="12">
        <f>COUNTIF(TQC_MATCH_SUM!I9:I35,"이름 추정")</f>
        <v>0</v>
      </c>
    </row>
    <row r="15" spans="1:13" ht="32" x14ac:dyDescent="0.45">
      <c r="A15" s="12">
        <v>12</v>
      </c>
      <c r="B15" s="13" t="s">
        <v>122</v>
      </c>
      <c r="C15" s="2" t="s">
        <v>123</v>
      </c>
      <c r="D15" s="2" t="s">
        <v>124</v>
      </c>
      <c r="E15" s="12">
        <f>TQC_NOTICE_BOARD!E5</f>
        <v>14</v>
      </c>
      <c r="F15" s="2" t="s">
        <v>125</v>
      </c>
      <c r="G15" s="2"/>
      <c r="H15" s="2" t="s">
        <v>126</v>
      </c>
      <c r="I15" s="12">
        <f>COUNTIF(TQC_NOTICE_BOARD!I9:I22,"DB 주석")</f>
        <v>0</v>
      </c>
      <c r="J15" s="12">
        <f>COUNTIF(TQC_NOTICE_BOARD!I9:I22,"원본 정의서")</f>
        <v>0</v>
      </c>
      <c r="K15" s="12">
        <f>COUNTIF(TQC_NOTICE_BOARD!I9:I22,"설계 문서")</f>
        <v>0</v>
      </c>
      <c r="L15" s="12">
        <f>COUNTIF(TQC_NOTICE_BOARD!I9:I22,"소스")</f>
        <v>14</v>
      </c>
      <c r="M15" s="12">
        <f>COUNTIF(TQC_NOTICE_BOARD!I9:I22,"이름 추정")</f>
        <v>0</v>
      </c>
    </row>
    <row r="16" spans="1:13" ht="32" x14ac:dyDescent="0.45">
      <c r="A16" s="12">
        <v>13</v>
      </c>
      <c r="B16" s="13" t="s">
        <v>127</v>
      </c>
      <c r="C16" s="2" t="s">
        <v>128</v>
      </c>
      <c r="D16" s="2" t="s">
        <v>129</v>
      </c>
      <c r="E16" s="12">
        <f>TQC_OPER!E5</f>
        <v>18</v>
      </c>
      <c r="F16" s="2" t="s">
        <v>130</v>
      </c>
      <c r="G16" s="2" t="s">
        <v>75</v>
      </c>
      <c r="H16" s="2" t="s">
        <v>131</v>
      </c>
      <c r="I16" s="12">
        <f>COUNTIF(TQC_OPER!I9:I17,"DB 주석")</f>
        <v>4</v>
      </c>
      <c r="J16" s="12">
        <f>COUNTIF(TQC_OPER!I9:I17,"원본 정의서")</f>
        <v>0</v>
      </c>
      <c r="K16" s="12">
        <f>COUNTIF(TQC_OPER!I9:I17,"설계 문서")</f>
        <v>0</v>
      </c>
      <c r="L16" s="12">
        <f>COUNTIF(TQC_OPER!I9:I17,"소스")</f>
        <v>5</v>
      </c>
      <c r="M16" s="12">
        <f>COUNTIF(TQC_OPER!I9:I17,"이름 추정")</f>
        <v>0</v>
      </c>
    </row>
    <row r="17" spans="1:13" ht="32" x14ac:dyDescent="0.45">
      <c r="A17" s="12">
        <v>14</v>
      </c>
      <c r="B17" s="13" t="s">
        <v>132</v>
      </c>
      <c r="C17" s="2" t="s">
        <v>133</v>
      </c>
      <c r="D17" s="2" t="s">
        <v>134</v>
      </c>
      <c r="E17" s="12">
        <f>TQC_SECURITY_GROUP!E5</f>
        <v>3</v>
      </c>
      <c r="F17" s="2" t="s">
        <v>135</v>
      </c>
      <c r="G17" s="2" t="s">
        <v>136</v>
      </c>
      <c r="H17" s="2" t="s">
        <v>137</v>
      </c>
      <c r="I17" s="12">
        <f>COUNTIF(TQC_SECURITY_GROUP!I9:I11,"DB 주석")</f>
        <v>0</v>
      </c>
      <c r="J17" s="12">
        <f>COUNTIF(TQC_SECURITY_GROUP!I9:I11,"원본 정의서")</f>
        <v>0</v>
      </c>
      <c r="K17" s="12">
        <f>COUNTIF(TQC_SECURITY_GROUP!I9:I11,"설계 문서")</f>
        <v>0</v>
      </c>
      <c r="L17" s="12">
        <f>COUNTIF(TQC_SECURITY_GROUP!I9:I11,"소스")</f>
        <v>3</v>
      </c>
      <c r="M17" s="12">
        <f>COUNTIF(TQC_SECURITY_GROUP!I9:I11,"이름 추정")</f>
        <v>0</v>
      </c>
    </row>
    <row r="18" spans="1:13" ht="48" x14ac:dyDescent="0.45">
      <c r="A18" s="12">
        <v>15</v>
      </c>
      <c r="B18" s="13" t="s">
        <v>138</v>
      </c>
      <c r="C18" s="2" t="s">
        <v>139</v>
      </c>
      <c r="D18" s="2" t="s">
        <v>140</v>
      </c>
      <c r="E18" s="12">
        <f>TQC_SERVICE_LOG!E5</f>
        <v>13</v>
      </c>
      <c r="F18" s="2" t="s">
        <v>141</v>
      </c>
      <c r="G18" s="2"/>
      <c r="H18" s="2" t="s">
        <v>142</v>
      </c>
      <c r="I18" s="12">
        <f>COUNTIF(TQC_SERVICE_LOG!I9:I21,"DB 주석")</f>
        <v>0</v>
      </c>
      <c r="J18" s="12">
        <f>COUNTIF(TQC_SERVICE_LOG!I9:I21,"원본 정의서")</f>
        <v>0</v>
      </c>
      <c r="K18" s="12">
        <f>COUNTIF(TQC_SERVICE_LOG!I9:I21,"설계 문서")</f>
        <v>0</v>
      </c>
      <c r="L18" s="12">
        <f>COUNTIF(TQC_SERVICE_LOG!I9:I21,"소스")</f>
        <v>13</v>
      </c>
      <c r="M18" s="12">
        <f>COUNTIF(TQC_SERVICE_LOG!I9:I21,"이름 추정")</f>
        <v>0</v>
      </c>
    </row>
    <row r="19" spans="1:13" ht="32" x14ac:dyDescent="0.45">
      <c r="A19" s="12">
        <v>16</v>
      </c>
      <c r="B19" s="13" t="s">
        <v>143</v>
      </c>
      <c r="C19" s="2" t="s">
        <v>144</v>
      </c>
      <c r="D19" s="2"/>
      <c r="E19" s="12">
        <f>TQC_USER!E5</f>
        <v>29</v>
      </c>
      <c r="F19" s="2" t="s">
        <v>145</v>
      </c>
      <c r="G19" s="2" t="s">
        <v>146</v>
      </c>
      <c r="H19" s="2" t="s">
        <v>147</v>
      </c>
      <c r="I19" s="12">
        <f>COUNTIF(TQC_USER!I9:I19,"DB 주석")</f>
        <v>0</v>
      </c>
      <c r="J19" s="12">
        <f>COUNTIF(TQC_USER!I9:I19,"원본 정의서")</f>
        <v>4</v>
      </c>
      <c r="K19" s="12">
        <f>COUNTIF(TQC_USER!I9:I19,"설계 문서")</f>
        <v>0</v>
      </c>
      <c r="L19" s="12">
        <f>COUNTIF(TQC_USER!I9:I19,"소스")</f>
        <v>6</v>
      </c>
      <c r="M19" s="12">
        <f>COUNTIF(TQC_USER!I9:I19,"이름 추정")</f>
        <v>1</v>
      </c>
    </row>
    <row r="20" spans="1:13" ht="32" x14ac:dyDescent="0.45">
      <c r="A20" s="12">
        <v>17</v>
      </c>
      <c r="B20" s="13" t="s">
        <v>148</v>
      </c>
      <c r="C20" s="2" t="s">
        <v>149</v>
      </c>
      <c r="D20" s="2"/>
      <c r="E20" s="12">
        <f>TQC_USER_HITLOG!E5</f>
        <v>7</v>
      </c>
      <c r="F20" s="2" t="s">
        <v>150</v>
      </c>
      <c r="G20" s="2" t="s">
        <v>151</v>
      </c>
      <c r="H20" s="2" t="s">
        <v>152</v>
      </c>
      <c r="I20" s="12">
        <f>COUNTIF(TQC_USER_HITLOG!I9:I15,"DB 주석")</f>
        <v>0</v>
      </c>
      <c r="J20" s="12">
        <f>COUNTIF(TQC_USER_HITLOG!I9:I15,"원본 정의서")</f>
        <v>2</v>
      </c>
      <c r="K20" s="12">
        <f>COUNTIF(TQC_USER_HITLOG!I9:I15,"설계 문서")</f>
        <v>0</v>
      </c>
      <c r="L20" s="12">
        <f>COUNTIF(TQC_USER_HITLOG!I9:I15,"소스")</f>
        <v>5</v>
      </c>
      <c r="M20" s="12">
        <f>COUNTIF(TQC_USER_HITLOG!I9:I15,"이름 추정")</f>
        <v>0</v>
      </c>
    </row>
    <row r="21" spans="1:13" x14ac:dyDescent="0.45">
      <c r="D21" s="14" t="s">
        <v>153</v>
      </c>
      <c r="E21" s="14">
        <f>SUM(E4:E20)</f>
        <v>254</v>
      </c>
      <c r="I21" s="14">
        <f>SUM(I4:I20)</f>
        <v>12</v>
      </c>
      <c r="J21" s="14">
        <f>SUM(J4:J20)</f>
        <v>16</v>
      </c>
      <c r="K21" s="14">
        <f>SUM(K4:K20)</f>
        <v>1</v>
      </c>
      <c r="L21" s="14">
        <f>SUM(L4:L20)</f>
        <v>132</v>
      </c>
      <c r="M21" s="14">
        <f>SUM(M4:M20)</f>
        <v>21</v>
      </c>
    </row>
  </sheetData>
  <mergeCells count="1">
    <mergeCell ref="A1:M1"/>
  </mergeCells>
  <phoneticPr fontId="8" type="noConversion"/>
  <hyperlinks>
    <hyperlink ref="B4" location="'TQC_CONFIG'!A1" display="TQC_CONFIG"/>
    <hyperlink ref="B5" location="'TQC_CONFIG_USER'!A1" display="TQC_CONFIG_USER"/>
    <hyperlink ref="B6" location="'TQC_EQUIP'!A1" display="TQC_EQUIP"/>
    <hyperlink ref="B7" location="'TQC_EQUIP_MODEL'!A1" display="TQC_EQUIP_MODEL"/>
    <hyperlink ref="B8" location="'TQC_FUNCTION_LIST'!A1" display="TQC_FUNCTION_LIST"/>
    <hyperlink ref="B9" location="'TQC_GROUP_FUNCTION'!A1" display="TQC_GROUP_FUNCTION"/>
    <hyperlink ref="B10" location="'TQC_GROUP_USER'!A1" display="TQC_GROUP_USER"/>
    <hyperlink ref="B11" location="'TQC_LOSS_YIELD_SUM'!A1" display="TQC_LOSS_YIELD_SUM"/>
    <hyperlink ref="B12" location="'TQC_LOT_HIS'!A1" display="TQC_LOT_HIS"/>
    <hyperlink ref="B13" location="'TQC_LOT_STS'!A1" display="TQC_LOT_STS"/>
    <hyperlink ref="B14" location="'TQC_MATCH_SUM'!A1" display="TQC_MATCH_SUM"/>
    <hyperlink ref="B15" location="'TQC_NOTICE_BOARD'!A1" display="TQC_NOTICE_BOARD"/>
    <hyperlink ref="B16" location="'TQC_OPER'!A1" display="TQC_OPER"/>
    <hyperlink ref="B17" location="'TQC_SECURITY_GROUP'!A1" display="TQC_SECURITY_GROUP"/>
    <hyperlink ref="B18" location="'TQC_SERVICE_LOG'!A1" display="TQC_SERVICE_LOG"/>
    <hyperlink ref="B19" location="'TQC_USER'!A1" display="TQC_USER"/>
    <hyperlink ref="B20" location="'TQC_USER_HITLOG'!A1" display="TQC_USER_HITLOG"/>
  </hyperlinks>
  <printOptions horizontalCentered="1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67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68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SUM(J9:J13)</f>
        <v>5</v>
      </c>
      <c r="F5" s="24"/>
      <c r="G5" s="1" t="s">
        <v>66</v>
      </c>
      <c r="H5" s="25" t="s">
        <v>71</v>
      </c>
      <c r="I5" s="24"/>
    </row>
    <row r="6" spans="1:10" ht="18" customHeight="1" x14ac:dyDescent="0.45">
      <c r="A6" s="29" t="s">
        <v>64</v>
      </c>
      <c r="B6" s="24"/>
      <c r="C6" s="25" t="s">
        <v>69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165</v>
      </c>
      <c r="C9" s="2" t="s">
        <v>166</v>
      </c>
      <c r="D9" s="2" t="s">
        <v>167</v>
      </c>
      <c r="E9" s="12" t="s">
        <v>168</v>
      </c>
      <c r="F9" s="12"/>
      <c r="G9" s="2"/>
      <c r="H9" s="2"/>
      <c r="I9" s="12" t="s">
        <v>169</v>
      </c>
      <c r="J9" s="2">
        <v>1</v>
      </c>
    </row>
    <row r="10" spans="1:10" x14ac:dyDescent="0.45">
      <c r="A10" s="12">
        <v>2</v>
      </c>
      <c r="B10" s="2" t="s">
        <v>170</v>
      </c>
      <c r="C10" s="2" t="s">
        <v>171</v>
      </c>
      <c r="D10" s="2" t="s">
        <v>167</v>
      </c>
      <c r="E10" s="12" t="s">
        <v>168</v>
      </c>
      <c r="F10" s="12"/>
      <c r="G10" s="2"/>
      <c r="H10" s="2"/>
      <c r="I10" s="12" t="s">
        <v>169</v>
      </c>
      <c r="J10" s="2">
        <v>1</v>
      </c>
    </row>
    <row r="11" spans="1:10" x14ac:dyDescent="0.45">
      <c r="A11" s="12">
        <v>3</v>
      </c>
      <c r="B11" s="2" t="s">
        <v>172</v>
      </c>
      <c r="C11" s="2" t="s">
        <v>173</v>
      </c>
      <c r="D11" s="2" t="s">
        <v>174</v>
      </c>
      <c r="E11" s="12" t="s">
        <v>168</v>
      </c>
      <c r="F11" s="12"/>
      <c r="G11" s="2"/>
      <c r="H11" s="2"/>
      <c r="I11" s="12" t="s">
        <v>169</v>
      </c>
      <c r="J11" s="2">
        <v>1</v>
      </c>
    </row>
    <row r="12" spans="1:10" x14ac:dyDescent="0.45">
      <c r="A12" s="12">
        <v>4</v>
      </c>
      <c r="B12" s="2" t="s">
        <v>175</v>
      </c>
      <c r="C12" s="2" t="s">
        <v>176</v>
      </c>
      <c r="D12" s="2" t="s">
        <v>167</v>
      </c>
      <c r="E12" s="12" t="s">
        <v>168</v>
      </c>
      <c r="F12" s="12"/>
      <c r="G12" s="2"/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178</v>
      </c>
      <c r="C13" s="2" t="s">
        <v>179</v>
      </c>
      <c r="D13" s="2" t="s">
        <v>180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5" spans="1:10" x14ac:dyDescent="0.45">
      <c r="A15" s="30" t="s">
        <v>182</v>
      </c>
      <c r="B15" s="24"/>
      <c r="C15" s="24"/>
      <c r="D15" s="24"/>
      <c r="E15" s="24"/>
      <c r="F15" s="24"/>
      <c r="G15" s="24"/>
      <c r="H15" s="24"/>
      <c r="I15" s="24"/>
    </row>
    <row r="16" spans="1:10" x14ac:dyDescent="0.45">
      <c r="A16" s="3" t="s">
        <v>60</v>
      </c>
      <c r="B16" s="3" t="s">
        <v>183</v>
      </c>
      <c r="C16" s="3" t="s">
        <v>184</v>
      </c>
      <c r="D16" s="28" t="s">
        <v>185</v>
      </c>
      <c r="E16" s="26"/>
      <c r="F16" s="27"/>
      <c r="G16" s="28" t="s">
        <v>25</v>
      </c>
      <c r="H16" s="26"/>
      <c r="I16" s="27"/>
    </row>
    <row r="17" spans="1:9" x14ac:dyDescent="0.45">
      <c r="A17" s="12" t="s">
        <v>186</v>
      </c>
      <c r="B17" s="12" t="s">
        <v>186</v>
      </c>
      <c r="C17" s="2" t="s">
        <v>159</v>
      </c>
      <c r="D17" s="25"/>
      <c r="E17" s="26"/>
      <c r="F17" s="27"/>
      <c r="G17" s="25"/>
      <c r="H17" s="26"/>
      <c r="I17" s="27"/>
    </row>
    <row r="19" spans="1:9" x14ac:dyDescent="0.45">
      <c r="A19" s="30" t="s">
        <v>187</v>
      </c>
      <c r="B19" s="24"/>
      <c r="C19" s="24"/>
      <c r="D19" s="24"/>
      <c r="E19" s="24"/>
      <c r="F19" s="24"/>
      <c r="G19" s="24"/>
      <c r="H19" s="24"/>
      <c r="I19" s="24"/>
    </row>
    <row r="20" spans="1:9" x14ac:dyDescent="0.45">
      <c r="A20" s="3" t="s">
        <v>60</v>
      </c>
      <c r="B20" s="3" t="s">
        <v>188</v>
      </c>
      <c r="C20" s="3" t="s">
        <v>189</v>
      </c>
      <c r="D20" s="28" t="s">
        <v>185</v>
      </c>
      <c r="E20" s="26"/>
      <c r="F20" s="27"/>
      <c r="G20" s="28" t="s">
        <v>190</v>
      </c>
      <c r="H20" s="26"/>
      <c r="I20" s="27"/>
    </row>
    <row r="21" spans="1:9" x14ac:dyDescent="0.45">
      <c r="A21" s="12" t="s">
        <v>186</v>
      </c>
      <c r="B21" s="12" t="s">
        <v>186</v>
      </c>
      <c r="C21" s="2" t="s">
        <v>159</v>
      </c>
      <c r="D21" s="25"/>
      <c r="E21" s="26"/>
      <c r="F21" s="27"/>
      <c r="G21" s="25"/>
      <c r="H21" s="26"/>
      <c r="I21" s="27"/>
    </row>
  </sheetData>
  <mergeCells count="21">
    <mergeCell ref="G21:I21"/>
    <mergeCell ref="H3:I3"/>
    <mergeCell ref="A4:B4"/>
    <mergeCell ref="A15:I15"/>
    <mergeCell ref="A1:I1"/>
    <mergeCell ref="H5:I5"/>
    <mergeCell ref="G17:I17"/>
    <mergeCell ref="D21:F21"/>
    <mergeCell ref="E3:F3"/>
    <mergeCell ref="G20:I20"/>
    <mergeCell ref="A3:B3"/>
    <mergeCell ref="G16:I16"/>
    <mergeCell ref="A19:I19"/>
    <mergeCell ref="C4:I4"/>
    <mergeCell ref="A5:B5"/>
    <mergeCell ref="D20:F20"/>
    <mergeCell ref="E5:F5"/>
    <mergeCell ref="D17:F17"/>
    <mergeCell ref="D16:F16"/>
    <mergeCell ref="A6:B6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70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72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SUM(J9:J18)</f>
        <v>10</v>
      </c>
      <c r="F5" s="24"/>
      <c r="G5" s="1" t="s">
        <v>66</v>
      </c>
      <c r="H5" s="25" t="s">
        <v>74</v>
      </c>
      <c r="I5" s="24"/>
    </row>
    <row r="6" spans="1:10" ht="18" customHeight="1" x14ac:dyDescent="0.45">
      <c r="A6" s="29" t="s">
        <v>64</v>
      </c>
      <c r="B6" s="24"/>
      <c r="C6" s="25" t="s">
        <v>73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191</v>
      </c>
      <c r="C9" s="2" t="s">
        <v>192</v>
      </c>
      <c r="D9" s="2" t="s">
        <v>167</v>
      </c>
      <c r="E9" s="12" t="s">
        <v>168</v>
      </c>
      <c r="F9" s="12"/>
      <c r="G9" s="2"/>
      <c r="H9" s="2"/>
      <c r="I9" s="12" t="s">
        <v>177</v>
      </c>
      <c r="J9" s="2">
        <v>1</v>
      </c>
    </row>
    <row r="10" spans="1:10" x14ac:dyDescent="0.45">
      <c r="A10" s="12">
        <v>2</v>
      </c>
      <c r="B10" s="2" t="s">
        <v>165</v>
      </c>
      <c r="C10" s="2" t="s">
        <v>193</v>
      </c>
      <c r="D10" s="2" t="s">
        <v>167</v>
      </c>
      <c r="E10" s="12" t="s">
        <v>168</v>
      </c>
      <c r="F10" s="12"/>
      <c r="G10" s="2" t="s">
        <v>67</v>
      </c>
      <c r="H10" s="2"/>
      <c r="I10" s="12" t="s">
        <v>177</v>
      </c>
      <c r="J10" s="2">
        <v>1</v>
      </c>
    </row>
    <row r="11" spans="1:10" x14ac:dyDescent="0.45">
      <c r="A11" s="12">
        <v>3</v>
      </c>
      <c r="B11" s="2" t="s">
        <v>170</v>
      </c>
      <c r="C11" s="2" t="s">
        <v>194</v>
      </c>
      <c r="D11" s="2" t="s">
        <v>167</v>
      </c>
      <c r="E11" s="12" t="s">
        <v>168</v>
      </c>
      <c r="F11" s="12"/>
      <c r="G11" s="2" t="s">
        <v>67</v>
      </c>
      <c r="H11" s="2"/>
      <c r="I11" s="12" t="s">
        <v>177</v>
      </c>
      <c r="J11" s="2">
        <v>1</v>
      </c>
    </row>
    <row r="12" spans="1:10" x14ac:dyDescent="0.45">
      <c r="A12" s="12">
        <v>4</v>
      </c>
      <c r="B12" s="2" t="s">
        <v>172</v>
      </c>
      <c r="C12" s="2" t="s">
        <v>195</v>
      </c>
      <c r="D12" s="2" t="s">
        <v>174</v>
      </c>
      <c r="E12" s="12" t="s">
        <v>168</v>
      </c>
      <c r="F12" s="12"/>
      <c r="G12" s="2"/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175</v>
      </c>
      <c r="C13" s="2" t="s">
        <v>176</v>
      </c>
      <c r="D13" s="2" t="s">
        <v>167</v>
      </c>
      <c r="E13" s="12" t="s">
        <v>168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196</v>
      </c>
      <c r="C14" s="2" t="s">
        <v>197</v>
      </c>
      <c r="D14" s="2" t="s">
        <v>167</v>
      </c>
      <c r="E14" s="12" t="s">
        <v>168</v>
      </c>
      <c r="F14" s="12"/>
      <c r="G14" s="2"/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198</v>
      </c>
      <c r="C15" s="2" t="s">
        <v>199</v>
      </c>
      <c r="D15" s="2" t="s">
        <v>200</v>
      </c>
      <c r="E15" s="12" t="s">
        <v>168</v>
      </c>
      <c r="F15" s="12"/>
      <c r="G15" s="2"/>
      <c r="H15" s="2"/>
      <c r="I15" s="12" t="s">
        <v>177</v>
      </c>
      <c r="J15" s="2">
        <v>1</v>
      </c>
    </row>
    <row r="16" spans="1:10" x14ac:dyDescent="0.45">
      <c r="A16" s="12">
        <v>8</v>
      </c>
      <c r="B16" s="2" t="s">
        <v>201</v>
      </c>
      <c r="C16" s="2" t="s">
        <v>202</v>
      </c>
      <c r="D16" s="2" t="s">
        <v>203</v>
      </c>
      <c r="E16" s="12" t="s">
        <v>181</v>
      </c>
      <c r="F16" s="12"/>
      <c r="G16" s="2"/>
      <c r="H16" s="2"/>
      <c r="I16" s="12" t="s">
        <v>177</v>
      </c>
      <c r="J16" s="2">
        <v>1</v>
      </c>
    </row>
    <row r="17" spans="1:10" x14ac:dyDescent="0.45">
      <c r="A17" s="12">
        <v>9</v>
      </c>
      <c r="B17" s="2" t="s">
        <v>204</v>
      </c>
      <c r="C17" s="2" t="s">
        <v>205</v>
      </c>
      <c r="D17" s="2" t="s">
        <v>167</v>
      </c>
      <c r="E17" s="12" t="s">
        <v>181</v>
      </c>
      <c r="F17" s="12"/>
      <c r="G17" s="2"/>
      <c r="H17" s="2"/>
      <c r="I17" s="12" t="s">
        <v>177</v>
      </c>
      <c r="J17" s="2">
        <v>1</v>
      </c>
    </row>
    <row r="18" spans="1:10" x14ac:dyDescent="0.45">
      <c r="A18" s="12">
        <v>10</v>
      </c>
      <c r="B18" s="2" t="s">
        <v>178</v>
      </c>
      <c r="C18" s="2" t="s">
        <v>179</v>
      </c>
      <c r="D18" s="2" t="s">
        <v>180</v>
      </c>
      <c r="E18" s="12" t="s">
        <v>181</v>
      </c>
      <c r="F18" s="12"/>
      <c r="G18" s="2"/>
      <c r="H18" s="2"/>
      <c r="I18" s="12" t="s">
        <v>177</v>
      </c>
      <c r="J18" s="2">
        <v>1</v>
      </c>
    </row>
    <row r="20" spans="1:10" x14ac:dyDescent="0.45">
      <c r="A20" s="30" t="s">
        <v>182</v>
      </c>
      <c r="B20" s="24"/>
      <c r="C20" s="24"/>
      <c r="D20" s="24"/>
      <c r="E20" s="24"/>
      <c r="F20" s="24"/>
      <c r="G20" s="24"/>
      <c r="H20" s="24"/>
      <c r="I20" s="24"/>
    </row>
    <row r="21" spans="1:10" x14ac:dyDescent="0.45">
      <c r="A21" s="3" t="s">
        <v>60</v>
      </c>
      <c r="B21" s="3" t="s">
        <v>183</v>
      </c>
      <c r="C21" s="3" t="s">
        <v>184</v>
      </c>
      <c r="D21" s="28" t="s">
        <v>185</v>
      </c>
      <c r="E21" s="26"/>
      <c r="F21" s="27"/>
      <c r="G21" s="28" t="s">
        <v>25</v>
      </c>
      <c r="H21" s="26"/>
      <c r="I21" s="27"/>
    </row>
    <row r="22" spans="1:10" x14ac:dyDescent="0.45">
      <c r="A22" s="12" t="s">
        <v>186</v>
      </c>
      <c r="B22" s="12" t="s">
        <v>186</v>
      </c>
      <c r="C22" s="2" t="s">
        <v>159</v>
      </c>
      <c r="D22" s="25"/>
      <c r="E22" s="26"/>
      <c r="F22" s="27"/>
      <c r="G22" s="25"/>
      <c r="H22" s="26"/>
      <c r="I22" s="27"/>
    </row>
    <row r="24" spans="1:10" x14ac:dyDescent="0.45">
      <c r="A24" s="30" t="s">
        <v>187</v>
      </c>
      <c r="B24" s="24"/>
      <c r="C24" s="24"/>
      <c r="D24" s="24"/>
      <c r="E24" s="24"/>
      <c r="F24" s="24"/>
      <c r="G24" s="24"/>
      <c r="H24" s="24"/>
      <c r="I24" s="24"/>
    </row>
    <row r="25" spans="1:10" x14ac:dyDescent="0.45">
      <c r="A25" s="3" t="s">
        <v>60</v>
      </c>
      <c r="B25" s="3" t="s">
        <v>188</v>
      </c>
      <c r="C25" s="3" t="s">
        <v>189</v>
      </c>
      <c r="D25" s="28" t="s">
        <v>185</v>
      </c>
      <c r="E25" s="26"/>
      <c r="F25" s="27"/>
      <c r="G25" s="28" t="s">
        <v>190</v>
      </c>
      <c r="H25" s="26"/>
      <c r="I25" s="27"/>
    </row>
    <row r="26" spans="1:10" x14ac:dyDescent="0.45">
      <c r="A26" s="12" t="s">
        <v>186</v>
      </c>
      <c r="B26" s="12" t="s">
        <v>186</v>
      </c>
      <c r="C26" s="2" t="s">
        <v>159</v>
      </c>
      <c r="D26" s="25"/>
      <c r="E26" s="26"/>
      <c r="F26" s="27"/>
      <c r="G26" s="25"/>
      <c r="H26" s="26"/>
      <c r="I26" s="27"/>
    </row>
  </sheetData>
  <mergeCells count="21">
    <mergeCell ref="A1:I1"/>
    <mergeCell ref="H5:I5"/>
    <mergeCell ref="D21:F21"/>
    <mergeCell ref="E3:F3"/>
    <mergeCell ref="A3:B3"/>
    <mergeCell ref="A20:I20"/>
    <mergeCell ref="G25:I25"/>
    <mergeCell ref="G22:I22"/>
    <mergeCell ref="C4:I4"/>
    <mergeCell ref="A5:B5"/>
    <mergeCell ref="G21:I21"/>
    <mergeCell ref="A24:I24"/>
    <mergeCell ref="H3:I3"/>
    <mergeCell ref="A4:B4"/>
    <mergeCell ref="D22:F22"/>
    <mergeCell ref="E5:F5"/>
    <mergeCell ref="A6:B6"/>
    <mergeCell ref="C6:I6"/>
    <mergeCell ref="G26:I26"/>
    <mergeCell ref="D25:F25"/>
    <mergeCell ref="D26:F2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75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76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206</v>
      </c>
      <c r="D5" s="1" t="s">
        <v>18</v>
      </c>
      <c r="E5" s="23">
        <f>SUM(J9:J22)</f>
        <v>46</v>
      </c>
      <c r="F5" s="24"/>
      <c r="G5" s="1" t="s">
        <v>66</v>
      </c>
      <c r="H5" s="25" t="s">
        <v>80</v>
      </c>
      <c r="I5" s="24"/>
    </row>
    <row r="6" spans="1:10" ht="18" customHeight="1" x14ac:dyDescent="0.45">
      <c r="A6" s="29" t="s">
        <v>64</v>
      </c>
      <c r="B6" s="24"/>
      <c r="C6" s="25" t="s">
        <v>78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ht="32" x14ac:dyDescent="0.45">
      <c r="A9" s="16">
        <v>1</v>
      </c>
      <c r="B9" s="17" t="s">
        <v>191</v>
      </c>
      <c r="C9" s="17" t="s">
        <v>192</v>
      </c>
      <c r="D9" s="17" t="s">
        <v>167</v>
      </c>
      <c r="E9" s="16" t="s">
        <v>168</v>
      </c>
      <c r="F9" s="16">
        <v>1</v>
      </c>
      <c r="G9" s="17" t="s">
        <v>207</v>
      </c>
      <c r="H9" s="17"/>
      <c r="I9" s="16" t="s">
        <v>177</v>
      </c>
      <c r="J9" s="17">
        <v>1</v>
      </c>
    </row>
    <row r="10" spans="1:10" x14ac:dyDescent="0.45">
      <c r="A10" s="16">
        <v>2</v>
      </c>
      <c r="B10" s="17" t="s">
        <v>208</v>
      </c>
      <c r="C10" s="17" t="s">
        <v>209</v>
      </c>
      <c r="D10" s="17" t="s">
        <v>167</v>
      </c>
      <c r="E10" s="16" t="s">
        <v>168</v>
      </c>
      <c r="F10" s="16">
        <v>2</v>
      </c>
      <c r="G10" s="17"/>
      <c r="H10" s="17"/>
      <c r="I10" s="16" t="s">
        <v>177</v>
      </c>
      <c r="J10" s="17">
        <v>1</v>
      </c>
    </row>
    <row r="11" spans="1:10" x14ac:dyDescent="0.45">
      <c r="A11" s="12">
        <v>3</v>
      </c>
      <c r="B11" s="2" t="s">
        <v>210</v>
      </c>
      <c r="C11" s="2" t="s">
        <v>211</v>
      </c>
      <c r="D11" s="2" t="s">
        <v>167</v>
      </c>
      <c r="E11" s="12" t="s">
        <v>181</v>
      </c>
      <c r="F11" s="12"/>
      <c r="G11" s="2"/>
      <c r="H11" s="2"/>
      <c r="I11" s="12" t="s">
        <v>177</v>
      </c>
      <c r="J11" s="2">
        <v>1</v>
      </c>
    </row>
    <row r="12" spans="1:10" x14ac:dyDescent="0.45">
      <c r="A12" s="12">
        <v>4</v>
      </c>
      <c r="B12" s="2" t="s">
        <v>212</v>
      </c>
      <c r="C12" s="2" t="s">
        <v>213</v>
      </c>
      <c r="D12" s="2" t="s">
        <v>167</v>
      </c>
      <c r="E12" s="12" t="s">
        <v>181</v>
      </c>
      <c r="F12" s="12"/>
      <c r="G12" s="2" t="s">
        <v>81</v>
      </c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214</v>
      </c>
      <c r="C13" s="2" t="s">
        <v>215</v>
      </c>
      <c r="D13" s="2" t="s">
        <v>167</v>
      </c>
      <c r="E13" s="12" t="s">
        <v>181</v>
      </c>
      <c r="F13" s="12"/>
      <c r="G13" s="2" t="s">
        <v>127</v>
      </c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216</v>
      </c>
      <c r="C14" s="2" t="s">
        <v>217</v>
      </c>
      <c r="D14" s="2" t="s">
        <v>167</v>
      </c>
      <c r="E14" s="12" t="s">
        <v>181</v>
      </c>
      <c r="F14" s="12"/>
      <c r="G14" s="2" t="s">
        <v>127</v>
      </c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218</v>
      </c>
      <c r="C15" s="2" t="s">
        <v>205</v>
      </c>
      <c r="D15" s="2" t="s">
        <v>219</v>
      </c>
      <c r="E15" s="12" t="s">
        <v>181</v>
      </c>
      <c r="F15" s="12"/>
      <c r="G15" s="2"/>
      <c r="H15" s="2"/>
      <c r="I15" s="12" t="s">
        <v>220</v>
      </c>
      <c r="J15" s="2">
        <v>1</v>
      </c>
    </row>
    <row r="16" spans="1:10" x14ac:dyDescent="0.45">
      <c r="A16" s="12">
        <v>8</v>
      </c>
      <c r="B16" s="2" t="s">
        <v>201</v>
      </c>
      <c r="C16" s="2" t="s">
        <v>202</v>
      </c>
      <c r="D16" s="2" t="s">
        <v>203</v>
      </c>
      <c r="E16" s="12" t="s">
        <v>181</v>
      </c>
      <c r="F16" s="12"/>
      <c r="G16" s="2"/>
      <c r="H16" s="2"/>
      <c r="I16" s="12" t="s">
        <v>220</v>
      </c>
      <c r="J16" s="2">
        <v>1</v>
      </c>
    </row>
    <row r="17" spans="1:10" x14ac:dyDescent="0.45">
      <c r="A17" s="12">
        <v>9</v>
      </c>
      <c r="B17" s="2" t="s">
        <v>221</v>
      </c>
      <c r="C17" s="2" t="s">
        <v>222</v>
      </c>
      <c r="D17" s="2" t="s">
        <v>219</v>
      </c>
      <c r="E17" s="12" t="s">
        <v>181</v>
      </c>
      <c r="F17" s="12"/>
      <c r="G17" s="2"/>
      <c r="H17" s="2"/>
      <c r="I17" s="12" t="s">
        <v>220</v>
      </c>
      <c r="J17" s="2">
        <v>1</v>
      </c>
    </row>
    <row r="18" spans="1:10" x14ac:dyDescent="0.45">
      <c r="A18" s="12">
        <v>10</v>
      </c>
      <c r="B18" s="2" t="s">
        <v>223</v>
      </c>
      <c r="C18" s="2" t="s">
        <v>224</v>
      </c>
      <c r="D18" s="2" t="s">
        <v>203</v>
      </c>
      <c r="E18" s="12" t="s">
        <v>181</v>
      </c>
      <c r="F18" s="12"/>
      <c r="G18" s="2"/>
      <c r="H18" s="2"/>
      <c r="I18" s="12" t="s">
        <v>220</v>
      </c>
      <c r="J18" s="2">
        <v>1</v>
      </c>
    </row>
    <row r="19" spans="1:10" x14ac:dyDescent="0.45">
      <c r="A19" s="18" t="s">
        <v>225</v>
      </c>
      <c r="B19" s="19" t="s">
        <v>226</v>
      </c>
      <c r="C19" s="19" t="s">
        <v>227</v>
      </c>
      <c r="D19" s="19" t="s">
        <v>228</v>
      </c>
      <c r="E19" s="18" t="s">
        <v>181</v>
      </c>
      <c r="F19" s="18"/>
      <c r="G19" s="19"/>
      <c r="H19" s="19"/>
      <c r="I19" s="18" t="s">
        <v>229</v>
      </c>
      <c r="J19" s="19">
        <v>9</v>
      </c>
    </row>
    <row r="20" spans="1:10" x14ac:dyDescent="0.45">
      <c r="A20" s="18" t="s">
        <v>230</v>
      </c>
      <c r="B20" s="19" t="s">
        <v>231</v>
      </c>
      <c r="C20" s="19" t="s">
        <v>232</v>
      </c>
      <c r="D20" s="19" t="s">
        <v>233</v>
      </c>
      <c r="E20" s="18" t="s">
        <v>181</v>
      </c>
      <c r="F20" s="18"/>
      <c r="G20" s="19"/>
      <c r="H20" s="19"/>
      <c r="I20" s="18" t="s">
        <v>177</v>
      </c>
      <c r="J20" s="19">
        <v>9</v>
      </c>
    </row>
    <row r="21" spans="1:10" ht="32" x14ac:dyDescent="0.45">
      <c r="A21" s="18" t="s">
        <v>234</v>
      </c>
      <c r="B21" s="19" t="s">
        <v>235</v>
      </c>
      <c r="C21" s="19" t="s">
        <v>236</v>
      </c>
      <c r="D21" s="19" t="s">
        <v>237</v>
      </c>
      <c r="E21" s="18" t="s">
        <v>181</v>
      </c>
      <c r="F21" s="18"/>
      <c r="G21" s="19"/>
      <c r="H21" s="19"/>
      <c r="I21" s="18" t="s">
        <v>177</v>
      </c>
      <c r="J21" s="19">
        <v>9</v>
      </c>
    </row>
    <row r="22" spans="1:10" ht="32" x14ac:dyDescent="0.45">
      <c r="A22" s="18" t="s">
        <v>238</v>
      </c>
      <c r="B22" s="19" t="s">
        <v>239</v>
      </c>
      <c r="C22" s="19" t="s">
        <v>240</v>
      </c>
      <c r="D22" s="19" t="s">
        <v>237</v>
      </c>
      <c r="E22" s="18" t="s">
        <v>181</v>
      </c>
      <c r="F22" s="18"/>
      <c r="G22" s="19"/>
      <c r="H22" s="19"/>
      <c r="I22" s="18" t="s">
        <v>177</v>
      </c>
      <c r="J22" s="19">
        <v>9</v>
      </c>
    </row>
    <row r="24" spans="1:10" x14ac:dyDescent="0.45">
      <c r="A24" s="30" t="s">
        <v>182</v>
      </c>
      <c r="B24" s="24"/>
      <c r="C24" s="24"/>
      <c r="D24" s="24"/>
      <c r="E24" s="24"/>
      <c r="F24" s="24"/>
      <c r="G24" s="24"/>
      <c r="H24" s="24"/>
      <c r="I24" s="24"/>
    </row>
    <row r="25" spans="1:10" x14ac:dyDescent="0.45">
      <c r="A25" s="3" t="s">
        <v>60</v>
      </c>
      <c r="B25" s="3" t="s">
        <v>183</v>
      </c>
      <c r="C25" s="3" t="s">
        <v>184</v>
      </c>
      <c r="D25" s="28" t="s">
        <v>185</v>
      </c>
      <c r="E25" s="26"/>
      <c r="F25" s="27"/>
      <c r="G25" s="28" t="s">
        <v>25</v>
      </c>
      <c r="H25" s="26"/>
      <c r="I25" s="27"/>
    </row>
    <row r="26" spans="1:10" ht="18" customHeight="1" x14ac:dyDescent="0.45">
      <c r="A26" s="12">
        <v>1</v>
      </c>
      <c r="B26" s="12" t="s">
        <v>163</v>
      </c>
      <c r="C26" s="2" t="s">
        <v>241</v>
      </c>
      <c r="D26" s="25" t="s">
        <v>77</v>
      </c>
      <c r="E26" s="26"/>
      <c r="F26" s="27"/>
      <c r="G26" s="25" t="s">
        <v>242</v>
      </c>
      <c r="H26" s="26"/>
      <c r="I26" s="27"/>
    </row>
    <row r="28" spans="1:10" x14ac:dyDescent="0.45">
      <c r="A28" s="30" t="s">
        <v>187</v>
      </c>
      <c r="B28" s="24"/>
      <c r="C28" s="24"/>
      <c r="D28" s="24"/>
      <c r="E28" s="24"/>
      <c r="F28" s="24"/>
      <c r="G28" s="24"/>
      <c r="H28" s="24"/>
      <c r="I28" s="24"/>
    </row>
    <row r="29" spans="1:10" x14ac:dyDescent="0.45">
      <c r="A29" s="3" t="s">
        <v>60</v>
      </c>
      <c r="B29" s="3" t="s">
        <v>188</v>
      </c>
      <c r="C29" s="3" t="s">
        <v>189</v>
      </c>
      <c r="D29" s="28" t="s">
        <v>185</v>
      </c>
      <c r="E29" s="26"/>
      <c r="F29" s="27"/>
      <c r="G29" s="28" t="s">
        <v>190</v>
      </c>
      <c r="H29" s="26"/>
      <c r="I29" s="27"/>
    </row>
    <row r="30" spans="1:10" ht="18" customHeight="1" x14ac:dyDescent="0.45">
      <c r="A30" s="12">
        <v>1</v>
      </c>
      <c r="B30" s="12" t="s">
        <v>243</v>
      </c>
      <c r="C30" s="2" t="s">
        <v>241</v>
      </c>
      <c r="D30" s="25" t="s">
        <v>77</v>
      </c>
      <c r="E30" s="26"/>
      <c r="F30" s="27"/>
      <c r="G30" s="25" t="s">
        <v>242</v>
      </c>
      <c r="H30" s="26"/>
      <c r="I30" s="27"/>
    </row>
  </sheetData>
  <mergeCells count="21">
    <mergeCell ref="A1:I1"/>
    <mergeCell ref="H5:I5"/>
    <mergeCell ref="E3:F3"/>
    <mergeCell ref="A3:B3"/>
    <mergeCell ref="G25:I25"/>
    <mergeCell ref="D29:F29"/>
    <mergeCell ref="A28:I28"/>
    <mergeCell ref="C4:I4"/>
    <mergeCell ref="A5:B5"/>
    <mergeCell ref="D26:F26"/>
    <mergeCell ref="A24:I24"/>
    <mergeCell ref="H3:I3"/>
    <mergeCell ref="A4:B4"/>
    <mergeCell ref="E5:F5"/>
    <mergeCell ref="G30:I30"/>
    <mergeCell ref="A6:B6"/>
    <mergeCell ref="C6:I6"/>
    <mergeCell ref="G26:I26"/>
    <mergeCell ref="D30:F30"/>
    <mergeCell ref="G29:I29"/>
    <mergeCell ref="D25:F25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81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82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244</v>
      </c>
      <c r="D5" s="1" t="s">
        <v>18</v>
      </c>
      <c r="E5" s="23">
        <f>SUM(J9:J16)</f>
        <v>17</v>
      </c>
      <c r="F5" s="24"/>
      <c r="G5" s="1" t="s">
        <v>66</v>
      </c>
      <c r="H5" s="25" t="s">
        <v>85</v>
      </c>
      <c r="I5" s="24"/>
    </row>
    <row r="6" spans="1:10" ht="18" customHeight="1" x14ac:dyDescent="0.45">
      <c r="A6" s="29" t="s">
        <v>64</v>
      </c>
      <c r="B6" s="24"/>
      <c r="C6" s="25" t="s">
        <v>84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191</v>
      </c>
      <c r="C9" s="17" t="s">
        <v>192</v>
      </c>
      <c r="D9" s="17" t="s">
        <v>167</v>
      </c>
      <c r="E9" s="16" t="s">
        <v>168</v>
      </c>
      <c r="F9" s="16">
        <v>1</v>
      </c>
      <c r="G9" s="17"/>
      <c r="H9" s="17"/>
      <c r="I9" s="16" t="s">
        <v>177</v>
      </c>
      <c r="J9" s="17">
        <v>1</v>
      </c>
    </row>
    <row r="10" spans="1:10" x14ac:dyDescent="0.45">
      <c r="A10" s="16">
        <v>2</v>
      </c>
      <c r="B10" s="17" t="s">
        <v>212</v>
      </c>
      <c r="C10" s="17" t="s">
        <v>245</v>
      </c>
      <c r="D10" s="17" t="s">
        <v>167</v>
      </c>
      <c r="E10" s="16" t="s">
        <v>168</v>
      </c>
      <c r="F10" s="16">
        <v>2</v>
      </c>
      <c r="G10" s="17"/>
      <c r="H10" s="17"/>
      <c r="I10" s="16" t="s">
        <v>177</v>
      </c>
      <c r="J10" s="17">
        <v>1</v>
      </c>
    </row>
    <row r="11" spans="1:10" x14ac:dyDescent="0.45">
      <c r="A11" s="12">
        <v>3</v>
      </c>
      <c r="B11" s="2" t="s">
        <v>246</v>
      </c>
      <c r="C11" s="2" t="s">
        <v>247</v>
      </c>
      <c r="D11" s="2" t="s">
        <v>248</v>
      </c>
      <c r="E11" s="12" t="s">
        <v>181</v>
      </c>
      <c r="F11" s="12"/>
      <c r="G11" s="2"/>
      <c r="H11" s="2"/>
      <c r="I11" s="12" t="s">
        <v>177</v>
      </c>
      <c r="J11" s="2">
        <v>1</v>
      </c>
    </row>
    <row r="12" spans="1:10" ht="32" x14ac:dyDescent="0.45">
      <c r="A12" s="18" t="s">
        <v>249</v>
      </c>
      <c r="B12" s="19" t="s">
        <v>250</v>
      </c>
      <c r="C12" s="19" t="s">
        <v>251</v>
      </c>
      <c r="D12" s="19" t="s">
        <v>237</v>
      </c>
      <c r="E12" s="18" t="s">
        <v>181</v>
      </c>
      <c r="F12" s="18"/>
      <c r="G12" s="19"/>
      <c r="H12" s="19"/>
      <c r="I12" s="18" t="s">
        <v>177</v>
      </c>
      <c r="J12" s="19">
        <v>10</v>
      </c>
    </row>
    <row r="13" spans="1:10" x14ac:dyDescent="0.45">
      <c r="A13" s="12">
        <v>14</v>
      </c>
      <c r="B13" s="2" t="s">
        <v>218</v>
      </c>
      <c r="C13" s="2" t="s">
        <v>205</v>
      </c>
      <c r="D13" s="2" t="s">
        <v>219</v>
      </c>
      <c r="E13" s="12" t="s">
        <v>181</v>
      </c>
      <c r="F13" s="12"/>
      <c r="G13" s="2"/>
      <c r="H13" s="2"/>
      <c r="I13" s="12" t="s">
        <v>220</v>
      </c>
      <c r="J13" s="2">
        <v>1</v>
      </c>
    </row>
    <row r="14" spans="1:10" x14ac:dyDescent="0.45">
      <c r="A14" s="12">
        <v>15</v>
      </c>
      <c r="B14" s="2" t="s">
        <v>201</v>
      </c>
      <c r="C14" s="2" t="s">
        <v>202</v>
      </c>
      <c r="D14" s="2" t="s">
        <v>203</v>
      </c>
      <c r="E14" s="12" t="s">
        <v>181</v>
      </c>
      <c r="F14" s="12"/>
      <c r="G14" s="2"/>
      <c r="H14" s="2"/>
      <c r="I14" s="12" t="s">
        <v>220</v>
      </c>
      <c r="J14" s="2">
        <v>1</v>
      </c>
    </row>
    <row r="15" spans="1:10" x14ac:dyDescent="0.45">
      <c r="A15" s="12">
        <v>16</v>
      </c>
      <c r="B15" s="2" t="s">
        <v>221</v>
      </c>
      <c r="C15" s="2" t="s">
        <v>222</v>
      </c>
      <c r="D15" s="2" t="s">
        <v>219</v>
      </c>
      <c r="E15" s="12" t="s">
        <v>181</v>
      </c>
      <c r="F15" s="12"/>
      <c r="G15" s="2"/>
      <c r="H15" s="2"/>
      <c r="I15" s="12" t="s">
        <v>220</v>
      </c>
      <c r="J15" s="2">
        <v>1</v>
      </c>
    </row>
    <row r="16" spans="1:10" x14ac:dyDescent="0.45">
      <c r="A16" s="12">
        <v>17</v>
      </c>
      <c r="B16" s="2" t="s">
        <v>223</v>
      </c>
      <c r="C16" s="2" t="s">
        <v>224</v>
      </c>
      <c r="D16" s="2" t="s">
        <v>203</v>
      </c>
      <c r="E16" s="12" t="s">
        <v>181</v>
      </c>
      <c r="F16" s="12"/>
      <c r="G16" s="2"/>
      <c r="H16" s="2"/>
      <c r="I16" s="12" t="s">
        <v>220</v>
      </c>
      <c r="J16" s="2">
        <v>1</v>
      </c>
    </row>
    <row r="18" spans="1:9" x14ac:dyDescent="0.45">
      <c r="A18" s="30" t="s">
        <v>182</v>
      </c>
      <c r="B18" s="24"/>
      <c r="C18" s="24"/>
      <c r="D18" s="24"/>
      <c r="E18" s="24"/>
      <c r="F18" s="24"/>
      <c r="G18" s="24"/>
      <c r="H18" s="24"/>
      <c r="I18" s="24"/>
    </row>
    <row r="19" spans="1:9" x14ac:dyDescent="0.45">
      <c r="A19" s="3" t="s">
        <v>60</v>
      </c>
      <c r="B19" s="3" t="s">
        <v>183</v>
      </c>
      <c r="C19" s="3" t="s">
        <v>184</v>
      </c>
      <c r="D19" s="28" t="s">
        <v>185</v>
      </c>
      <c r="E19" s="26"/>
      <c r="F19" s="27"/>
      <c r="G19" s="28" t="s">
        <v>25</v>
      </c>
      <c r="H19" s="26"/>
      <c r="I19" s="27"/>
    </row>
    <row r="20" spans="1:9" ht="18" customHeight="1" x14ac:dyDescent="0.45">
      <c r="A20" s="12">
        <v>1</v>
      </c>
      <c r="B20" s="12" t="s">
        <v>163</v>
      </c>
      <c r="C20" s="2" t="s">
        <v>252</v>
      </c>
      <c r="D20" s="25" t="s">
        <v>83</v>
      </c>
      <c r="E20" s="26"/>
      <c r="F20" s="27"/>
      <c r="G20" s="25" t="s">
        <v>242</v>
      </c>
      <c r="H20" s="26"/>
      <c r="I20" s="27"/>
    </row>
    <row r="22" spans="1:9" x14ac:dyDescent="0.45">
      <c r="A22" s="30" t="s">
        <v>187</v>
      </c>
      <c r="B22" s="24"/>
      <c r="C22" s="24"/>
      <c r="D22" s="24"/>
      <c r="E22" s="24"/>
      <c r="F22" s="24"/>
      <c r="G22" s="24"/>
      <c r="H22" s="24"/>
      <c r="I22" s="24"/>
    </row>
    <row r="23" spans="1:9" x14ac:dyDescent="0.45">
      <c r="A23" s="3" t="s">
        <v>60</v>
      </c>
      <c r="B23" s="3" t="s">
        <v>188</v>
      </c>
      <c r="C23" s="3" t="s">
        <v>189</v>
      </c>
      <c r="D23" s="28" t="s">
        <v>185</v>
      </c>
      <c r="E23" s="26"/>
      <c r="F23" s="27"/>
      <c r="G23" s="28" t="s">
        <v>190</v>
      </c>
      <c r="H23" s="26"/>
      <c r="I23" s="27"/>
    </row>
    <row r="24" spans="1:9" ht="18" customHeight="1" x14ac:dyDescent="0.45">
      <c r="A24" s="12">
        <v>1</v>
      </c>
      <c r="B24" s="12" t="s">
        <v>243</v>
      </c>
      <c r="C24" s="2" t="s">
        <v>252</v>
      </c>
      <c r="D24" s="25" t="s">
        <v>83</v>
      </c>
      <c r="E24" s="26"/>
      <c r="F24" s="27"/>
      <c r="G24" s="25" t="s">
        <v>242</v>
      </c>
      <c r="H24" s="26"/>
      <c r="I24" s="27"/>
    </row>
  </sheetData>
  <mergeCells count="21">
    <mergeCell ref="A1:I1"/>
    <mergeCell ref="H5:I5"/>
    <mergeCell ref="E3:F3"/>
    <mergeCell ref="A3:B3"/>
    <mergeCell ref="D24:F24"/>
    <mergeCell ref="D23:F23"/>
    <mergeCell ref="C4:I4"/>
    <mergeCell ref="A5:B5"/>
    <mergeCell ref="D20:F20"/>
    <mergeCell ref="H3:I3"/>
    <mergeCell ref="A4:B4"/>
    <mergeCell ref="D19:F19"/>
    <mergeCell ref="G23:I23"/>
    <mergeCell ref="G19:I19"/>
    <mergeCell ref="E5:F5"/>
    <mergeCell ref="A18:I18"/>
    <mergeCell ref="A6:B6"/>
    <mergeCell ref="G24:I24"/>
    <mergeCell ref="C6:I6"/>
    <mergeCell ref="G20:I20"/>
    <mergeCell ref="A22:I22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86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87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253</v>
      </c>
      <c r="D5" s="1" t="s">
        <v>18</v>
      </c>
      <c r="E5" s="23">
        <f>SUM(J9:J11)</f>
        <v>3</v>
      </c>
      <c r="F5" s="24"/>
      <c r="G5" s="1" t="s">
        <v>66</v>
      </c>
      <c r="H5" s="25" t="s">
        <v>91</v>
      </c>
      <c r="I5" s="24"/>
    </row>
    <row r="6" spans="1:10" ht="18" customHeight="1" x14ac:dyDescent="0.45">
      <c r="A6" s="29" t="s">
        <v>64</v>
      </c>
      <c r="B6" s="24"/>
      <c r="C6" s="25" t="s">
        <v>89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88</v>
      </c>
      <c r="C9" s="17" t="s">
        <v>254</v>
      </c>
      <c r="D9" s="17" t="s">
        <v>219</v>
      </c>
      <c r="E9" s="16" t="s">
        <v>168</v>
      </c>
      <c r="F9" s="16">
        <v>1</v>
      </c>
      <c r="G9" s="17"/>
      <c r="H9" s="17"/>
      <c r="I9" s="16" t="s">
        <v>169</v>
      </c>
      <c r="J9" s="17">
        <v>1</v>
      </c>
    </row>
    <row r="10" spans="1:10" x14ac:dyDescent="0.45">
      <c r="A10" s="12">
        <v>2</v>
      </c>
      <c r="B10" s="2" t="s">
        <v>255</v>
      </c>
      <c r="C10" s="2" t="s">
        <v>256</v>
      </c>
      <c r="D10" s="2" t="s">
        <v>257</v>
      </c>
      <c r="E10" s="12" t="s">
        <v>181</v>
      </c>
      <c r="F10" s="12"/>
      <c r="G10" s="2"/>
      <c r="H10" s="2"/>
      <c r="I10" s="12" t="s">
        <v>169</v>
      </c>
      <c r="J10" s="2">
        <v>1</v>
      </c>
    </row>
    <row r="11" spans="1:10" x14ac:dyDescent="0.45">
      <c r="A11" s="12">
        <v>3</v>
      </c>
      <c r="B11" s="2" t="s">
        <v>258</v>
      </c>
      <c r="C11" s="2" t="s">
        <v>259</v>
      </c>
      <c r="D11" s="2" t="s">
        <v>180</v>
      </c>
      <c r="E11" s="12" t="s">
        <v>181</v>
      </c>
      <c r="F11" s="12"/>
      <c r="G11" s="2"/>
      <c r="H11" s="2"/>
      <c r="I11" s="12" t="s">
        <v>169</v>
      </c>
      <c r="J11" s="2">
        <v>1</v>
      </c>
    </row>
    <row r="13" spans="1:10" x14ac:dyDescent="0.45">
      <c r="A13" s="30" t="s">
        <v>182</v>
      </c>
      <c r="B13" s="24"/>
      <c r="C13" s="24"/>
      <c r="D13" s="24"/>
      <c r="E13" s="24"/>
      <c r="F13" s="24"/>
      <c r="G13" s="24"/>
      <c r="H13" s="24"/>
      <c r="I13" s="24"/>
    </row>
    <row r="14" spans="1:10" x14ac:dyDescent="0.45">
      <c r="A14" s="3" t="s">
        <v>60</v>
      </c>
      <c r="B14" s="3" t="s">
        <v>183</v>
      </c>
      <c r="C14" s="3" t="s">
        <v>184</v>
      </c>
      <c r="D14" s="28" t="s">
        <v>185</v>
      </c>
      <c r="E14" s="26"/>
      <c r="F14" s="27"/>
      <c r="G14" s="28" t="s">
        <v>25</v>
      </c>
      <c r="H14" s="26"/>
      <c r="I14" s="27"/>
    </row>
    <row r="15" spans="1:10" ht="18" customHeight="1" x14ac:dyDescent="0.45">
      <c r="A15" s="12">
        <v>1</v>
      </c>
      <c r="B15" s="12" t="s">
        <v>163</v>
      </c>
      <c r="C15" s="2" t="s">
        <v>260</v>
      </c>
      <c r="D15" s="25" t="s">
        <v>88</v>
      </c>
      <c r="E15" s="26"/>
      <c r="F15" s="27"/>
      <c r="G15" s="25" t="s">
        <v>242</v>
      </c>
      <c r="H15" s="26"/>
      <c r="I15" s="27"/>
    </row>
    <row r="17" spans="1:9" x14ac:dyDescent="0.45">
      <c r="A17" s="30" t="s">
        <v>187</v>
      </c>
      <c r="B17" s="24"/>
      <c r="C17" s="24"/>
      <c r="D17" s="24"/>
      <c r="E17" s="24"/>
      <c r="F17" s="24"/>
      <c r="G17" s="24"/>
      <c r="H17" s="24"/>
      <c r="I17" s="24"/>
    </row>
    <row r="18" spans="1:9" x14ac:dyDescent="0.45">
      <c r="A18" s="3" t="s">
        <v>60</v>
      </c>
      <c r="B18" s="3" t="s">
        <v>188</v>
      </c>
      <c r="C18" s="3" t="s">
        <v>189</v>
      </c>
      <c r="D18" s="28" t="s">
        <v>185</v>
      </c>
      <c r="E18" s="26"/>
      <c r="F18" s="27"/>
      <c r="G18" s="28" t="s">
        <v>190</v>
      </c>
      <c r="H18" s="26"/>
      <c r="I18" s="27"/>
    </row>
    <row r="19" spans="1:9" ht="18" customHeight="1" x14ac:dyDescent="0.45">
      <c r="A19" s="12">
        <v>1</v>
      </c>
      <c r="B19" s="12" t="s">
        <v>243</v>
      </c>
      <c r="C19" s="2" t="s">
        <v>260</v>
      </c>
      <c r="D19" s="25" t="s">
        <v>88</v>
      </c>
      <c r="E19" s="26"/>
      <c r="F19" s="27"/>
      <c r="G19" s="25" t="s">
        <v>242</v>
      </c>
      <c r="H19" s="26"/>
      <c r="I19" s="27"/>
    </row>
  </sheetData>
  <mergeCells count="21">
    <mergeCell ref="A1:I1"/>
    <mergeCell ref="H5:I5"/>
    <mergeCell ref="E3:F3"/>
    <mergeCell ref="A3:B3"/>
    <mergeCell ref="D14:F14"/>
    <mergeCell ref="A13:I13"/>
    <mergeCell ref="C4:I4"/>
    <mergeCell ref="A5:B5"/>
    <mergeCell ref="H3:I3"/>
    <mergeCell ref="A4:B4"/>
    <mergeCell ref="G19:I19"/>
    <mergeCell ref="E5:F5"/>
    <mergeCell ref="G18:I18"/>
    <mergeCell ref="A6:B6"/>
    <mergeCell ref="G15:I15"/>
    <mergeCell ref="G14:I14"/>
    <mergeCell ref="D18:F18"/>
    <mergeCell ref="A17:I17"/>
    <mergeCell ref="C6:I6"/>
    <mergeCell ref="D15:F15"/>
    <mergeCell ref="D19:F19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92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93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261</v>
      </c>
      <c r="D5" s="1" t="s">
        <v>18</v>
      </c>
      <c r="E5" s="23">
        <f>SUM(J9:J10)</f>
        <v>2</v>
      </c>
      <c r="F5" s="24"/>
      <c r="G5" s="1" t="s">
        <v>66</v>
      </c>
      <c r="H5" s="25" t="s">
        <v>97</v>
      </c>
      <c r="I5" s="24"/>
    </row>
    <row r="6" spans="1:10" ht="18" customHeight="1" x14ac:dyDescent="0.45">
      <c r="A6" s="29" t="s">
        <v>64</v>
      </c>
      <c r="B6" s="24"/>
      <c r="C6" s="25" t="s">
        <v>95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134</v>
      </c>
      <c r="C9" s="17" t="s">
        <v>262</v>
      </c>
      <c r="D9" s="17" t="s">
        <v>263</v>
      </c>
      <c r="E9" s="16" t="s">
        <v>168</v>
      </c>
      <c r="F9" s="16">
        <v>1</v>
      </c>
      <c r="G9" s="17" t="s">
        <v>132</v>
      </c>
      <c r="H9" s="17"/>
      <c r="I9" s="16" t="s">
        <v>169</v>
      </c>
      <c r="J9" s="17">
        <v>1</v>
      </c>
    </row>
    <row r="10" spans="1:10" x14ac:dyDescent="0.45">
      <c r="A10" s="16">
        <v>2</v>
      </c>
      <c r="B10" s="17" t="s">
        <v>88</v>
      </c>
      <c r="C10" s="17" t="s">
        <v>264</v>
      </c>
      <c r="D10" s="17" t="s">
        <v>219</v>
      </c>
      <c r="E10" s="16" t="s">
        <v>168</v>
      </c>
      <c r="F10" s="16">
        <v>2</v>
      </c>
      <c r="G10" s="17" t="s">
        <v>86</v>
      </c>
      <c r="H10" s="17"/>
      <c r="I10" s="16" t="s">
        <v>169</v>
      </c>
      <c r="J10" s="17">
        <v>1</v>
      </c>
    </row>
    <row r="12" spans="1:10" x14ac:dyDescent="0.45">
      <c r="A12" s="30" t="s">
        <v>182</v>
      </c>
      <c r="B12" s="24"/>
      <c r="C12" s="24"/>
      <c r="D12" s="24"/>
      <c r="E12" s="24"/>
      <c r="F12" s="24"/>
      <c r="G12" s="24"/>
      <c r="H12" s="24"/>
      <c r="I12" s="24"/>
    </row>
    <row r="13" spans="1:10" x14ac:dyDescent="0.45">
      <c r="A13" s="3" t="s">
        <v>60</v>
      </c>
      <c r="B13" s="3" t="s">
        <v>183</v>
      </c>
      <c r="C13" s="3" t="s">
        <v>184</v>
      </c>
      <c r="D13" s="28" t="s">
        <v>185</v>
      </c>
      <c r="E13" s="26"/>
      <c r="F13" s="27"/>
      <c r="G13" s="28" t="s">
        <v>25</v>
      </c>
      <c r="H13" s="26"/>
      <c r="I13" s="27"/>
    </row>
    <row r="14" spans="1:10" ht="18" customHeight="1" x14ac:dyDescent="0.45">
      <c r="A14" s="12">
        <v>1</v>
      </c>
      <c r="B14" s="12" t="s">
        <v>163</v>
      </c>
      <c r="C14" s="2" t="s">
        <v>265</v>
      </c>
      <c r="D14" s="25" t="s">
        <v>94</v>
      </c>
      <c r="E14" s="26"/>
      <c r="F14" s="27"/>
      <c r="G14" s="25" t="s">
        <v>242</v>
      </c>
      <c r="H14" s="26"/>
      <c r="I14" s="27"/>
    </row>
    <row r="16" spans="1:10" x14ac:dyDescent="0.45">
      <c r="A16" s="30" t="s">
        <v>187</v>
      </c>
      <c r="B16" s="24"/>
      <c r="C16" s="24"/>
      <c r="D16" s="24"/>
      <c r="E16" s="24"/>
      <c r="F16" s="24"/>
      <c r="G16" s="24"/>
      <c r="H16" s="24"/>
      <c r="I16" s="24"/>
    </row>
    <row r="17" spans="1:9" x14ac:dyDescent="0.45">
      <c r="A17" s="3" t="s">
        <v>60</v>
      </c>
      <c r="B17" s="3" t="s">
        <v>188</v>
      </c>
      <c r="C17" s="3" t="s">
        <v>189</v>
      </c>
      <c r="D17" s="28" t="s">
        <v>185</v>
      </c>
      <c r="E17" s="26"/>
      <c r="F17" s="27"/>
      <c r="G17" s="28" t="s">
        <v>190</v>
      </c>
      <c r="H17" s="26"/>
      <c r="I17" s="27"/>
    </row>
    <row r="18" spans="1:9" ht="18" customHeight="1" x14ac:dyDescent="0.45">
      <c r="A18" s="12">
        <v>1</v>
      </c>
      <c r="B18" s="12" t="s">
        <v>243</v>
      </c>
      <c r="C18" s="2" t="s">
        <v>265</v>
      </c>
      <c r="D18" s="25" t="s">
        <v>94</v>
      </c>
      <c r="E18" s="26"/>
      <c r="F18" s="27"/>
      <c r="G18" s="25" t="s">
        <v>242</v>
      </c>
      <c r="H18" s="26"/>
      <c r="I18" s="27"/>
    </row>
  </sheetData>
  <mergeCells count="21">
    <mergeCell ref="A1:I1"/>
    <mergeCell ref="H5:I5"/>
    <mergeCell ref="G17:I17"/>
    <mergeCell ref="E3:F3"/>
    <mergeCell ref="A16:I16"/>
    <mergeCell ref="A3:B3"/>
    <mergeCell ref="D14:F14"/>
    <mergeCell ref="C4:I4"/>
    <mergeCell ref="A5:B5"/>
    <mergeCell ref="H3:I3"/>
    <mergeCell ref="A4:B4"/>
    <mergeCell ref="D13:F13"/>
    <mergeCell ref="G13:I13"/>
    <mergeCell ref="E5:F5"/>
    <mergeCell ref="G18:I18"/>
    <mergeCell ref="D17:F17"/>
    <mergeCell ref="A12:I12"/>
    <mergeCell ref="A6:B6"/>
    <mergeCell ref="G14:I14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98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99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SUM(J9:J10)</f>
        <v>2</v>
      </c>
      <c r="F5" s="24"/>
      <c r="G5" s="1" t="s">
        <v>66</v>
      </c>
      <c r="H5" s="25" t="s">
        <v>102</v>
      </c>
      <c r="I5" s="24"/>
    </row>
    <row r="6" spans="1:10" ht="18" customHeight="1" x14ac:dyDescent="0.45">
      <c r="A6" s="29" t="s">
        <v>64</v>
      </c>
      <c r="B6" s="24"/>
      <c r="C6" s="25" t="s">
        <v>100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134</v>
      </c>
      <c r="C9" s="2" t="s">
        <v>262</v>
      </c>
      <c r="D9" s="2" t="s">
        <v>219</v>
      </c>
      <c r="E9" s="12" t="s">
        <v>168</v>
      </c>
      <c r="F9" s="12"/>
      <c r="G9" s="2" t="s">
        <v>132</v>
      </c>
      <c r="H9" s="2"/>
      <c r="I9" s="12" t="s">
        <v>169</v>
      </c>
      <c r="J9" s="2">
        <v>1</v>
      </c>
    </row>
    <row r="10" spans="1:10" x14ac:dyDescent="0.45">
      <c r="A10" s="12">
        <v>2</v>
      </c>
      <c r="B10" s="2" t="s">
        <v>266</v>
      </c>
      <c r="C10" s="2" t="s">
        <v>267</v>
      </c>
      <c r="D10" s="2" t="s">
        <v>167</v>
      </c>
      <c r="E10" s="12" t="s">
        <v>168</v>
      </c>
      <c r="F10" s="12"/>
      <c r="G10" s="2" t="s">
        <v>143</v>
      </c>
      <c r="H10" s="2"/>
      <c r="I10" s="12" t="s">
        <v>169</v>
      </c>
      <c r="J10" s="2">
        <v>1</v>
      </c>
    </row>
    <row r="12" spans="1:10" x14ac:dyDescent="0.45">
      <c r="A12" s="30" t="s">
        <v>182</v>
      </c>
      <c r="B12" s="24"/>
      <c r="C12" s="24"/>
      <c r="D12" s="24"/>
      <c r="E12" s="24"/>
      <c r="F12" s="24"/>
      <c r="G12" s="24"/>
      <c r="H12" s="24"/>
      <c r="I12" s="24"/>
    </row>
    <row r="13" spans="1:10" x14ac:dyDescent="0.45">
      <c r="A13" s="3" t="s">
        <v>60</v>
      </c>
      <c r="B13" s="3" t="s">
        <v>183</v>
      </c>
      <c r="C13" s="3" t="s">
        <v>184</v>
      </c>
      <c r="D13" s="28" t="s">
        <v>185</v>
      </c>
      <c r="E13" s="26"/>
      <c r="F13" s="27"/>
      <c r="G13" s="28" t="s">
        <v>25</v>
      </c>
      <c r="H13" s="26"/>
      <c r="I13" s="27"/>
    </row>
    <row r="14" spans="1:10" x14ac:dyDescent="0.45">
      <c r="A14" s="12" t="s">
        <v>186</v>
      </c>
      <c r="B14" s="12" t="s">
        <v>186</v>
      </c>
      <c r="C14" s="2" t="s">
        <v>159</v>
      </c>
      <c r="D14" s="25"/>
      <c r="E14" s="26"/>
      <c r="F14" s="27"/>
      <c r="G14" s="25"/>
      <c r="H14" s="26"/>
      <c r="I14" s="27"/>
    </row>
    <row r="16" spans="1:10" x14ac:dyDescent="0.45">
      <c r="A16" s="30" t="s">
        <v>187</v>
      </c>
      <c r="B16" s="24"/>
      <c r="C16" s="24"/>
      <c r="D16" s="24"/>
      <c r="E16" s="24"/>
      <c r="F16" s="24"/>
      <c r="G16" s="24"/>
      <c r="H16" s="24"/>
      <c r="I16" s="24"/>
    </row>
    <row r="17" spans="1:9" x14ac:dyDescent="0.45">
      <c r="A17" s="3" t="s">
        <v>60</v>
      </c>
      <c r="B17" s="3" t="s">
        <v>188</v>
      </c>
      <c r="C17" s="3" t="s">
        <v>189</v>
      </c>
      <c r="D17" s="28" t="s">
        <v>185</v>
      </c>
      <c r="E17" s="26"/>
      <c r="F17" s="27"/>
      <c r="G17" s="28" t="s">
        <v>190</v>
      </c>
      <c r="H17" s="26"/>
      <c r="I17" s="27"/>
    </row>
    <row r="18" spans="1:9" x14ac:dyDescent="0.45">
      <c r="A18" s="12" t="s">
        <v>186</v>
      </c>
      <c r="B18" s="12" t="s">
        <v>186</v>
      </c>
      <c r="C18" s="2" t="s">
        <v>159</v>
      </c>
      <c r="D18" s="25"/>
      <c r="E18" s="26"/>
      <c r="F18" s="27"/>
      <c r="G18" s="25"/>
      <c r="H18" s="26"/>
      <c r="I18" s="27"/>
    </row>
  </sheetData>
  <mergeCells count="21">
    <mergeCell ref="A1:I1"/>
    <mergeCell ref="H5:I5"/>
    <mergeCell ref="G17:I17"/>
    <mergeCell ref="E3:F3"/>
    <mergeCell ref="A16:I16"/>
    <mergeCell ref="A3:B3"/>
    <mergeCell ref="D14:F14"/>
    <mergeCell ref="C4:I4"/>
    <mergeCell ref="A5:B5"/>
    <mergeCell ref="H3:I3"/>
    <mergeCell ref="A4:B4"/>
    <mergeCell ref="D13:F13"/>
    <mergeCell ref="G13:I13"/>
    <mergeCell ref="E5:F5"/>
    <mergeCell ref="G18:I18"/>
    <mergeCell ref="D17:F17"/>
    <mergeCell ref="A12:I12"/>
    <mergeCell ref="A6:B6"/>
    <mergeCell ref="G14:I14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103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104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SUM(J9:J30)</f>
        <v>22</v>
      </c>
      <c r="F5" s="24"/>
      <c r="G5" s="1" t="s">
        <v>66</v>
      </c>
      <c r="H5" s="25" t="s">
        <v>107</v>
      </c>
      <c r="I5" s="24"/>
    </row>
    <row r="6" spans="1:10" ht="18" customHeight="1" x14ac:dyDescent="0.45">
      <c r="A6" s="29" t="s">
        <v>64</v>
      </c>
      <c r="B6" s="24"/>
      <c r="C6" s="25" t="s">
        <v>105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268</v>
      </c>
      <c r="C9" s="2" t="s">
        <v>269</v>
      </c>
      <c r="D9" s="2" t="s">
        <v>270</v>
      </c>
      <c r="E9" s="12" t="s">
        <v>168</v>
      </c>
      <c r="F9" s="12"/>
      <c r="G9" s="2"/>
      <c r="H9" s="2"/>
      <c r="I9" s="12" t="s">
        <v>177</v>
      </c>
      <c r="J9" s="2">
        <v>1</v>
      </c>
    </row>
    <row r="10" spans="1:10" x14ac:dyDescent="0.45">
      <c r="A10" s="12">
        <v>2</v>
      </c>
      <c r="B10" s="2" t="s">
        <v>271</v>
      </c>
      <c r="C10" s="2" t="s">
        <v>272</v>
      </c>
      <c r="D10" s="2" t="s">
        <v>273</v>
      </c>
      <c r="E10" s="12" t="s">
        <v>168</v>
      </c>
      <c r="F10" s="12"/>
      <c r="G10" s="2"/>
      <c r="H10" s="2"/>
      <c r="I10" s="12" t="s">
        <v>177</v>
      </c>
      <c r="J10" s="2">
        <v>1</v>
      </c>
    </row>
    <row r="11" spans="1:10" x14ac:dyDescent="0.45">
      <c r="A11" s="12">
        <v>3</v>
      </c>
      <c r="B11" s="2" t="s">
        <v>274</v>
      </c>
      <c r="C11" s="2" t="s">
        <v>275</v>
      </c>
      <c r="D11" s="2" t="s">
        <v>273</v>
      </c>
      <c r="E11" s="12" t="s">
        <v>168</v>
      </c>
      <c r="F11" s="12"/>
      <c r="G11" s="2"/>
      <c r="H11" s="2"/>
      <c r="I11" s="12" t="s">
        <v>177</v>
      </c>
      <c r="J11" s="2">
        <v>1</v>
      </c>
    </row>
    <row r="12" spans="1:10" x14ac:dyDescent="0.45">
      <c r="A12" s="12">
        <v>4</v>
      </c>
      <c r="B12" s="2" t="s">
        <v>276</v>
      </c>
      <c r="C12" s="2" t="s">
        <v>277</v>
      </c>
      <c r="D12" s="2" t="s">
        <v>273</v>
      </c>
      <c r="E12" s="12" t="s">
        <v>168</v>
      </c>
      <c r="F12" s="12"/>
      <c r="G12" s="2"/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278</v>
      </c>
      <c r="C13" s="2" t="s">
        <v>279</v>
      </c>
      <c r="D13" s="2" t="s">
        <v>280</v>
      </c>
      <c r="E13" s="12" t="s">
        <v>168</v>
      </c>
      <c r="F13" s="12"/>
      <c r="G13" s="2" t="s">
        <v>106</v>
      </c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281</v>
      </c>
      <c r="C14" s="2" t="s">
        <v>282</v>
      </c>
      <c r="D14" s="2" t="s">
        <v>237</v>
      </c>
      <c r="E14" s="12" t="s">
        <v>181</v>
      </c>
      <c r="F14" s="12"/>
      <c r="G14" s="2" t="s">
        <v>106</v>
      </c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283</v>
      </c>
      <c r="C15" s="2" t="s">
        <v>284</v>
      </c>
      <c r="D15" s="2" t="s">
        <v>237</v>
      </c>
      <c r="E15" s="12" t="s">
        <v>168</v>
      </c>
      <c r="F15" s="12"/>
      <c r="G15" s="2" t="s">
        <v>106</v>
      </c>
      <c r="H15" s="2"/>
      <c r="I15" s="12" t="s">
        <v>177</v>
      </c>
      <c r="J15" s="2">
        <v>1</v>
      </c>
    </row>
    <row r="16" spans="1:10" x14ac:dyDescent="0.45">
      <c r="A16" s="12">
        <v>8</v>
      </c>
      <c r="B16" s="2" t="s">
        <v>285</v>
      </c>
      <c r="C16" s="2" t="s">
        <v>286</v>
      </c>
      <c r="D16" s="2" t="s">
        <v>237</v>
      </c>
      <c r="E16" s="12" t="s">
        <v>181</v>
      </c>
      <c r="F16" s="12"/>
      <c r="G16" s="2" t="s">
        <v>106</v>
      </c>
      <c r="H16" s="2"/>
      <c r="I16" s="12" t="s">
        <v>177</v>
      </c>
      <c r="J16" s="2">
        <v>1</v>
      </c>
    </row>
    <row r="17" spans="1:10" x14ac:dyDescent="0.45">
      <c r="A17" s="12">
        <v>9</v>
      </c>
      <c r="B17" s="2" t="s">
        <v>287</v>
      </c>
      <c r="C17" s="2" t="s">
        <v>288</v>
      </c>
      <c r="D17" s="2" t="s">
        <v>237</v>
      </c>
      <c r="E17" s="12" t="s">
        <v>168</v>
      </c>
      <c r="F17" s="12"/>
      <c r="G17" s="2" t="s">
        <v>106</v>
      </c>
      <c r="H17" s="2"/>
      <c r="I17" s="12" t="s">
        <v>177</v>
      </c>
      <c r="J17" s="2">
        <v>1</v>
      </c>
    </row>
    <row r="18" spans="1:10" x14ac:dyDescent="0.45">
      <c r="A18" s="12">
        <v>10</v>
      </c>
      <c r="B18" s="2" t="s">
        <v>289</v>
      </c>
      <c r="C18" s="2" t="s">
        <v>290</v>
      </c>
      <c r="D18" s="2" t="s">
        <v>237</v>
      </c>
      <c r="E18" s="12" t="s">
        <v>181</v>
      </c>
      <c r="F18" s="12"/>
      <c r="G18" s="2" t="s">
        <v>106</v>
      </c>
      <c r="H18" s="2"/>
      <c r="I18" s="12" t="s">
        <v>177</v>
      </c>
      <c r="J18" s="2">
        <v>1</v>
      </c>
    </row>
    <row r="19" spans="1:10" x14ac:dyDescent="0.45">
      <c r="A19" s="12">
        <v>11</v>
      </c>
      <c r="B19" s="2" t="s">
        <v>291</v>
      </c>
      <c r="C19" s="2" t="s">
        <v>292</v>
      </c>
      <c r="D19" s="2" t="s">
        <v>237</v>
      </c>
      <c r="E19" s="12" t="s">
        <v>181</v>
      </c>
      <c r="F19" s="12"/>
      <c r="G19" s="2" t="s">
        <v>106</v>
      </c>
      <c r="H19" s="2"/>
      <c r="I19" s="12" t="s">
        <v>177</v>
      </c>
      <c r="J19" s="2">
        <v>1</v>
      </c>
    </row>
    <row r="20" spans="1:10" x14ac:dyDescent="0.45">
      <c r="A20" s="12">
        <v>12</v>
      </c>
      <c r="B20" s="2" t="s">
        <v>293</v>
      </c>
      <c r="C20" s="2" t="s">
        <v>294</v>
      </c>
      <c r="D20" s="2" t="s">
        <v>237</v>
      </c>
      <c r="E20" s="12" t="s">
        <v>181</v>
      </c>
      <c r="F20" s="12"/>
      <c r="G20" s="2" t="s">
        <v>106</v>
      </c>
      <c r="H20" s="2"/>
      <c r="I20" s="12" t="s">
        <v>177</v>
      </c>
      <c r="J20" s="2">
        <v>1</v>
      </c>
    </row>
    <row r="21" spans="1:10" x14ac:dyDescent="0.45">
      <c r="A21" s="12">
        <v>13</v>
      </c>
      <c r="B21" s="2" t="s">
        <v>295</v>
      </c>
      <c r="C21" s="2" t="s">
        <v>296</v>
      </c>
      <c r="D21" s="2" t="s">
        <v>237</v>
      </c>
      <c r="E21" s="12" t="s">
        <v>168</v>
      </c>
      <c r="F21" s="12"/>
      <c r="G21" s="2" t="s">
        <v>106</v>
      </c>
      <c r="H21" s="2"/>
      <c r="I21" s="12" t="s">
        <v>177</v>
      </c>
      <c r="J21" s="2">
        <v>1</v>
      </c>
    </row>
    <row r="22" spans="1:10" x14ac:dyDescent="0.45">
      <c r="A22" s="12">
        <v>14</v>
      </c>
      <c r="B22" s="2" t="s">
        <v>297</v>
      </c>
      <c r="C22" s="2" t="s">
        <v>298</v>
      </c>
      <c r="D22" s="2" t="s">
        <v>237</v>
      </c>
      <c r="E22" s="12" t="s">
        <v>181</v>
      </c>
      <c r="F22" s="12"/>
      <c r="G22" s="2" t="s">
        <v>106</v>
      </c>
      <c r="H22" s="2"/>
      <c r="I22" s="12" t="s">
        <v>177</v>
      </c>
      <c r="J22" s="2">
        <v>1</v>
      </c>
    </row>
    <row r="23" spans="1:10" x14ac:dyDescent="0.45">
      <c r="A23" s="12">
        <v>15</v>
      </c>
      <c r="B23" s="2" t="s">
        <v>299</v>
      </c>
      <c r="C23" s="2" t="s">
        <v>300</v>
      </c>
      <c r="D23" s="2" t="s">
        <v>200</v>
      </c>
      <c r="E23" s="12" t="s">
        <v>181</v>
      </c>
      <c r="F23" s="12"/>
      <c r="G23" s="2"/>
      <c r="H23" s="2"/>
      <c r="I23" s="12" t="s">
        <v>177</v>
      </c>
      <c r="J23" s="2">
        <v>1</v>
      </c>
    </row>
    <row r="24" spans="1:10" x14ac:dyDescent="0.45">
      <c r="A24" s="12">
        <v>16</v>
      </c>
      <c r="B24" s="2" t="s">
        <v>301</v>
      </c>
      <c r="C24" s="2" t="s">
        <v>302</v>
      </c>
      <c r="D24" s="2" t="s">
        <v>200</v>
      </c>
      <c r="E24" s="12" t="s">
        <v>181</v>
      </c>
      <c r="F24" s="12"/>
      <c r="G24" s="2"/>
      <c r="H24" s="2"/>
      <c r="I24" s="12" t="s">
        <v>177</v>
      </c>
      <c r="J24" s="2">
        <v>1</v>
      </c>
    </row>
    <row r="25" spans="1:10" x14ac:dyDescent="0.45">
      <c r="A25" s="12">
        <v>17</v>
      </c>
      <c r="B25" s="2" t="s">
        <v>303</v>
      </c>
      <c r="C25" s="2" t="s">
        <v>304</v>
      </c>
      <c r="D25" s="2" t="s">
        <v>200</v>
      </c>
      <c r="E25" s="12" t="s">
        <v>181</v>
      </c>
      <c r="F25" s="12"/>
      <c r="G25" s="2"/>
      <c r="H25" s="2"/>
      <c r="I25" s="12" t="s">
        <v>177</v>
      </c>
      <c r="J25" s="2">
        <v>1</v>
      </c>
    </row>
    <row r="26" spans="1:10" x14ac:dyDescent="0.45">
      <c r="A26" s="12">
        <v>18</v>
      </c>
      <c r="B26" s="2" t="s">
        <v>305</v>
      </c>
      <c r="C26" s="2" t="s">
        <v>306</v>
      </c>
      <c r="D26" s="2" t="s">
        <v>200</v>
      </c>
      <c r="E26" s="12" t="s">
        <v>181</v>
      </c>
      <c r="F26" s="12"/>
      <c r="G26" s="2"/>
      <c r="H26" s="2"/>
      <c r="I26" s="12" t="s">
        <v>177</v>
      </c>
      <c r="J26" s="2">
        <v>1</v>
      </c>
    </row>
    <row r="27" spans="1:10" x14ac:dyDescent="0.45">
      <c r="A27" s="12">
        <v>19</v>
      </c>
      <c r="B27" s="2" t="s">
        <v>307</v>
      </c>
      <c r="C27" s="2" t="s">
        <v>308</v>
      </c>
      <c r="D27" s="2" t="s">
        <v>200</v>
      </c>
      <c r="E27" s="12" t="s">
        <v>181</v>
      </c>
      <c r="F27" s="12"/>
      <c r="G27" s="2"/>
      <c r="H27" s="2"/>
      <c r="I27" s="12" t="s">
        <v>177</v>
      </c>
      <c r="J27" s="2">
        <v>1</v>
      </c>
    </row>
    <row r="28" spans="1:10" x14ac:dyDescent="0.45">
      <c r="A28" s="12">
        <v>20</v>
      </c>
      <c r="B28" s="2" t="s">
        <v>309</v>
      </c>
      <c r="C28" s="2" t="s">
        <v>310</v>
      </c>
      <c r="D28" s="2" t="s">
        <v>200</v>
      </c>
      <c r="E28" s="12" t="s">
        <v>181</v>
      </c>
      <c r="F28" s="12"/>
      <c r="G28" s="2"/>
      <c r="H28" s="2"/>
      <c r="I28" s="12" t="s">
        <v>177</v>
      </c>
      <c r="J28" s="2">
        <v>1</v>
      </c>
    </row>
    <row r="29" spans="1:10" x14ac:dyDescent="0.45">
      <c r="A29" s="12">
        <v>21</v>
      </c>
      <c r="B29" s="2" t="s">
        <v>311</v>
      </c>
      <c r="C29" s="2" t="s">
        <v>312</v>
      </c>
      <c r="D29" s="2" t="s">
        <v>200</v>
      </c>
      <c r="E29" s="12" t="s">
        <v>181</v>
      </c>
      <c r="F29" s="12"/>
      <c r="G29" s="2"/>
      <c r="H29" s="2"/>
      <c r="I29" s="12" t="s">
        <v>177</v>
      </c>
      <c r="J29" s="2">
        <v>1</v>
      </c>
    </row>
    <row r="30" spans="1:10" x14ac:dyDescent="0.45">
      <c r="A30" s="12">
        <v>22</v>
      </c>
      <c r="B30" s="2" t="s">
        <v>313</v>
      </c>
      <c r="C30" s="2" t="s">
        <v>314</v>
      </c>
      <c r="D30" s="2" t="s">
        <v>200</v>
      </c>
      <c r="E30" s="12" t="s">
        <v>181</v>
      </c>
      <c r="F30" s="12"/>
      <c r="G30" s="2"/>
      <c r="H30" s="2"/>
      <c r="I30" s="12" t="s">
        <v>177</v>
      </c>
      <c r="J30" s="2">
        <v>1</v>
      </c>
    </row>
    <row r="32" spans="1:10" x14ac:dyDescent="0.45">
      <c r="A32" s="30" t="s">
        <v>182</v>
      </c>
      <c r="B32" s="24"/>
      <c r="C32" s="24"/>
      <c r="D32" s="24"/>
      <c r="E32" s="24"/>
      <c r="F32" s="24"/>
      <c r="G32" s="24"/>
      <c r="H32" s="24"/>
      <c r="I32" s="24"/>
    </row>
    <row r="33" spans="1:9" x14ac:dyDescent="0.45">
      <c r="A33" s="3" t="s">
        <v>60</v>
      </c>
      <c r="B33" s="3" t="s">
        <v>183</v>
      </c>
      <c r="C33" s="3" t="s">
        <v>184</v>
      </c>
      <c r="D33" s="28" t="s">
        <v>185</v>
      </c>
      <c r="E33" s="26"/>
      <c r="F33" s="27"/>
      <c r="G33" s="28" t="s">
        <v>25</v>
      </c>
      <c r="H33" s="26"/>
      <c r="I33" s="27"/>
    </row>
    <row r="34" spans="1:9" x14ac:dyDescent="0.45">
      <c r="A34" s="12" t="s">
        <v>186</v>
      </c>
      <c r="B34" s="12" t="s">
        <v>186</v>
      </c>
      <c r="C34" s="2" t="s">
        <v>159</v>
      </c>
      <c r="D34" s="25"/>
      <c r="E34" s="26"/>
      <c r="F34" s="27"/>
      <c r="G34" s="25"/>
      <c r="H34" s="26"/>
      <c r="I34" s="27"/>
    </row>
    <row r="36" spans="1:9" x14ac:dyDescent="0.45">
      <c r="A36" s="30" t="s">
        <v>187</v>
      </c>
      <c r="B36" s="24"/>
      <c r="C36" s="24"/>
      <c r="D36" s="24"/>
      <c r="E36" s="24"/>
      <c r="F36" s="24"/>
      <c r="G36" s="24"/>
      <c r="H36" s="24"/>
      <c r="I36" s="24"/>
    </row>
    <row r="37" spans="1:9" x14ac:dyDescent="0.45">
      <c r="A37" s="3" t="s">
        <v>60</v>
      </c>
      <c r="B37" s="3" t="s">
        <v>188</v>
      </c>
      <c r="C37" s="3" t="s">
        <v>189</v>
      </c>
      <c r="D37" s="28" t="s">
        <v>185</v>
      </c>
      <c r="E37" s="26"/>
      <c r="F37" s="27"/>
      <c r="G37" s="28" t="s">
        <v>190</v>
      </c>
      <c r="H37" s="26"/>
      <c r="I37" s="27"/>
    </row>
    <row r="38" spans="1:9" ht="18" customHeight="1" x14ac:dyDescent="0.45">
      <c r="A38" s="12">
        <v>1</v>
      </c>
      <c r="B38" s="12" t="s">
        <v>186</v>
      </c>
      <c r="C38" s="2" t="s">
        <v>315</v>
      </c>
      <c r="D38" s="25" t="s">
        <v>316</v>
      </c>
      <c r="E38" s="26"/>
      <c r="F38" s="27"/>
      <c r="G38" s="25"/>
      <c r="H38" s="26"/>
      <c r="I38" s="27"/>
    </row>
  </sheetData>
  <mergeCells count="21">
    <mergeCell ref="A1:I1"/>
    <mergeCell ref="H5:I5"/>
    <mergeCell ref="E3:F3"/>
    <mergeCell ref="A3:B3"/>
    <mergeCell ref="D33:F33"/>
    <mergeCell ref="D38:F38"/>
    <mergeCell ref="C4:I4"/>
    <mergeCell ref="A5:B5"/>
    <mergeCell ref="D34:F34"/>
    <mergeCell ref="H3:I3"/>
    <mergeCell ref="A4:B4"/>
    <mergeCell ref="A36:I36"/>
    <mergeCell ref="G38:I38"/>
    <mergeCell ref="G37:I37"/>
    <mergeCell ref="E5:F5"/>
    <mergeCell ref="G34:I34"/>
    <mergeCell ref="A6:B6"/>
    <mergeCell ref="G33:I33"/>
    <mergeCell ref="D37:F37"/>
    <mergeCell ref="A32:I32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108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109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317</v>
      </c>
      <c r="D5" s="1" t="s">
        <v>18</v>
      </c>
      <c r="E5" s="23">
        <f>SUM(J9:J24)</f>
        <v>16</v>
      </c>
      <c r="F5" s="24"/>
      <c r="G5" s="1" t="s">
        <v>66</v>
      </c>
      <c r="H5" s="25" t="s">
        <v>112</v>
      </c>
      <c r="I5" s="24"/>
    </row>
    <row r="6" spans="1:10" ht="18" customHeight="1" x14ac:dyDescent="0.45">
      <c r="A6" s="29" t="s">
        <v>64</v>
      </c>
      <c r="B6" s="24"/>
      <c r="C6" s="25" t="s">
        <v>111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191</v>
      </c>
      <c r="C9" s="2" t="s">
        <v>318</v>
      </c>
      <c r="D9" s="2" t="s">
        <v>263</v>
      </c>
      <c r="E9" s="12" t="s">
        <v>181</v>
      </c>
      <c r="F9" s="12"/>
      <c r="G9" s="2"/>
      <c r="H9" s="2"/>
      <c r="I9" s="12" t="s">
        <v>177</v>
      </c>
      <c r="J9" s="2">
        <v>1</v>
      </c>
    </row>
    <row r="10" spans="1:10" x14ac:dyDescent="0.45">
      <c r="A10" s="16">
        <v>2</v>
      </c>
      <c r="B10" s="17" t="s">
        <v>319</v>
      </c>
      <c r="C10" s="17" t="s">
        <v>320</v>
      </c>
      <c r="D10" s="17" t="s">
        <v>321</v>
      </c>
      <c r="E10" s="16" t="s">
        <v>168</v>
      </c>
      <c r="F10" s="16">
        <v>1</v>
      </c>
      <c r="G10" s="17"/>
      <c r="H10" s="17"/>
      <c r="I10" s="16" t="s">
        <v>177</v>
      </c>
      <c r="J10" s="17">
        <v>1</v>
      </c>
    </row>
    <row r="11" spans="1:10" x14ac:dyDescent="0.45">
      <c r="A11" s="12">
        <v>3</v>
      </c>
      <c r="B11" s="2" t="s">
        <v>322</v>
      </c>
      <c r="C11" s="2" t="s">
        <v>323</v>
      </c>
      <c r="D11" s="2" t="s">
        <v>263</v>
      </c>
      <c r="E11" s="12" t="s">
        <v>181</v>
      </c>
      <c r="F11" s="12"/>
      <c r="G11" s="2"/>
      <c r="H11" s="2"/>
      <c r="I11" s="12" t="s">
        <v>229</v>
      </c>
      <c r="J11" s="2">
        <v>1</v>
      </c>
    </row>
    <row r="12" spans="1:10" x14ac:dyDescent="0.45">
      <c r="A12" s="16">
        <v>4</v>
      </c>
      <c r="B12" s="17" t="s">
        <v>324</v>
      </c>
      <c r="C12" s="17" t="s">
        <v>325</v>
      </c>
      <c r="D12" s="17" t="s">
        <v>326</v>
      </c>
      <c r="E12" s="16" t="s">
        <v>168</v>
      </c>
      <c r="F12" s="16">
        <v>2</v>
      </c>
      <c r="G12" s="17"/>
      <c r="H12" s="17"/>
      <c r="I12" s="16" t="s">
        <v>177</v>
      </c>
      <c r="J12" s="17">
        <v>1</v>
      </c>
    </row>
    <row r="13" spans="1:10" x14ac:dyDescent="0.45">
      <c r="A13" s="12">
        <v>5</v>
      </c>
      <c r="B13" s="2" t="s">
        <v>327</v>
      </c>
      <c r="C13" s="2" t="s">
        <v>328</v>
      </c>
      <c r="D13" s="2" t="s">
        <v>321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329</v>
      </c>
      <c r="C14" s="2" t="s">
        <v>330</v>
      </c>
      <c r="D14" s="2" t="s">
        <v>219</v>
      </c>
      <c r="E14" s="12" t="s">
        <v>181</v>
      </c>
      <c r="F14" s="12"/>
      <c r="G14" s="2"/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331</v>
      </c>
      <c r="C15" s="2" t="s">
        <v>332</v>
      </c>
      <c r="D15" s="2" t="s">
        <v>333</v>
      </c>
      <c r="E15" s="12" t="s">
        <v>181</v>
      </c>
      <c r="F15" s="12"/>
      <c r="G15" s="2"/>
      <c r="H15" s="2"/>
      <c r="I15" s="12" t="s">
        <v>229</v>
      </c>
      <c r="J15" s="2">
        <v>1</v>
      </c>
    </row>
    <row r="16" spans="1:10" x14ac:dyDescent="0.45">
      <c r="A16" s="12">
        <v>8</v>
      </c>
      <c r="B16" s="2" t="s">
        <v>334</v>
      </c>
      <c r="C16" s="2" t="s">
        <v>335</v>
      </c>
      <c r="D16" s="2" t="s">
        <v>333</v>
      </c>
      <c r="E16" s="12" t="s">
        <v>181</v>
      </c>
      <c r="F16" s="12"/>
      <c r="G16" s="2"/>
      <c r="H16" s="2"/>
      <c r="I16" s="12" t="s">
        <v>229</v>
      </c>
      <c r="J16" s="2">
        <v>1</v>
      </c>
    </row>
    <row r="17" spans="1:10" x14ac:dyDescent="0.45">
      <c r="A17" s="12">
        <v>9</v>
      </c>
      <c r="B17" s="2" t="s">
        <v>216</v>
      </c>
      <c r="C17" s="2" t="s">
        <v>336</v>
      </c>
      <c r="D17" s="2" t="s">
        <v>263</v>
      </c>
      <c r="E17" s="12" t="s">
        <v>181</v>
      </c>
      <c r="F17" s="12"/>
      <c r="G17" s="2"/>
      <c r="H17" s="2"/>
      <c r="I17" s="12" t="s">
        <v>177</v>
      </c>
      <c r="J17" s="2">
        <v>1</v>
      </c>
    </row>
    <row r="18" spans="1:10" x14ac:dyDescent="0.45">
      <c r="A18" s="12">
        <v>10</v>
      </c>
      <c r="B18" s="2" t="s">
        <v>337</v>
      </c>
      <c r="C18" s="2" t="s">
        <v>338</v>
      </c>
      <c r="D18" s="2" t="s">
        <v>237</v>
      </c>
      <c r="E18" s="12" t="s">
        <v>181</v>
      </c>
      <c r="F18" s="12"/>
      <c r="G18" s="2"/>
      <c r="H18" s="2"/>
      <c r="I18" s="12" t="s">
        <v>229</v>
      </c>
      <c r="J18" s="2">
        <v>1</v>
      </c>
    </row>
    <row r="19" spans="1:10" x14ac:dyDescent="0.45">
      <c r="A19" s="12">
        <v>11</v>
      </c>
      <c r="B19" s="2" t="s">
        <v>339</v>
      </c>
      <c r="C19" s="2" t="s">
        <v>340</v>
      </c>
      <c r="D19" s="2" t="s">
        <v>237</v>
      </c>
      <c r="E19" s="12" t="s">
        <v>181</v>
      </c>
      <c r="F19" s="12"/>
      <c r="G19" s="2"/>
      <c r="H19" s="2"/>
      <c r="I19" s="12" t="s">
        <v>229</v>
      </c>
      <c r="J19" s="2">
        <v>1</v>
      </c>
    </row>
    <row r="20" spans="1:10" x14ac:dyDescent="0.45">
      <c r="A20" s="12">
        <v>12</v>
      </c>
      <c r="B20" s="2" t="s">
        <v>341</v>
      </c>
      <c r="C20" s="2" t="s">
        <v>342</v>
      </c>
      <c r="D20" s="2" t="s">
        <v>343</v>
      </c>
      <c r="E20" s="12" t="s">
        <v>181</v>
      </c>
      <c r="F20" s="12"/>
      <c r="G20" s="2"/>
      <c r="H20" s="2"/>
      <c r="I20" s="12" t="s">
        <v>229</v>
      </c>
      <c r="J20" s="2">
        <v>1</v>
      </c>
    </row>
    <row r="21" spans="1:10" x14ac:dyDescent="0.45">
      <c r="A21" s="12">
        <v>13</v>
      </c>
      <c r="B21" s="2" t="s">
        <v>344</v>
      </c>
      <c r="C21" s="2" t="s">
        <v>345</v>
      </c>
      <c r="D21" s="2" t="s">
        <v>333</v>
      </c>
      <c r="E21" s="12" t="s">
        <v>181</v>
      </c>
      <c r="F21" s="12"/>
      <c r="G21" s="2"/>
      <c r="H21" s="2"/>
      <c r="I21" s="12" t="s">
        <v>229</v>
      </c>
      <c r="J21" s="2">
        <v>1</v>
      </c>
    </row>
    <row r="22" spans="1:10" x14ac:dyDescent="0.45">
      <c r="A22" s="12">
        <v>14</v>
      </c>
      <c r="B22" s="2" t="s">
        <v>346</v>
      </c>
      <c r="C22" s="2" t="s">
        <v>347</v>
      </c>
      <c r="D22" s="2" t="s">
        <v>219</v>
      </c>
      <c r="E22" s="12" t="s">
        <v>181</v>
      </c>
      <c r="F22" s="12"/>
      <c r="G22" s="2"/>
      <c r="H22" s="2"/>
      <c r="I22" s="12" t="s">
        <v>177</v>
      </c>
      <c r="J22" s="2">
        <v>1</v>
      </c>
    </row>
    <row r="23" spans="1:10" x14ac:dyDescent="0.45">
      <c r="A23" s="12">
        <v>15</v>
      </c>
      <c r="B23" s="2" t="s">
        <v>348</v>
      </c>
      <c r="C23" s="2" t="s">
        <v>349</v>
      </c>
      <c r="D23" s="2" t="s">
        <v>333</v>
      </c>
      <c r="E23" s="12" t="s">
        <v>181</v>
      </c>
      <c r="F23" s="12"/>
      <c r="G23" s="2"/>
      <c r="H23" s="2"/>
      <c r="I23" s="12" t="s">
        <v>177</v>
      </c>
      <c r="J23" s="2">
        <v>1</v>
      </c>
    </row>
    <row r="24" spans="1:10" x14ac:dyDescent="0.45">
      <c r="A24" s="12">
        <v>16</v>
      </c>
      <c r="B24" s="2" t="s">
        <v>350</v>
      </c>
      <c r="C24" s="2" t="s">
        <v>351</v>
      </c>
      <c r="D24" s="2" t="s">
        <v>219</v>
      </c>
      <c r="E24" s="12" t="s">
        <v>181</v>
      </c>
      <c r="F24" s="12"/>
      <c r="G24" s="2"/>
      <c r="H24" s="2"/>
      <c r="I24" s="12" t="s">
        <v>229</v>
      </c>
      <c r="J24" s="2">
        <v>1</v>
      </c>
    </row>
    <row r="26" spans="1:10" x14ac:dyDescent="0.45">
      <c r="A26" s="30" t="s">
        <v>182</v>
      </c>
      <c r="B26" s="24"/>
      <c r="C26" s="24"/>
      <c r="D26" s="24"/>
      <c r="E26" s="24"/>
      <c r="F26" s="24"/>
      <c r="G26" s="24"/>
      <c r="H26" s="24"/>
      <c r="I26" s="24"/>
    </row>
    <row r="27" spans="1:10" x14ac:dyDescent="0.45">
      <c r="A27" s="3" t="s">
        <v>60</v>
      </c>
      <c r="B27" s="3" t="s">
        <v>183</v>
      </c>
      <c r="C27" s="3" t="s">
        <v>184</v>
      </c>
      <c r="D27" s="28" t="s">
        <v>185</v>
      </c>
      <c r="E27" s="26"/>
      <c r="F27" s="27"/>
      <c r="G27" s="28" t="s">
        <v>25</v>
      </c>
      <c r="H27" s="26"/>
      <c r="I27" s="27"/>
    </row>
    <row r="28" spans="1:10" ht="18" customHeight="1" x14ac:dyDescent="0.45">
      <c r="A28" s="12">
        <v>1</v>
      </c>
      <c r="B28" s="12" t="s">
        <v>163</v>
      </c>
      <c r="C28" s="2" t="s">
        <v>352</v>
      </c>
      <c r="D28" s="25" t="s">
        <v>110</v>
      </c>
      <c r="E28" s="26"/>
      <c r="F28" s="27"/>
      <c r="G28" s="25" t="s">
        <v>242</v>
      </c>
      <c r="H28" s="26"/>
      <c r="I28" s="27"/>
    </row>
    <row r="30" spans="1:10" x14ac:dyDescent="0.45">
      <c r="A30" s="30" t="s">
        <v>187</v>
      </c>
      <c r="B30" s="24"/>
      <c r="C30" s="24"/>
      <c r="D30" s="24"/>
      <c r="E30" s="24"/>
      <c r="F30" s="24"/>
      <c r="G30" s="24"/>
      <c r="H30" s="24"/>
      <c r="I30" s="24"/>
    </row>
    <row r="31" spans="1:10" x14ac:dyDescent="0.45">
      <c r="A31" s="3" t="s">
        <v>60</v>
      </c>
      <c r="B31" s="3" t="s">
        <v>188</v>
      </c>
      <c r="C31" s="3" t="s">
        <v>189</v>
      </c>
      <c r="D31" s="28" t="s">
        <v>185</v>
      </c>
      <c r="E31" s="26"/>
      <c r="F31" s="27"/>
      <c r="G31" s="28" t="s">
        <v>190</v>
      </c>
      <c r="H31" s="26"/>
      <c r="I31" s="27"/>
    </row>
    <row r="32" spans="1:10" ht="18" customHeight="1" x14ac:dyDescent="0.45">
      <c r="A32" s="12">
        <v>1</v>
      </c>
      <c r="B32" s="12" t="s">
        <v>186</v>
      </c>
      <c r="C32" s="2" t="s">
        <v>353</v>
      </c>
      <c r="D32" s="25" t="s">
        <v>319</v>
      </c>
      <c r="E32" s="26"/>
      <c r="F32" s="27"/>
      <c r="G32" s="25"/>
      <c r="H32" s="26"/>
      <c r="I32" s="27"/>
    </row>
    <row r="33" spans="1:9" ht="18" customHeight="1" x14ac:dyDescent="0.45">
      <c r="A33" s="12">
        <v>2</v>
      </c>
      <c r="B33" s="12" t="s">
        <v>186</v>
      </c>
      <c r="C33" s="2" t="s">
        <v>354</v>
      </c>
      <c r="D33" s="25" t="s">
        <v>324</v>
      </c>
      <c r="E33" s="26"/>
      <c r="F33" s="27"/>
      <c r="G33" s="25"/>
      <c r="H33" s="26"/>
      <c r="I33" s="27"/>
    </row>
    <row r="34" spans="1:9" ht="18" customHeight="1" x14ac:dyDescent="0.45">
      <c r="A34" s="12">
        <v>3</v>
      </c>
      <c r="B34" s="12" t="s">
        <v>243</v>
      </c>
      <c r="C34" s="2" t="s">
        <v>352</v>
      </c>
      <c r="D34" s="25" t="s">
        <v>110</v>
      </c>
      <c r="E34" s="26"/>
      <c r="F34" s="27"/>
      <c r="G34" s="25" t="s">
        <v>242</v>
      </c>
      <c r="H34" s="26"/>
      <c r="I34" s="27"/>
    </row>
  </sheetData>
  <mergeCells count="25">
    <mergeCell ref="A1:I1"/>
    <mergeCell ref="H5:I5"/>
    <mergeCell ref="E3:F3"/>
    <mergeCell ref="A3:B3"/>
    <mergeCell ref="D33:F33"/>
    <mergeCell ref="G32:I32"/>
    <mergeCell ref="G31:I31"/>
    <mergeCell ref="C4:I4"/>
    <mergeCell ref="A5:B5"/>
    <mergeCell ref="A30:I30"/>
    <mergeCell ref="H3:I3"/>
    <mergeCell ref="A4:B4"/>
    <mergeCell ref="G27:I27"/>
    <mergeCell ref="D31:F31"/>
    <mergeCell ref="D27:F27"/>
    <mergeCell ref="G28:I28"/>
    <mergeCell ref="D32:F32"/>
    <mergeCell ref="E5:F5"/>
    <mergeCell ref="G34:I34"/>
    <mergeCell ref="A26:I26"/>
    <mergeCell ref="A6:B6"/>
    <mergeCell ref="G33:I33"/>
    <mergeCell ref="D28:F28"/>
    <mergeCell ref="C6:I6"/>
    <mergeCell ref="D34:F34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113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114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355</v>
      </c>
      <c r="D5" s="1" t="s">
        <v>18</v>
      </c>
      <c r="E5" s="23">
        <f>SUM(J9:J24)</f>
        <v>20</v>
      </c>
      <c r="F5" s="24"/>
      <c r="G5" s="1" t="s">
        <v>66</v>
      </c>
      <c r="H5" s="25" t="s">
        <v>118</v>
      </c>
      <c r="I5" s="24"/>
    </row>
    <row r="6" spans="1:10" ht="18" customHeight="1" x14ac:dyDescent="0.45">
      <c r="A6" s="29" t="s">
        <v>64</v>
      </c>
      <c r="B6" s="24"/>
      <c r="C6" s="25" t="s">
        <v>116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356</v>
      </c>
      <c r="C9" s="2" t="s">
        <v>357</v>
      </c>
      <c r="D9" s="2" t="s">
        <v>219</v>
      </c>
      <c r="E9" s="12" t="s">
        <v>181</v>
      </c>
      <c r="F9" s="12"/>
      <c r="G9" s="2"/>
      <c r="H9" s="2"/>
      <c r="I9" s="12" t="s">
        <v>358</v>
      </c>
      <c r="J9" s="2">
        <v>1</v>
      </c>
    </row>
    <row r="10" spans="1:10" x14ac:dyDescent="0.45">
      <c r="A10" s="16">
        <v>2</v>
      </c>
      <c r="B10" s="17" t="s">
        <v>115</v>
      </c>
      <c r="C10" s="17" t="s">
        <v>359</v>
      </c>
      <c r="D10" s="17" t="s">
        <v>333</v>
      </c>
      <c r="E10" s="16" t="s">
        <v>168</v>
      </c>
      <c r="F10" s="16">
        <v>1</v>
      </c>
      <c r="G10" s="17"/>
      <c r="H10" s="17"/>
      <c r="I10" s="16" t="s">
        <v>177</v>
      </c>
      <c r="J10" s="17">
        <v>1</v>
      </c>
    </row>
    <row r="11" spans="1:10" x14ac:dyDescent="0.45">
      <c r="A11" s="12">
        <v>3</v>
      </c>
      <c r="B11" s="2" t="s">
        <v>360</v>
      </c>
      <c r="C11" s="2" t="s">
        <v>361</v>
      </c>
      <c r="D11" s="2" t="s">
        <v>200</v>
      </c>
      <c r="E11" s="12" t="s">
        <v>181</v>
      </c>
      <c r="F11" s="12"/>
      <c r="G11" s="2"/>
      <c r="H11" s="2"/>
      <c r="I11" s="12" t="s">
        <v>229</v>
      </c>
      <c r="J11" s="2">
        <v>1</v>
      </c>
    </row>
    <row r="12" spans="1:10" x14ac:dyDescent="0.45">
      <c r="A12" s="12">
        <v>4</v>
      </c>
      <c r="B12" s="2" t="s">
        <v>362</v>
      </c>
      <c r="C12" s="2" t="s">
        <v>363</v>
      </c>
      <c r="D12" s="2" t="s">
        <v>333</v>
      </c>
      <c r="E12" s="12" t="s">
        <v>181</v>
      </c>
      <c r="F12" s="12"/>
      <c r="G12" s="2"/>
      <c r="H12" s="2"/>
      <c r="I12" s="12" t="s">
        <v>229</v>
      </c>
      <c r="J12" s="2">
        <v>1</v>
      </c>
    </row>
    <row r="13" spans="1:10" x14ac:dyDescent="0.45">
      <c r="A13" s="12">
        <v>5</v>
      </c>
      <c r="B13" s="2" t="s">
        <v>281</v>
      </c>
      <c r="C13" s="2" t="s">
        <v>364</v>
      </c>
      <c r="D13" s="2" t="s">
        <v>333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365</v>
      </c>
      <c r="C14" s="2" t="s">
        <v>366</v>
      </c>
      <c r="D14" s="2" t="s">
        <v>333</v>
      </c>
      <c r="E14" s="12" t="s">
        <v>181</v>
      </c>
      <c r="F14" s="12"/>
      <c r="G14" s="2"/>
      <c r="H14" s="2"/>
      <c r="I14" s="12" t="s">
        <v>229</v>
      </c>
      <c r="J14" s="2">
        <v>1</v>
      </c>
    </row>
    <row r="15" spans="1:10" x14ac:dyDescent="0.45">
      <c r="A15" s="12">
        <v>7</v>
      </c>
      <c r="B15" s="2" t="s">
        <v>367</v>
      </c>
      <c r="C15" s="2" t="s">
        <v>368</v>
      </c>
      <c r="D15" s="2" t="s">
        <v>333</v>
      </c>
      <c r="E15" s="12" t="s">
        <v>181</v>
      </c>
      <c r="F15" s="12"/>
      <c r="G15" s="2"/>
      <c r="H15" s="2"/>
      <c r="I15" s="12" t="s">
        <v>177</v>
      </c>
      <c r="J15" s="2">
        <v>1</v>
      </c>
    </row>
    <row r="16" spans="1:10" x14ac:dyDescent="0.45">
      <c r="A16" s="12">
        <v>8</v>
      </c>
      <c r="B16" s="2" t="s">
        <v>369</v>
      </c>
      <c r="C16" s="2" t="s">
        <v>370</v>
      </c>
      <c r="D16" s="2" t="s">
        <v>333</v>
      </c>
      <c r="E16" s="12" t="s">
        <v>181</v>
      </c>
      <c r="F16" s="12"/>
      <c r="G16" s="2" t="s">
        <v>371</v>
      </c>
      <c r="H16" s="2"/>
      <c r="I16" s="12" t="s">
        <v>177</v>
      </c>
      <c r="J16" s="2">
        <v>1</v>
      </c>
    </row>
    <row r="17" spans="1:10" x14ac:dyDescent="0.45">
      <c r="A17" s="12">
        <v>9</v>
      </c>
      <c r="B17" s="2" t="s">
        <v>329</v>
      </c>
      <c r="C17" s="2" t="s">
        <v>372</v>
      </c>
      <c r="D17" s="2" t="s">
        <v>219</v>
      </c>
      <c r="E17" s="12" t="s">
        <v>181</v>
      </c>
      <c r="F17" s="12"/>
      <c r="G17" s="2"/>
      <c r="H17" s="2"/>
      <c r="I17" s="12" t="s">
        <v>229</v>
      </c>
      <c r="J17" s="2">
        <v>1</v>
      </c>
    </row>
    <row r="18" spans="1:10" x14ac:dyDescent="0.45">
      <c r="A18" s="12">
        <v>10</v>
      </c>
      <c r="B18" s="2" t="s">
        <v>331</v>
      </c>
      <c r="C18" s="2" t="s">
        <v>373</v>
      </c>
      <c r="D18" s="2" t="s">
        <v>237</v>
      </c>
      <c r="E18" s="12" t="s">
        <v>181</v>
      </c>
      <c r="F18" s="12"/>
      <c r="G18" s="2"/>
      <c r="H18" s="2"/>
      <c r="I18" s="12" t="s">
        <v>229</v>
      </c>
      <c r="J18" s="2">
        <v>1</v>
      </c>
    </row>
    <row r="19" spans="1:10" x14ac:dyDescent="0.45">
      <c r="A19" s="12">
        <v>11</v>
      </c>
      <c r="B19" s="2" t="s">
        <v>216</v>
      </c>
      <c r="C19" s="2" t="s">
        <v>374</v>
      </c>
      <c r="D19" s="2" t="s">
        <v>219</v>
      </c>
      <c r="E19" s="12" t="s">
        <v>181</v>
      </c>
      <c r="F19" s="12"/>
      <c r="G19" s="2"/>
      <c r="H19" s="2"/>
      <c r="I19" s="12" t="s">
        <v>229</v>
      </c>
      <c r="J19" s="2">
        <v>1</v>
      </c>
    </row>
    <row r="20" spans="1:10" x14ac:dyDescent="0.45">
      <c r="A20" s="12">
        <v>12</v>
      </c>
      <c r="B20" s="2" t="s">
        <v>339</v>
      </c>
      <c r="C20" s="2" t="s">
        <v>375</v>
      </c>
      <c r="D20" s="2" t="s">
        <v>237</v>
      </c>
      <c r="E20" s="12" t="s">
        <v>181</v>
      </c>
      <c r="F20" s="12"/>
      <c r="G20" s="2"/>
      <c r="H20" s="2"/>
      <c r="I20" s="12" t="s">
        <v>229</v>
      </c>
      <c r="J20" s="2">
        <v>1</v>
      </c>
    </row>
    <row r="21" spans="1:10" x14ac:dyDescent="0.45">
      <c r="A21" s="12">
        <v>13</v>
      </c>
      <c r="B21" s="2" t="s">
        <v>376</v>
      </c>
      <c r="C21" s="2" t="s">
        <v>377</v>
      </c>
      <c r="D21" s="2" t="s">
        <v>203</v>
      </c>
      <c r="E21" s="12" t="s">
        <v>181</v>
      </c>
      <c r="F21" s="12"/>
      <c r="G21" s="2"/>
      <c r="H21" s="2"/>
      <c r="I21" s="12" t="s">
        <v>229</v>
      </c>
      <c r="J21" s="2">
        <v>1</v>
      </c>
    </row>
    <row r="22" spans="1:10" x14ac:dyDescent="0.45">
      <c r="A22" s="12">
        <v>14</v>
      </c>
      <c r="B22" s="2" t="s">
        <v>378</v>
      </c>
      <c r="C22" s="2" t="s">
        <v>379</v>
      </c>
      <c r="D22" s="2" t="s">
        <v>203</v>
      </c>
      <c r="E22" s="12" t="s">
        <v>181</v>
      </c>
      <c r="F22" s="12"/>
      <c r="G22" s="2"/>
      <c r="H22" s="2"/>
      <c r="I22" s="12" t="s">
        <v>229</v>
      </c>
      <c r="J22" s="2">
        <v>1</v>
      </c>
    </row>
    <row r="23" spans="1:10" x14ac:dyDescent="0.45">
      <c r="A23" s="12">
        <v>15</v>
      </c>
      <c r="B23" s="2" t="s">
        <v>380</v>
      </c>
      <c r="C23" s="2" t="s">
        <v>381</v>
      </c>
      <c r="D23" s="2" t="s">
        <v>203</v>
      </c>
      <c r="E23" s="12" t="s">
        <v>181</v>
      </c>
      <c r="F23" s="12"/>
      <c r="G23" s="2"/>
      <c r="H23" s="2"/>
      <c r="I23" s="12" t="s">
        <v>229</v>
      </c>
      <c r="J23" s="2">
        <v>1</v>
      </c>
    </row>
    <row r="24" spans="1:10" x14ac:dyDescent="0.45">
      <c r="A24" s="18" t="s">
        <v>382</v>
      </c>
      <c r="B24" s="19" t="s">
        <v>383</v>
      </c>
      <c r="C24" s="19" t="s">
        <v>384</v>
      </c>
      <c r="D24" s="19" t="s">
        <v>333</v>
      </c>
      <c r="E24" s="18" t="s">
        <v>181</v>
      </c>
      <c r="F24" s="18"/>
      <c r="G24" s="19"/>
      <c r="H24" s="19"/>
      <c r="I24" s="18" t="s">
        <v>229</v>
      </c>
      <c r="J24" s="19">
        <v>5</v>
      </c>
    </row>
    <row r="26" spans="1:10" x14ac:dyDescent="0.45">
      <c r="A26" s="30" t="s">
        <v>182</v>
      </c>
      <c r="B26" s="24"/>
      <c r="C26" s="24"/>
      <c r="D26" s="24"/>
      <c r="E26" s="24"/>
      <c r="F26" s="24"/>
      <c r="G26" s="24"/>
      <c r="H26" s="24"/>
      <c r="I26" s="24"/>
    </row>
    <row r="27" spans="1:10" x14ac:dyDescent="0.45">
      <c r="A27" s="3" t="s">
        <v>60</v>
      </c>
      <c r="B27" s="3" t="s">
        <v>183</v>
      </c>
      <c r="C27" s="3" t="s">
        <v>184</v>
      </c>
      <c r="D27" s="28" t="s">
        <v>185</v>
      </c>
      <c r="E27" s="26"/>
      <c r="F27" s="27"/>
      <c r="G27" s="28" t="s">
        <v>25</v>
      </c>
      <c r="H27" s="26"/>
      <c r="I27" s="27"/>
    </row>
    <row r="28" spans="1:10" ht="18" customHeight="1" x14ac:dyDescent="0.45">
      <c r="A28" s="12">
        <v>1</v>
      </c>
      <c r="B28" s="12" t="s">
        <v>163</v>
      </c>
      <c r="C28" s="2" t="s">
        <v>385</v>
      </c>
      <c r="D28" s="25" t="s">
        <v>115</v>
      </c>
      <c r="E28" s="26"/>
      <c r="F28" s="27"/>
      <c r="G28" s="25" t="s">
        <v>242</v>
      </c>
      <c r="H28" s="26"/>
      <c r="I28" s="27"/>
    </row>
    <row r="30" spans="1:10" x14ac:dyDescent="0.45">
      <c r="A30" s="30" t="s">
        <v>187</v>
      </c>
      <c r="B30" s="24"/>
      <c r="C30" s="24"/>
      <c r="D30" s="24"/>
      <c r="E30" s="24"/>
      <c r="F30" s="24"/>
      <c r="G30" s="24"/>
      <c r="H30" s="24"/>
      <c r="I30" s="24"/>
    </row>
    <row r="31" spans="1:10" x14ac:dyDescent="0.45">
      <c r="A31" s="3" t="s">
        <v>60</v>
      </c>
      <c r="B31" s="3" t="s">
        <v>188</v>
      </c>
      <c r="C31" s="3" t="s">
        <v>189</v>
      </c>
      <c r="D31" s="28" t="s">
        <v>185</v>
      </c>
      <c r="E31" s="26"/>
      <c r="F31" s="27"/>
      <c r="G31" s="28" t="s">
        <v>190</v>
      </c>
      <c r="H31" s="26"/>
      <c r="I31" s="27"/>
    </row>
    <row r="32" spans="1:10" ht="18" customHeight="1" x14ac:dyDescent="0.45">
      <c r="A32" s="12">
        <v>1</v>
      </c>
      <c r="B32" s="12" t="s">
        <v>186</v>
      </c>
      <c r="C32" s="2" t="s">
        <v>386</v>
      </c>
      <c r="D32" s="25" t="s">
        <v>387</v>
      </c>
      <c r="E32" s="26"/>
      <c r="F32" s="27"/>
      <c r="G32" s="25"/>
      <c r="H32" s="26"/>
      <c r="I32" s="27"/>
    </row>
    <row r="33" spans="1:9" ht="18" customHeight="1" x14ac:dyDescent="0.45">
      <c r="A33" s="12">
        <v>2</v>
      </c>
      <c r="B33" s="12" t="s">
        <v>243</v>
      </c>
      <c r="C33" s="2" t="s">
        <v>385</v>
      </c>
      <c r="D33" s="25" t="s">
        <v>115</v>
      </c>
      <c r="E33" s="26"/>
      <c r="F33" s="27"/>
      <c r="G33" s="25" t="s">
        <v>242</v>
      </c>
      <c r="H33" s="26"/>
      <c r="I33" s="27"/>
    </row>
  </sheetData>
  <mergeCells count="23">
    <mergeCell ref="A1:I1"/>
    <mergeCell ref="H5:I5"/>
    <mergeCell ref="E3:F3"/>
    <mergeCell ref="G33:I33"/>
    <mergeCell ref="D28:F28"/>
    <mergeCell ref="C6:I6"/>
    <mergeCell ref="A3:B3"/>
    <mergeCell ref="D33:F33"/>
    <mergeCell ref="G32:I32"/>
    <mergeCell ref="G31:I31"/>
    <mergeCell ref="C4:I4"/>
    <mergeCell ref="A5:B5"/>
    <mergeCell ref="A30:I30"/>
    <mergeCell ref="H3:I3"/>
    <mergeCell ref="A4:B4"/>
    <mergeCell ref="G27:I27"/>
    <mergeCell ref="D31:F31"/>
    <mergeCell ref="D27:F27"/>
    <mergeCell ref="G28:I28"/>
    <mergeCell ref="D32:F32"/>
    <mergeCell ref="E5:F5"/>
    <mergeCell ref="A26:I26"/>
    <mergeCell ref="A6:B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106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119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SUM(J9:J35)</f>
        <v>27</v>
      </c>
      <c r="F5" s="24"/>
      <c r="G5" s="1" t="s">
        <v>66</v>
      </c>
      <c r="H5" s="25"/>
      <c r="I5" s="24"/>
    </row>
    <row r="6" spans="1:10" ht="18" customHeight="1" x14ac:dyDescent="0.45">
      <c r="A6" s="29" t="s">
        <v>64</v>
      </c>
      <c r="B6" s="24"/>
      <c r="C6" s="25" t="s">
        <v>120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268</v>
      </c>
      <c r="C9" s="2" t="s">
        <v>388</v>
      </c>
      <c r="D9" s="2" t="s">
        <v>270</v>
      </c>
      <c r="E9" s="12" t="s">
        <v>181</v>
      </c>
      <c r="F9" s="12"/>
      <c r="G9" s="2"/>
      <c r="H9" s="2"/>
      <c r="I9" s="12" t="s">
        <v>177</v>
      </c>
      <c r="J9" s="2">
        <v>1</v>
      </c>
    </row>
    <row r="10" spans="1:10" x14ac:dyDescent="0.45">
      <c r="A10" s="12">
        <v>2</v>
      </c>
      <c r="B10" s="2" t="s">
        <v>271</v>
      </c>
      <c r="C10" s="2" t="s">
        <v>389</v>
      </c>
      <c r="D10" s="2" t="s">
        <v>273</v>
      </c>
      <c r="E10" s="12" t="s">
        <v>181</v>
      </c>
      <c r="F10" s="12"/>
      <c r="G10" s="2"/>
      <c r="H10" s="2"/>
      <c r="I10" s="12" t="s">
        <v>177</v>
      </c>
      <c r="J10" s="2">
        <v>1</v>
      </c>
    </row>
    <row r="11" spans="1:10" x14ac:dyDescent="0.45">
      <c r="A11" s="12">
        <v>3</v>
      </c>
      <c r="B11" s="2" t="s">
        <v>274</v>
      </c>
      <c r="C11" s="2" t="s">
        <v>390</v>
      </c>
      <c r="D11" s="2" t="s">
        <v>273</v>
      </c>
      <c r="E11" s="12" t="s">
        <v>181</v>
      </c>
      <c r="F11" s="12"/>
      <c r="G11" s="2"/>
      <c r="H11" s="2"/>
      <c r="I11" s="12" t="s">
        <v>177</v>
      </c>
      <c r="J11" s="2">
        <v>1</v>
      </c>
    </row>
    <row r="12" spans="1:10" x14ac:dyDescent="0.45">
      <c r="A12" s="12">
        <v>4</v>
      </c>
      <c r="B12" s="2" t="s">
        <v>276</v>
      </c>
      <c r="C12" s="2" t="s">
        <v>277</v>
      </c>
      <c r="D12" s="2" t="s">
        <v>273</v>
      </c>
      <c r="E12" s="12" t="s">
        <v>181</v>
      </c>
      <c r="F12" s="12"/>
      <c r="G12" s="2"/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278</v>
      </c>
      <c r="C13" s="2" t="s">
        <v>391</v>
      </c>
      <c r="D13" s="2" t="s">
        <v>280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ht="32" x14ac:dyDescent="0.45">
      <c r="A14" s="12">
        <v>6</v>
      </c>
      <c r="B14" s="2" t="s">
        <v>392</v>
      </c>
      <c r="C14" s="2" t="s">
        <v>393</v>
      </c>
      <c r="D14" s="2" t="s">
        <v>200</v>
      </c>
      <c r="E14" s="12" t="s">
        <v>181</v>
      </c>
      <c r="F14" s="12"/>
      <c r="G14" s="2" t="s">
        <v>394</v>
      </c>
      <c r="H14" s="2"/>
      <c r="I14" s="12" t="s">
        <v>177</v>
      </c>
      <c r="J14" s="2">
        <v>1</v>
      </c>
    </row>
    <row r="15" spans="1:10" ht="32" x14ac:dyDescent="0.45">
      <c r="A15" s="12">
        <v>7</v>
      </c>
      <c r="B15" s="2" t="s">
        <v>395</v>
      </c>
      <c r="C15" s="2" t="s">
        <v>396</v>
      </c>
      <c r="D15" s="2" t="s">
        <v>200</v>
      </c>
      <c r="E15" s="12" t="s">
        <v>181</v>
      </c>
      <c r="F15" s="12"/>
      <c r="G15" s="2" t="s">
        <v>397</v>
      </c>
      <c r="H15" s="2"/>
      <c r="I15" s="12" t="s">
        <v>177</v>
      </c>
      <c r="J15" s="2">
        <v>1</v>
      </c>
    </row>
    <row r="16" spans="1:10" x14ac:dyDescent="0.45">
      <c r="A16" s="12">
        <v>8</v>
      </c>
      <c r="B16" s="2" t="s">
        <v>319</v>
      </c>
      <c r="C16" s="2" t="s">
        <v>320</v>
      </c>
      <c r="D16" s="2" t="s">
        <v>237</v>
      </c>
      <c r="E16" s="12" t="s">
        <v>181</v>
      </c>
      <c r="F16" s="12"/>
      <c r="G16" s="2"/>
      <c r="H16" s="2"/>
      <c r="I16" s="12" t="s">
        <v>177</v>
      </c>
      <c r="J16" s="2">
        <v>1</v>
      </c>
    </row>
    <row r="17" spans="1:10" x14ac:dyDescent="0.45">
      <c r="A17" s="12">
        <v>9</v>
      </c>
      <c r="B17" s="2" t="s">
        <v>398</v>
      </c>
      <c r="C17" s="2" t="s">
        <v>399</v>
      </c>
      <c r="D17" s="2" t="s">
        <v>237</v>
      </c>
      <c r="E17" s="12" t="s">
        <v>181</v>
      </c>
      <c r="F17" s="12"/>
      <c r="G17" s="2"/>
      <c r="H17" s="2"/>
      <c r="I17" s="12" t="s">
        <v>177</v>
      </c>
      <c r="J17" s="2">
        <v>1</v>
      </c>
    </row>
    <row r="18" spans="1:10" x14ac:dyDescent="0.45">
      <c r="A18" s="12">
        <v>10</v>
      </c>
      <c r="B18" s="2" t="s">
        <v>400</v>
      </c>
      <c r="C18" s="2" t="s">
        <v>401</v>
      </c>
      <c r="D18" s="2" t="s">
        <v>203</v>
      </c>
      <c r="E18" s="12" t="s">
        <v>181</v>
      </c>
      <c r="F18" s="12"/>
      <c r="G18" s="2"/>
      <c r="H18" s="2"/>
      <c r="I18" s="12" t="s">
        <v>177</v>
      </c>
      <c r="J18" s="2">
        <v>1</v>
      </c>
    </row>
    <row r="19" spans="1:10" x14ac:dyDescent="0.45">
      <c r="A19" s="12">
        <v>11</v>
      </c>
      <c r="B19" s="2" t="s">
        <v>281</v>
      </c>
      <c r="C19" s="2" t="s">
        <v>282</v>
      </c>
      <c r="D19" s="2" t="s">
        <v>237</v>
      </c>
      <c r="E19" s="12" t="s">
        <v>181</v>
      </c>
      <c r="F19" s="12"/>
      <c r="G19" s="2"/>
      <c r="H19" s="2"/>
      <c r="I19" s="12" t="s">
        <v>177</v>
      </c>
      <c r="J19" s="2">
        <v>1</v>
      </c>
    </row>
    <row r="20" spans="1:10" x14ac:dyDescent="0.45">
      <c r="A20" s="12">
        <v>12</v>
      </c>
      <c r="B20" s="2" t="s">
        <v>283</v>
      </c>
      <c r="C20" s="2" t="s">
        <v>284</v>
      </c>
      <c r="D20" s="2" t="s">
        <v>237</v>
      </c>
      <c r="E20" s="12" t="s">
        <v>181</v>
      </c>
      <c r="F20" s="12"/>
      <c r="G20" s="2" t="s">
        <v>371</v>
      </c>
      <c r="H20" s="2"/>
      <c r="I20" s="12" t="s">
        <v>177</v>
      </c>
      <c r="J20" s="2">
        <v>1</v>
      </c>
    </row>
    <row r="21" spans="1:10" x14ac:dyDescent="0.45">
      <c r="A21" s="12">
        <v>13</v>
      </c>
      <c r="B21" s="2" t="s">
        <v>285</v>
      </c>
      <c r="C21" s="2" t="s">
        <v>286</v>
      </c>
      <c r="D21" s="2" t="s">
        <v>237</v>
      </c>
      <c r="E21" s="12" t="s">
        <v>181</v>
      </c>
      <c r="F21" s="12"/>
      <c r="G21" s="2"/>
      <c r="H21" s="2"/>
      <c r="I21" s="12" t="s">
        <v>177</v>
      </c>
      <c r="J21" s="2">
        <v>1</v>
      </c>
    </row>
    <row r="22" spans="1:10" x14ac:dyDescent="0.45">
      <c r="A22" s="12">
        <v>14</v>
      </c>
      <c r="B22" s="2" t="s">
        <v>287</v>
      </c>
      <c r="C22" s="2" t="s">
        <v>288</v>
      </c>
      <c r="D22" s="2" t="s">
        <v>237</v>
      </c>
      <c r="E22" s="12" t="s">
        <v>181</v>
      </c>
      <c r="F22" s="12"/>
      <c r="G22" s="2"/>
      <c r="H22" s="2"/>
      <c r="I22" s="12" t="s">
        <v>177</v>
      </c>
      <c r="J22" s="2">
        <v>1</v>
      </c>
    </row>
    <row r="23" spans="1:10" x14ac:dyDescent="0.45">
      <c r="A23" s="12">
        <v>15</v>
      </c>
      <c r="B23" s="2" t="s">
        <v>289</v>
      </c>
      <c r="C23" s="2" t="s">
        <v>290</v>
      </c>
      <c r="D23" s="2" t="s">
        <v>237</v>
      </c>
      <c r="E23" s="12" t="s">
        <v>181</v>
      </c>
      <c r="F23" s="12"/>
      <c r="G23" s="2"/>
      <c r="H23" s="2"/>
      <c r="I23" s="12" t="s">
        <v>177</v>
      </c>
      <c r="J23" s="2">
        <v>1</v>
      </c>
    </row>
    <row r="24" spans="1:10" x14ac:dyDescent="0.45">
      <c r="A24" s="12">
        <v>16</v>
      </c>
      <c r="B24" s="2" t="s">
        <v>291</v>
      </c>
      <c r="C24" s="2" t="s">
        <v>292</v>
      </c>
      <c r="D24" s="2" t="s">
        <v>237</v>
      </c>
      <c r="E24" s="12" t="s">
        <v>181</v>
      </c>
      <c r="F24" s="12"/>
      <c r="G24" s="2"/>
      <c r="H24" s="2"/>
      <c r="I24" s="12" t="s">
        <v>177</v>
      </c>
      <c r="J24" s="2">
        <v>1</v>
      </c>
    </row>
    <row r="25" spans="1:10" x14ac:dyDescent="0.45">
      <c r="A25" s="12">
        <v>17</v>
      </c>
      <c r="B25" s="2" t="s">
        <v>293</v>
      </c>
      <c r="C25" s="2" t="s">
        <v>294</v>
      </c>
      <c r="D25" s="2" t="s">
        <v>237</v>
      </c>
      <c r="E25" s="12" t="s">
        <v>181</v>
      </c>
      <c r="F25" s="12"/>
      <c r="G25" s="2"/>
      <c r="H25" s="2"/>
      <c r="I25" s="12" t="s">
        <v>177</v>
      </c>
      <c r="J25" s="2">
        <v>1</v>
      </c>
    </row>
    <row r="26" spans="1:10" x14ac:dyDescent="0.45">
      <c r="A26" s="12">
        <v>18</v>
      </c>
      <c r="B26" s="2" t="s">
        <v>295</v>
      </c>
      <c r="C26" s="2" t="s">
        <v>296</v>
      </c>
      <c r="D26" s="2" t="s">
        <v>237</v>
      </c>
      <c r="E26" s="12" t="s">
        <v>181</v>
      </c>
      <c r="F26" s="12"/>
      <c r="G26" s="2"/>
      <c r="H26" s="2"/>
      <c r="I26" s="12" t="s">
        <v>177</v>
      </c>
      <c r="J26" s="2">
        <v>1</v>
      </c>
    </row>
    <row r="27" spans="1:10" x14ac:dyDescent="0.45">
      <c r="A27" s="12">
        <v>19</v>
      </c>
      <c r="B27" s="2" t="s">
        <v>297</v>
      </c>
      <c r="C27" s="2" t="s">
        <v>298</v>
      </c>
      <c r="D27" s="2" t="s">
        <v>237</v>
      </c>
      <c r="E27" s="12" t="s">
        <v>181</v>
      </c>
      <c r="F27" s="12"/>
      <c r="G27" s="2"/>
      <c r="H27" s="2"/>
      <c r="I27" s="12" t="s">
        <v>177</v>
      </c>
      <c r="J27" s="2">
        <v>1</v>
      </c>
    </row>
    <row r="28" spans="1:10" x14ac:dyDescent="0.45">
      <c r="A28" s="12">
        <v>20</v>
      </c>
      <c r="B28" s="2" t="s">
        <v>299</v>
      </c>
      <c r="C28" s="2" t="s">
        <v>402</v>
      </c>
      <c r="D28" s="2" t="s">
        <v>200</v>
      </c>
      <c r="E28" s="12" t="s">
        <v>181</v>
      </c>
      <c r="F28" s="12"/>
      <c r="G28" s="2"/>
      <c r="H28" s="2"/>
      <c r="I28" s="12" t="s">
        <v>177</v>
      </c>
      <c r="J28" s="2">
        <v>1</v>
      </c>
    </row>
    <row r="29" spans="1:10" x14ac:dyDescent="0.45">
      <c r="A29" s="12">
        <v>21</v>
      </c>
      <c r="B29" s="2" t="s">
        <v>301</v>
      </c>
      <c r="C29" s="2" t="s">
        <v>403</v>
      </c>
      <c r="D29" s="2" t="s">
        <v>200</v>
      </c>
      <c r="E29" s="12" t="s">
        <v>181</v>
      </c>
      <c r="F29" s="12"/>
      <c r="G29" s="2"/>
      <c r="H29" s="2"/>
      <c r="I29" s="12" t="s">
        <v>177</v>
      </c>
      <c r="J29" s="2">
        <v>1</v>
      </c>
    </row>
    <row r="30" spans="1:10" x14ac:dyDescent="0.45">
      <c r="A30" s="12">
        <v>22</v>
      </c>
      <c r="B30" s="2" t="s">
        <v>303</v>
      </c>
      <c r="C30" s="2" t="s">
        <v>404</v>
      </c>
      <c r="D30" s="2" t="s">
        <v>200</v>
      </c>
      <c r="E30" s="12" t="s">
        <v>181</v>
      </c>
      <c r="F30" s="12"/>
      <c r="G30" s="2"/>
      <c r="H30" s="2"/>
      <c r="I30" s="12" t="s">
        <v>177</v>
      </c>
      <c r="J30" s="2">
        <v>1</v>
      </c>
    </row>
    <row r="31" spans="1:10" x14ac:dyDescent="0.45">
      <c r="A31" s="12">
        <v>23</v>
      </c>
      <c r="B31" s="2" t="s">
        <v>305</v>
      </c>
      <c r="C31" s="2" t="s">
        <v>306</v>
      </c>
      <c r="D31" s="2" t="s">
        <v>200</v>
      </c>
      <c r="E31" s="12" t="s">
        <v>181</v>
      </c>
      <c r="F31" s="12"/>
      <c r="G31" s="2"/>
      <c r="H31" s="2"/>
      <c r="I31" s="12" t="s">
        <v>177</v>
      </c>
      <c r="J31" s="2">
        <v>1</v>
      </c>
    </row>
    <row r="32" spans="1:10" x14ac:dyDescent="0.45">
      <c r="A32" s="12">
        <v>24</v>
      </c>
      <c r="B32" s="2" t="s">
        <v>307</v>
      </c>
      <c r="C32" s="2" t="s">
        <v>405</v>
      </c>
      <c r="D32" s="2" t="s">
        <v>200</v>
      </c>
      <c r="E32" s="12" t="s">
        <v>181</v>
      </c>
      <c r="F32" s="12"/>
      <c r="G32" s="2"/>
      <c r="H32" s="2"/>
      <c r="I32" s="12" t="s">
        <v>177</v>
      </c>
      <c r="J32" s="2">
        <v>1</v>
      </c>
    </row>
    <row r="33" spans="1:10" x14ac:dyDescent="0.45">
      <c r="A33" s="12">
        <v>25</v>
      </c>
      <c r="B33" s="2" t="s">
        <v>309</v>
      </c>
      <c r="C33" s="2" t="s">
        <v>406</v>
      </c>
      <c r="D33" s="2" t="s">
        <v>200</v>
      </c>
      <c r="E33" s="12" t="s">
        <v>181</v>
      </c>
      <c r="F33" s="12"/>
      <c r="G33" s="2"/>
      <c r="H33" s="2"/>
      <c r="I33" s="12" t="s">
        <v>177</v>
      </c>
      <c r="J33" s="2">
        <v>1</v>
      </c>
    </row>
    <row r="34" spans="1:10" x14ac:dyDescent="0.45">
      <c r="A34" s="12">
        <v>26</v>
      </c>
      <c r="B34" s="2" t="s">
        <v>311</v>
      </c>
      <c r="C34" s="2" t="s">
        <v>407</v>
      </c>
      <c r="D34" s="2" t="s">
        <v>200</v>
      </c>
      <c r="E34" s="12" t="s">
        <v>181</v>
      </c>
      <c r="F34" s="12"/>
      <c r="G34" s="2"/>
      <c r="H34" s="2"/>
      <c r="I34" s="12" t="s">
        <v>177</v>
      </c>
      <c r="J34" s="2">
        <v>1</v>
      </c>
    </row>
    <row r="35" spans="1:10" x14ac:dyDescent="0.45">
      <c r="A35" s="12">
        <v>27</v>
      </c>
      <c r="B35" s="2" t="s">
        <v>313</v>
      </c>
      <c r="C35" s="2" t="s">
        <v>314</v>
      </c>
      <c r="D35" s="2" t="s">
        <v>200</v>
      </c>
      <c r="E35" s="12" t="s">
        <v>181</v>
      </c>
      <c r="F35" s="12"/>
      <c r="G35" s="2"/>
      <c r="H35" s="2"/>
      <c r="I35" s="12" t="s">
        <v>177</v>
      </c>
      <c r="J35" s="2">
        <v>1</v>
      </c>
    </row>
    <row r="37" spans="1:10" x14ac:dyDescent="0.45">
      <c r="A37" s="30" t="s">
        <v>182</v>
      </c>
      <c r="B37" s="24"/>
      <c r="C37" s="24"/>
      <c r="D37" s="24"/>
      <c r="E37" s="24"/>
      <c r="F37" s="24"/>
      <c r="G37" s="24"/>
      <c r="H37" s="24"/>
      <c r="I37" s="24"/>
    </row>
    <row r="38" spans="1:10" x14ac:dyDescent="0.45">
      <c r="A38" s="3" t="s">
        <v>60</v>
      </c>
      <c r="B38" s="3" t="s">
        <v>183</v>
      </c>
      <c r="C38" s="3" t="s">
        <v>184</v>
      </c>
      <c r="D38" s="28" t="s">
        <v>185</v>
      </c>
      <c r="E38" s="26"/>
      <c r="F38" s="27"/>
      <c r="G38" s="28" t="s">
        <v>25</v>
      </c>
      <c r="H38" s="26"/>
      <c r="I38" s="27"/>
    </row>
    <row r="39" spans="1:10" x14ac:dyDescent="0.45">
      <c r="A39" s="12" t="s">
        <v>186</v>
      </c>
      <c r="B39" s="12" t="s">
        <v>186</v>
      </c>
      <c r="C39" s="2" t="s">
        <v>159</v>
      </c>
      <c r="D39" s="25"/>
      <c r="E39" s="26"/>
      <c r="F39" s="27"/>
      <c r="G39" s="25"/>
      <c r="H39" s="26"/>
      <c r="I39" s="27"/>
    </row>
    <row r="41" spans="1:10" x14ac:dyDescent="0.45">
      <c r="A41" s="30" t="s">
        <v>187</v>
      </c>
      <c r="B41" s="24"/>
      <c r="C41" s="24"/>
      <c r="D41" s="24"/>
      <c r="E41" s="24"/>
      <c r="F41" s="24"/>
      <c r="G41" s="24"/>
      <c r="H41" s="24"/>
      <c r="I41" s="24"/>
    </row>
    <row r="42" spans="1:10" x14ac:dyDescent="0.45">
      <c r="A42" s="3" t="s">
        <v>60</v>
      </c>
      <c r="B42" s="3" t="s">
        <v>188</v>
      </c>
      <c r="C42" s="3" t="s">
        <v>189</v>
      </c>
      <c r="D42" s="28" t="s">
        <v>185</v>
      </c>
      <c r="E42" s="26"/>
      <c r="F42" s="27"/>
      <c r="G42" s="28" t="s">
        <v>190</v>
      </c>
      <c r="H42" s="26"/>
      <c r="I42" s="27"/>
    </row>
    <row r="43" spans="1:10" ht="18" customHeight="1" x14ac:dyDescent="0.45">
      <c r="A43" s="12">
        <v>1</v>
      </c>
      <c r="B43" s="12" t="s">
        <v>186</v>
      </c>
      <c r="C43" s="2" t="s">
        <v>408</v>
      </c>
      <c r="D43" s="25" t="s">
        <v>278</v>
      </c>
      <c r="E43" s="26"/>
      <c r="F43" s="27"/>
      <c r="G43" s="25"/>
      <c r="H43" s="26"/>
      <c r="I43" s="27"/>
    </row>
    <row r="44" spans="1:10" ht="18" customHeight="1" x14ac:dyDescent="0.45">
      <c r="A44" s="12">
        <v>2</v>
      </c>
      <c r="B44" s="12" t="s">
        <v>186</v>
      </c>
      <c r="C44" s="2" t="s">
        <v>409</v>
      </c>
      <c r="D44" s="25" t="s">
        <v>400</v>
      </c>
      <c r="E44" s="26"/>
      <c r="F44" s="27"/>
      <c r="G44" s="25"/>
      <c r="H44" s="26"/>
      <c r="I44" s="27"/>
    </row>
  </sheetData>
  <mergeCells count="23">
    <mergeCell ref="A1:I1"/>
    <mergeCell ref="G39:I39"/>
    <mergeCell ref="H5:I5"/>
    <mergeCell ref="E3:F3"/>
    <mergeCell ref="G44:I44"/>
    <mergeCell ref="C4:I4"/>
    <mergeCell ref="A5:B5"/>
    <mergeCell ref="D44:F44"/>
    <mergeCell ref="G43:I43"/>
    <mergeCell ref="A4:B4"/>
    <mergeCell ref="G42:I42"/>
    <mergeCell ref="D43:F43"/>
    <mergeCell ref="C6:I6"/>
    <mergeCell ref="D39:F39"/>
    <mergeCell ref="A3:B3"/>
    <mergeCell ref="D42:F42"/>
    <mergeCell ref="D38:F38"/>
    <mergeCell ref="H3:I3"/>
    <mergeCell ref="G38:I38"/>
    <mergeCell ref="A41:I41"/>
    <mergeCell ref="A37:I37"/>
    <mergeCell ref="E5:F5"/>
    <mergeCell ref="A6:B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122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123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410</v>
      </c>
      <c r="D5" s="1" t="s">
        <v>18</v>
      </c>
      <c r="E5" s="23">
        <f>SUM(J9:J22)</f>
        <v>14</v>
      </c>
      <c r="F5" s="24"/>
      <c r="G5" s="1" t="s">
        <v>66</v>
      </c>
      <c r="H5" s="25" t="s">
        <v>126</v>
      </c>
      <c r="I5" s="24"/>
    </row>
    <row r="6" spans="1:10" ht="18" customHeight="1" x14ac:dyDescent="0.45">
      <c r="A6" s="29" t="s">
        <v>64</v>
      </c>
      <c r="B6" s="24"/>
      <c r="C6" s="25" t="s">
        <v>125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124</v>
      </c>
      <c r="C9" s="17" t="s">
        <v>411</v>
      </c>
      <c r="D9" s="17" t="s">
        <v>200</v>
      </c>
      <c r="E9" s="16" t="s">
        <v>168</v>
      </c>
      <c r="F9" s="16">
        <v>1</v>
      </c>
      <c r="G9" s="17"/>
      <c r="H9" s="17"/>
      <c r="I9" s="16" t="s">
        <v>177</v>
      </c>
      <c r="J9" s="17">
        <v>1</v>
      </c>
    </row>
    <row r="10" spans="1:10" x14ac:dyDescent="0.45">
      <c r="A10" s="12">
        <v>2</v>
      </c>
      <c r="B10" s="2" t="s">
        <v>412</v>
      </c>
      <c r="C10" s="2" t="s">
        <v>413</v>
      </c>
      <c r="D10" s="2" t="s">
        <v>414</v>
      </c>
      <c r="E10" s="12" t="s">
        <v>168</v>
      </c>
      <c r="F10" s="12"/>
      <c r="G10" s="2"/>
      <c r="H10" s="2" t="s">
        <v>415</v>
      </c>
      <c r="I10" s="12" t="s">
        <v>177</v>
      </c>
      <c r="J10" s="2">
        <v>1</v>
      </c>
    </row>
    <row r="11" spans="1:10" x14ac:dyDescent="0.45">
      <c r="A11" s="12">
        <v>3</v>
      </c>
      <c r="B11" s="2" t="s">
        <v>416</v>
      </c>
      <c r="C11" s="2" t="s">
        <v>417</v>
      </c>
      <c r="D11" s="2" t="s">
        <v>233</v>
      </c>
      <c r="E11" s="12" t="s">
        <v>181</v>
      </c>
      <c r="F11" s="12"/>
      <c r="G11" s="2"/>
      <c r="H11" s="2"/>
      <c r="I11" s="12" t="s">
        <v>177</v>
      </c>
      <c r="J11" s="2">
        <v>1</v>
      </c>
    </row>
    <row r="12" spans="1:10" x14ac:dyDescent="0.45">
      <c r="A12" s="12">
        <v>4</v>
      </c>
      <c r="B12" s="2" t="s">
        <v>418</v>
      </c>
      <c r="C12" s="2" t="s">
        <v>419</v>
      </c>
      <c r="D12" s="2" t="s">
        <v>233</v>
      </c>
      <c r="E12" s="12" t="s">
        <v>181</v>
      </c>
      <c r="F12" s="12"/>
      <c r="G12" s="2"/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420</v>
      </c>
      <c r="C13" s="2" t="s">
        <v>421</v>
      </c>
      <c r="D13" s="2" t="s">
        <v>233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422</v>
      </c>
      <c r="C14" s="2" t="s">
        <v>423</v>
      </c>
      <c r="D14" s="2" t="s">
        <v>424</v>
      </c>
      <c r="E14" s="12" t="s">
        <v>181</v>
      </c>
      <c r="F14" s="12"/>
      <c r="G14" s="2"/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425</v>
      </c>
      <c r="C15" s="2" t="s">
        <v>426</v>
      </c>
      <c r="D15" s="2" t="s">
        <v>424</v>
      </c>
      <c r="E15" s="12" t="s">
        <v>181</v>
      </c>
      <c r="F15" s="12"/>
      <c r="G15" s="2"/>
      <c r="H15" s="2"/>
      <c r="I15" s="12" t="s">
        <v>177</v>
      </c>
      <c r="J15" s="2">
        <v>1</v>
      </c>
    </row>
    <row r="16" spans="1:10" x14ac:dyDescent="0.45">
      <c r="A16" s="12">
        <v>8</v>
      </c>
      <c r="B16" s="2" t="s">
        <v>427</v>
      </c>
      <c r="C16" s="2" t="s">
        <v>428</v>
      </c>
      <c r="D16" s="2" t="s">
        <v>424</v>
      </c>
      <c r="E16" s="12" t="s">
        <v>181</v>
      </c>
      <c r="F16" s="12"/>
      <c r="G16" s="2"/>
      <c r="H16" s="2"/>
      <c r="I16" s="12" t="s">
        <v>177</v>
      </c>
      <c r="J16" s="2">
        <v>1</v>
      </c>
    </row>
    <row r="17" spans="1:10" x14ac:dyDescent="0.45">
      <c r="A17" s="12">
        <v>9</v>
      </c>
      <c r="B17" s="2" t="s">
        <v>429</v>
      </c>
      <c r="C17" s="2" t="s">
        <v>430</v>
      </c>
      <c r="D17" s="2" t="s">
        <v>203</v>
      </c>
      <c r="E17" s="12" t="s">
        <v>181</v>
      </c>
      <c r="F17" s="12"/>
      <c r="G17" s="2"/>
      <c r="H17" s="2"/>
      <c r="I17" s="12" t="s">
        <v>177</v>
      </c>
      <c r="J17" s="2">
        <v>1</v>
      </c>
    </row>
    <row r="18" spans="1:10" x14ac:dyDescent="0.45">
      <c r="A18" s="12">
        <v>10</v>
      </c>
      <c r="B18" s="2" t="s">
        <v>431</v>
      </c>
      <c r="C18" s="2" t="s">
        <v>432</v>
      </c>
      <c r="D18" s="2" t="s">
        <v>203</v>
      </c>
      <c r="E18" s="12" t="s">
        <v>181</v>
      </c>
      <c r="F18" s="12"/>
      <c r="G18" s="2"/>
      <c r="H18" s="2"/>
      <c r="I18" s="12" t="s">
        <v>177</v>
      </c>
      <c r="J18" s="2">
        <v>1</v>
      </c>
    </row>
    <row r="19" spans="1:10" x14ac:dyDescent="0.45">
      <c r="A19" s="12">
        <v>11</v>
      </c>
      <c r="B19" s="2" t="s">
        <v>201</v>
      </c>
      <c r="C19" s="2" t="s">
        <v>202</v>
      </c>
      <c r="D19" s="2" t="s">
        <v>203</v>
      </c>
      <c r="E19" s="12" t="s">
        <v>181</v>
      </c>
      <c r="F19" s="12"/>
      <c r="G19" s="2"/>
      <c r="H19" s="2"/>
      <c r="I19" s="12" t="s">
        <v>177</v>
      </c>
      <c r="J19" s="2">
        <v>1</v>
      </c>
    </row>
    <row r="20" spans="1:10" x14ac:dyDescent="0.45">
      <c r="A20" s="12">
        <v>12</v>
      </c>
      <c r="B20" s="2" t="s">
        <v>218</v>
      </c>
      <c r="C20" s="2" t="s">
        <v>205</v>
      </c>
      <c r="D20" s="2" t="s">
        <v>219</v>
      </c>
      <c r="E20" s="12" t="s">
        <v>181</v>
      </c>
      <c r="F20" s="12"/>
      <c r="G20" s="2"/>
      <c r="H20" s="2"/>
      <c r="I20" s="12" t="s">
        <v>177</v>
      </c>
      <c r="J20" s="2">
        <v>1</v>
      </c>
    </row>
    <row r="21" spans="1:10" x14ac:dyDescent="0.45">
      <c r="A21" s="12">
        <v>13</v>
      </c>
      <c r="B21" s="2" t="s">
        <v>223</v>
      </c>
      <c r="C21" s="2" t="s">
        <v>224</v>
      </c>
      <c r="D21" s="2" t="s">
        <v>203</v>
      </c>
      <c r="E21" s="12" t="s">
        <v>181</v>
      </c>
      <c r="F21" s="12"/>
      <c r="G21" s="2"/>
      <c r="H21" s="2"/>
      <c r="I21" s="12" t="s">
        <v>177</v>
      </c>
      <c r="J21" s="2">
        <v>1</v>
      </c>
    </row>
    <row r="22" spans="1:10" x14ac:dyDescent="0.45">
      <c r="A22" s="12">
        <v>14</v>
      </c>
      <c r="B22" s="2" t="s">
        <v>221</v>
      </c>
      <c r="C22" s="2" t="s">
        <v>222</v>
      </c>
      <c r="D22" s="2" t="s">
        <v>219</v>
      </c>
      <c r="E22" s="12" t="s">
        <v>181</v>
      </c>
      <c r="F22" s="12"/>
      <c r="G22" s="2"/>
      <c r="H22" s="2"/>
      <c r="I22" s="12" t="s">
        <v>177</v>
      </c>
      <c r="J22" s="2">
        <v>1</v>
      </c>
    </row>
    <row r="24" spans="1:10" x14ac:dyDescent="0.45">
      <c r="A24" s="30" t="s">
        <v>182</v>
      </c>
      <c r="B24" s="24"/>
      <c r="C24" s="24"/>
      <c r="D24" s="24"/>
      <c r="E24" s="24"/>
      <c r="F24" s="24"/>
      <c r="G24" s="24"/>
      <c r="H24" s="24"/>
      <c r="I24" s="24"/>
    </row>
    <row r="25" spans="1:10" x14ac:dyDescent="0.45">
      <c r="A25" s="3" t="s">
        <v>60</v>
      </c>
      <c r="B25" s="3" t="s">
        <v>183</v>
      </c>
      <c r="C25" s="3" t="s">
        <v>184</v>
      </c>
      <c r="D25" s="28" t="s">
        <v>185</v>
      </c>
      <c r="E25" s="26"/>
      <c r="F25" s="27"/>
      <c r="G25" s="28" t="s">
        <v>25</v>
      </c>
      <c r="H25" s="26"/>
      <c r="I25" s="27"/>
    </row>
    <row r="26" spans="1:10" ht="18" customHeight="1" x14ac:dyDescent="0.45">
      <c r="A26" s="12">
        <v>1</v>
      </c>
      <c r="B26" s="12" t="s">
        <v>163</v>
      </c>
      <c r="C26" s="2" t="s">
        <v>433</v>
      </c>
      <c r="D26" s="25" t="s">
        <v>124</v>
      </c>
      <c r="E26" s="26"/>
      <c r="F26" s="27"/>
      <c r="G26" s="25" t="s">
        <v>242</v>
      </c>
      <c r="H26" s="26"/>
      <c r="I26" s="27"/>
    </row>
    <row r="28" spans="1:10" x14ac:dyDescent="0.45">
      <c r="A28" s="30" t="s">
        <v>187</v>
      </c>
      <c r="B28" s="24"/>
      <c r="C28" s="24"/>
      <c r="D28" s="24"/>
      <c r="E28" s="24"/>
      <c r="F28" s="24"/>
      <c r="G28" s="24"/>
      <c r="H28" s="24"/>
      <c r="I28" s="24"/>
    </row>
    <row r="29" spans="1:10" x14ac:dyDescent="0.45">
      <c r="A29" s="3" t="s">
        <v>60</v>
      </c>
      <c r="B29" s="3" t="s">
        <v>188</v>
      </c>
      <c r="C29" s="3" t="s">
        <v>189</v>
      </c>
      <c r="D29" s="28" t="s">
        <v>185</v>
      </c>
      <c r="E29" s="26"/>
      <c r="F29" s="27"/>
      <c r="G29" s="28" t="s">
        <v>190</v>
      </c>
      <c r="H29" s="26"/>
      <c r="I29" s="27"/>
    </row>
    <row r="30" spans="1:10" ht="18" customHeight="1" x14ac:dyDescent="0.45">
      <c r="A30" s="12">
        <v>1</v>
      </c>
      <c r="B30" s="12" t="s">
        <v>243</v>
      </c>
      <c r="C30" s="2" t="s">
        <v>433</v>
      </c>
      <c r="D30" s="25" t="s">
        <v>124</v>
      </c>
      <c r="E30" s="26"/>
      <c r="F30" s="27"/>
      <c r="G30" s="25" t="s">
        <v>242</v>
      </c>
      <c r="H30" s="26"/>
      <c r="I30" s="27"/>
    </row>
  </sheetData>
  <mergeCells count="21">
    <mergeCell ref="A1:I1"/>
    <mergeCell ref="H5:I5"/>
    <mergeCell ref="E3:F3"/>
    <mergeCell ref="A3:B3"/>
    <mergeCell ref="G25:I25"/>
    <mergeCell ref="D29:F29"/>
    <mergeCell ref="A28:I28"/>
    <mergeCell ref="C4:I4"/>
    <mergeCell ref="A5:B5"/>
    <mergeCell ref="D26:F26"/>
    <mergeCell ref="A24:I24"/>
    <mergeCell ref="H3:I3"/>
    <mergeCell ref="A4:B4"/>
    <mergeCell ref="E5:F5"/>
    <mergeCell ref="G30:I30"/>
    <mergeCell ref="A6:B6"/>
    <mergeCell ref="C6:I6"/>
    <mergeCell ref="G26:I26"/>
    <mergeCell ref="D30:F30"/>
    <mergeCell ref="G29:I29"/>
    <mergeCell ref="D25:F25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127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128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434</v>
      </c>
      <c r="D5" s="1" t="s">
        <v>18</v>
      </c>
      <c r="E5" s="23">
        <f>SUM(J9:J17)</f>
        <v>18</v>
      </c>
      <c r="F5" s="24"/>
      <c r="G5" s="1" t="s">
        <v>66</v>
      </c>
      <c r="H5" s="25" t="s">
        <v>131</v>
      </c>
      <c r="I5" s="24"/>
    </row>
    <row r="6" spans="1:10" ht="18" customHeight="1" x14ac:dyDescent="0.45">
      <c r="A6" s="29" t="s">
        <v>64</v>
      </c>
      <c r="B6" s="24"/>
      <c r="C6" s="25" t="s">
        <v>130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191</v>
      </c>
      <c r="C9" s="17" t="s">
        <v>192</v>
      </c>
      <c r="D9" s="17" t="s">
        <v>167</v>
      </c>
      <c r="E9" s="16" t="s">
        <v>168</v>
      </c>
      <c r="F9" s="16">
        <v>1</v>
      </c>
      <c r="G9" s="17"/>
      <c r="H9" s="17"/>
      <c r="I9" s="16" t="s">
        <v>177</v>
      </c>
      <c r="J9" s="17">
        <v>1</v>
      </c>
    </row>
    <row r="10" spans="1:10" x14ac:dyDescent="0.45">
      <c r="A10" s="16">
        <v>2</v>
      </c>
      <c r="B10" s="17" t="s">
        <v>214</v>
      </c>
      <c r="C10" s="17" t="s">
        <v>435</v>
      </c>
      <c r="D10" s="17" t="s">
        <v>237</v>
      </c>
      <c r="E10" s="16" t="s">
        <v>168</v>
      </c>
      <c r="F10" s="16">
        <v>2</v>
      </c>
      <c r="G10" s="17"/>
      <c r="H10" s="17"/>
      <c r="I10" s="16" t="s">
        <v>177</v>
      </c>
      <c r="J10" s="17">
        <v>1</v>
      </c>
    </row>
    <row r="11" spans="1:10" x14ac:dyDescent="0.45">
      <c r="A11" s="16">
        <v>3</v>
      </c>
      <c r="B11" s="17" t="s">
        <v>216</v>
      </c>
      <c r="C11" s="17" t="s">
        <v>436</v>
      </c>
      <c r="D11" s="17" t="s">
        <v>167</v>
      </c>
      <c r="E11" s="16" t="s">
        <v>168</v>
      </c>
      <c r="F11" s="16">
        <v>3</v>
      </c>
      <c r="G11" s="17"/>
      <c r="H11" s="17"/>
      <c r="I11" s="16" t="s">
        <v>177</v>
      </c>
      <c r="J11" s="17">
        <v>1</v>
      </c>
    </row>
    <row r="12" spans="1:10" x14ac:dyDescent="0.45">
      <c r="A12" s="12">
        <v>4</v>
      </c>
      <c r="B12" s="2" t="s">
        <v>337</v>
      </c>
      <c r="C12" s="2" t="s">
        <v>338</v>
      </c>
      <c r="D12" s="2" t="s">
        <v>248</v>
      </c>
      <c r="E12" s="12" t="s">
        <v>181</v>
      </c>
      <c r="F12" s="12"/>
      <c r="G12" s="2"/>
      <c r="H12" s="2"/>
      <c r="I12" s="12" t="s">
        <v>177</v>
      </c>
      <c r="J12" s="2">
        <v>1</v>
      </c>
    </row>
    <row r="13" spans="1:10" ht="32" x14ac:dyDescent="0.45">
      <c r="A13" s="18" t="s">
        <v>437</v>
      </c>
      <c r="B13" s="19" t="s">
        <v>250</v>
      </c>
      <c r="C13" s="19" t="s">
        <v>251</v>
      </c>
      <c r="D13" s="19" t="s">
        <v>237</v>
      </c>
      <c r="E13" s="18" t="s">
        <v>181</v>
      </c>
      <c r="F13" s="18"/>
      <c r="G13" s="19"/>
      <c r="H13" s="19"/>
      <c r="I13" s="18" t="s">
        <v>177</v>
      </c>
      <c r="J13" s="19">
        <v>10</v>
      </c>
    </row>
    <row r="14" spans="1:10" x14ac:dyDescent="0.45">
      <c r="A14" s="12">
        <v>15</v>
      </c>
      <c r="B14" s="2" t="s">
        <v>218</v>
      </c>
      <c r="C14" s="2" t="s">
        <v>205</v>
      </c>
      <c r="D14" s="2" t="s">
        <v>219</v>
      </c>
      <c r="E14" s="12" t="s">
        <v>181</v>
      </c>
      <c r="F14" s="12"/>
      <c r="G14" s="2"/>
      <c r="H14" s="2"/>
      <c r="I14" s="12" t="s">
        <v>220</v>
      </c>
      <c r="J14" s="2">
        <v>1</v>
      </c>
    </row>
    <row r="15" spans="1:10" x14ac:dyDescent="0.45">
      <c r="A15" s="12">
        <v>16</v>
      </c>
      <c r="B15" s="2" t="s">
        <v>201</v>
      </c>
      <c r="C15" s="2" t="s">
        <v>202</v>
      </c>
      <c r="D15" s="2" t="s">
        <v>203</v>
      </c>
      <c r="E15" s="12" t="s">
        <v>181</v>
      </c>
      <c r="F15" s="12"/>
      <c r="G15" s="2"/>
      <c r="H15" s="2"/>
      <c r="I15" s="12" t="s">
        <v>220</v>
      </c>
      <c r="J15" s="2">
        <v>1</v>
      </c>
    </row>
    <row r="16" spans="1:10" x14ac:dyDescent="0.45">
      <c r="A16" s="12">
        <v>17</v>
      </c>
      <c r="B16" s="2" t="s">
        <v>221</v>
      </c>
      <c r="C16" s="2" t="s">
        <v>222</v>
      </c>
      <c r="D16" s="2" t="s">
        <v>219</v>
      </c>
      <c r="E16" s="12" t="s">
        <v>181</v>
      </c>
      <c r="F16" s="12"/>
      <c r="G16" s="2"/>
      <c r="H16" s="2"/>
      <c r="I16" s="12" t="s">
        <v>220</v>
      </c>
      <c r="J16" s="2">
        <v>1</v>
      </c>
    </row>
    <row r="17" spans="1:10" x14ac:dyDescent="0.45">
      <c r="A17" s="12">
        <v>18</v>
      </c>
      <c r="B17" s="2" t="s">
        <v>223</v>
      </c>
      <c r="C17" s="2" t="s">
        <v>224</v>
      </c>
      <c r="D17" s="2" t="s">
        <v>203</v>
      </c>
      <c r="E17" s="12" t="s">
        <v>181</v>
      </c>
      <c r="F17" s="12"/>
      <c r="G17" s="2"/>
      <c r="H17" s="2"/>
      <c r="I17" s="12" t="s">
        <v>220</v>
      </c>
      <c r="J17" s="2">
        <v>1</v>
      </c>
    </row>
    <row r="19" spans="1:10" x14ac:dyDescent="0.45">
      <c r="A19" s="30" t="s">
        <v>182</v>
      </c>
      <c r="B19" s="24"/>
      <c r="C19" s="24"/>
      <c r="D19" s="24"/>
      <c r="E19" s="24"/>
      <c r="F19" s="24"/>
      <c r="G19" s="24"/>
      <c r="H19" s="24"/>
      <c r="I19" s="24"/>
    </row>
    <row r="20" spans="1:10" x14ac:dyDescent="0.45">
      <c r="A20" s="3" t="s">
        <v>60</v>
      </c>
      <c r="B20" s="3" t="s">
        <v>183</v>
      </c>
      <c r="C20" s="3" t="s">
        <v>184</v>
      </c>
      <c r="D20" s="28" t="s">
        <v>185</v>
      </c>
      <c r="E20" s="26"/>
      <c r="F20" s="27"/>
      <c r="G20" s="28" t="s">
        <v>25</v>
      </c>
      <c r="H20" s="26"/>
      <c r="I20" s="27"/>
    </row>
    <row r="21" spans="1:10" ht="18" customHeight="1" x14ac:dyDescent="0.45">
      <c r="A21" s="12">
        <v>1</v>
      </c>
      <c r="B21" s="12" t="s">
        <v>163</v>
      </c>
      <c r="C21" s="2" t="s">
        <v>438</v>
      </c>
      <c r="D21" s="25" t="s">
        <v>129</v>
      </c>
      <c r="E21" s="26"/>
      <c r="F21" s="27"/>
      <c r="G21" s="25" t="s">
        <v>242</v>
      </c>
      <c r="H21" s="26"/>
      <c r="I21" s="27"/>
    </row>
    <row r="23" spans="1:10" x14ac:dyDescent="0.45">
      <c r="A23" s="30" t="s">
        <v>187</v>
      </c>
      <c r="B23" s="24"/>
      <c r="C23" s="24"/>
      <c r="D23" s="24"/>
      <c r="E23" s="24"/>
      <c r="F23" s="24"/>
      <c r="G23" s="24"/>
      <c r="H23" s="24"/>
      <c r="I23" s="24"/>
    </row>
    <row r="24" spans="1:10" x14ac:dyDescent="0.45">
      <c r="A24" s="3" t="s">
        <v>60</v>
      </c>
      <c r="B24" s="3" t="s">
        <v>188</v>
      </c>
      <c r="C24" s="3" t="s">
        <v>189</v>
      </c>
      <c r="D24" s="28" t="s">
        <v>185</v>
      </c>
      <c r="E24" s="26"/>
      <c r="F24" s="27"/>
      <c r="G24" s="28" t="s">
        <v>190</v>
      </c>
      <c r="H24" s="26"/>
      <c r="I24" s="27"/>
    </row>
    <row r="25" spans="1:10" ht="18" customHeight="1" x14ac:dyDescent="0.45">
      <c r="A25" s="12">
        <v>1</v>
      </c>
      <c r="B25" s="12" t="s">
        <v>243</v>
      </c>
      <c r="C25" s="2" t="s">
        <v>438</v>
      </c>
      <c r="D25" s="25" t="s">
        <v>129</v>
      </c>
      <c r="E25" s="26"/>
      <c r="F25" s="27"/>
      <c r="G25" s="25" t="s">
        <v>242</v>
      </c>
      <c r="H25" s="26"/>
      <c r="I25" s="27"/>
    </row>
  </sheetData>
  <mergeCells count="21">
    <mergeCell ref="A1:I1"/>
    <mergeCell ref="H5:I5"/>
    <mergeCell ref="D21:F21"/>
    <mergeCell ref="E3:F3"/>
    <mergeCell ref="D25:F25"/>
    <mergeCell ref="A3:B3"/>
    <mergeCell ref="D24:F24"/>
    <mergeCell ref="G25:I25"/>
    <mergeCell ref="A19:I19"/>
    <mergeCell ref="C4:I4"/>
    <mergeCell ref="A5:B5"/>
    <mergeCell ref="G21:I21"/>
    <mergeCell ref="D20:F20"/>
    <mergeCell ref="H3:I3"/>
    <mergeCell ref="A4:B4"/>
    <mergeCell ref="E5:F5"/>
    <mergeCell ref="A6:B6"/>
    <mergeCell ref="G24:I24"/>
    <mergeCell ref="A23:I23"/>
    <mergeCell ref="C6:I6"/>
    <mergeCell ref="G20:I20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132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133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439</v>
      </c>
      <c r="D5" s="1" t="s">
        <v>18</v>
      </c>
      <c r="E5" s="23">
        <f>SUM(J9:J11)</f>
        <v>3</v>
      </c>
      <c r="F5" s="24"/>
      <c r="G5" s="1" t="s">
        <v>66</v>
      </c>
      <c r="H5" s="25" t="s">
        <v>137</v>
      </c>
      <c r="I5" s="24"/>
    </row>
    <row r="6" spans="1:10" ht="18" customHeight="1" x14ac:dyDescent="0.45">
      <c r="A6" s="29" t="s">
        <v>64</v>
      </c>
      <c r="B6" s="24"/>
      <c r="C6" s="25" t="s">
        <v>135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134</v>
      </c>
      <c r="C9" s="17" t="s">
        <v>440</v>
      </c>
      <c r="D9" s="17" t="s">
        <v>263</v>
      </c>
      <c r="E9" s="16" t="s">
        <v>168</v>
      </c>
      <c r="F9" s="16">
        <v>1</v>
      </c>
      <c r="G9" s="17"/>
      <c r="H9" s="17"/>
      <c r="I9" s="16" t="s">
        <v>177</v>
      </c>
      <c r="J9" s="17">
        <v>1</v>
      </c>
    </row>
    <row r="10" spans="1:10" x14ac:dyDescent="0.45">
      <c r="A10" s="12">
        <v>2</v>
      </c>
      <c r="B10" s="2" t="s">
        <v>441</v>
      </c>
      <c r="C10" s="2" t="s">
        <v>442</v>
      </c>
      <c r="D10" s="2" t="s">
        <v>257</v>
      </c>
      <c r="E10" s="12" t="s">
        <v>181</v>
      </c>
      <c r="F10" s="12"/>
      <c r="G10" s="2"/>
      <c r="H10" s="2"/>
      <c r="I10" s="12" t="s">
        <v>177</v>
      </c>
      <c r="J10" s="2">
        <v>1</v>
      </c>
    </row>
    <row r="11" spans="1:10" x14ac:dyDescent="0.45">
      <c r="A11" s="12">
        <v>3</v>
      </c>
      <c r="B11" s="2" t="s">
        <v>443</v>
      </c>
      <c r="C11" s="2" t="s">
        <v>444</v>
      </c>
      <c r="D11" s="2" t="s">
        <v>445</v>
      </c>
      <c r="E11" s="12" t="s">
        <v>181</v>
      </c>
      <c r="F11" s="12"/>
      <c r="G11" s="2"/>
      <c r="H11" s="2"/>
      <c r="I11" s="12" t="s">
        <v>177</v>
      </c>
      <c r="J11" s="2">
        <v>1</v>
      </c>
    </row>
    <row r="13" spans="1:10" x14ac:dyDescent="0.45">
      <c r="A13" s="30" t="s">
        <v>182</v>
      </c>
      <c r="B13" s="24"/>
      <c r="C13" s="24"/>
      <c r="D13" s="24"/>
      <c r="E13" s="24"/>
      <c r="F13" s="24"/>
      <c r="G13" s="24"/>
      <c r="H13" s="24"/>
      <c r="I13" s="24"/>
    </row>
    <row r="14" spans="1:10" x14ac:dyDescent="0.45">
      <c r="A14" s="3" t="s">
        <v>60</v>
      </c>
      <c r="B14" s="3" t="s">
        <v>183</v>
      </c>
      <c r="C14" s="3" t="s">
        <v>184</v>
      </c>
      <c r="D14" s="28" t="s">
        <v>185</v>
      </c>
      <c r="E14" s="26"/>
      <c r="F14" s="27"/>
      <c r="G14" s="28" t="s">
        <v>25</v>
      </c>
      <c r="H14" s="26"/>
      <c r="I14" s="27"/>
    </row>
    <row r="15" spans="1:10" ht="18" customHeight="1" x14ac:dyDescent="0.45">
      <c r="A15" s="12">
        <v>1</v>
      </c>
      <c r="B15" s="12" t="s">
        <v>163</v>
      </c>
      <c r="C15" s="2" t="s">
        <v>446</v>
      </c>
      <c r="D15" s="25" t="s">
        <v>134</v>
      </c>
      <c r="E15" s="26"/>
      <c r="F15" s="27"/>
      <c r="G15" s="25" t="s">
        <v>242</v>
      </c>
      <c r="H15" s="26"/>
      <c r="I15" s="27"/>
    </row>
    <row r="17" spans="1:9" x14ac:dyDescent="0.45">
      <c r="A17" s="30" t="s">
        <v>187</v>
      </c>
      <c r="B17" s="24"/>
      <c r="C17" s="24"/>
      <c r="D17" s="24"/>
      <c r="E17" s="24"/>
      <c r="F17" s="24"/>
      <c r="G17" s="24"/>
      <c r="H17" s="24"/>
      <c r="I17" s="24"/>
    </row>
    <row r="18" spans="1:9" x14ac:dyDescent="0.45">
      <c r="A18" s="3" t="s">
        <v>60</v>
      </c>
      <c r="B18" s="3" t="s">
        <v>188</v>
      </c>
      <c r="C18" s="3" t="s">
        <v>189</v>
      </c>
      <c r="D18" s="28" t="s">
        <v>185</v>
      </c>
      <c r="E18" s="26"/>
      <c r="F18" s="27"/>
      <c r="G18" s="28" t="s">
        <v>190</v>
      </c>
      <c r="H18" s="26"/>
      <c r="I18" s="27"/>
    </row>
    <row r="19" spans="1:9" ht="18" customHeight="1" x14ac:dyDescent="0.45">
      <c r="A19" s="12">
        <v>1</v>
      </c>
      <c r="B19" s="12" t="s">
        <v>243</v>
      </c>
      <c r="C19" s="2" t="s">
        <v>446</v>
      </c>
      <c r="D19" s="25" t="s">
        <v>134</v>
      </c>
      <c r="E19" s="26"/>
      <c r="F19" s="27"/>
      <c r="G19" s="25" t="s">
        <v>242</v>
      </c>
      <c r="H19" s="26"/>
      <c r="I19" s="27"/>
    </row>
  </sheetData>
  <mergeCells count="21">
    <mergeCell ref="A1:I1"/>
    <mergeCell ref="H5:I5"/>
    <mergeCell ref="E3:F3"/>
    <mergeCell ref="A3:B3"/>
    <mergeCell ref="D14:F14"/>
    <mergeCell ref="A13:I13"/>
    <mergeCell ref="C4:I4"/>
    <mergeCell ref="A5:B5"/>
    <mergeCell ref="H3:I3"/>
    <mergeCell ref="A4:B4"/>
    <mergeCell ref="G19:I19"/>
    <mergeCell ref="E5:F5"/>
    <mergeCell ref="G18:I18"/>
    <mergeCell ref="A6:B6"/>
    <mergeCell ref="G15:I15"/>
    <mergeCell ref="G14:I14"/>
    <mergeCell ref="D18:F18"/>
    <mergeCell ref="A17:I17"/>
    <mergeCell ref="C6:I6"/>
    <mergeCell ref="D15:F15"/>
    <mergeCell ref="D19:F19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138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139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447</v>
      </c>
      <c r="D5" s="1" t="s">
        <v>18</v>
      </c>
      <c r="E5" s="23">
        <f>SUM(J9:J21)</f>
        <v>13</v>
      </c>
      <c r="F5" s="24"/>
      <c r="G5" s="1" t="s">
        <v>66</v>
      </c>
      <c r="H5" s="25" t="s">
        <v>142</v>
      </c>
      <c r="I5" s="24"/>
    </row>
    <row r="6" spans="1:10" ht="18" customHeight="1" x14ac:dyDescent="0.45">
      <c r="A6" s="29" t="s">
        <v>64</v>
      </c>
      <c r="B6" s="24"/>
      <c r="C6" s="25" t="s">
        <v>141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6">
        <v>1</v>
      </c>
      <c r="B9" s="17" t="s">
        <v>191</v>
      </c>
      <c r="C9" s="17" t="s">
        <v>448</v>
      </c>
      <c r="D9" s="17" t="s">
        <v>219</v>
      </c>
      <c r="E9" s="16" t="s">
        <v>168</v>
      </c>
      <c r="F9" s="16">
        <v>1</v>
      </c>
      <c r="G9" s="17"/>
      <c r="H9" s="17" t="s">
        <v>449</v>
      </c>
      <c r="I9" s="16" t="s">
        <v>177</v>
      </c>
      <c r="J9" s="17">
        <v>1</v>
      </c>
    </row>
    <row r="10" spans="1:10" x14ac:dyDescent="0.45">
      <c r="A10" s="16">
        <v>2</v>
      </c>
      <c r="B10" s="17" t="s">
        <v>450</v>
      </c>
      <c r="C10" s="17" t="s">
        <v>451</v>
      </c>
      <c r="D10" s="17" t="s">
        <v>237</v>
      </c>
      <c r="E10" s="16" t="s">
        <v>168</v>
      </c>
      <c r="F10" s="16">
        <v>2</v>
      </c>
      <c r="G10" s="17"/>
      <c r="H10" s="17" t="s">
        <v>449</v>
      </c>
      <c r="I10" s="16" t="s">
        <v>177</v>
      </c>
      <c r="J10" s="17">
        <v>1</v>
      </c>
    </row>
    <row r="11" spans="1:10" x14ac:dyDescent="0.45">
      <c r="A11" s="16">
        <v>3</v>
      </c>
      <c r="B11" s="17" t="s">
        <v>452</v>
      </c>
      <c r="C11" s="17" t="s">
        <v>453</v>
      </c>
      <c r="D11" s="17" t="s">
        <v>219</v>
      </c>
      <c r="E11" s="16" t="s">
        <v>168</v>
      </c>
      <c r="F11" s="16">
        <v>3</v>
      </c>
      <c r="G11" s="17"/>
      <c r="H11" s="17" t="s">
        <v>449</v>
      </c>
      <c r="I11" s="16" t="s">
        <v>177</v>
      </c>
      <c r="J11" s="17">
        <v>1</v>
      </c>
    </row>
    <row r="12" spans="1:10" x14ac:dyDescent="0.45">
      <c r="A12" s="12">
        <v>4</v>
      </c>
      <c r="B12" s="2" t="s">
        <v>454</v>
      </c>
      <c r="C12" s="2" t="s">
        <v>455</v>
      </c>
      <c r="D12" s="2" t="s">
        <v>237</v>
      </c>
      <c r="E12" s="12" t="s">
        <v>181</v>
      </c>
      <c r="F12" s="12"/>
      <c r="G12" s="2"/>
      <c r="H12" s="2" t="s">
        <v>449</v>
      </c>
      <c r="I12" s="12" t="s">
        <v>177</v>
      </c>
      <c r="J12" s="2">
        <v>1</v>
      </c>
    </row>
    <row r="13" spans="1:10" ht="32" x14ac:dyDescent="0.45">
      <c r="A13" s="12">
        <v>5</v>
      </c>
      <c r="B13" s="2" t="s">
        <v>456</v>
      </c>
      <c r="C13" s="2" t="s">
        <v>457</v>
      </c>
      <c r="D13" s="2" t="s">
        <v>237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458</v>
      </c>
      <c r="C14" s="2" t="s">
        <v>459</v>
      </c>
      <c r="D14" s="2" t="s">
        <v>233</v>
      </c>
      <c r="E14" s="12" t="s">
        <v>181</v>
      </c>
      <c r="F14" s="12"/>
      <c r="G14" s="2"/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208</v>
      </c>
      <c r="C15" s="2" t="s">
        <v>460</v>
      </c>
      <c r="D15" s="2" t="s">
        <v>237</v>
      </c>
      <c r="E15" s="12" t="s">
        <v>181</v>
      </c>
      <c r="F15" s="12"/>
      <c r="G15" s="2"/>
      <c r="H15" s="2"/>
      <c r="I15" s="12" t="s">
        <v>177</v>
      </c>
      <c r="J15" s="2">
        <v>1</v>
      </c>
    </row>
    <row r="16" spans="1:10" x14ac:dyDescent="0.45">
      <c r="A16" s="12">
        <v>8</v>
      </c>
      <c r="B16" s="2" t="s">
        <v>319</v>
      </c>
      <c r="C16" s="2" t="s">
        <v>320</v>
      </c>
      <c r="D16" s="2" t="s">
        <v>237</v>
      </c>
      <c r="E16" s="12" t="s">
        <v>181</v>
      </c>
      <c r="F16" s="12"/>
      <c r="G16" s="2"/>
      <c r="H16" s="2"/>
      <c r="I16" s="12" t="s">
        <v>177</v>
      </c>
      <c r="J16" s="2">
        <v>1</v>
      </c>
    </row>
    <row r="17" spans="1:10" x14ac:dyDescent="0.45">
      <c r="A17" s="12">
        <v>9</v>
      </c>
      <c r="B17" s="2" t="s">
        <v>398</v>
      </c>
      <c r="C17" s="2" t="s">
        <v>461</v>
      </c>
      <c r="D17" s="2" t="s">
        <v>233</v>
      </c>
      <c r="E17" s="12" t="s">
        <v>181</v>
      </c>
      <c r="F17" s="12"/>
      <c r="G17" s="2"/>
      <c r="H17" s="2"/>
      <c r="I17" s="12" t="s">
        <v>177</v>
      </c>
      <c r="J17" s="2">
        <v>1</v>
      </c>
    </row>
    <row r="18" spans="1:10" x14ac:dyDescent="0.45">
      <c r="A18" s="12">
        <v>10</v>
      </c>
      <c r="B18" s="2" t="s">
        <v>210</v>
      </c>
      <c r="C18" s="2" t="s">
        <v>462</v>
      </c>
      <c r="D18" s="2" t="s">
        <v>237</v>
      </c>
      <c r="E18" s="12" t="s">
        <v>181</v>
      </c>
      <c r="F18" s="12"/>
      <c r="G18" s="2"/>
      <c r="H18" s="2"/>
      <c r="I18" s="12" t="s">
        <v>177</v>
      </c>
      <c r="J18" s="2">
        <v>1</v>
      </c>
    </row>
    <row r="19" spans="1:10" x14ac:dyDescent="0.45">
      <c r="A19" s="12">
        <v>11</v>
      </c>
      <c r="B19" s="2" t="s">
        <v>463</v>
      </c>
      <c r="C19" s="2" t="s">
        <v>464</v>
      </c>
      <c r="D19" s="2" t="s">
        <v>228</v>
      </c>
      <c r="E19" s="12" t="s">
        <v>181</v>
      </c>
      <c r="F19" s="12"/>
      <c r="G19" s="2"/>
      <c r="H19" s="2"/>
      <c r="I19" s="12" t="s">
        <v>177</v>
      </c>
      <c r="J19" s="2">
        <v>1</v>
      </c>
    </row>
    <row r="20" spans="1:10" x14ac:dyDescent="0.45">
      <c r="A20" s="12">
        <v>12</v>
      </c>
      <c r="B20" s="2" t="s">
        <v>465</v>
      </c>
      <c r="C20" s="2" t="s">
        <v>466</v>
      </c>
      <c r="D20" s="2" t="s">
        <v>233</v>
      </c>
      <c r="E20" s="12" t="s">
        <v>181</v>
      </c>
      <c r="F20" s="12"/>
      <c r="G20" s="2"/>
      <c r="H20" s="2"/>
      <c r="I20" s="12" t="s">
        <v>177</v>
      </c>
      <c r="J20" s="2">
        <v>1</v>
      </c>
    </row>
    <row r="21" spans="1:10" x14ac:dyDescent="0.45">
      <c r="A21" s="12">
        <v>13</v>
      </c>
      <c r="B21" s="2" t="s">
        <v>467</v>
      </c>
      <c r="C21" s="2" t="s">
        <v>468</v>
      </c>
      <c r="D21" s="2" t="s">
        <v>469</v>
      </c>
      <c r="E21" s="12" t="s">
        <v>181</v>
      </c>
      <c r="F21" s="12"/>
      <c r="G21" s="2"/>
      <c r="H21" s="2"/>
      <c r="I21" s="12" t="s">
        <v>177</v>
      </c>
      <c r="J21" s="2">
        <v>1</v>
      </c>
    </row>
    <row r="23" spans="1:10" x14ac:dyDescent="0.45">
      <c r="A23" s="30" t="s">
        <v>182</v>
      </c>
      <c r="B23" s="24"/>
      <c r="C23" s="24"/>
      <c r="D23" s="24"/>
      <c r="E23" s="24"/>
      <c r="F23" s="24"/>
      <c r="G23" s="24"/>
      <c r="H23" s="24"/>
      <c r="I23" s="24"/>
    </row>
    <row r="24" spans="1:10" x14ac:dyDescent="0.45">
      <c r="A24" s="3" t="s">
        <v>60</v>
      </c>
      <c r="B24" s="3" t="s">
        <v>183</v>
      </c>
      <c r="C24" s="3" t="s">
        <v>184</v>
      </c>
      <c r="D24" s="28" t="s">
        <v>185</v>
      </c>
      <c r="E24" s="26"/>
      <c r="F24" s="27"/>
      <c r="G24" s="28" t="s">
        <v>25</v>
      </c>
      <c r="H24" s="26"/>
      <c r="I24" s="27"/>
    </row>
    <row r="25" spans="1:10" ht="18" customHeight="1" x14ac:dyDescent="0.45">
      <c r="A25" s="12">
        <v>1</v>
      </c>
      <c r="B25" s="12" t="s">
        <v>163</v>
      </c>
      <c r="C25" s="2" t="s">
        <v>470</v>
      </c>
      <c r="D25" s="25" t="s">
        <v>140</v>
      </c>
      <c r="E25" s="26"/>
      <c r="F25" s="27"/>
      <c r="G25" s="25" t="s">
        <v>242</v>
      </c>
      <c r="H25" s="26"/>
      <c r="I25" s="27"/>
    </row>
    <row r="27" spans="1:10" x14ac:dyDescent="0.45">
      <c r="A27" s="30" t="s">
        <v>187</v>
      </c>
      <c r="B27" s="24"/>
      <c r="C27" s="24"/>
      <c r="D27" s="24"/>
      <c r="E27" s="24"/>
      <c r="F27" s="24"/>
      <c r="G27" s="24"/>
      <c r="H27" s="24"/>
      <c r="I27" s="24"/>
    </row>
    <row r="28" spans="1:10" x14ac:dyDescent="0.45">
      <c r="A28" s="3" t="s">
        <v>60</v>
      </c>
      <c r="B28" s="3" t="s">
        <v>188</v>
      </c>
      <c r="C28" s="3" t="s">
        <v>189</v>
      </c>
      <c r="D28" s="28" t="s">
        <v>185</v>
      </c>
      <c r="E28" s="26"/>
      <c r="F28" s="27"/>
      <c r="G28" s="28" t="s">
        <v>190</v>
      </c>
      <c r="H28" s="26"/>
      <c r="I28" s="27"/>
    </row>
    <row r="29" spans="1:10" ht="18" customHeight="1" x14ac:dyDescent="0.45">
      <c r="A29" s="12">
        <v>1</v>
      </c>
      <c r="B29" s="12" t="s">
        <v>243</v>
      </c>
      <c r="C29" s="2" t="s">
        <v>470</v>
      </c>
      <c r="D29" s="25" t="s">
        <v>140</v>
      </c>
      <c r="E29" s="26"/>
      <c r="F29" s="27"/>
      <c r="G29" s="25" t="s">
        <v>242</v>
      </c>
      <c r="H29" s="26"/>
      <c r="I29" s="27"/>
    </row>
  </sheetData>
  <mergeCells count="21">
    <mergeCell ref="A1:I1"/>
    <mergeCell ref="H5:I5"/>
    <mergeCell ref="E3:F3"/>
    <mergeCell ref="G29:I29"/>
    <mergeCell ref="A3:B3"/>
    <mergeCell ref="D24:F24"/>
    <mergeCell ref="G25:I25"/>
    <mergeCell ref="D29:F29"/>
    <mergeCell ref="C4:I4"/>
    <mergeCell ref="A5:B5"/>
    <mergeCell ref="H3:I3"/>
    <mergeCell ref="A4:B4"/>
    <mergeCell ref="G28:I28"/>
    <mergeCell ref="E5:F5"/>
    <mergeCell ref="A27:I27"/>
    <mergeCell ref="A6:B6"/>
    <mergeCell ref="G24:I24"/>
    <mergeCell ref="D28:F28"/>
    <mergeCell ref="A23:I23"/>
    <mergeCell ref="C6:I6"/>
    <mergeCell ref="D25:F25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143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144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SUM(J9:J19)</f>
        <v>29</v>
      </c>
      <c r="F5" s="24"/>
      <c r="G5" s="1" t="s">
        <v>66</v>
      </c>
      <c r="H5" s="25" t="s">
        <v>147</v>
      </c>
      <c r="I5" s="24"/>
    </row>
    <row r="6" spans="1:10" ht="18" customHeight="1" x14ac:dyDescent="0.45">
      <c r="A6" s="29" t="s">
        <v>64</v>
      </c>
      <c r="B6" s="24"/>
      <c r="C6" s="25" t="s">
        <v>145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266</v>
      </c>
      <c r="C9" s="2" t="s">
        <v>471</v>
      </c>
      <c r="D9" s="2" t="s">
        <v>167</v>
      </c>
      <c r="E9" s="12" t="s">
        <v>168</v>
      </c>
      <c r="F9" s="12"/>
      <c r="G9" s="2"/>
      <c r="H9" s="2"/>
      <c r="I9" s="12" t="s">
        <v>169</v>
      </c>
      <c r="J9" s="2">
        <v>1</v>
      </c>
    </row>
    <row r="10" spans="1:10" x14ac:dyDescent="0.45">
      <c r="A10" s="12">
        <v>2</v>
      </c>
      <c r="B10" s="2" t="s">
        <v>472</v>
      </c>
      <c r="C10" s="2" t="s">
        <v>473</v>
      </c>
      <c r="D10" s="2" t="s">
        <v>167</v>
      </c>
      <c r="E10" s="12" t="s">
        <v>168</v>
      </c>
      <c r="F10" s="12"/>
      <c r="G10" s="2"/>
      <c r="H10" s="2"/>
      <c r="I10" s="12" t="s">
        <v>169</v>
      </c>
      <c r="J10" s="2">
        <v>1</v>
      </c>
    </row>
    <row r="11" spans="1:10" x14ac:dyDescent="0.45">
      <c r="A11" s="12">
        <v>3</v>
      </c>
      <c r="B11" s="2" t="s">
        <v>474</v>
      </c>
      <c r="C11" s="2" t="s">
        <v>475</v>
      </c>
      <c r="D11" s="2" t="s">
        <v>180</v>
      </c>
      <c r="E11" s="12" t="s">
        <v>168</v>
      </c>
      <c r="F11" s="12"/>
      <c r="G11" s="2"/>
      <c r="H11" s="2"/>
      <c r="I11" s="12" t="s">
        <v>177</v>
      </c>
      <c r="J11" s="2">
        <v>1</v>
      </c>
    </row>
    <row r="12" spans="1:10" ht="32" x14ac:dyDescent="0.45">
      <c r="A12" s="18" t="s">
        <v>249</v>
      </c>
      <c r="B12" s="19" t="s">
        <v>476</v>
      </c>
      <c r="C12" s="19" t="s">
        <v>477</v>
      </c>
      <c r="D12" s="19" t="s">
        <v>257</v>
      </c>
      <c r="E12" s="18" t="s">
        <v>181</v>
      </c>
      <c r="F12" s="18"/>
      <c r="G12" s="19"/>
      <c r="H12" s="19"/>
      <c r="I12" s="18" t="s">
        <v>177</v>
      </c>
      <c r="J12" s="19">
        <v>10</v>
      </c>
    </row>
    <row r="13" spans="1:10" x14ac:dyDescent="0.45">
      <c r="A13" s="12">
        <v>14</v>
      </c>
      <c r="B13" s="2" t="s">
        <v>134</v>
      </c>
      <c r="C13" s="2" t="s">
        <v>478</v>
      </c>
      <c r="D13" s="2" t="s">
        <v>219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15</v>
      </c>
      <c r="B14" s="2" t="s">
        <v>479</v>
      </c>
      <c r="C14" s="2" t="s">
        <v>480</v>
      </c>
      <c r="D14" s="2" t="s">
        <v>237</v>
      </c>
      <c r="E14" s="12" t="s">
        <v>168</v>
      </c>
      <c r="F14" s="12"/>
      <c r="G14" s="2"/>
      <c r="H14" s="2"/>
      <c r="I14" s="12" t="s">
        <v>169</v>
      </c>
      <c r="J14" s="2">
        <v>1</v>
      </c>
    </row>
    <row r="15" spans="1:10" x14ac:dyDescent="0.45">
      <c r="A15" s="12">
        <v>16</v>
      </c>
      <c r="B15" s="2" t="s">
        <v>481</v>
      </c>
      <c r="C15" s="2" t="s">
        <v>482</v>
      </c>
      <c r="D15" s="2" t="s">
        <v>237</v>
      </c>
      <c r="E15" s="12" t="s">
        <v>168</v>
      </c>
      <c r="F15" s="12"/>
      <c r="G15" s="2"/>
      <c r="H15" s="2"/>
      <c r="I15" s="12" t="s">
        <v>169</v>
      </c>
      <c r="J15" s="2">
        <v>1</v>
      </c>
    </row>
    <row r="16" spans="1:10" x14ac:dyDescent="0.45">
      <c r="A16" s="12">
        <v>17</v>
      </c>
      <c r="B16" s="2" t="s">
        <v>483</v>
      </c>
      <c r="C16" s="2" t="s">
        <v>484</v>
      </c>
      <c r="D16" s="2" t="s">
        <v>237</v>
      </c>
      <c r="E16" s="12" t="s">
        <v>181</v>
      </c>
      <c r="F16" s="12"/>
      <c r="G16" s="2"/>
      <c r="H16" s="2"/>
      <c r="I16" s="12" t="s">
        <v>177</v>
      </c>
      <c r="J16" s="2">
        <v>1</v>
      </c>
    </row>
    <row r="17" spans="1:10" x14ac:dyDescent="0.45">
      <c r="A17" s="12">
        <v>18</v>
      </c>
      <c r="B17" s="2" t="s">
        <v>485</v>
      </c>
      <c r="C17" s="2" t="s">
        <v>486</v>
      </c>
      <c r="D17" s="2" t="s">
        <v>237</v>
      </c>
      <c r="E17" s="12" t="s">
        <v>181</v>
      </c>
      <c r="F17" s="12"/>
      <c r="G17" s="2"/>
      <c r="H17" s="2"/>
      <c r="I17" s="12" t="s">
        <v>177</v>
      </c>
      <c r="J17" s="2">
        <v>1</v>
      </c>
    </row>
    <row r="18" spans="1:10" x14ac:dyDescent="0.45">
      <c r="A18" s="12">
        <v>19</v>
      </c>
      <c r="B18" s="2" t="s">
        <v>487</v>
      </c>
      <c r="C18" s="2" t="s">
        <v>488</v>
      </c>
      <c r="D18" s="2" t="s">
        <v>237</v>
      </c>
      <c r="E18" s="12" t="s">
        <v>168</v>
      </c>
      <c r="F18" s="12"/>
      <c r="G18" s="2"/>
      <c r="H18" s="2"/>
      <c r="I18" s="12" t="s">
        <v>177</v>
      </c>
      <c r="J18" s="2">
        <v>1</v>
      </c>
    </row>
    <row r="19" spans="1:10" ht="32" x14ac:dyDescent="0.45">
      <c r="A19" s="18" t="s">
        <v>489</v>
      </c>
      <c r="B19" s="19" t="s">
        <v>490</v>
      </c>
      <c r="C19" s="19" t="s">
        <v>491</v>
      </c>
      <c r="D19" s="19" t="s">
        <v>414</v>
      </c>
      <c r="E19" s="18" t="s">
        <v>181</v>
      </c>
      <c r="F19" s="18"/>
      <c r="G19" s="19"/>
      <c r="H19" s="19"/>
      <c r="I19" s="18" t="s">
        <v>229</v>
      </c>
      <c r="J19" s="19">
        <v>10</v>
      </c>
    </row>
    <row r="21" spans="1:10" x14ac:dyDescent="0.45">
      <c r="A21" s="30" t="s">
        <v>182</v>
      </c>
      <c r="B21" s="24"/>
      <c r="C21" s="24"/>
      <c r="D21" s="24"/>
      <c r="E21" s="24"/>
      <c r="F21" s="24"/>
      <c r="G21" s="24"/>
      <c r="H21" s="24"/>
      <c r="I21" s="24"/>
    </row>
    <row r="22" spans="1:10" x14ac:dyDescent="0.45">
      <c r="A22" s="3" t="s">
        <v>60</v>
      </c>
      <c r="B22" s="3" t="s">
        <v>183</v>
      </c>
      <c r="C22" s="3" t="s">
        <v>184</v>
      </c>
      <c r="D22" s="28" t="s">
        <v>185</v>
      </c>
      <c r="E22" s="26"/>
      <c r="F22" s="27"/>
      <c r="G22" s="28" t="s">
        <v>25</v>
      </c>
      <c r="H22" s="26"/>
      <c r="I22" s="27"/>
    </row>
    <row r="23" spans="1:10" x14ac:dyDescent="0.45">
      <c r="A23" s="12" t="s">
        <v>186</v>
      </c>
      <c r="B23" s="12" t="s">
        <v>186</v>
      </c>
      <c r="C23" s="2" t="s">
        <v>159</v>
      </c>
      <c r="D23" s="25"/>
      <c r="E23" s="26"/>
      <c r="F23" s="27"/>
      <c r="G23" s="25"/>
      <c r="H23" s="26"/>
      <c r="I23" s="27"/>
    </row>
    <row r="25" spans="1:10" x14ac:dyDescent="0.45">
      <c r="A25" s="30" t="s">
        <v>187</v>
      </c>
      <c r="B25" s="24"/>
      <c r="C25" s="24"/>
      <c r="D25" s="24"/>
      <c r="E25" s="24"/>
      <c r="F25" s="24"/>
      <c r="G25" s="24"/>
      <c r="H25" s="24"/>
      <c r="I25" s="24"/>
    </row>
    <row r="26" spans="1:10" x14ac:dyDescent="0.45">
      <c r="A26" s="3" t="s">
        <v>60</v>
      </c>
      <c r="B26" s="3" t="s">
        <v>188</v>
      </c>
      <c r="C26" s="3" t="s">
        <v>189</v>
      </c>
      <c r="D26" s="28" t="s">
        <v>185</v>
      </c>
      <c r="E26" s="26"/>
      <c r="F26" s="27"/>
      <c r="G26" s="28" t="s">
        <v>190</v>
      </c>
      <c r="H26" s="26"/>
      <c r="I26" s="27"/>
    </row>
    <row r="27" spans="1:10" x14ac:dyDescent="0.45">
      <c r="A27" s="12" t="s">
        <v>186</v>
      </c>
      <c r="B27" s="12" t="s">
        <v>186</v>
      </c>
      <c r="C27" s="2" t="s">
        <v>159</v>
      </c>
      <c r="D27" s="25"/>
      <c r="E27" s="26"/>
      <c r="F27" s="27"/>
      <c r="G27" s="25"/>
      <c r="H27" s="26"/>
      <c r="I27" s="27"/>
    </row>
  </sheetData>
  <mergeCells count="21">
    <mergeCell ref="A1:I1"/>
    <mergeCell ref="H5:I5"/>
    <mergeCell ref="E3:F3"/>
    <mergeCell ref="A3:B3"/>
    <mergeCell ref="D23:F23"/>
    <mergeCell ref="G22:I22"/>
    <mergeCell ref="C4:I4"/>
    <mergeCell ref="A5:B5"/>
    <mergeCell ref="H3:I3"/>
    <mergeCell ref="A4:B4"/>
    <mergeCell ref="D22:F22"/>
    <mergeCell ref="G23:I23"/>
    <mergeCell ref="A25:I25"/>
    <mergeCell ref="D27:F27"/>
    <mergeCell ref="E5:F5"/>
    <mergeCell ref="A6:B6"/>
    <mergeCell ref="A21:I21"/>
    <mergeCell ref="C6:I6"/>
    <mergeCell ref="G26:I26"/>
    <mergeCell ref="D26:F26"/>
    <mergeCell ref="G27:I27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2" t="s">
        <v>154</v>
      </c>
      <c r="B1" s="21"/>
      <c r="C1" s="21"/>
      <c r="D1" s="21"/>
      <c r="E1" s="21"/>
      <c r="F1" s="21"/>
      <c r="G1" s="21"/>
      <c r="H1" s="21"/>
      <c r="I1" s="21"/>
    </row>
    <row r="2" spans="1:10" x14ac:dyDescent="0.45">
      <c r="I2" s="15" t="s">
        <v>155</v>
      </c>
    </row>
    <row r="3" spans="1:10" x14ac:dyDescent="0.45">
      <c r="A3" s="29" t="s">
        <v>61</v>
      </c>
      <c r="B3" s="24"/>
      <c r="C3" s="4" t="s">
        <v>148</v>
      </c>
      <c r="D3" s="1" t="s">
        <v>3</v>
      </c>
      <c r="E3" s="25" t="s">
        <v>156</v>
      </c>
      <c r="F3" s="24"/>
      <c r="G3" s="1" t="s">
        <v>157</v>
      </c>
      <c r="H3" s="25" t="s">
        <v>158</v>
      </c>
      <c r="I3" s="24"/>
    </row>
    <row r="4" spans="1:10" ht="18" customHeight="1" x14ac:dyDescent="0.45">
      <c r="A4" s="29" t="s">
        <v>62</v>
      </c>
      <c r="B4" s="24"/>
      <c r="C4" s="25" t="s">
        <v>149</v>
      </c>
      <c r="D4" s="24"/>
      <c r="E4" s="24"/>
      <c r="F4" s="24"/>
      <c r="G4" s="24"/>
      <c r="H4" s="24"/>
      <c r="I4" s="24"/>
    </row>
    <row r="5" spans="1:10" x14ac:dyDescent="0.45">
      <c r="A5" s="29" t="s">
        <v>63</v>
      </c>
      <c r="B5" s="24"/>
      <c r="C5" s="2" t="s">
        <v>159</v>
      </c>
      <c r="D5" s="1" t="s">
        <v>18</v>
      </c>
      <c r="E5" s="23">
        <f>SUM(J9:J15)</f>
        <v>7</v>
      </c>
      <c r="F5" s="24"/>
      <c r="G5" s="1" t="s">
        <v>66</v>
      </c>
      <c r="H5" s="25" t="s">
        <v>152</v>
      </c>
      <c r="I5" s="24"/>
    </row>
    <row r="6" spans="1:10" ht="18" customHeight="1" x14ac:dyDescent="0.45">
      <c r="A6" s="29" t="s">
        <v>64</v>
      </c>
      <c r="B6" s="24"/>
      <c r="C6" s="25" t="s">
        <v>150</v>
      </c>
      <c r="D6" s="24"/>
      <c r="E6" s="24"/>
      <c r="F6" s="24"/>
      <c r="G6" s="24"/>
      <c r="H6" s="24"/>
      <c r="I6" s="24"/>
    </row>
    <row r="8" spans="1:10" x14ac:dyDescent="0.45">
      <c r="A8" s="3" t="s">
        <v>60</v>
      </c>
      <c r="B8" s="3" t="s">
        <v>160</v>
      </c>
      <c r="C8" s="3" t="s">
        <v>161</v>
      </c>
      <c r="D8" s="3" t="s">
        <v>36</v>
      </c>
      <c r="E8" s="3" t="s">
        <v>162</v>
      </c>
      <c r="F8" s="3" t="s">
        <v>163</v>
      </c>
      <c r="G8" s="3" t="s">
        <v>42</v>
      </c>
      <c r="H8" s="3" t="s">
        <v>164</v>
      </c>
      <c r="I8" s="3" t="s">
        <v>44</v>
      </c>
    </row>
    <row r="9" spans="1:10" x14ac:dyDescent="0.45">
      <c r="A9" s="12">
        <v>1</v>
      </c>
      <c r="B9" s="2" t="s">
        <v>88</v>
      </c>
      <c r="C9" s="2" t="s">
        <v>492</v>
      </c>
      <c r="D9" s="2" t="s">
        <v>263</v>
      </c>
      <c r="E9" s="12" t="s">
        <v>168</v>
      </c>
      <c r="F9" s="12"/>
      <c r="G9" s="2" t="s">
        <v>86</v>
      </c>
      <c r="H9" s="2"/>
      <c r="I9" s="12" t="s">
        <v>177</v>
      </c>
      <c r="J9" s="2">
        <v>1</v>
      </c>
    </row>
    <row r="10" spans="1:10" x14ac:dyDescent="0.45">
      <c r="A10" s="12">
        <v>2</v>
      </c>
      <c r="B10" s="2" t="s">
        <v>266</v>
      </c>
      <c r="C10" s="2" t="s">
        <v>493</v>
      </c>
      <c r="D10" s="2" t="s">
        <v>167</v>
      </c>
      <c r="E10" s="12" t="s">
        <v>168</v>
      </c>
      <c r="F10" s="12"/>
      <c r="G10" s="2" t="s">
        <v>143</v>
      </c>
      <c r="H10" s="2"/>
      <c r="I10" s="12" t="s">
        <v>169</v>
      </c>
      <c r="J10" s="2">
        <v>1</v>
      </c>
    </row>
    <row r="11" spans="1:10" x14ac:dyDescent="0.45">
      <c r="A11" s="12">
        <v>3</v>
      </c>
      <c r="B11" s="2" t="s">
        <v>494</v>
      </c>
      <c r="C11" s="2" t="s">
        <v>495</v>
      </c>
      <c r="D11" s="2" t="s">
        <v>219</v>
      </c>
      <c r="E11" s="12" t="s">
        <v>168</v>
      </c>
      <c r="F11" s="12"/>
      <c r="G11" s="2"/>
      <c r="H11" s="2"/>
      <c r="I11" s="12" t="s">
        <v>169</v>
      </c>
      <c r="J11" s="2">
        <v>1</v>
      </c>
    </row>
    <row r="12" spans="1:10" x14ac:dyDescent="0.45">
      <c r="A12" s="12">
        <v>4</v>
      </c>
      <c r="B12" s="2" t="s">
        <v>496</v>
      </c>
      <c r="C12" s="2" t="s">
        <v>497</v>
      </c>
      <c r="D12" s="2" t="s">
        <v>498</v>
      </c>
      <c r="E12" s="12" t="s">
        <v>168</v>
      </c>
      <c r="F12" s="12"/>
      <c r="G12" s="2"/>
      <c r="H12" s="2"/>
      <c r="I12" s="12" t="s">
        <v>177</v>
      </c>
      <c r="J12" s="2">
        <v>1</v>
      </c>
    </row>
    <row r="13" spans="1:10" x14ac:dyDescent="0.45">
      <c r="A13" s="12">
        <v>5</v>
      </c>
      <c r="B13" s="2" t="s">
        <v>499</v>
      </c>
      <c r="C13" s="2" t="s">
        <v>500</v>
      </c>
      <c r="D13" s="2" t="s">
        <v>498</v>
      </c>
      <c r="E13" s="12" t="s">
        <v>181</v>
      </c>
      <c r="F13" s="12"/>
      <c r="G13" s="2"/>
      <c r="H13" s="2"/>
      <c r="I13" s="12" t="s">
        <v>177</v>
      </c>
      <c r="J13" s="2">
        <v>1</v>
      </c>
    </row>
    <row r="14" spans="1:10" x14ac:dyDescent="0.45">
      <c r="A14" s="12">
        <v>6</v>
      </c>
      <c r="B14" s="2" t="s">
        <v>501</v>
      </c>
      <c r="C14" s="2" t="s">
        <v>502</v>
      </c>
      <c r="D14" s="2" t="s">
        <v>180</v>
      </c>
      <c r="E14" s="12" t="s">
        <v>181</v>
      </c>
      <c r="F14" s="12"/>
      <c r="G14" s="2"/>
      <c r="H14" s="2"/>
      <c r="I14" s="12" t="s">
        <v>177</v>
      </c>
      <c r="J14" s="2">
        <v>1</v>
      </c>
    </row>
    <row r="15" spans="1:10" x14ac:dyDescent="0.45">
      <c r="A15" s="12">
        <v>7</v>
      </c>
      <c r="B15" s="2" t="s">
        <v>443</v>
      </c>
      <c r="C15" s="2" t="s">
        <v>503</v>
      </c>
      <c r="D15" s="2" t="s">
        <v>180</v>
      </c>
      <c r="E15" s="12" t="s">
        <v>181</v>
      </c>
      <c r="F15" s="12"/>
      <c r="G15" s="2"/>
      <c r="H15" s="2"/>
      <c r="I15" s="12" t="s">
        <v>177</v>
      </c>
      <c r="J15" s="2">
        <v>1</v>
      </c>
    </row>
    <row r="17" spans="1:9" x14ac:dyDescent="0.45">
      <c r="A17" s="30" t="s">
        <v>182</v>
      </c>
      <c r="B17" s="24"/>
      <c r="C17" s="24"/>
      <c r="D17" s="24"/>
      <c r="E17" s="24"/>
      <c r="F17" s="24"/>
      <c r="G17" s="24"/>
      <c r="H17" s="24"/>
      <c r="I17" s="24"/>
    </row>
    <row r="18" spans="1:9" x14ac:dyDescent="0.45">
      <c r="A18" s="3" t="s">
        <v>60</v>
      </c>
      <c r="B18" s="3" t="s">
        <v>183</v>
      </c>
      <c r="C18" s="3" t="s">
        <v>184</v>
      </c>
      <c r="D18" s="28" t="s">
        <v>185</v>
      </c>
      <c r="E18" s="26"/>
      <c r="F18" s="27"/>
      <c r="G18" s="28" t="s">
        <v>25</v>
      </c>
      <c r="H18" s="26"/>
      <c r="I18" s="27"/>
    </row>
    <row r="19" spans="1:9" x14ac:dyDescent="0.45">
      <c r="A19" s="12" t="s">
        <v>186</v>
      </c>
      <c r="B19" s="12" t="s">
        <v>186</v>
      </c>
      <c r="C19" s="2" t="s">
        <v>159</v>
      </c>
      <c r="D19" s="25"/>
      <c r="E19" s="26"/>
      <c r="F19" s="27"/>
      <c r="G19" s="25"/>
      <c r="H19" s="26"/>
      <c r="I19" s="27"/>
    </row>
    <row r="21" spans="1:9" x14ac:dyDescent="0.45">
      <c r="A21" s="30" t="s">
        <v>187</v>
      </c>
      <c r="B21" s="24"/>
      <c r="C21" s="24"/>
      <c r="D21" s="24"/>
      <c r="E21" s="24"/>
      <c r="F21" s="24"/>
      <c r="G21" s="24"/>
      <c r="H21" s="24"/>
      <c r="I21" s="24"/>
    </row>
    <row r="22" spans="1:9" x14ac:dyDescent="0.45">
      <c r="A22" s="3" t="s">
        <v>60</v>
      </c>
      <c r="B22" s="3" t="s">
        <v>188</v>
      </c>
      <c r="C22" s="3" t="s">
        <v>189</v>
      </c>
      <c r="D22" s="28" t="s">
        <v>185</v>
      </c>
      <c r="E22" s="26"/>
      <c r="F22" s="27"/>
      <c r="G22" s="28" t="s">
        <v>190</v>
      </c>
      <c r="H22" s="26"/>
      <c r="I22" s="27"/>
    </row>
    <row r="23" spans="1:9" x14ac:dyDescent="0.45">
      <c r="A23" s="12" t="s">
        <v>186</v>
      </c>
      <c r="B23" s="12" t="s">
        <v>186</v>
      </c>
      <c r="C23" s="2" t="s">
        <v>159</v>
      </c>
      <c r="D23" s="25"/>
      <c r="E23" s="26"/>
      <c r="F23" s="27"/>
      <c r="G23" s="25"/>
      <c r="H23" s="26"/>
      <c r="I23" s="27"/>
    </row>
  </sheetData>
  <mergeCells count="21">
    <mergeCell ref="A1:I1"/>
    <mergeCell ref="H5:I5"/>
    <mergeCell ref="E3:F3"/>
    <mergeCell ref="A3:B3"/>
    <mergeCell ref="D23:F23"/>
    <mergeCell ref="G22:I22"/>
    <mergeCell ref="C4:I4"/>
    <mergeCell ref="A5:B5"/>
    <mergeCell ref="H3:I3"/>
    <mergeCell ref="A4:B4"/>
    <mergeCell ref="D19:F19"/>
    <mergeCell ref="D22:F22"/>
    <mergeCell ref="G23:I23"/>
    <mergeCell ref="G19:I19"/>
    <mergeCell ref="E5:F5"/>
    <mergeCell ref="G18:I18"/>
    <mergeCell ref="A6:B6"/>
    <mergeCell ref="A21:I21"/>
    <mergeCell ref="D18:F18"/>
    <mergeCell ref="A17:I17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showGridLines="0" workbookViewId="0">
      <pane ySplit="4" topLeftCell="A5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30" customWidth="1"/>
    <col min="4" max="4" width="24" customWidth="1"/>
    <col min="5" max="5" width="30" customWidth="1"/>
    <col min="6" max="6" width="60" customWidth="1"/>
  </cols>
  <sheetData>
    <row r="1" spans="1:6" ht="26" customHeight="1" x14ac:dyDescent="0.45">
      <c r="A1" s="22" t="s">
        <v>504</v>
      </c>
      <c r="B1" s="21"/>
      <c r="C1" s="21"/>
      <c r="D1" s="21"/>
      <c r="E1" s="21"/>
      <c r="F1" s="21"/>
    </row>
    <row r="2" spans="1:6" x14ac:dyDescent="0.45">
      <c r="A2" s="31" t="s">
        <v>505</v>
      </c>
      <c r="B2" s="21"/>
      <c r="C2" s="21"/>
      <c r="D2" s="21"/>
      <c r="E2" s="21"/>
      <c r="F2" s="21"/>
    </row>
    <row r="4" spans="1:6" x14ac:dyDescent="0.45">
      <c r="A4" s="3" t="s">
        <v>60</v>
      </c>
      <c r="B4" s="3" t="s">
        <v>506</v>
      </c>
      <c r="C4" s="3" t="s">
        <v>507</v>
      </c>
      <c r="D4" s="3" t="s">
        <v>508</v>
      </c>
      <c r="E4" s="3" t="s">
        <v>509</v>
      </c>
      <c r="F4" s="3" t="s">
        <v>510</v>
      </c>
    </row>
    <row r="5" spans="1:6" ht="32" x14ac:dyDescent="0.45">
      <c r="A5" s="12">
        <v>1</v>
      </c>
      <c r="B5" s="2" t="s">
        <v>70</v>
      </c>
      <c r="C5" s="2" t="s">
        <v>511</v>
      </c>
      <c r="D5" s="2" t="s">
        <v>67</v>
      </c>
      <c r="E5" s="2" t="s">
        <v>511</v>
      </c>
      <c r="F5" s="2" t="s">
        <v>512</v>
      </c>
    </row>
    <row r="6" spans="1:6" ht="32" x14ac:dyDescent="0.45">
      <c r="A6" s="12">
        <v>2</v>
      </c>
      <c r="B6" s="2" t="s">
        <v>98</v>
      </c>
      <c r="C6" s="2" t="s">
        <v>266</v>
      </c>
      <c r="D6" s="2" t="s">
        <v>143</v>
      </c>
      <c r="E6" s="2" t="s">
        <v>266</v>
      </c>
      <c r="F6" s="2" t="s">
        <v>513</v>
      </c>
    </row>
    <row r="7" spans="1:6" ht="32" x14ac:dyDescent="0.45">
      <c r="A7" s="12">
        <v>3</v>
      </c>
      <c r="B7" s="2" t="s">
        <v>98</v>
      </c>
      <c r="C7" s="2" t="s">
        <v>134</v>
      </c>
      <c r="D7" s="2" t="s">
        <v>132</v>
      </c>
      <c r="E7" s="2" t="s">
        <v>134</v>
      </c>
      <c r="F7" s="2" t="s">
        <v>514</v>
      </c>
    </row>
    <row r="8" spans="1:6" ht="64" x14ac:dyDescent="0.45">
      <c r="A8" s="12">
        <v>4</v>
      </c>
      <c r="B8" s="2" t="s">
        <v>92</v>
      </c>
      <c r="C8" s="2" t="s">
        <v>134</v>
      </c>
      <c r="D8" s="2" t="s">
        <v>132</v>
      </c>
      <c r="E8" s="2" t="s">
        <v>134</v>
      </c>
      <c r="F8" s="2" t="s">
        <v>515</v>
      </c>
    </row>
    <row r="9" spans="1:6" ht="32" x14ac:dyDescent="0.45">
      <c r="A9" s="12">
        <v>5</v>
      </c>
      <c r="B9" s="2" t="s">
        <v>92</v>
      </c>
      <c r="C9" s="2" t="s">
        <v>88</v>
      </c>
      <c r="D9" s="2" t="s">
        <v>86</v>
      </c>
      <c r="E9" s="2" t="s">
        <v>88</v>
      </c>
      <c r="F9" s="2" t="s">
        <v>516</v>
      </c>
    </row>
    <row r="10" spans="1:6" x14ac:dyDescent="0.45">
      <c r="A10" s="12">
        <v>6</v>
      </c>
      <c r="B10" s="2" t="s">
        <v>148</v>
      </c>
      <c r="C10" s="2" t="s">
        <v>88</v>
      </c>
      <c r="D10" s="2" t="s">
        <v>86</v>
      </c>
      <c r="E10" s="2" t="s">
        <v>88</v>
      </c>
      <c r="F10" s="2" t="s">
        <v>517</v>
      </c>
    </row>
    <row r="11" spans="1:6" ht="32" x14ac:dyDescent="0.45">
      <c r="A11" s="12">
        <v>7</v>
      </c>
      <c r="B11" s="2" t="s">
        <v>148</v>
      </c>
      <c r="C11" s="2" t="s">
        <v>266</v>
      </c>
      <c r="D11" s="2" t="s">
        <v>143</v>
      </c>
      <c r="E11" s="2" t="s">
        <v>266</v>
      </c>
      <c r="F11" s="2" t="s">
        <v>518</v>
      </c>
    </row>
    <row r="12" spans="1:6" ht="32" x14ac:dyDescent="0.45">
      <c r="A12" s="12">
        <v>8</v>
      </c>
      <c r="B12" s="2" t="s">
        <v>75</v>
      </c>
      <c r="C12" s="2" t="s">
        <v>83</v>
      </c>
      <c r="D12" s="2" t="s">
        <v>81</v>
      </c>
      <c r="E12" s="2" t="s">
        <v>83</v>
      </c>
      <c r="F12" s="2" t="s">
        <v>519</v>
      </c>
    </row>
    <row r="13" spans="1:6" ht="32" x14ac:dyDescent="0.45">
      <c r="A13" s="12">
        <v>9</v>
      </c>
      <c r="B13" s="2" t="s">
        <v>75</v>
      </c>
      <c r="C13" s="2" t="s">
        <v>129</v>
      </c>
      <c r="D13" s="2" t="s">
        <v>127</v>
      </c>
      <c r="E13" s="2" t="s">
        <v>129</v>
      </c>
      <c r="F13" s="2" t="s">
        <v>520</v>
      </c>
    </row>
    <row r="14" spans="1:6" ht="32" x14ac:dyDescent="0.45">
      <c r="A14" s="12">
        <v>10</v>
      </c>
      <c r="B14" s="2" t="s">
        <v>75</v>
      </c>
      <c r="C14" s="2" t="s">
        <v>521</v>
      </c>
      <c r="D14" s="2" t="s">
        <v>113</v>
      </c>
      <c r="E14" s="2" t="s">
        <v>115</v>
      </c>
      <c r="F14" s="2" t="s">
        <v>522</v>
      </c>
    </row>
    <row r="15" spans="1:6" ht="32" x14ac:dyDescent="0.45">
      <c r="A15" s="12">
        <v>11</v>
      </c>
      <c r="B15" s="2" t="s">
        <v>75</v>
      </c>
      <c r="C15" s="2" t="s">
        <v>523</v>
      </c>
      <c r="D15" s="2" t="s">
        <v>524</v>
      </c>
      <c r="E15" s="2" t="s">
        <v>392</v>
      </c>
      <c r="F15" s="2" t="s">
        <v>525</v>
      </c>
    </row>
    <row r="16" spans="1:6" x14ac:dyDescent="0.45">
      <c r="A16" s="12">
        <v>12</v>
      </c>
      <c r="B16" s="2" t="s">
        <v>113</v>
      </c>
      <c r="C16" s="2" t="s">
        <v>369</v>
      </c>
      <c r="D16" s="2" t="s">
        <v>371</v>
      </c>
      <c r="E16" s="2" t="s">
        <v>526</v>
      </c>
      <c r="F16" s="2" t="s">
        <v>527</v>
      </c>
    </row>
    <row r="17" spans="1:6" ht="32" x14ac:dyDescent="0.45">
      <c r="A17" s="12">
        <v>13</v>
      </c>
      <c r="B17" s="2" t="s">
        <v>528</v>
      </c>
      <c r="C17" s="2" t="s">
        <v>319</v>
      </c>
      <c r="D17" s="2" t="s">
        <v>113</v>
      </c>
      <c r="E17" s="2" t="s">
        <v>115</v>
      </c>
      <c r="F17" s="2" t="s">
        <v>529</v>
      </c>
    </row>
    <row r="18" spans="1:6" ht="32" x14ac:dyDescent="0.45">
      <c r="A18" s="12">
        <v>14</v>
      </c>
      <c r="B18" s="2" t="s">
        <v>106</v>
      </c>
      <c r="C18" s="2" t="s">
        <v>392</v>
      </c>
      <c r="D18" s="2" t="s">
        <v>524</v>
      </c>
      <c r="E18" s="2" t="s">
        <v>392</v>
      </c>
      <c r="F18" s="2" t="s">
        <v>530</v>
      </c>
    </row>
    <row r="19" spans="1:6" ht="32" x14ac:dyDescent="0.45">
      <c r="A19" s="12">
        <v>15</v>
      </c>
      <c r="B19" s="2" t="s">
        <v>106</v>
      </c>
      <c r="C19" s="2" t="s">
        <v>395</v>
      </c>
      <c r="D19" s="2" t="s">
        <v>531</v>
      </c>
      <c r="E19" s="2" t="s">
        <v>395</v>
      </c>
      <c r="F19" s="2" t="s">
        <v>532</v>
      </c>
    </row>
    <row r="20" spans="1:6" ht="32" x14ac:dyDescent="0.45">
      <c r="A20" s="12">
        <v>16</v>
      </c>
      <c r="B20" s="2" t="s">
        <v>106</v>
      </c>
      <c r="C20" s="2" t="s">
        <v>533</v>
      </c>
      <c r="D20" s="2" t="s">
        <v>534</v>
      </c>
      <c r="E20" s="2" t="s">
        <v>535</v>
      </c>
      <c r="F20" s="2" t="s">
        <v>536</v>
      </c>
    </row>
    <row r="21" spans="1:6" ht="32" x14ac:dyDescent="0.45">
      <c r="A21" s="12">
        <v>17</v>
      </c>
      <c r="B21" s="2" t="s">
        <v>106</v>
      </c>
      <c r="C21" s="2" t="s">
        <v>283</v>
      </c>
      <c r="D21" s="2" t="s">
        <v>371</v>
      </c>
      <c r="E21" s="2" t="s">
        <v>526</v>
      </c>
      <c r="F21" s="2" t="s">
        <v>537</v>
      </c>
    </row>
    <row r="22" spans="1:6" ht="64" x14ac:dyDescent="0.45">
      <c r="A22" s="12">
        <v>18</v>
      </c>
      <c r="B22" s="2" t="s">
        <v>103</v>
      </c>
      <c r="C22" s="2" t="s">
        <v>538</v>
      </c>
      <c r="D22" s="2" t="s">
        <v>106</v>
      </c>
      <c r="E22" s="2" t="s">
        <v>538</v>
      </c>
      <c r="F22" s="2" t="s">
        <v>539</v>
      </c>
    </row>
  </sheetData>
  <mergeCells count="2">
    <mergeCell ref="A2:F2"/>
    <mergeCell ref="A1:F1"/>
  </mergeCells>
  <phoneticPr fontId="8" type="noConversion"/>
  <printOptions horizontalCentered="1"/>
  <pageMargins left="0.75" right="0.75" top="1" bottom="1" header="0.5" footer="0.5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showGridLines="0" workbookViewId="0"/>
  </sheetViews>
  <sheetFormatPr defaultRowHeight="17" x14ac:dyDescent="0.45"/>
  <cols>
    <col min="1" max="1" width="5" customWidth="1"/>
    <col min="2" max="2" width="20" customWidth="1"/>
    <col min="3" max="3" width="46" customWidth="1"/>
    <col min="4" max="6" width="8" customWidth="1"/>
    <col min="7" max="7" width="40" customWidth="1"/>
  </cols>
  <sheetData>
    <row r="1" spans="1:7" ht="26" customHeight="1" x14ac:dyDescent="0.45">
      <c r="A1" s="22" t="s">
        <v>32</v>
      </c>
      <c r="B1" s="21"/>
      <c r="C1" s="21"/>
      <c r="D1" s="21"/>
      <c r="E1" s="21"/>
      <c r="F1" s="21"/>
      <c r="G1" s="21"/>
    </row>
    <row r="3" spans="1:7" x14ac:dyDescent="0.45">
      <c r="A3" s="3" t="s">
        <v>60</v>
      </c>
      <c r="B3" s="3" t="s">
        <v>32</v>
      </c>
      <c r="C3" s="3" t="s">
        <v>540</v>
      </c>
      <c r="D3" s="3" t="s">
        <v>541</v>
      </c>
      <c r="E3" s="3" t="s">
        <v>542</v>
      </c>
      <c r="F3" s="3" t="s">
        <v>543</v>
      </c>
      <c r="G3" s="3" t="s">
        <v>544</v>
      </c>
    </row>
    <row r="4" spans="1:7" x14ac:dyDescent="0.45">
      <c r="A4" s="12">
        <v>1</v>
      </c>
      <c r="B4" s="2" t="s">
        <v>124</v>
      </c>
      <c r="C4" s="2" t="s">
        <v>126</v>
      </c>
      <c r="D4" s="12">
        <v>1</v>
      </c>
      <c r="E4" s="12">
        <v>1</v>
      </c>
      <c r="F4" s="12">
        <v>20</v>
      </c>
      <c r="G4" s="2"/>
    </row>
  </sheetData>
  <mergeCells count="1">
    <mergeCell ref="A1:G1"/>
  </mergeCells>
  <phoneticPr fontId="8" type="noConversion"/>
  <printOptions horizontalCentered="1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개요</vt:lpstr>
      <vt:lpstr>테이블 목록</vt:lpstr>
      <vt:lpstr>TQC_CONFIG</vt:lpstr>
      <vt:lpstr>TQC_CONFIG_USER</vt:lpstr>
      <vt:lpstr>TQC_EQUIP</vt:lpstr>
      <vt:lpstr>TQC_EQUIP_MODEL</vt:lpstr>
      <vt:lpstr>TQC_FUNCTION_LIST</vt:lpstr>
      <vt:lpstr>TQC_GROUP_FUNCTION</vt:lpstr>
      <vt:lpstr>TQC_GROUP_USER</vt:lpstr>
      <vt:lpstr>TQC_LOSS_YIELD_SUM</vt:lpstr>
      <vt:lpstr>TQC_LOT_HIS</vt:lpstr>
      <vt:lpstr>TQC_LOT_STS</vt:lpstr>
      <vt:lpstr>TQC_MATCH_SUM</vt:lpstr>
      <vt:lpstr>TQC_NOTICE_BOARD</vt:lpstr>
      <vt:lpstr>TQC_OPER</vt:lpstr>
      <vt:lpstr>TQC_SECURITY_GROUP</vt:lpstr>
      <vt:lpstr>TQC_SERVICE_LOG</vt:lpstr>
      <vt:lpstr>TQC_USER</vt:lpstr>
      <vt:lpstr>TQC_USER_HITLOG</vt:lpstr>
      <vt:lpstr>관계(논리)</vt:lpstr>
      <vt:lpstr>시퀀스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</cp:lastModifiedBy>
  <dcterms:created xsi:type="dcterms:W3CDTF">2026-10-15T06:56:20Z</dcterms:created>
  <dcterms:modified xsi:type="dcterms:W3CDTF">2026-10-15T06:56:40Z</dcterms:modified>
</cp:coreProperties>
</file>